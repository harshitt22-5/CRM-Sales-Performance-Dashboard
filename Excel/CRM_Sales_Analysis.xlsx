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61ce8fda5b1efe/Desktop/CRM_Sales_Project/"/>
    </mc:Choice>
  </mc:AlternateContent>
  <xr:revisionPtr revIDLastSave="0" documentId="8_{B6124E31-AB4C-49C6-B62E-C7BDDD784034}" xr6:coauthVersionLast="47" xr6:coauthVersionMax="47" xr10:uidLastSave="{00000000-0000-0000-0000-000000000000}"/>
  <bookViews>
    <workbookView xWindow="-120" yWindow="-120" windowWidth="20730" windowHeight="11310" xr2:uid="{9634D15F-B9C1-464E-8D73-CCD68FCF4F39}"/>
  </bookViews>
  <sheets>
    <sheet name="Analysis" sheetId="5" r:id="rId1"/>
    <sheet name="Sales_Pipelines" sheetId="3" r:id="rId2"/>
    <sheet name="Accounts" sheetId="1" r:id="rId3"/>
    <sheet name="Sales_teams" sheetId="4" r:id="rId4"/>
    <sheet name="Products" sheetId="2" r:id="rId5"/>
  </sheets>
  <definedNames>
    <definedName name="_xlnm._FilterDatabase" localSheetId="1" hidden="1">Sales_Pipelines!$A$1:$I$8801</definedName>
    <definedName name="accounts" localSheetId="2">Accounts!$A$1:$G$86</definedName>
    <definedName name="products" localSheetId="4">Products!$A$1:$C$8</definedName>
    <definedName name="sales_pipeline" localSheetId="1">Sales_Pipelines!$A$1:$H$8801</definedName>
    <definedName name="sales_teams" localSheetId="3">Sales_teams!$A$1:$C$36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5" l="1"/>
  <c r="F4" i="5"/>
  <c r="D4" i="5"/>
  <c r="B4" i="5"/>
  <c r="B5" i="5"/>
  <c r="B6" i="5"/>
  <c r="B7" i="5"/>
  <c r="D91" i="5"/>
  <c r="D90" i="5"/>
  <c r="D89" i="5"/>
  <c r="D88" i="5"/>
  <c r="C91" i="5"/>
  <c r="C90" i="5"/>
  <c r="C89" i="5"/>
  <c r="E89" i="5" s="1"/>
  <c r="C88" i="5"/>
  <c r="B91" i="5"/>
  <c r="B90" i="5"/>
  <c r="B89" i="5"/>
  <c r="B88" i="5"/>
  <c r="L6" i="3"/>
  <c r="L5" i="3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32" i="5"/>
  <c r="D33" i="5"/>
  <c r="D34" i="5"/>
  <c r="D35" i="5"/>
  <c r="D36" i="5"/>
  <c r="D37" i="5"/>
  <c r="D38" i="5"/>
  <c r="D39" i="5"/>
  <c r="D40" i="5"/>
  <c r="D41" i="5"/>
  <c r="D42" i="5"/>
  <c r="E42" i="5" s="1"/>
  <c r="D43" i="5"/>
  <c r="D44" i="5"/>
  <c r="D45" i="5"/>
  <c r="D46" i="5"/>
  <c r="D47" i="5"/>
  <c r="D48" i="5"/>
  <c r="E48" i="5" s="1"/>
  <c r="D49" i="5"/>
  <c r="D50" i="5"/>
  <c r="D51" i="5"/>
  <c r="D52" i="5"/>
  <c r="D53" i="5"/>
  <c r="D54" i="5"/>
  <c r="E54" i="5" s="1"/>
  <c r="D55" i="5"/>
  <c r="D56" i="5"/>
  <c r="D57" i="5"/>
  <c r="D58" i="5"/>
  <c r="D59" i="5"/>
  <c r="D60" i="5"/>
  <c r="E60" i="5" s="1"/>
  <c r="D61" i="5"/>
  <c r="D62" i="5"/>
  <c r="D63" i="5"/>
  <c r="D64" i="5"/>
  <c r="D65" i="5"/>
  <c r="D66" i="5"/>
  <c r="E66" i="5" s="1"/>
  <c r="D32" i="5"/>
  <c r="C33" i="5"/>
  <c r="C34" i="5"/>
  <c r="C35" i="5"/>
  <c r="E35" i="5" s="1"/>
  <c r="C36" i="5"/>
  <c r="C37" i="5"/>
  <c r="C38" i="5"/>
  <c r="C39" i="5"/>
  <c r="E39" i="5" s="1"/>
  <c r="C40" i="5"/>
  <c r="C41" i="5"/>
  <c r="C42" i="5"/>
  <c r="F42" i="5" s="1"/>
  <c r="C43" i="5"/>
  <c r="E43" i="5" s="1"/>
  <c r="C44" i="5"/>
  <c r="C45" i="5"/>
  <c r="C46" i="5"/>
  <c r="C47" i="5"/>
  <c r="E47" i="5" s="1"/>
  <c r="C48" i="5"/>
  <c r="F48" i="5" s="1"/>
  <c r="C49" i="5"/>
  <c r="C50" i="5"/>
  <c r="C51" i="5"/>
  <c r="E51" i="5" s="1"/>
  <c r="C52" i="5"/>
  <c r="C53" i="5"/>
  <c r="C54" i="5"/>
  <c r="F54" i="5" s="1"/>
  <c r="C55" i="5"/>
  <c r="E55" i="5" s="1"/>
  <c r="C56" i="5"/>
  <c r="C57" i="5"/>
  <c r="C58" i="5"/>
  <c r="C59" i="5"/>
  <c r="E59" i="5" s="1"/>
  <c r="C60" i="5"/>
  <c r="F60" i="5" s="1"/>
  <c r="C61" i="5"/>
  <c r="C62" i="5"/>
  <c r="C63" i="5"/>
  <c r="E63" i="5" s="1"/>
  <c r="C64" i="5"/>
  <c r="C65" i="5"/>
  <c r="C66" i="5"/>
  <c r="F66" i="5" s="1"/>
  <c r="C32" i="5"/>
  <c r="E32" i="5" s="1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32" i="5"/>
  <c r="G22" i="5"/>
  <c r="G23" i="5"/>
  <c r="G24" i="5"/>
  <c r="G25" i="5"/>
  <c r="G26" i="5"/>
  <c r="G27" i="5"/>
  <c r="G21" i="5"/>
  <c r="D22" i="5"/>
  <c r="D23" i="5"/>
  <c r="D24" i="5"/>
  <c r="D25" i="5"/>
  <c r="D26" i="5"/>
  <c r="D27" i="5"/>
  <c r="D21" i="5"/>
  <c r="C22" i="5"/>
  <c r="C23" i="5"/>
  <c r="C24" i="5"/>
  <c r="C25" i="5"/>
  <c r="C26" i="5"/>
  <c r="C27" i="5"/>
  <c r="C21" i="5"/>
  <c r="B27" i="5"/>
  <c r="B22" i="5"/>
  <c r="B23" i="5"/>
  <c r="B24" i="5"/>
  <c r="B25" i="5"/>
  <c r="B26" i="5"/>
  <c r="B21" i="5"/>
  <c r="B16" i="5"/>
  <c r="B15" i="5"/>
  <c r="B13" i="5"/>
  <c r="B12" i="5"/>
  <c r="B14" i="5"/>
  <c r="B11" i="5"/>
  <c r="J8800" i="3"/>
  <c r="J8801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004" i="3"/>
  <c r="J2005" i="3"/>
  <c r="J2006" i="3"/>
  <c r="J2007" i="3"/>
  <c r="J2008" i="3"/>
  <c r="J2009" i="3"/>
  <c r="J2010" i="3"/>
  <c r="J2011" i="3"/>
  <c r="J2012" i="3"/>
  <c r="J2013" i="3"/>
  <c r="J2014" i="3"/>
  <c r="J2015" i="3"/>
  <c r="J2016" i="3"/>
  <c r="J2017" i="3"/>
  <c r="J2018" i="3"/>
  <c r="J2019" i="3"/>
  <c r="J2020" i="3"/>
  <c r="J2021" i="3"/>
  <c r="J2022" i="3"/>
  <c r="J2023" i="3"/>
  <c r="J2024" i="3"/>
  <c r="J2025" i="3"/>
  <c r="J2026" i="3"/>
  <c r="J2027" i="3"/>
  <c r="J2028" i="3"/>
  <c r="J2029" i="3"/>
  <c r="J2030" i="3"/>
  <c r="J2031" i="3"/>
  <c r="J2032" i="3"/>
  <c r="J2033" i="3"/>
  <c r="J2034" i="3"/>
  <c r="J2035" i="3"/>
  <c r="J2036" i="3"/>
  <c r="J2037" i="3"/>
  <c r="J2038" i="3"/>
  <c r="J2039" i="3"/>
  <c r="J2040" i="3"/>
  <c r="J2041" i="3"/>
  <c r="J2042" i="3"/>
  <c r="J2043" i="3"/>
  <c r="J2044" i="3"/>
  <c r="J2045" i="3"/>
  <c r="J2046" i="3"/>
  <c r="J2047" i="3"/>
  <c r="J2048" i="3"/>
  <c r="J2049" i="3"/>
  <c r="J2050" i="3"/>
  <c r="J2051" i="3"/>
  <c r="J2052" i="3"/>
  <c r="J2053" i="3"/>
  <c r="J2054" i="3"/>
  <c r="J2055" i="3"/>
  <c r="J2056" i="3"/>
  <c r="J2057" i="3"/>
  <c r="J2058" i="3"/>
  <c r="J2059" i="3"/>
  <c r="J2060" i="3"/>
  <c r="J2061" i="3"/>
  <c r="J2062" i="3"/>
  <c r="J2063" i="3"/>
  <c r="J2064" i="3"/>
  <c r="J2065" i="3"/>
  <c r="J2066" i="3"/>
  <c r="J2067" i="3"/>
  <c r="J2068" i="3"/>
  <c r="J2069" i="3"/>
  <c r="J2070" i="3"/>
  <c r="J2071" i="3"/>
  <c r="J2072" i="3"/>
  <c r="J2073" i="3"/>
  <c r="J2074" i="3"/>
  <c r="J2075" i="3"/>
  <c r="J2076" i="3"/>
  <c r="J2077" i="3"/>
  <c r="J2078" i="3"/>
  <c r="J2079" i="3"/>
  <c r="J2080" i="3"/>
  <c r="J2081" i="3"/>
  <c r="J2082" i="3"/>
  <c r="J2083" i="3"/>
  <c r="J2084" i="3"/>
  <c r="J2085" i="3"/>
  <c r="J2086" i="3"/>
  <c r="J2087" i="3"/>
  <c r="J2088" i="3"/>
  <c r="J2089" i="3"/>
  <c r="J2090" i="3"/>
  <c r="J2091" i="3"/>
  <c r="J2092" i="3"/>
  <c r="J2093" i="3"/>
  <c r="J2094" i="3"/>
  <c r="J2095" i="3"/>
  <c r="J2096" i="3"/>
  <c r="J2097" i="3"/>
  <c r="J2098" i="3"/>
  <c r="J2099" i="3"/>
  <c r="J2100" i="3"/>
  <c r="J2101" i="3"/>
  <c r="J2102" i="3"/>
  <c r="J2103" i="3"/>
  <c r="J2104" i="3"/>
  <c r="J2105" i="3"/>
  <c r="J2106" i="3"/>
  <c r="J2107" i="3"/>
  <c r="J2108" i="3"/>
  <c r="J2109" i="3"/>
  <c r="J2110" i="3"/>
  <c r="J2111" i="3"/>
  <c r="J2112" i="3"/>
  <c r="J2113" i="3"/>
  <c r="J2114" i="3"/>
  <c r="J2115" i="3"/>
  <c r="J2116" i="3"/>
  <c r="J2117" i="3"/>
  <c r="J2118" i="3"/>
  <c r="J2119" i="3"/>
  <c r="J2120" i="3"/>
  <c r="J2121" i="3"/>
  <c r="J2122" i="3"/>
  <c r="J2123" i="3"/>
  <c r="J2124" i="3"/>
  <c r="J2125" i="3"/>
  <c r="J2126" i="3"/>
  <c r="J2127" i="3"/>
  <c r="J2128" i="3"/>
  <c r="J2129" i="3"/>
  <c r="J2130" i="3"/>
  <c r="J2131" i="3"/>
  <c r="J2132" i="3"/>
  <c r="J2133" i="3"/>
  <c r="J2134" i="3"/>
  <c r="J2135" i="3"/>
  <c r="J2136" i="3"/>
  <c r="J2137" i="3"/>
  <c r="J2138" i="3"/>
  <c r="J2139" i="3"/>
  <c r="J2140" i="3"/>
  <c r="J2141" i="3"/>
  <c r="J2142" i="3"/>
  <c r="J2143" i="3"/>
  <c r="J2144" i="3"/>
  <c r="J2145" i="3"/>
  <c r="J2146" i="3"/>
  <c r="J2147" i="3"/>
  <c r="J2148" i="3"/>
  <c r="J2149" i="3"/>
  <c r="J2150" i="3"/>
  <c r="J2151" i="3"/>
  <c r="J2152" i="3"/>
  <c r="J2153" i="3"/>
  <c r="J2154" i="3"/>
  <c r="J2155" i="3"/>
  <c r="J2156" i="3"/>
  <c r="J2157" i="3"/>
  <c r="J2158" i="3"/>
  <c r="J2159" i="3"/>
  <c r="J2160" i="3"/>
  <c r="J2161" i="3"/>
  <c r="J2162" i="3"/>
  <c r="J2163" i="3"/>
  <c r="J2164" i="3"/>
  <c r="J2165" i="3"/>
  <c r="J2166" i="3"/>
  <c r="J2167" i="3"/>
  <c r="J2168" i="3"/>
  <c r="J2169" i="3"/>
  <c r="J2170" i="3"/>
  <c r="J2171" i="3"/>
  <c r="J2172" i="3"/>
  <c r="J2173" i="3"/>
  <c r="J2174" i="3"/>
  <c r="J2175" i="3"/>
  <c r="J2176" i="3"/>
  <c r="J2177" i="3"/>
  <c r="J2178" i="3"/>
  <c r="J2179" i="3"/>
  <c r="J2180" i="3"/>
  <c r="J2181" i="3"/>
  <c r="J2182" i="3"/>
  <c r="J2183" i="3"/>
  <c r="J2184" i="3"/>
  <c r="J2185" i="3"/>
  <c r="J2186" i="3"/>
  <c r="J2187" i="3"/>
  <c r="J2188" i="3"/>
  <c r="J2189" i="3"/>
  <c r="J2190" i="3"/>
  <c r="J2191" i="3"/>
  <c r="J2192" i="3"/>
  <c r="J2193" i="3"/>
  <c r="J2194" i="3"/>
  <c r="J2195" i="3"/>
  <c r="J2196" i="3"/>
  <c r="J2197" i="3"/>
  <c r="J2198" i="3"/>
  <c r="J2199" i="3"/>
  <c r="J2200" i="3"/>
  <c r="J2201" i="3"/>
  <c r="J2202" i="3"/>
  <c r="J2203" i="3"/>
  <c r="J2204" i="3"/>
  <c r="J2205" i="3"/>
  <c r="J2206" i="3"/>
  <c r="J2207" i="3"/>
  <c r="J2208" i="3"/>
  <c r="J2209" i="3"/>
  <c r="J2210" i="3"/>
  <c r="J2211" i="3"/>
  <c r="J2212" i="3"/>
  <c r="J2213" i="3"/>
  <c r="J2214" i="3"/>
  <c r="J2215" i="3"/>
  <c r="J2216" i="3"/>
  <c r="J2217" i="3"/>
  <c r="J2218" i="3"/>
  <c r="J2219" i="3"/>
  <c r="J2220" i="3"/>
  <c r="J2221" i="3"/>
  <c r="J2222" i="3"/>
  <c r="J2223" i="3"/>
  <c r="J2224" i="3"/>
  <c r="J2225" i="3"/>
  <c r="J2226" i="3"/>
  <c r="J2227" i="3"/>
  <c r="J2228" i="3"/>
  <c r="J2229" i="3"/>
  <c r="J2230" i="3"/>
  <c r="J2231" i="3"/>
  <c r="J2232" i="3"/>
  <c r="J2233" i="3"/>
  <c r="J2234" i="3"/>
  <c r="J2235" i="3"/>
  <c r="J2236" i="3"/>
  <c r="J2237" i="3"/>
  <c r="J2238" i="3"/>
  <c r="J2239" i="3"/>
  <c r="J2240" i="3"/>
  <c r="J2241" i="3"/>
  <c r="J2242" i="3"/>
  <c r="J2243" i="3"/>
  <c r="J2244" i="3"/>
  <c r="J2245" i="3"/>
  <c r="J2246" i="3"/>
  <c r="J2247" i="3"/>
  <c r="J2248" i="3"/>
  <c r="J2249" i="3"/>
  <c r="J2250" i="3"/>
  <c r="J2251" i="3"/>
  <c r="J2252" i="3"/>
  <c r="J2253" i="3"/>
  <c r="J2254" i="3"/>
  <c r="J2255" i="3"/>
  <c r="J2256" i="3"/>
  <c r="J2257" i="3"/>
  <c r="J2258" i="3"/>
  <c r="J2259" i="3"/>
  <c r="J2260" i="3"/>
  <c r="J2261" i="3"/>
  <c r="J2262" i="3"/>
  <c r="J2263" i="3"/>
  <c r="J2264" i="3"/>
  <c r="J2265" i="3"/>
  <c r="J2266" i="3"/>
  <c r="J2267" i="3"/>
  <c r="J2268" i="3"/>
  <c r="J2269" i="3"/>
  <c r="J2270" i="3"/>
  <c r="J2271" i="3"/>
  <c r="J2272" i="3"/>
  <c r="J2273" i="3"/>
  <c r="J2274" i="3"/>
  <c r="J2275" i="3"/>
  <c r="J2276" i="3"/>
  <c r="J2277" i="3"/>
  <c r="J2278" i="3"/>
  <c r="J2279" i="3"/>
  <c r="J2280" i="3"/>
  <c r="J2281" i="3"/>
  <c r="J2282" i="3"/>
  <c r="J2283" i="3"/>
  <c r="J2284" i="3"/>
  <c r="J2285" i="3"/>
  <c r="J2286" i="3"/>
  <c r="J2287" i="3"/>
  <c r="J2288" i="3"/>
  <c r="J2289" i="3"/>
  <c r="J2290" i="3"/>
  <c r="J2291" i="3"/>
  <c r="J2292" i="3"/>
  <c r="J2293" i="3"/>
  <c r="J2294" i="3"/>
  <c r="J2295" i="3"/>
  <c r="J2296" i="3"/>
  <c r="J2297" i="3"/>
  <c r="J2298" i="3"/>
  <c r="J2299" i="3"/>
  <c r="J2300" i="3"/>
  <c r="J2301" i="3"/>
  <c r="J2302" i="3"/>
  <c r="J2303" i="3"/>
  <c r="J2304" i="3"/>
  <c r="J2305" i="3"/>
  <c r="J2306" i="3"/>
  <c r="J2307" i="3"/>
  <c r="J2308" i="3"/>
  <c r="J2309" i="3"/>
  <c r="J2310" i="3"/>
  <c r="J2311" i="3"/>
  <c r="J2312" i="3"/>
  <c r="J2313" i="3"/>
  <c r="J2314" i="3"/>
  <c r="J2315" i="3"/>
  <c r="J2316" i="3"/>
  <c r="J2317" i="3"/>
  <c r="J2318" i="3"/>
  <c r="J2319" i="3"/>
  <c r="J2320" i="3"/>
  <c r="J2321" i="3"/>
  <c r="J2322" i="3"/>
  <c r="J2323" i="3"/>
  <c r="J2324" i="3"/>
  <c r="J2325" i="3"/>
  <c r="J2326" i="3"/>
  <c r="J2327" i="3"/>
  <c r="J2328" i="3"/>
  <c r="J2329" i="3"/>
  <c r="J2330" i="3"/>
  <c r="J2331" i="3"/>
  <c r="J2332" i="3"/>
  <c r="J2333" i="3"/>
  <c r="J2334" i="3"/>
  <c r="J2335" i="3"/>
  <c r="J2336" i="3"/>
  <c r="J2337" i="3"/>
  <c r="J2338" i="3"/>
  <c r="J2339" i="3"/>
  <c r="J2340" i="3"/>
  <c r="J2341" i="3"/>
  <c r="J2342" i="3"/>
  <c r="J2343" i="3"/>
  <c r="J2344" i="3"/>
  <c r="J2345" i="3"/>
  <c r="J2346" i="3"/>
  <c r="J2347" i="3"/>
  <c r="J2348" i="3"/>
  <c r="J2349" i="3"/>
  <c r="J2350" i="3"/>
  <c r="J2351" i="3"/>
  <c r="J2352" i="3"/>
  <c r="J2353" i="3"/>
  <c r="J2354" i="3"/>
  <c r="J2355" i="3"/>
  <c r="J2356" i="3"/>
  <c r="J2357" i="3"/>
  <c r="J2358" i="3"/>
  <c r="J2359" i="3"/>
  <c r="J2360" i="3"/>
  <c r="J2361" i="3"/>
  <c r="J2362" i="3"/>
  <c r="J2363" i="3"/>
  <c r="J2364" i="3"/>
  <c r="J2365" i="3"/>
  <c r="J2366" i="3"/>
  <c r="J2367" i="3"/>
  <c r="J2368" i="3"/>
  <c r="J2369" i="3"/>
  <c r="J2370" i="3"/>
  <c r="J2371" i="3"/>
  <c r="J2372" i="3"/>
  <c r="J2373" i="3"/>
  <c r="J2374" i="3"/>
  <c r="J2375" i="3"/>
  <c r="J2376" i="3"/>
  <c r="J2377" i="3"/>
  <c r="J2378" i="3"/>
  <c r="J2379" i="3"/>
  <c r="J2380" i="3"/>
  <c r="J2381" i="3"/>
  <c r="J2382" i="3"/>
  <c r="J2383" i="3"/>
  <c r="J2384" i="3"/>
  <c r="J2385" i="3"/>
  <c r="J2386" i="3"/>
  <c r="J2387" i="3"/>
  <c r="J2388" i="3"/>
  <c r="J2389" i="3"/>
  <c r="J2390" i="3"/>
  <c r="J2391" i="3"/>
  <c r="J2392" i="3"/>
  <c r="J2393" i="3"/>
  <c r="J2394" i="3"/>
  <c r="J2395" i="3"/>
  <c r="J2396" i="3"/>
  <c r="J2397" i="3"/>
  <c r="J2398" i="3"/>
  <c r="J2399" i="3"/>
  <c r="J2400" i="3"/>
  <c r="J2401" i="3"/>
  <c r="J2402" i="3"/>
  <c r="J2403" i="3"/>
  <c r="J2404" i="3"/>
  <c r="J2405" i="3"/>
  <c r="J2406" i="3"/>
  <c r="J2407" i="3"/>
  <c r="J2408" i="3"/>
  <c r="J2409" i="3"/>
  <c r="J2410" i="3"/>
  <c r="J2411" i="3"/>
  <c r="J2412" i="3"/>
  <c r="J2413" i="3"/>
  <c r="J2414" i="3"/>
  <c r="J2415" i="3"/>
  <c r="J2416" i="3"/>
  <c r="J2417" i="3"/>
  <c r="J2418" i="3"/>
  <c r="J2419" i="3"/>
  <c r="J2420" i="3"/>
  <c r="J2421" i="3"/>
  <c r="J2422" i="3"/>
  <c r="J2423" i="3"/>
  <c r="J2424" i="3"/>
  <c r="J2425" i="3"/>
  <c r="J2426" i="3"/>
  <c r="J2427" i="3"/>
  <c r="J2428" i="3"/>
  <c r="J2429" i="3"/>
  <c r="J2430" i="3"/>
  <c r="J2431" i="3"/>
  <c r="J2432" i="3"/>
  <c r="J2433" i="3"/>
  <c r="J2434" i="3"/>
  <c r="J2435" i="3"/>
  <c r="J2436" i="3"/>
  <c r="J2437" i="3"/>
  <c r="J2438" i="3"/>
  <c r="J2439" i="3"/>
  <c r="J2440" i="3"/>
  <c r="J2441" i="3"/>
  <c r="J2442" i="3"/>
  <c r="J2443" i="3"/>
  <c r="J2444" i="3"/>
  <c r="J2445" i="3"/>
  <c r="J2446" i="3"/>
  <c r="J2447" i="3"/>
  <c r="J2448" i="3"/>
  <c r="J2449" i="3"/>
  <c r="J2450" i="3"/>
  <c r="J2451" i="3"/>
  <c r="J2452" i="3"/>
  <c r="J2453" i="3"/>
  <c r="J2454" i="3"/>
  <c r="J2455" i="3"/>
  <c r="J2456" i="3"/>
  <c r="J2457" i="3"/>
  <c r="J2458" i="3"/>
  <c r="J2459" i="3"/>
  <c r="J2460" i="3"/>
  <c r="J2461" i="3"/>
  <c r="J2462" i="3"/>
  <c r="J2463" i="3"/>
  <c r="J2464" i="3"/>
  <c r="J2465" i="3"/>
  <c r="J2466" i="3"/>
  <c r="J2467" i="3"/>
  <c r="J2468" i="3"/>
  <c r="J2469" i="3"/>
  <c r="J2470" i="3"/>
  <c r="J2471" i="3"/>
  <c r="J2472" i="3"/>
  <c r="J2473" i="3"/>
  <c r="J2474" i="3"/>
  <c r="J2475" i="3"/>
  <c r="J2476" i="3"/>
  <c r="J2477" i="3"/>
  <c r="J2478" i="3"/>
  <c r="J2479" i="3"/>
  <c r="J2480" i="3"/>
  <c r="J2481" i="3"/>
  <c r="J2482" i="3"/>
  <c r="J2483" i="3"/>
  <c r="J2484" i="3"/>
  <c r="J2485" i="3"/>
  <c r="J2486" i="3"/>
  <c r="J2487" i="3"/>
  <c r="J2488" i="3"/>
  <c r="J2489" i="3"/>
  <c r="J2490" i="3"/>
  <c r="J2491" i="3"/>
  <c r="J2492" i="3"/>
  <c r="J2493" i="3"/>
  <c r="J2494" i="3"/>
  <c r="J2495" i="3"/>
  <c r="J2496" i="3"/>
  <c r="J2497" i="3"/>
  <c r="J2498" i="3"/>
  <c r="J2499" i="3"/>
  <c r="J2500" i="3"/>
  <c r="J2501" i="3"/>
  <c r="J2502" i="3"/>
  <c r="J2503" i="3"/>
  <c r="J2504" i="3"/>
  <c r="J2505" i="3"/>
  <c r="J2506" i="3"/>
  <c r="J2507" i="3"/>
  <c r="J2508" i="3"/>
  <c r="J2509" i="3"/>
  <c r="J2510" i="3"/>
  <c r="J2511" i="3"/>
  <c r="J2512" i="3"/>
  <c r="J2513" i="3"/>
  <c r="J2514" i="3"/>
  <c r="J2515" i="3"/>
  <c r="J2516" i="3"/>
  <c r="J2517" i="3"/>
  <c r="J2518" i="3"/>
  <c r="J2519" i="3"/>
  <c r="J2520" i="3"/>
  <c r="J2521" i="3"/>
  <c r="J2522" i="3"/>
  <c r="J2523" i="3"/>
  <c r="J2524" i="3"/>
  <c r="J2525" i="3"/>
  <c r="J2526" i="3"/>
  <c r="J2527" i="3"/>
  <c r="J2528" i="3"/>
  <c r="J2529" i="3"/>
  <c r="J2530" i="3"/>
  <c r="J2531" i="3"/>
  <c r="J2532" i="3"/>
  <c r="J2533" i="3"/>
  <c r="J2534" i="3"/>
  <c r="J2535" i="3"/>
  <c r="J2536" i="3"/>
  <c r="J2537" i="3"/>
  <c r="J2538" i="3"/>
  <c r="J2539" i="3"/>
  <c r="J2540" i="3"/>
  <c r="J2541" i="3"/>
  <c r="J2542" i="3"/>
  <c r="J2543" i="3"/>
  <c r="J2544" i="3"/>
  <c r="J2545" i="3"/>
  <c r="J2546" i="3"/>
  <c r="J2547" i="3"/>
  <c r="J2548" i="3"/>
  <c r="J2549" i="3"/>
  <c r="J2550" i="3"/>
  <c r="J2551" i="3"/>
  <c r="J2552" i="3"/>
  <c r="J2553" i="3"/>
  <c r="J2554" i="3"/>
  <c r="J2555" i="3"/>
  <c r="J2556" i="3"/>
  <c r="J2557" i="3"/>
  <c r="J2558" i="3"/>
  <c r="J2559" i="3"/>
  <c r="J2560" i="3"/>
  <c r="J2561" i="3"/>
  <c r="J2562" i="3"/>
  <c r="J2563" i="3"/>
  <c r="J2564" i="3"/>
  <c r="J2565" i="3"/>
  <c r="J2566" i="3"/>
  <c r="J2567" i="3"/>
  <c r="J2568" i="3"/>
  <c r="J2569" i="3"/>
  <c r="J2570" i="3"/>
  <c r="J2571" i="3"/>
  <c r="J2572" i="3"/>
  <c r="J2573" i="3"/>
  <c r="J2574" i="3"/>
  <c r="J2575" i="3"/>
  <c r="J2576" i="3"/>
  <c r="J2577" i="3"/>
  <c r="J2578" i="3"/>
  <c r="J2579" i="3"/>
  <c r="J2580" i="3"/>
  <c r="J2581" i="3"/>
  <c r="J2582" i="3"/>
  <c r="J2583" i="3"/>
  <c r="J2584" i="3"/>
  <c r="J2585" i="3"/>
  <c r="J2586" i="3"/>
  <c r="J2587" i="3"/>
  <c r="J2588" i="3"/>
  <c r="J2589" i="3"/>
  <c r="J2590" i="3"/>
  <c r="J2591" i="3"/>
  <c r="J2592" i="3"/>
  <c r="J2593" i="3"/>
  <c r="J2594" i="3"/>
  <c r="J2595" i="3"/>
  <c r="J2596" i="3"/>
  <c r="J2597" i="3"/>
  <c r="J2598" i="3"/>
  <c r="J2599" i="3"/>
  <c r="J2600" i="3"/>
  <c r="J2601" i="3"/>
  <c r="J2602" i="3"/>
  <c r="J2603" i="3"/>
  <c r="J2604" i="3"/>
  <c r="J2605" i="3"/>
  <c r="J2606" i="3"/>
  <c r="J2607" i="3"/>
  <c r="J2608" i="3"/>
  <c r="J2609" i="3"/>
  <c r="J2610" i="3"/>
  <c r="J2611" i="3"/>
  <c r="J2612" i="3"/>
  <c r="J2613" i="3"/>
  <c r="J2614" i="3"/>
  <c r="J2615" i="3"/>
  <c r="J2616" i="3"/>
  <c r="J2617" i="3"/>
  <c r="J2618" i="3"/>
  <c r="J2619" i="3"/>
  <c r="J2620" i="3"/>
  <c r="J2621" i="3"/>
  <c r="J2622" i="3"/>
  <c r="J2623" i="3"/>
  <c r="J2624" i="3"/>
  <c r="J2625" i="3"/>
  <c r="J2626" i="3"/>
  <c r="J2627" i="3"/>
  <c r="J2628" i="3"/>
  <c r="J2629" i="3"/>
  <c r="J2630" i="3"/>
  <c r="J2631" i="3"/>
  <c r="J2632" i="3"/>
  <c r="J2633" i="3"/>
  <c r="J2634" i="3"/>
  <c r="J2635" i="3"/>
  <c r="J2636" i="3"/>
  <c r="J2637" i="3"/>
  <c r="J2638" i="3"/>
  <c r="J2639" i="3"/>
  <c r="J2640" i="3"/>
  <c r="J2641" i="3"/>
  <c r="J2642" i="3"/>
  <c r="J2643" i="3"/>
  <c r="J2644" i="3"/>
  <c r="J2645" i="3"/>
  <c r="J2646" i="3"/>
  <c r="J2647" i="3"/>
  <c r="J2648" i="3"/>
  <c r="J2649" i="3"/>
  <c r="J2650" i="3"/>
  <c r="J2651" i="3"/>
  <c r="J2652" i="3"/>
  <c r="J2653" i="3"/>
  <c r="J2654" i="3"/>
  <c r="J2655" i="3"/>
  <c r="J2656" i="3"/>
  <c r="J2657" i="3"/>
  <c r="J2658" i="3"/>
  <c r="J2659" i="3"/>
  <c r="J2660" i="3"/>
  <c r="J2661" i="3"/>
  <c r="J2662" i="3"/>
  <c r="J2663" i="3"/>
  <c r="J2664" i="3"/>
  <c r="J2665" i="3"/>
  <c r="J2666" i="3"/>
  <c r="J2667" i="3"/>
  <c r="J2668" i="3"/>
  <c r="J2669" i="3"/>
  <c r="J2670" i="3"/>
  <c r="J2671" i="3"/>
  <c r="J2672" i="3"/>
  <c r="J2673" i="3"/>
  <c r="J2674" i="3"/>
  <c r="J2675" i="3"/>
  <c r="J2676" i="3"/>
  <c r="J2677" i="3"/>
  <c r="J2678" i="3"/>
  <c r="J2679" i="3"/>
  <c r="J2680" i="3"/>
  <c r="J2681" i="3"/>
  <c r="J2682" i="3"/>
  <c r="J2683" i="3"/>
  <c r="J2684" i="3"/>
  <c r="J2685" i="3"/>
  <c r="J2686" i="3"/>
  <c r="J2687" i="3"/>
  <c r="J2688" i="3"/>
  <c r="J2689" i="3"/>
  <c r="J2690" i="3"/>
  <c r="J2691" i="3"/>
  <c r="J2692" i="3"/>
  <c r="J2693" i="3"/>
  <c r="J2694" i="3"/>
  <c r="J2695" i="3"/>
  <c r="J2696" i="3"/>
  <c r="J2697" i="3"/>
  <c r="J2698" i="3"/>
  <c r="J2699" i="3"/>
  <c r="J2700" i="3"/>
  <c r="J2701" i="3"/>
  <c r="J2702" i="3"/>
  <c r="J2703" i="3"/>
  <c r="J2704" i="3"/>
  <c r="J2705" i="3"/>
  <c r="J2706" i="3"/>
  <c r="J2707" i="3"/>
  <c r="J2708" i="3"/>
  <c r="J2709" i="3"/>
  <c r="J2710" i="3"/>
  <c r="J2711" i="3"/>
  <c r="J2712" i="3"/>
  <c r="J2713" i="3"/>
  <c r="J2714" i="3"/>
  <c r="J2715" i="3"/>
  <c r="J2716" i="3"/>
  <c r="J2717" i="3"/>
  <c r="J2718" i="3"/>
  <c r="J2719" i="3"/>
  <c r="J2720" i="3"/>
  <c r="J2721" i="3"/>
  <c r="J2722" i="3"/>
  <c r="J2723" i="3"/>
  <c r="J2724" i="3"/>
  <c r="J2725" i="3"/>
  <c r="J2726" i="3"/>
  <c r="J2727" i="3"/>
  <c r="J2728" i="3"/>
  <c r="J2729" i="3"/>
  <c r="J2730" i="3"/>
  <c r="J2731" i="3"/>
  <c r="J2732" i="3"/>
  <c r="J2733" i="3"/>
  <c r="J2734" i="3"/>
  <c r="J2735" i="3"/>
  <c r="J2736" i="3"/>
  <c r="J2737" i="3"/>
  <c r="J2738" i="3"/>
  <c r="J2739" i="3"/>
  <c r="J2740" i="3"/>
  <c r="J2741" i="3"/>
  <c r="J2742" i="3"/>
  <c r="J2743" i="3"/>
  <c r="J2744" i="3"/>
  <c r="J2745" i="3"/>
  <c r="J2746" i="3"/>
  <c r="J2747" i="3"/>
  <c r="J2748" i="3"/>
  <c r="J2749" i="3"/>
  <c r="J2750" i="3"/>
  <c r="J2751" i="3"/>
  <c r="J2752" i="3"/>
  <c r="J2753" i="3"/>
  <c r="J2754" i="3"/>
  <c r="J2755" i="3"/>
  <c r="J2756" i="3"/>
  <c r="J2757" i="3"/>
  <c r="J2758" i="3"/>
  <c r="J2759" i="3"/>
  <c r="J2760" i="3"/>
  <c r="J2761" i="3"/>
  <c r="J2762" i="3"/>
  <c r="J2763" i="3"/>
  <c r="J2764" i="3"/>
  <c r="J2765" i="3"/>
  <c r="J2766" i="3"/>
  <c r="J2767" i="3"/>
  <c r="J2768" i="3"/>
  <c r="J2769" i="3"/>
  <c r="J2770" i="3"/>
  <c r="J2771" i="3"/>
  <c r="J2772" i="3"/>
  <c r="J2773" i="3"/>
  <c r="J2774" i="3"/>
  <c r="J2775" i="3"/>
  <c r="J2776" i="3"/>
  <c r="J2777" i="3"/>
  <c r="J2778" i="3"/>
  <c r="J2779" i="3"/>
  <c r="J2780" i="3"/>
  <c r="J2781" i="3"/>
  <c r="J2782" i="3"/>
  <c r="J2783" i="3"/>
  <c r="J2784" i="3"/>
  <c r="J2785" i="3"/>
  <c r="J2786" i="3"/>
  <c r="J2787" i="3"/>
  <c r="J2788" i="3"/>
  <c r="J2789" i="3"/>
  <c r="J2790" i="3"/>
  <c r="J2791" i="3"/>
  <c r="J2792" i="3"/>
  <c r="J2793" i="3"/>
  <c r="J2794" i="3"/>
  <c r="J2795" i="3"/>
  <c r="J2796" i="3"/>
  <c r="J2797" i="3"/>
  <c r="J2798" i="3"/>
  <c r="J2799" i="3"/>
  <c r="J2800" i="3"/>
  <c r="J2801" i="3"/>
  <c r="J2802" i="3"/>
  <c r="J2803" i="3"/>
  <c r="J2804" i="3"/>
  <c r="J2805" i="3"/>
  <c r="J2806" i="3"/>
  <c r="J2807" i="3"/>
  <c r="J2808" i="3"/>
  <c r="J2809" i="3"/>
  <c r="J2810" i="3"/>
  <c r="J2811" i="3"/>
  <c r="J2812" i="3"/>
  <c r="J2813" i="3"/>
  <c r="J2814" i="3"/>
  <c r="J2815" i="3"/>
  <c r="J2816" i="3"/>
  <c r="J2817" i="3"/>
  <c r="J2818" i="3"/>
  <c r="J2819" i="3"/>
  <c r="J2820" i="3"/>
  <c r="J2821" i="3"/>
  <c r="J2822" i="3"/>
  <c r="J2823" i="3"/>
  <c r="J2824" i="3"/>
  <c r="J2825" i="3"/>
  <c r="J2826" i="3"/>
  <c r="J2827" i="3"/>
  <c r="J2828" i="3"/>
  <c r="J2829" i="3"/>
  <c r="J2830" i="3"/>
  <c r="J2831" i="3"/>
  <c r="J2832" i="3"/>
  <c r="J2833" i="3"/>
  <c r="J2834" i="3"/>
  <c r="J2835" i="3"/>
  <c r="J2836" i="3"/>
  <c r="J2837" i="3"/>
  <c r="J2838" i="3"/>
  <c r="J2839" i="3"/>
  <c r="J2840" i="3"/>
  <c r="J2841" i="3"/>
  <c r="J2842" i="3"/>
  <c r="J2843" i="3"/>
  <c r="J2844" i="3"/>
  <c r="J2845" i="3"/>
  <c r="J2846" i="3"/>
  <c r="J2847" i="3"/>
  <c r="J2848" i="3"/>
  <c r="J2849" i="3"/>
  <c r="J2850" i="3"/>
  <c r="J2851" i="3"/>
  <c r="J2852" i="3"/>
  <c r="J2853" i="3"/>
  <c r="J2854" i="3"/>
  <c r="J2855" i="3"/>
  <c r="J2856" i="3"/>
  <c r="J2857" i="3"/>
  <c r="J2858" i="3"/>
  <c r="J2859" i="3"/>
  <c r="J2860" i="3"/>
  <c r="J2861" i="3"/>
  <c r="J2862" i="3"/>
  <c r="J2863" i="3"/>
  <c r="J2864" i="3"/>
  <c r="J2865" i="3"/>
  <c r="J2866" i="3"/>
  <c r="J2867" i="3"/>
  <c r="J2868" i="3"/>
  <c r="J2869" i="3"/>
  <c r="J2870" i="3"/>
  <c r="J2871" i="3"/>
  <c r="J2872" i="3"/>
  <c r="J2873" i="3"/>
  <c r="J2874" i="3"/>
  <c r="J2875" i="3"/>
  <c r="J2876" i="3"/>
  <c r="J2877" i="3"/>
  <c r="J2878" i="3"/>
  <c r="J2879" i="3"/>
  <c r="J2880" i="3"/>
  <c r="J2881" i="3"/>
  <c r="J2882" i="3"/>
  <c r="J2883" i="3"/>
  <c r="J2884" i="3"/>
  <c r="J2885" i="3"/>
  <c r="J2886" i="3"/>
  <c r="J2887" i="3"/>
  <c r="J2888" i="3"/>
  <c r="J2889" i="3"/>
  <c r="J2890" i="3"/>
  <c r="J2891" i="3"/>
  <c r="J2892" i="3"/>
  <c r="J2893" i="3"/>
  <c r="J2894" i="3"/>
  <c r="J2895" i="3"/>
  <c r="J2896" i="3"/>
  <c r="J2897" i="3"/>
  <c r="J2898" i="3"/>
  <c r="J2899" i="3"/>
  <c r="J2900" i="3"/>
  <c r="J2901" i="3"/>
  <c r="J2902" i="3"/>
  <c r="J2903" i="3"/>
  <c r="J2904" i="3"/>
  <c r="J2905" i="3"/>
  <c r="J2906" i="3"/>
  <c r="J2907" i="3"/>
  <c r="J2908" i="3"/>
  <c r="J2909" i="3"/>
  <c r="J2910" i="3"/>
  <c r="J2911" i="3"/>
  <c r="J2912" i="3"/>
  <c r="J2913" i="3"/>
  <c r="J2914" i="3"/>
  <c r="J2915" i="3"/>
  <c r="J2916" i="3"/>
  <c r="J2917" i="3"/>
  <c r="J2918" i="3"/>
  <c r="J2919" i="3"/>
  <c r="J2920" i="3"/>
  <c r="J2921" i="3"/>
  <c r="J2922" i="3"/>
  <c r="J2923" i="3"/>
  <c r="J2924" i="3"/>
  <c r="J2925" i="3"/>
  <c r="J2926" i="3"/>
  <c r="J2927" i="3"/>
  <c r="J2928" i="3"/>
  <c r="J2929" i="3"/>
  <c r="J2930" i="3"/>
  <c r="J2931" i="3"/>
  <c r="J2932" i="3"/>
  <c r="J2933" i="3"/>
  <c r="J2934" i="3"/>
  <c r="J2935" i="3"/>
  <c r="J2936" i="3"/>
  <c r="J2937" i="3"/>
  <c r="J2938" i="3"/>
  <c r="J2939" i="3"/>
  <c r="J2940" i="3"/>
  <c r="J2941" i="3"/>
  <c r="J2942" i="3"/>
  <c r="J2943" i="3"/>
  <c r="J2944" i="3"/>
  <c r="J2945" i="3"/>
  <c r="J2946" i="3"/>
  <c r="J2947" i="3"/>
  <c r="J2948" i="3"/>
  <c r="J2949" i="3"/>
  <c r="J2950" i="3"/>
  <c r="J2951" i="3"/>
  <c r="J2952" i="3"/>
  <c r="J2953" i="3"/>
  <c r="J2954" i="3"/>
  <c r="J2955" i="3"/>
  <c r="J2956" i="3"/>
  <c r="J2957" i="3"/>
  <c r="J2958" i="3"/>
  <c r="J2959" i="3"/>
  <c r="J2960" i="3"/>
  <c r="J2961" i="3"/>
  <c r="J2962" i="3"/>
  <c r="J2963" i="3"/>
  <c r="J2964" i="3"/>
  <c r="J2965" i="3"/>
  <c r="J2966" i="3"/>
  <c r="J2967" i="3"/>
  <c r="J2968" i="3"/>
  <c r="J2969" i="3"/>
  <c r="J2970" i="3"/>
  <c r="J2971" i="3"/>
  <c r="J2972" i="3"/>
  <c r="J2973" i="3"/>
  <c r="J2974" i="3"/>
  <c r="J2975" i="3"/>
  <c r="J2976" i="3"/>
  <c r="J2977" i="3"/>
  <c r="J2978" i="3"/>
  <c r="J2979" i="3"/>
  <c r="J2980" i="3"/>
  <c r="J2981" i="3"/>
  <c r="J2982" i="3"/>
  <c r="J2983" i="3"/>
  <c r="J2984" i="3"/>
  <c r="J2985" i="3"/>
  <c r="J2986" i="3"/>
  <c r="J2987" i="3"/>
  <c r="J2988" i="3"/>
  <c r="J2989" i="3"/>
  <c r="J2990" i="3"/>
  <c r="J2991" i="3"/>
  <c r="J2992" i="3"/>
  <c r="J2993" i="3"/>
  <c r="J2994" i="3"/>
  <c r="J2995" i="3"/>
  <c r="J2996" i="3"/>
  <c r="J2997" i="3"/>
  <c r="J2998" i="3"/>
  <c r="J2999" i="3"/>
  <c r="J3000" i="3"/>
  <c r="J3001" i="3"/>
  <c r="J3002" i="3"/>
  <c r="J3003" i="3"/>
  <c r="J3004" i="3"/>
  <c r="J3005" i="3"/>
  <c r="J3006" i="3"/>
  <c r="J3007" i="3"/>
  <c r="J3008" i="3"/>
  <c r="J3009" i="3"/>
  <c r="J3010" i="3"/>
  <c r="J3011" i="3"/>
  <c r="J3012" i="3"/>
  <c r="J3013" i="3"/>
  <c r="J3014" i="3"/>
  <c r="J3015" i="3"/>
  <c r="J3016" i="3"/>
  <c r="J3017" i="3"/>
  <c r="J3018" i="3"/>
  <c r="J3019" i="3"/>
  <c r="J3020" i="3"/>
  <c r="J3021" i="3"/>
  <c r="J3022" i="3"/>
  <c r="J3023" i="3"/>
  <c r="J3024" i="3"/>
  <c r="J3025" i="3"/>
  <c r="J3026" i="3"/>
  <c r="J3027" i="3"/>
  <c r="J3028" i="3"/>
  <c r="J3029" i="3"/>
  <c r="J3030" i="3"/>
  <c r="J3031" i="3"/>
  <c r="J3032" i="3"/>
  <c r="J3033" i="3"/>
  <c r="J3034" i="3"/>
  <c r="J3035" i="3"/>
  <c r="J3036" i="3"/>
  <c r="J3037" i="3"/>
  <c r="J3038" i="3"/>
  <c r="J3039" i="3"/>
  <c r="J3040" i="3"/>
  <c r="J3041" i="3"/>
  <c r="J3042" i="3"/>
  <c r="J3043" i="3"/>
  <c r="J3044" i="3"/>
  <c r="J3045" i="3"/>
  <c r="J3046" i="3"/>
  <c r="J3047" i="3"/>
  <c r="J3048" i="3"/>
  <c r="J3049" i="3"/>
  <c r="J3050" i="3"/>
  <c r="J3051" i="3"/>
  <c r="J3052" i="3"/>
  <c r="J3053" i="3"/>
  <c r="J3054" i="3"/>
  <c r="J3055" i="3"/>
  <c r="J3056" i="3"/>
  <c r="J3057" i="3"/>
  <c r="J3058" i="3"/>
  <c r="J3059" i="3"/>
  <c r="J3060" i="3"/>
  <c r="J3061" i="3"/>
  <c r="J3062" i="3"/>
  <c r="J3063" i="3"/>
  <c r="J3064" i="3"/>
  <c r="J3065" i="3"/>
  <c r="J3066" i="3"/>
  <c r="J3067" i="3"/>
  <c r="J3068" i="3"/>
  <c r="J3069" i="3"/>
  <c r="J3070" i="3"/>
  <c r="J3071" i="3"/>
  <c r="J3072" i="3"/>
  <c r="J3073" i="3"/>
  <c r="J3074" i="3"/>
  <c r="J3075" i="3"/>
  <c r="J3076" i="3"/>
  <c r="J3077" i="3"/>
  <c r="J3078" i="3"/>
  <c r="J3079" i="3"/>
  <c r="J3080" i="3"/>
  <c r="J3081" i="3"/>
  <c r="J3082" i="3"/>
  <c r="J3083" i="3"/>
  <c r="J3084" i="3"/>
  <c r="J3085" i="3"/>
  <c r="J3086" i="3"/>
  <c r="J3087" i="3"/>
  <c r="J3088" i="3"/>
  <c r="J3089" i="3"/>
  <c r="J3090" i="3"/>
  <c r="J3091" i="3"/>
  <c r="J3092" i="3"/>
  <c r="J3093" i="3"/>
  <c r="J3094" i="3"/>
  <c r="J3095" i="3"/>
  <c r="J3096" i="3"/>
  <c r="J3097" i="3"/>
  <c r="J3098" i="3"/>
  <c r="J3099" i="3"/>
  <c r="J3100" i="3"/>
  <c r="J3101" i="3"/>
  <c r="J3102" i="3"/>
  <c r="J3103" i="3"/>
  <c r="J3104" i="3"/>
  <c r="J3105" i="3"/>
  <c r="J3106" i="3"/>
  <c r="J3107" i="3"/>
  <c r="J3108" i="3"/>
  <c r="J3109" i="3"/>
  <c r="J3110" i="3"/>
  <c r="J3111" i="3"/>
  <c r="J3112" i="3"/>
  <c r="J3113" i="3"/>
  <c r="J3114" i="3"/>
  <c r="J3115" i="3"/>
  <c r="J3116" i="3"/>
  <c r="J3117" i="3"/>
  <c r="J3118" i="3"/>
  <c r="J3119" i="3"/>
  <c r="J3120" i="3"/>
  <c r="J3121" i="3"/>
  <c r="J3122" i="3"/>
  <c r="J3123" i="3"/>
  <c r="J3124" i="3"/>
  <c r="J3125" i="3"/>
  <c r="J3126" i="3"/>
  <c r="J3127" i="3"/>
  <c r="J3128" i="3"/>
  <c r="J3129" i="3"/>
  <c r="J3130" i="3"/>
  <c r="J3131" i="3"/>
  <c r="J3132" i="3"/>
  <c r="J3133" i="3"/>
  <c r="J3134" i="3"/>
  <c r="J3135" i="3"/>
  <c r="J3136" i="3"/>
  <c r="J3137" i="3"/>
  <c r="J3138" i="3"/>
  <c r="J3139" i="3"/>
  <c r="J3140" i="3"/>
  <c r="J3141" i="3"/>
  <c r="J3142" i="3"/>
  <c r="J3143" i="3"/>
  <c r="J3144" i="3"/>
  <c r="J3145" i="3"/>
  <c r="J3146" i="3"/>
  <c r="J3147" i="3"/>
  <c r="J3148" i="3"/>
  <c r="J3149" i="3"/>
  <c r="J3150" i="3"/>
  <c r="J3151" i="3"/>
  <c r="J3152" i="3"/>
  <c r="J3153" i="3"/>
  <c r="J3154" i="3"/>
  <c r="J3155" i="3"/>
  <c r="J3156" i="3"/>
  <c r="J3157" i="3"/>
  <c r="J3158" i="3"/>
  <c r="J3159" i="3"/>
  <c r="J3160" i="3"/>
  <c r="J3161" i="3"/>
  <c r="J3162" i="3"/>
  <c r="J3163" i="3"/>
  <c r="J3164" i="3"/>
  <c r="J3165" i="3"/>
  <c r="J3166" i="3"/>
  <c r="J3167" i="3"/>
  <c r="J3168" i="3"/>
  <c r="J3169" i="3"/>
  <c r="J3170" i="3"/>
  <c r="J3171" i="3"/>
  <c r="J3172" i="3"/>
  <c r="J3173" i="3"/>
  <c r="J3174" i="3"/>
  <c r="J3175" i="3"/>
  <c r="J3176" i="3"/>
  <c r="J3177" i="3"/>
  <c r="J3178" i="3"/>
  <c r="J3179" i="3"/>
  <c r="J3180" i="3"/>
  <c r="J3181" i="3"/>
  <c r="J3182" i="3"/>
  <c r="J3183" i="3"/>
  <c r="J3184" i="3"/>
  <c r="J3185" i="3"/>
  <c r="J3186" i="3"/>
  <c r="J3187" i="3"/>
  <c r="J3188" i="3"/>
  <c r="J3189" i="3"/>
  <c r="J3190" i="3"/>
  <c r="J3191" i="3"/>
  <c r="J3192" i="3"/>
  <c r="J3193" i="3"/>
  <c r="J3194" i="3"/>
  <c r="J3195" i="3"/>
  <c r="J3196" i="3"/>
  <c r="J3197" i="3"/>
  <c r="J3198" i="3"/>
  <c r="J3199" i="3"/>
  <c r="J3200" i="3"/>
  <c r="J3201" i="3"/>
  <c r="J3202" i="3"/>
  <c r="J3203" i="3"/>
  <c r="J3204" i="3"/>
  <c r="J3205" i="3"/>
  <c r="J3206" i="3"/>
  <c r="J3207" i="3"/>
  <c r="J3208" i="3"/>
  <c r="J3209" i="3"/>
  <c r="J3210" i="3"/>
  <c r="J3211" i="3"/>
  <c r="J3212" i="3"/>
  <c r="J3213" i="3"/>
  <c r="J3214" i="3"/>
  <c r="J3215" i="3"/>
  <c r="J3216" i="3"/>
  <c r="J3217" i="3"/>
  <c r="J3218" i="3"/>
  <c r="J3219" i="3"/>
  <c r="J3220" i="3"/>
  <c r="J3221" i="3"/>
  <c r="J3222" i="3"/>
  <c r="J3223" i="3"/>
  <c r="J3224" i="3"/>
  <c r="J3225" i="3"/>
  <c r="J3226" i="3"/>
  <c r="J3227" i="3"/>
  <c r="J3228" i="3"/>
  <c r="J3229" i="3"/>
  <c r="J3230" i="3"/>
  <c r="J3231" i="3"/>
  <c r="J3232" i="3"/>
  <c r="J3233" i="3"/>
  <c r="J3234" i="3"/>
  <c r="J3235" i="3"/>
  <c r="J3236" i="3"/>
  <c r="J3237" i="3"/>
  <c r="J3238" i="3"/>
  <c r="J3239" i="3"/>
  <c r="J3240" i="3"/>
  <c r="J3241" i="3"/>
  <c r="J3242" i="3"/>
  <c r="J3243" i="3"/>
  <c r="J3244" i="3"/>
  <c r="J3245" i="3"/>
  <c r="J3246" i="3"/>
  <c r="J3247" i="3"/>
  <c r="J3248" i="3"/>
  <c r="J3249" i="3"/>
  <c r="J3250" i="3"/>
  <c r="J3251" i="3"/>
  <c r="J3252" i="3"/>
  <c r="J3253" i="3"/>
  <c r="J3254" i="3"/>
  <c r="J3255" i="3"/>
  <c r="J3256" i="3"/>
  <c r="J3257" i="3"/>
  <c r="J3258" i="3"/>
  <c r="J3259" i="3"/>
  <c r="J3260" i="3"/>
  <c r="J3261" i="3"/>
  <c r="J3262" i="3"/>
  <c r="J3263" i="3"/>
  <c r="J3264" i="3"/>
  <c r="J3265" i="3"/>
  <c r="J3266" i="3"/>
  <c r="J3267" i="3"/>
  <c r="J3268" i="3"/>
  <c r="J3269" i="3"/>
  <c r="J3270" i="3"/>
  <c r="J3271" i="3"/>
  <c r="J3272" i="3"/>
  <c r="J3273" i="3"/>
  <c r="J3274" i="3"/>
  <c r="J3275" i="3"/>
  <c r="J3276" i="3"/>
  <c r="J3277" i="3"/>
  <c r="J3278" i="3"/>
  <c r="J3279" i="3"/>
  <c r="J3280" i="3"/>
  <c r="J3281" i="3"/>
  <c r="J3282" i="3"/>
  <c r="J3283" i="3"/>
  <c r="J3284" i="3"/>
  <c r="J3285" i="3"/>
  <c r="J3286" i="3"/>
  <c r="J3287" i="3"/>
  <c r="J3288" i="3"/>
  <c r="J3289" i="3"/>
  <c r="J3290" i="3"/>
  <c r="J3291" i="3"/>
  <c r="J3292" i="3"/>
  <c r="J3293" i="3"/>
  <c r="J3294" i="3"/>
  <c r="J3295" i="3"/>
  <c r="J3296" i="3"/>
  <c r="J3297" i="3"/>
  <c r="J3298" i="3"/>
  <c r="J3299" i="3"/>
  <c r="J3300" i="3"/>
  <c r="J3301" i="3"/>
  <c r="J3302" i="3"/>
  <c r="J3303" i="3"/>
  <c r="J3304" i="3"/>
  <c r="J3305" i="3"/>
  <c r="J3306" i="3"/>
  <c r="J3307" i="3"/>
  <c r="J3308" i="3"/>
  <c r="J3309" i="3"/>
  <c r="J3310" i="3"/>
  <c r="J3311" i="3"/>
  <c r="J3312" i="3"/>
  <c r="J3313" i="3"/>
  <c r="J3314" i="3"/>
  <c r="J3315" i="3"/>
  <c r="J3316" i="3"/>
  <c r="J3317" i="3"/>
  <c r="J3318" i="3"/>
  <c r="J3319" i="3"/>
  <c r="J3320" i="3"/>
  <c r="J3321" i="3"/>
  <c r="J3322" i="3"/>
  <c r="J3323" i="3"/>
  <c r="J3324" i="3"/>
  <c r="J3325" i="3"/>
  <c r="J3326" i="3"/>
  <c r="J3327" i="3"/>
  <c r="J3328" i="3"/>
  <c r="J3329" i="3"/>
  <c r="J3330" i="3"/>
  <c r="J3331" i="3"/>
  <c r="J3332" i="3"/>
  <c r="J3333" i="3"/>
  <c r="J3334" i="3"/>
  <c r="J3335" i="3"/>
  <c r="J3336" i="3"/>
  <c r="J3337" i="3"/>
  <c r="J3338" i="3"/>
  <c r="J3339" i="3"/>
  <c r="J3340" i="3"/>
  <c r="J3341" i="3"/>
  <c r="J3342" i="3"/>
  <c r="J3343" i="3"/>
  <c r="J3344" i="3"/>
  <c r="J3345" i="3"/>
  <c r="J3346" i="3"/>
  <c r="J3347" i="3"/>
  <c r="J3348" i="3"/>
  <c r="J3349" i="3"/>
  <c r="J3350" i="3"/>
  <c r="J3351" i="3"/>
  <c r="J3352" i="3"/>
  <c r="J3353" i="3"/>
  <c r="J3354" i="3"/>
  <c r="J3355" i="3"/>
  <c r="J3356" i="3"/>
  <c r="J3357" i="3"/>
  <c r="J3358" i="3"/>
  <c r="J3359" i="3"/>
  <c r="J3360" i="3"/>
  <c r="J3361" i="3"/>
  <c r="J3362" i="3"/>
  <c r="J3363" i="3"/>
  <c r="J3364" i="3"/>
  <c r="J3365" i="3"/>
  <c r="J3366" i="3"/>
  <c r="J3367" i="3"/>
  <c r="J3368" i="3"/>
  <c r="J3369" i="3"/>
  <c r="J3370" i="3"/>
  <c r="J3371" i="3"/>
  <c r="J3372" i="3"/>
  <c r="J3373" i="3"/>
  <c r="J3374" i="3"/>
  <c r="J3375" i="3"/>
  <c r="J3376" i="3"/>
  <c r="J3377" i="3"/>
  <c r="J3378" i="3"/>
  <c r="J3379" i="3"/>
  <c r="J3380" i="3"/>
  <c r="J3381" i="3"/>
  <c r="J3382" i="3"/>
  <c r="J3383" i="3"/>
  <c r="J3384" i="3"/>
  <c r="J3385" i="3"/>
  <c r="J3386" i="3"/>
  <c r="J3387" i="3"/>
  <c r="J3388" i="3"/>
  <c r="J3389" i="3"/>
  <c r="J3390" i="3"/>
  <c r="J3391" i="3"/>
  <c r="J3392" i="3"/>
  <c r="J3393" i="3"/>
  <c r="J3394" i="3"/>
  <c r="J3395" i="3"/>
  <c r="J3396" i="3"/>
  <c r="J3397" i="3"/>
  <c r="J3398" i="3"/>
  <c r="J3399" i="3"/>
  <c r="J3400" i="3"/>
  <c r="J3401" i="3"/>
  <c r="J3402" i="3"/>
  <c r="J3403" i="3"/>
  <c r="J3404" i="3"/>
  <c r="J3405" i="3"/>
  <c r="J3406" i="3"/>
  <c r="J3407" i="3"/>
  <c r="J3408" i="3"/>
  <c r="J3409" i="3"/>
  <c r="J3410" i="3"/>
  <c r="J3411" i="3"/>
  <c r="J3412" i="3"/>
  <c r="J3413" i="3"/>
  <c r="J3414" i="3"/>
  <c r="J3415" i="3"/>
  <c r="J3416" i="3"/>
  <c r="J3417" i="3"/>
  <c r="J3418" i="3"/>
  <c r="J3419" i="3"/>
  <c r="J3420" i="3"/>
  <c r="J3421" i="3"/>
  <c r="J3422" i="3"/>
  <c r="J3423" i="3"/>
  <c r="J3424" i="3"/>
  <c r="J3425" i="3"/>
  <c r="J3426" i="3"/>
  <c r="J3427" i="3"/>
  <c r="J3428" i="3"/>
  <c r="J3429" i="3"/>
  <c r="J3430" i="3"/>
  <c r="J3431" i="3"/>
  <c r="J3432" i="3"/>
  <c r="J3433" i="3"/>
  <c r="J3434" i="3"/>
  <c r="J3435" i="3"/>
  <c r="J3436" i="3"/>
  <c r="J3437" i="3"/>
  <c r="J3438" i="3"/>
  <c r="J3439" i="3"/>
  <c r="J3440" i="3"/>
  <c r="J3441" i="3"/>
  <c r="J3442" i="3"/>
  <c r="J3443" i="3"/>
  <c r="J3444" i="3"/>
  <c r="J3445" i="3"/>
  <c r="J3446" i="3"/>
  <c r="J3447" i="3"/>
  <c r="J3448" i="3"/>
  <c r="J3449" i="3"/>
  <c r="J3450" i="3"/>
  <c r="J3451" i="3"/>
  <c r="J3452" i="3"/>
  <c r="J3453" i="3"/>
  <c r="J3454" i="3"/>
  <c r="J3455" i="3"/>
  <c r="J3456" i="3"/>
  <c r="J3457" i="3"/>
  <c r="J3458" i="3"/>
  <c r="J3459" i="3"/>
  <c r="J3460" i="3"/>
  <c r="J3461" i="3"/>
  <c r="J3462" i="3"/>
  <c r="J3463" i="3"/>
  <c r="J3464" i="3"/>
  <c r="J3465" i="3"/>
  <c r="J3466" i="3"/>
  <c r="J3467" i="3"/>
  <c r="J3468" i="3"/>
  <c r="J3469" i="3"/>
  <c r="J3470" i="3"/>
  <c r="J3471" i="3"/>
  <c r="J3472" i="3"/>
  <c r="J3473" i="3"/>
  <c r="J3474" i="3"/>
  <c r="J3475" i="3"/>
  <c r="J3476" i="3"/>
  <c r="J3477" i="3"/>
  <c r="J3478" i="3"/>
  <c r="J3479" i="3"/>
  <c r="J3480" i="3"/>
  <c r="J3481" i="3"/>
  <c r="J3482" i="3"/>
  <c r="J3483" i="3"/>
  <c r="J3484" i="3"/>
  <c r="J3485" i="3"/>
  <c r="J3486" i="3"/>
  <c r="J3487" i="3"/>
  <c r="J3488" i="3"/>
  <c r="J3489" i="3"/>
  <c r="J3490" i="3"/>
  <c r="J3491" i="3"/>
  <c r="J3492" i="3"/>
  <c r="J3493" i="3"/>
  <c r="J3494" i="3"/>
  <c r="J3495" i="3"/>
  <c r="J3496" i="3"/>
  <c r="J3497" i="3"/>
  <c r="J3498" i="3"/>
  <c r="J3499" i="3"/>
  <c r="J3500" i="3"/>
  <c r="J3501" i="3"/>
  <c r="J3502" i="3"/>
  <c r="J3503" i="3"/>
  <c r="J3504" i="3"/>
  <c r="J3505" i="3"/>
  <c r="J3506" i="3"/>
  <c r="J3507" i="3"/>
  <c r="J3508" i="3"/>
  <c r="J3509" i="3"/>
  <c r="J3510" i="3"/>
  <c r="J3511" i="3"/>
  <c r="J3512" i="3"/>
  <c r="J3513" i="3"/>
  <c r="J3514" i="3"/>
  <c r="J3515" i="3"/>
  <c r="J3516" i="3"/>
  <c r="J3517" i="3"/>
  <c r="J3518" i="3"/>
  <c r="J3519" i="3"/>
  <c r="J3520" i="3"/>
  <c r="J3521" i="3"/>
  <c r="J3522" i="3"/>
  <c r="J3523" i="3"/>
  <c r="J3524" i="3"/>
  <c r="J3525" i="3"/>
  <c r="J3526" i="3"/>
  <c r="J3527" i="3"/>
  <c r="J3528" i="3"/>
  <c r="J3529" i="3"/>
  <c r="J3530" i="3"/>
  <c r="J3531" i="3"/>
  <c r="J3532" i="3"/>
  <c r="J3533" i="3"/>
  <c r="J3534" i="3"/>
  <c r="J3535" i="3"/>
  <c r="J3536" i="3"/>
  <c r="J3537" i="3"/>
  <c r="J3538" i="3"/>
  <c r="J3539" i="3"/>
  <c r="J3540" i="3"/>
  <c r="J3541" i="3"/>
  <c r="J3542" i="3"/>
  <c r="J3543" i="3"/>
  <c r="J3544" i="3"/>
  <c r="J3545" i="3"/>
  <c r="J3546" i="3"/>
  <c r="J3547" i="3"/>
  <c r="J3548" i="3"/>
  <c r="J3549" i="3"/>
  <c r="J3550" i="3"/>
  <c r="J3551" i="3"/>
  <c r="J3552" i="3"/>
  <c r="J3553" i="3"/>
  <c r="J3554" i="3"/>
  <c r="J3555" i="3"/>
  <c r="J3556" i="3"/>
  <c r="J3557" i="3"/>
  <c r="J3558" i="3"/>
  <c r="J3559" i="3"/>
  <c r="J3560" i="3"/>
  <c r="J3561" i="3"/>
  <c r="J3562" i="3"/>
  <c r="J3563" i="3"/>
  <c r="J3564" i="3"/>
  <c r="J3565" i="3"/>
  <c r="J3566" i="3"/>
  <c r="J3567" i="3"/>
  <c r="J3568" i="3"/>
  <c r="J3569" i="3"/>
  <c r="J3570" i="3"/>
  <c r="J3571" i="3"/>
  <c r="J3572" i="3"/>
  <c r="J3573" i="3"/>
  <c r="J3574" i="3"/>
  <c r="J3575" i="3"/>
  <c r="J3576" i="3"/>
  <c r="J3577" i="3"/>
  <c r="J3578" i="3"/>
  <c r="J3579" i="3"/>
  <c r="J3580" i="3"/>
  <c r="J3581" i="3"/>
  <c r="J3582" i="3"/>
  <c r="J3583" i="3"/>
  <c r="J3584" i="3"/>
  <c r="J3585" i="3"/>
  <c r="J3586" i="3"/>
  <c r="J3587" i="3"/>
  <c r="J3588" i="3"/>
  <c r="J3589" i="3"/>
  <c r="J3590" i="3"/>
  <c r="J3591" i="3"/>
  <c r="J3592" i="3"/>
  <c r="J3593" i="3"/>
  <c r="J3594" i="3"/>
  <c r="J3595" i="3"/>
  <c r="J3596" i="3"/>
  <c r="J3597" i="3"/>
  <c r="J3598" i="3"/>
  <c r="J3599" i="3"/>
  <c r="J3600" i="3"/>
  <c r="J3601" i="3"/>
  <c r="J3602" i="3"/>
  <c r="J3603" i="3"/>
  <c r="J3604" i="3"/>
  <c r="J3605" i="3"/>
  <c r="J3606" i="3"/>
  <c r="J3607" i="3"/>
  <c r="J3608" i="3"/>
  <c r="J3609" i="3"/>
  <c r="J3610" i="3"/>
  <c r="J3611" i="3"/>
  <c r="J3612" i="3"/>
  <c r="J3613" i="3"/>
  <c r="J3614" i="3"/>
  <c r="J3615" i="3"/>
  <c r="J3616" i="3"/>
  <c r="J3617" i="3"/>
  <c r="J3618" i="3"/>
  <c r="J3619" i="3"/>
  <c r="J3620" i="3"/>
  <c r="J3621" i="3"/>
  <c r="J3622" i="3"/>
  <c r="J3623" i="3"/>
  <c r="J3624" i="3"/>
  <c r="J3625" i="3"/>
  <c r="J3626" i="3"/>
  <c r="J3627" i="3"/>
  <c r="J3628" i="3"/>
  <c r="J3629" i="3"/>
  <c r="J3630" i="3"/>
  <c r="J3631" i="3"/>
  <c r="J3632" i="3"/>
  <c r="J3633" i="3"/>
  <c r="J3634" i="3"/>
  <c r="J3635" i="3"/>
  <c r="J3636" i="3"/>
  <c r="J3637" i="3"/>
  <c r="J3638" i="3"/>
  <c r="J3639" i="3"/>
  <c r="J3640" i="3"/>
  <c r="J3641" i="3"/>
  <c r="J3642" i="3"/>
  <c r="J3643" i="3"/>
  <c r="J3644" i="3"/>
  <c r="J3645" i="3"/>
  <c r="J3646" i="3"/>
  <c r="J3647" i="3"/>
  <c r="J3648" i="3"/>
  <c r="J3649" i="3"/>
  <c r="J3650" i="3"/>
  <c r="J3651" i="3"/>
  <c r="J3652" i="3"/>
  <c r="J3653" i="3"/>
  <c r="J3654" i="3"/>
  <c r="J3655" i="3"/>
  <c r="J3656" i="3"/>
  <c r="J3657" i="3"/>
  <c r="J3658" i="3"/>
  <c r="J3659" i="3"/>
  <c r="J3660" i="3"/>
  <c r="J3661" i="3"/>
  <c r="J3662" i="3"/>
  <c r="J3663" i="3"/>
  <c r="J3664" i="3"/>
  <c r="J3665" i="3"/>
  <c r="J3666" i="3"/>
  <c r="J3667" i="3"/>
  <c r="J3668" i="3"/>
  <c r="J3669" i="3"/>
  <c r="J3670" i="3"/>
  <c r="J3671" i="3"/>
  <c r="J3672" i="3"/>
  <c r="J3673" i="3"/>
  <c r="J3674" i="3"/>
  <c r="J3675" i="3"/>
  <c r="J3676" i="3"/>
  <c r="J3677" i="3"/>
  <c r="J3678" i="3"/>
  <c r="J3679" i="3"/>
  <c r="J3680" i="3"/>
  <c r="J3681" i="3"/>
  <c r="J3682" i="3"/>
  <c r="J3683" i="3"/>
  <c r="J3684" i="3"/>
  <c r="J3685" i="3"/>
  <c r="J3686" i="3"/>
  <c r="J3687" i="3"/>
  <c r="J3688" i="3"/>
  <c r="J3689" i="3"/>
  <c r="J3690" i="3"/>
  <c r="J3691" i="3"/>
  <c r="J3692" i="3"/>
  <c r="J3693" i="3"/>
  <c r="J3694" i="3"/>
  <c r="J3695" i="3"/>
  <c r="J3696" i="3"/>
  <c r="J3697" i="3"/>
  <c r="J3698" i="3"/>
  <c r="J3699" i="3"/>
  <c r="J3700" i="3"/>
  <c r="J3701" i="3"/>
  <c r="J3702" i="3"/>
  <c r="J3703" i="3"/>
  <c r="J3704" i="3"/>
  <c r="J3705" i="3"/>
  <c r="J3706" i="3"/>
  <c r="J3707" i="3"/>
  <c r="J3708" i="3"/>
  <c r="J3709" i="3"/>
  <c r="J3710" i="3"/>
  <c r="J3711" i="3"/>
  <c r="J3712" i="3"/>
  <c r="J3713" i="3"/>
  <c r="J3714" i="3"/>
  <c r="J3715" i="3"/>
  <c r="J3716" i="3"/>
  <c r="J3717" i="3"/>
  <c r="J3718" i="3"/>
  <c r="J3719" i="3"/>
  <c r="J3720" i="3"/>
  <c r="J3721" i="3"/>
  <c r="J3722" i="3"/>
  <c r="J3723" i="3"/>
  <c r="J3724" i="3"/>
  <c r="J3725" i="3"/>
  <c r="J3726" i="3"/>
  <c r="J3727" i="3"/>
  <c r="J3728" i="3"/>
  <c r="J3729" i="3"/>
  <c r="J3730" i="3"/>
  <c r="J3731" i="3"/>
  <c r="J3732" i="3"/>
  <c r="J3733" i="3"/>
  <c r="J3734" i="3"/>
  <c r="J3735" i="3"/>
  <c r="J3736" i="3"/>
  <c r="J3737" i="3"/>
  <c r="J3738" i="3"/>
  <c r="J3739" i="3"/>
  <c r="J3740" i="3"/>
  <c r="J3741" i="3"/>
  <c r="J3742" i="3"/>
  <c r="J3743" i="3"/>
  <c r="J3744" i="3"/>
  <c r="J3745" i="3"/>
  <c r="J3746" i="3"/>
  <c r="J3747" i="3"/>
  <c r="J3748" i="3"/>
  <c r="J3749" i="3"/>
  <c r="J3750" i="3"/>
  <c r="J3751" i="3"/>
  <c r="J3752" i="3"/>
  <c r="J3753" i="3"/>
  <c r="J3754" i="3"/>
  <c r="J3755" i="3"/>
  <c r="J3756" i="3"/>
  <c r="J3757" i="3"/>
  <c r="J3758" i="3"/>
  <c r="J3759" i="3"/>
  <c r="J3760" i="3"/>
  <c r="J3761" i="3"/>
  <c r="J3762" i="3"/>
  <c r="J3763" i="3"/>
  <c r="J3764" i="3"/>
  <c r="J3765" i="3"/>
  <c r="J3766" i="3"/>
  <c r="J3767" i="3"/>
  <c r="J3768" i="3"/>
  <c r="J3769" i="3"/>
  <c r="J3770" i="3"/>
  <c r="J3771" i="3"/>
  <c r="J3772" i="3"/>
  <c r="J3773" i="3"/>
  <c r="J3774" i="3"/>
  <c r="J3775" i="3"/>
  <c r="J3776" i="3"/>
  <c r="J3777" i="3"/>
  <c r="J3778" i="3"/>
  <c r="J3779" i="3"/>
  <c r="J3780" i="3"/>
  <c r="J3781" i="3"/>
  <c r="J3782" i="3"/>
  <c r="J3783" i="3"/>
  <c r="J3784" i="3"/>
  <c r="J3785" i="3"/>
  <c r="J3786" i="3"/>
  <c r="J3787" i="3"/>
  <c r="J3788" i="3"/>
  <c r="J3789" i="3"/>
  <c r="J3790" i="3"/>
  <c r="J3791" i="3"/>
  <c r="J3792" i="3"/>
  <c r="J3793" i="3"/>
  <c r="J3794" i="3"/>
  <c r="J3795" i="3"/>
  <c r="J3796" i="3"/>
  <c r="J3797" i="3"/>
  <c r="J3798" i="3"/>
  <c r="J3799" i="3"/>
  <c r="J3800" i="3"/>
  <c r="J3801" i="3"/>
  <c r="J3802" i="3"/>
  <c r="J3803" i="3"/>
  <c r="J3804" i="3"/>
  <c r="J3805" i="3"/>
  <c r="J3806" i="3"/>
  <c r="J3807" i="3"/>
  <c r="J3808" i="3"/>
  <c r="J3809" i="3"/>
  <c r="J3810" i="3"/>
  <c r="J3811" i="3"/>
  <c r="J3812" i="3"/>
  <c r="J3813" i="3"/>
  <c r="J3814" i="3"/>
  <c r="J3815" i="3"/>
  <c r="J3816" i="3"/>
  <c r="J3817" i="3"/>
  <c r="J3818" i="3"/>
  <c r="J3819" i="3"/>
  <c r="J3820" i="3"/>
  <c r="J3821" i="3"/>
  <c r="J3822" i="3"/>
  <c r="J3823" i="3"/>
  <c r="J3824" i="3"/>
  <c r="J3825" i="3"/>
  <c r="J3826" i="3"/>
  <c r="J3827" i="3"/>
  <c r="J3828" i="3"/>
  <c r="J3829" i="3"/>
  <c r="J3830" i="3"/>
  <c r="J3831" i="3"/>
  <c r="J3832" i="3"/>
  <c r="J3833" i="3"/>
  <c r="J3834" i="3"/>
  <c r="J3835" i="3"/>
  <c r="J3836" i="3"/>
  <c r="J3837" i="3"/>
  <c r="J3838" i="3"/>
  <c r="J3839" i="3"/>
  <c r="J3840" i="3"/>
  <c r="J3841" i="3"/>
  <c r="J3842" i="3"/>
  <c r="J3843" i="3"/>
  <c r="J3844" i="3"/>
  <c r="J3845" i="3"/>
  <c r="J3846" i="3"/>
  <c r="J3847" i="3"/>
  <c r="J3848" i="3"/>
  <c r="J3849" i="3"/>
  <c r="J3850" i="3"/>
  <c r="J3851" i="3"/>
  <c r="J3852" i="3"/>
  <c r="J3853" i="3"/>
  <c r="J3854" i="3"/>
  <c r="J3855" i="3"/>
  <c r="J3856" i="3"/>
  <c r="J3857" i="3"/>
  <c r="J3858" i="3"/>
  <c r="J3859" i="3"/>
  <c r="J3860" i="3"/>
  <c r="J3861" i="3"/>
  <c r="J3862" i="3"/>
  <c r="J3863" i="3"/>
  <c r="J3864" i="3"/>
  <c r="J3865" i="3"/>
  <c r="J3866" i="3"/>
  <c r="J3867" i="3"/>
  <c r="J3868" i="3"/>
  <c r="J3869" i="3"/>
  <c r="J3870" i="3"/>
  <c r="J3871" i="3"/>
  <c r="J3872" i="3"/>
  <c r="J3873" i="3"/>
  <c r="J3874" i="3"/>
  <c r="J3875" i="3"/>
  <c r="J3876" i="3"/>
  <c r="J3877" i="3"/>
  <c r="J3878" i="3"/>
  <c r="J3879" i="3"/>
  <c r="J3880" i="3"/>
  <c r="J3881" i="3"/>
  <c r="J3882" i="3"/>
  <c r="J3883" i="3"/>
  <c r="J3884" i="3"/>
  <c r="J3885" i="3"/>
  <c r="J3886" i="3"/>
  <c r="J3887" i="3"/>
  <c r="J3888" i="3"/>
  <c r="J3889" i="3"/>
  <c r="J3890" i="3"/>
  <c r="J3891" i="3"/>
  <c r="J3892" i="3"/>
  <c r="J3893" i="3"/>
  <c r="J3894" i="3"/>
  <c r="J3895" i="3"/>
  <c r="J3896" i="3"/>
  <c r="J3897" i="3"/>
  <c r="J3898" i="3"/>
  <c r="J3899" i="3"/>
  <c r="J3900" i="3"/>
  <c r="J3901" i="3"/>
  <c r="J3902" i="3"/>
  <c r="J3903" i="3"/>
  <c r="J3904" i="3"/>
  <c r="J3905" i="3"/>
  <c r="J3906" i="3"/>
  <c r="J3907" i="3"/>
  <c r="J3908" i="3"/>
  <c r="J3909" i="3"/>
  <c r="J3910" i="3"/>
  <c r="J3911" i="3"/>
  <c r="J3912" i="3"/>
  <c r="J3913" i="3"/>
  <c r="J3914" i="3"/>
  <c r="J3915" i="3"/>
  <c r="J3916" i="3"/>
  <c r="J3917" i="3"/>
  <c r="J3918" i="3"/>
  <c r="J3919" i="3"/>
  <c r="J3920" i="3"/>
  <c r="J3921" i="3"/>
  <c r="J3922" i="3"/>
  <c r="J3923" i="3"/>
  <c r="J3924" i="3"/>
  <c r="J3925" i="3"/>
  <c r="J3926" i="3"/>
  <c r="J3927" i="3"/>
  <c r="J3928" i="3"/>
  <c r="J3929" i="3"/>
  <c r="J3930" i="3"/>
  <c r="J3931" i="3"/>
  <c r="J3932" i="3"/>
  <c r="J3933" i="3"/>
  <c r="J3934" i="3"/>
  <c r="J3935" i="3"/>
  <c r="J3936" i="3"/>
  <c r="J3937" i="3"/>
  <c r="J3938" i="3"/>
  <c r="J3939" i="3"/>
  <c r="J3940" i="3"/>
  <c r="J3941" i="3"/>
  <c r="J3942" i="3"/>
  <c r="J3943" i="3"/>
  <c r="J3944" i="3"/>
  <c r="J3945" i="3"/>
  <c r="J3946" i="3"/>
  <c r="J3947" i="3"/>
  <c r="J3948" i="3"/>
  <c r="J3949" i="3"/>
  <c r="J3950" i="3"/>
  <c r="J3951" i="3"/>
  <c r="J3952" i="3"/>
  <c r="J3953" i="3"/>
  <c r="J3954" i="3"/>
  <c r="J3955" i="3"/>
  <c r="J3956" i="3"/>
  <c r="J3957" i="3"/>
  <c r="J3958" i="3"/>
  <c r="J3959" i="3"/>
  <c r="J3960" i="3"/>
  <c r="J3961" i="3"/>
  <c r="J3962" i="3"/>
  <c r="J3963" i="3"/>
  <c r="J3964" i="3"/>
  <c r="J3965" i="3"/>
  <c r="J3966" i="3"/>
  <c r="J3967" i="3"/>
  <c r="J3968" i="3"/>
  <c r="J3969" i="3"/>
  <c r="J3970" i="3"/>
  <c r="J3971" i="3"/>
  <c r="J3972" i="3"/>
  <c r="J3973" i="3"/>
  <c r="J3974" i="3"/>
  <c r="J3975" i="3"/>
  <c r="J3976" i="3"/>
  <c r="J3977" i="3"/>
  <c r="J3978" i="3"/>
  <c r="J3979" i="3"/>
  <c r="J3980" i="3"/>
  <c r="J3981" i="3"/>
  <c r="J3982" i="3"/>
  <c r="J3983" i="3"/>
  <c r="J3984" i="3"/>
  <c r="J3985" i="3"/>
  <c r="J3986" i="3"/>
  <c r="J3987" i="3"/>
  <c r="J3988" i="3"/>
  <c r="J3989" i="3"/>
  <c r="J3990" i="3"/>
  <c r="J3991" i="3"/>
  <c r="J3992" i="3"/>
  <c r="J3993" i="3"/>
  <c r="J3994" i="3"/>
  <c r="J3995" i="3"/>
  <c r="J3996" i="3"/>
  <c r="J3997" i="3"/>
  <c r="J3998" i="3"/>
  <c r="J3999" i="3"/>
  <c r="J4000" i="3"/>
  <c r="J4001" i="3"/>
  <c r="J4002" i="3"/>
  <c r="J4003" i="3"/>
  <c r="J4004" i="3"/>
  <c r="J4005" i="3"/>
  <c r="J4006" i="3"/>
  <c r="J4007" i="3"/>
  <c r="J4008" i="3"/>
  <c r="J4009" i="3"/>
  <c r="J4010" i="3"/>
  <c r="J4011" i="3"/>
  <c r="J4012" i="3"/>
  <c r="J4013" i="3"/>
  <c r="J4014" i="3"/>
  <c r="J4015" i="3"/>
  <c r="J4016" i="3"/>
  <c r="J4017" i="3"/>
  <c r="J4018" i="3"/>
  <c r="J4019" i="3"/>
  <c r="J4020" i="3"/>
  <c r="J4021" i="3"/>
  <c r="J4022" i="3"/>
  <c r="J4023" i="3"/>
  <c r="J4024" i="3"/>
  <c r="J4025" i="3"/>
  <c r="J4026" i="3"/>
  <c r="J4027" i="3"/>
  <c r="J4028" i="3"/>
  <c r="J4029" i="3"/>
  <c r="J4030" i="3"/>
  <c r="J4031" i="3"/>
  <c r="J4032" i="3"/>
  <c r="J4033" i="3"/>
  <c r="J4034" i="3"/>
  <c r="J4035" i="3"/>
  <c r="J4036" i="3"/>
  <c r="J4037" i="3"/>
  <c r="J4038" i="3"/>
  <c r="J4039" i="3"/>
  <c r="J4040" i="3"/>
  <c r="J4041" i="3"/>
  <c r="J4042" i="3"/>
  <c r="J4043" i="3"/>
  <c r="J4044" i="3"/>
  <c r="J4045" i="3"/>
  <c r="J4046" i="3"/>
  <c r="J4047" i="3"/>
  <c r="J4048" i="3"/>
  <c r="J4049" i="3"/>
  <c r="J4050" i="3"/>
  <c r="J4051" i="3"/>
  <c r="J4052" i="3"/>
  <c r="J4053" i="3"/>
  <c r="J4054" i="3"/>
  <c r="J4055" i="3"/>
  <c r="J4056" i="3"/>
  <c r="J4057" i="3"/>
  <c r="J4058" i="3"/>
  <c r="J4059" i="3"/>
  <c r="J4060" i="3"/>
  <c r="J4061" i="3"/>
  <c r="J4062" i="3"/>
  <c r="J4063" i="3"/>
  <c r="J4064" i="3"/>
  <c r="J4065" i="3"/>
  <c r="J4066" i="3"/>
  <c r="J4067" i="3"/>
  <c r="J4068" i="3"/>
  <c r="J4069" i="3"/>
  <c r="J4070" i="3"/>
  <c r="J4071" i="3"/>
  <c r="J4072" i="3"/>
  <c r="J4073" i="3"/>
  <c r="J4074" i="3"/>
  <c r="J4075" i="3"/>
  <c r="J4076" i="3"/>
  <c r="J4077" i="3"/>
  <c r="J4078" i="3"/>
  <c r="J4079" i="3"/>
  <c r="J4080" i="3"/>
  <c r="J4081" i="3"/>
  <c r="J4082" i="3"/>
  <c r="J4083" i="3"/>
  <c r="J4084" i="3"/>
  <c r="J4085" i="3"/>
  <c r="J4086" i="3"/>
  <c r="J4087" i="3"/>
  <c r="J4088" i="3"/>
  <c r="J4089" i="3"/>
  <c r="J4090" i="3"/>
  <c r="J4091" i="3"/>
  <c r="J4092" i="3"/>
  <c r="J4093" i="3"/>
  <c r="J4094" i="3"/>
  <c r="J4095" i="3"/>
  <c r="J4096" i="3"/>
  <c r="J4097" i="3"/>
  <c r="J4098" i="3"/>
  <c r="J4099" i="3"/>
  <c r="J4100" i="3"/>
  <c r="J4101" i="3"/>
  <c r="J4102" i="3"/>
  <c r="J4103" i="3"/>
  <c r="J4104" i="3"/>
  <c r="J4105" i="3"/>
  <c r="J4106" i="3"/>
  <c r="J4107" i="3"/>
  <c r="J4108" i="3"/>
  <c r="J4109" i="3"/>
  <c r="J4110" i="3"/>
  <c r="J4111" i="3"/>
  <c r="J4112" i="3"/>
  <c r="J4113" i="3"/>
  <c r="J4114" i="3"/>
  <c r="J4115" i="3"/>
  <c r="J4116" i="3"/>
  <c r="J4117" i="3"/>
  <c r="J4118" i="3"/>
  <c r="J4119" i="3"/>
  <c r="J4120" i="3"/>
  <c r="J4121" i="3"/>
  <c r="J4122" i="3"/>
  <c r="J4123" i="3"/>
  <c r="J4124" i="3"/>
  <c r="J4125" i="3"/>
  <c r="J4126" i="3"/>
  <c r="J4127" i="3"/>
  <c r="J4128" i="3"/>
  <c r="J4129" i="3"/>
  <c r="J4130" i="3"/>
  <c r="J4131" i="3"/>
  <c r="J4132" i="3"/>
  <c r="J4133" i="3"/>
  <c r="J4134" i="3"/>
  <c r="J4135" i="3"/>
  <c r="J4136" i="3"/>
  <c r="J4137" i="3"/>
  <c r="J4138" i="3"/>
  <c r="J4139" i="3"/>
  <c r="J4140" i="3"/>
  <c r="J4141" i="3"/>
  <c r="J4142" i="3"/>
  <c r="J4143" i="3"/>
  <c r="J4144" i="3"/>
  <c r="J4145" i="3"/>
  <c r="J4146" i="3"/>
  <c r="J4147" i="3"/>
  <c r="J4148" i="3"/>
  <c r="J4149" i="3"/>
  <c r="J4150" i="3"/>
  <c r="J4151" i="3"/>
  <c r="J4152" i="3"/>
  <c r="J4153" i="3"/>
  <c r="J4154" i="3"/>
  <c r="J4155" i="3"/>
  <c r="J4156" i="3"/>
  <c r="J4157" i="3"/>
  <c r="J4158" i="3"/>
  <c r="J4159" i="3"/>
  <c r="J4160" i="3"/>
  <c r="J4161" i="3"/>
  <c r="J4162" i="3"/>
  <c r="J4163" i="3"/>
  <c r="J4164" i="3"/>
  <c r="J4165" i="3"/>
  <c r="J4166" i="3"/>
  <c r="J4167" i="3"/>
  <c r="J4168" i="3"/>
  <c r="J4169" i="3"/>
  <c r="J4170" i="3"/>
  <c r="J4171" i="3"/>
  <c r="J4172" i="3"/>
  <c r="J4173" i="3"/>
  <c r="J4174" i="3"/>
  <c r="J4175" i="3"/>
  <c r="J4176" i="3"/>
  <c r="J4177" i="3"/>
  <c r="J4178" i="3"/>
  <c r="J4179" i="3"/>
  <c r="J4180" i="3"/>
  <c r="J4181" i="3"/>
  <c r="J4182" i="3"/>
  <c r="J4183" i="3"/>
  <c r="J4184" i="3"/>
  <c r="J4185" i="3"/>
  <c r="J4186" i="3"/>
  <c r="J4187" i="3"/>
  <c r="J4188" i="3"/>
  <c r="J4189" i="3"/>
  <c r="J4190" i="3"/>
  <c r="J4191" i="3"/>
  <c r="J4192" i="3"/>
  <c r="J4193" i="3"/>
  <c r="J4194" i="3"/>
  <c r="J4195" i="3"/>
  <c r="J4196" i="3"/>
  <c r="J4197" i="3"/>
  <c r="J4198" i="3"/>
  <c r="J4199" i="3"/>
  <c r="J4200" i="3"/>
  <c r="J4201" i="3"/>
  <c r="J4202" i="3"/>
  <c r="J4203" i="3"/>
  <c r="J4204" i="3"/>
  <c r="J4205" i="3"/>
  <c r="J4206" i="3"/>
  <c r="J4207" i="3"/>
  <c r="J4208" i="3"/>
  <c r="J4209" i="3"/>
  <c r="J4210" i="3"/>
  <c r="J4211" i="3"/>
  <c r="J4212" i="3"/>
  <c r="J4213" i="3"/>
  <c r="J4214" i="3"/>
  <c r="J4215" i="3"/>
  <c r="J4216" i="3"/>
  <c r="J4217" i="3"/>
  <c r="J4218" i="3"/>
  <c r="J4219" i="3"/>
  <c r="J4220" i="3"/>
  <c r="J4221" i="3"/>
  <c r="J4222" i="3"/>
  <c r="J4223" i="3"/>
  <c r="J4224" i="3"/>
  <c r="J4225" i="3"/>
  <c r="J4226" i="3"/>
  <c r="J4227" i="3"/>
  <c r="J4228" i="3"/>
  <c r="J4229" i="3"/>
  <c r="J4230" i="3"/>
  <c r="J4231" i="3"/>
  <c r="J4232" i="3"/>
  <c r="J4233" i="3"/>
  <c r="J4234" i="3"/>
  <c r="J4235" i="3"/>
  <c r="J4236" i="3"/>
  <c r="J4237" i="3"/>
  <c r="J4238" i="3"/>
  <c r="J4239" i="3"/>
  <c r="J4240" i="3"/>
  <c r="J4241" i="3"/>
  <c r="J4242" i="3"/>
  <c r="J4243" i="3"/>
  <c r="J4244" i="3"/>
  <c r="J4245" i="3"/>
  <c r="J4246" i="3"/>
  <c r="J4247" i="3"/>
  <c r="J4248" i="3"/>
  <c r="J4249" i="3"/>
  <c r="J4250" i="3"/>
  <c r="J4251" i="3"/>
  <c r="J4252" i="3"/>
  <c r="J4253" i="3"/>
  <c r="J4254" i="3"/>
  <c r="J4255" i="3"/>
  <c r="J4256" i="3"/>
  <c r="J4257" i="3"/>
  <c r="J4258" i="3"/>
  <c r="J4259" i="3"/>
  <c r="J4260" i="3"/>
  <c r="J4261" i="3"/>
  <c r="J4262" i="3"/>
  <c r="J4263" i="3"/>
  <c r="J4264" i="3"/>
  <c r="J4265" i="3"/>
  <c r="J4266" i="3"/>
  <c r="J4267" i="3"/>
  <c r="J4268" i="3"/>
  <c r="J4269" i="3"/>
  <c r="J4270" i="3"/>
  <c r="J4271" i="3"/>
  <c r="J4272" i="3"/>
  <c r="J4273" i="3"/>
  <c r="J4274" i="3"/>
  <c r="J4275" i="3"/>
  <c r="J4276" i="3"/>
  <c r="J4277" i="3"/>
  <c r="J4278" i="3"/>
  <c r="J4279" i="3"/>
  <c r="J4280" i="3"/>
  <c r="J4281" i="3"/>
  <c r="J4282" i="3"/>
  <c r="J4283" i="3"/>
  <c r="J4284" i="3"/>
  <c r="J4285" i="3"/>
  <c r="J4286" i="3"/>
  <c r="J4287" i="3"/>
  <c r="J4288" i="3"/>
  <c r="J4289" i="3"/>
  <c r="J4290" i="3"/>
  <c r="J4291" i="3"/>
  <c r="J4292" i="3"/>
  <c r="J4293" i="3"/>
  <c r="J4294" i="3"/>
  <c r="J4295" i="3"/>
  <c r="J4296" i="3"/>
  <c r="J4297" i="3"/>
  <c r="J4298" i="3"/>
  <c r="J4299" i="3"/>
  <c r="J4300" i="3"/>
  <c r="J4301" i="3"/>
  <c r="J4302" i="3"/>
  <c r="J4303" i="3"/>
  <c r="J4304" i="3"/>
  <c r="J4305" i="3"/>
  <c r="J4306" i="3"/>
  <c r="J4307" i="3"/>
  <c r="J4308" i="3"/>
  <c r="J4309" i="3"/>
  <c r="J4310" i="3"/>
  <c r="J4311" i="3"/>
  <c r="J4312" i="3"/>
  <c r="J4313" i="3"/>
  <c r="J4314" i="3"/>
  <c r="J4315" i="3"/>
  <c r="J4316" i="3"/>
  <c r="J4317" i="3"/>
  <c r="J4318" i="3"/>
  <c r="J4319" i="3"/>
  <c r="J4320" i="3"/>
  <c r="J4321" i="3"/>
  <c r="J4322" i="3"/>
  <c r="J4323" i="3"/>
  <c r="J4324" i="3"/>
  <c r="J4325" i="3"/>
  <c r="J4326" i="3"/>
  <c r="J4327" i="3"/>
  <c r="J4328" i="3"/>
  <c r="J4329" i="3"/>
  <c r="J4330" i="3"/>
  <c r="J4331" i="3"/>
  <c r="J4332" i="3"/>
  <c r="J4333" i="3"/>
  <c r="J4334" i="3"/>
  <c r="J4335" i="3"/>
  <c r="J4336" i="3"/>
  <c r="J4337" i="3"/>
  <c r="J4338" i="3"/>
  <c r="J4339" i="3"/>
  <c r="J4340" i="3"/>
  <c r="J4341" i="3"/>
  <c r="J4342" i="3"/>
  <c r="J4343" i="3"/>
  <c r="J4344" i="3"/>
  <c r="J4345" i="3"/>
  <c r="J4346" i="3"/>
  <c r="J4347" i="3"/>
  <c r="J4348" i="3"/>
  <c r="J4349" i="3"/>
  <c r="J4350" i="3"/>
  <c r="J4351" i="3"/>
  <c r="J4352" i="3"/>
  <c r="J4353" i="3"/>
  <c r="J4354" i="3"/>
  <c r="J4355" i="3"/>
  <c r="J4356" i="3"/>
  <c r="J4357" i="3"/>
  <c r="J4358" i="3"/>
  <c r="J4359" i="3"/>
  <c r="J4360" i="3"/>
  <c r="J4361" i="3"/>
  <c r="J4362" i="3"/>
  <c r="J4363" i="3"/>
  <c r="J4364" i="3"/>
  <c r="J4365" i="3"/>
  <c r="J4366" i="3"/>
  <c r="J4367" i="3"/>
  <c r="J4368" i="3"/>
  <c r="J4369" i="3"/>
  <c r="J4370" i="3"/>
  <c r="J4371" i="3"/>
  <c r="J4372" i="3"/>
  <c r="J4373" i="3"/>
  <c r="J4374" i="3"/>
  <c r="J4375" i="3"/>
  <c r="J4376" i="3"/>
  <c r="J4377" i="3"/>
  <c r="J4378" i="3"/>
  <c r="J4379" i="3"/>
  <c r="J4380" i="3"/>
  <c r="J4381" i="3"/>
  <c r="J4382" i="3"/>
  <c r="J4383" i="3"/>
  <c r="J4384" i="3"/>
  <c r="J4385" i="3"/>
  <c r="J4386" i="3"/>
  <c r="J4387" i="3"/>
  <c r="J4388" i="3"/>
  <c r="J4389" i="3"/>
  <c r="J4390" i="3"/>
  <c r="J4391" i="3"/>
  <c r="J4392" i="3"/>
  <c r="J4393" i="3"/>
  <c r="J4394" i="3"/>
  <c r="J4395" i="3"/>
  <c r="J4396" i="3"/>
  <c r="J4397" i="3"/>
  <c r="J4398" i="3"/>
  <c r="J4399" i="3"/>
  <c r="J4400" i="3"/>
  <c r="J4401" i="3"/>
  <c r="J4402" i="3"/>
  <c r="J4403" i="3"/>
  <c r="J4404" i="3"/>
  <c r="J4405" i="3"/>
  <c r="J4406" i="3"/>
  <c r="J4407" i="3"/>
  <c r="J4408" i="3"/>
  <c r="J4409" i="3"/>
  <c r="J4410" i="3"/>
  <c r="J4411" i="3"/>
  <c r="J4412" i="3"/>
  <c r="J4413" i="3"/>
  <c r="J4414" i="3"/>
  <c r="J4415" i="3"/>
  <c r="J4416" i="3"/>
  <c r="J4417" i="3"/>
  <c r="J4418" i="3"/>
  <c r="J4419" i="3"/>
  <c r="J4420" i="3"/>
  <c r="J4421" i="3"/>
  <c r="J4422" i="3"/>
  <c r="J4423" i="3"/>
  <c r="J4424" i="3"/>
  <c r="J4425" i="3"/>
  <c r="J4426" i="3"/>
  <c r="J4427" i="3"/>
  <c r="J4428" i="3"/>
  <c r="J4429" i="3"/>
  <c r="J4430" i="3"/>
  <c r="J4431" i="3"/>
  <c r="J4432" i="3"/>
  <c r="J4433" i="3"/>
  <c r="J4434" i="3"/>
  <c r="J4435" i="3"/>
  <c r="J4436" i="3"/>
  <c r="J4437" i="3"/>
  <c r="J4438" i="3"/>
  <c r="J4439" i="3"/>
  <c r="J4440" i="3"/>
  <c r="J4441" i="3"/>
  <c r="J4442" i="3"/>
  <c r="J4443" i="3"/>
  <c r="J4444" i="3"/>
  <c r="J4445" i="3"/>
  <c r="J4446" i="3"/>
  <c r="J4447" i="3"/>
  <c r="J4448" i="3"/>
  <c r="J4449" i="3"/>
  <c r="J4450" i="3"/>
  <c r="J4451" i="3"/>
  <c r="J4452" i="3"/>
  <c r="J4453" i="3"/>
  <c r="J4454" i="3"/>
  <c r="J4455" i="3"/>
  <c r="J4456" i="3"/>
  <c r="J4457" i="3"/>
  <c r="J4458" i="3"/>
  <c r="J4459" i="3"/>
  <c r="J4460" i="3"/>
  <c r="J4461" i="3"/>
  <c r="J4462" i="3"/>
  <c r="J4463" i="3"/>
  <c r="J4464" i="3"/>
  <c r="J4465" i="3"/>
  <c r="J4466" i="3"/>
  <c r="J4467" i="3"/>
  <c r="J4468" i="3"/>
  <c r="J4469" i="3"/>
  <c r="J4470" i="3"/>
  <c r="J4471" i="3"/>
  <c r="J4472" i="3"/>
  <c r="J4473" i="3"/>
  <c r="J4474" i="3"/>
  <c r="J4475" i="3"/>
  <c r="J4476" i="3"/>
  <c r="J4477" i="3"/>
  <c r="J4478" i="3"/>
  <c r="J4479" i="3"/>
  <c r="J4480" i="3"/>
  <c r="J4481" i="3"/>
  <c r="J4482" i="3"/>
  <c r="J4483" i="3"/>
  <c r="J4484" i="3"/>
  <c r="J4485" i="3"/>
  <c r="J4486" i="3"/>
  <c r="J4487" i="3"/>
  <c r="J4488" i="3"/>
  <c r="J4489" i="3"/>
  <c r="J4490" i="3"/>
  <c r="J4491" i="3"/>
  <c r="J4492" i="3"/>
  <c r="J4493" i="3"/>
  <c r="J4494" i="3"/>
  <c r="J4495" i="3"/>
  <c r="J4496" i="3"/>
  <c r="J4497" i="3"/>
  <c r="J4498" i="3"/>
  <c r="J4499" i="3"/>
  <c r="J4500" i="3"/>
  <c r="J4501" i="3"/>
  <c r="J4502" i="3"/>
  <c r="J4503" i="3"/>
  <c r="J4504" i="3"/>
  <c r="J4505" i="3"/>
  <c r="J4506" i="3"/>
  <c r="J4507" i="3"/>
  <c r="J4508" i="3"/>
  <c r="J4509" i="3"/>
  <c r="J4510" i="3"/>
  <c r="J4511" i="3"/>
  <c r="J4512" i="3"/>
  <c r="J4513" i="3"/>
  <c r="J4514" i="3"/>
  <c r="J4515" i="3"/>
  <c r="J4516" i="3"/>
  <c r="J4517" i="3"/>
  <c r="J4518" i="3"/>
  <c r="J4519" i="3"/>
  <c r="J4520" i="3"/>
  <c r="J4521" i="3"/>
  <c r="J4522" i="3"/>
  <c r="J4523" i="3"/>
  <c r="J4524" i="3"/>
  <c r="J4525" i="3"/>
  <c r="J4526" i="3"/>
  <c r="J4527" i="3"/>
  <c r="J4528" i="3"/>
  <c r="J4529" i="3"/>
  <c r="J4530" i="3"/>
  <c r="J4531" i="3"/>
  <c r="J4532" i="3"/>
  <c r="J4533" i="3"/>
  <c r="J4534" i="3"/>
  <c r="J4535" i="3"/>
  <c r="J4536" i="3"/>
  <c r="J4537" i="3"/>
  <c r="J4538" i="3"/>
  <c r="J4539" i="3"/>
  <c r="J4540" i="3"/>
  <c r="J4541" i="3"/>
  <c r="J4542" i="3"/>
  <c r="J4543" i="3"/>
  <c r="J4544" i="3"/>
  <c r="J4545" i="3"/>
  <c r="J4546" i="3"/>
  <c r="J4547" i="3"/>
  <c r="J4548" i="3"/>
  <c r="J4549" i="3"/>
  <c r="J4550" i="3"/>
  <c r="J4551" i="3"/>
  <c r="J4552" i="3"/>
  <c r="J4553" i="3"/>
  <c r="J4554" i="3"/>
  <c r="J4555" i="3"/>
  <c r="J4556" i="3"/>
  <c r="J4557" i="3"/>
  <c r="J4558" i="3"/>
  <c r="J4559" i="3"/>
  <c r="J4560" i="3"/>
  <c r="J4561" i="3"/>
  <c r="J4562" i="3"/>
  <c r="J4563" i="3"/>
  <c r="J4564" i="3"/>
  <c r="J4565" i="3"/>
  <c r="J4566" i="3"/>
  <c r="J4567" i="3"/>
  <c r="J4568" i="3"/>
  <c r="J4569" i="3"/>
  <c r="J4570" i="3"/>
  <c r="J4571" i="3"/>
  <c r="J4572" i="3"/>
  <c r="J4573" i="3"/>
  <c r="J4574" i="3"/>
  <c r="J4575" i="3"/>
  <c r="J4576" i="3"/>
  <c r="J4577" i="3"/>
  <c r="J4578" i="3"/>
  <c r="J4579" i="3"/>
  <c r="J4580" i="3"/>
  <c r="J4581" i="3"/>
  <c r="J4582" i="3"/>
  <c r="J4583" i="3"/>
  <c r="J4584" i="3"/>
  <c r="J4585" i="3"/>
  <c r="J4586" i="3"/>
  <c r="J4587" i="3"/>
  <c r="J4588" i="3"/>
  <c r="J4589" i="3"/>
  <c r="J4590" i="3"/>
  <c r="J4591" i="3"/>
  <c r="J4592" i="3"/>
  <c r="J4593" i="3"/>
  <c r="J4594" i="3"/>
  <c r="J4595" i="3"/>
  <c r="J4596" i="3"/>
  <c r="J4597" i="3"/>
  <c r="J4598" i="3"/>
  <c r="J4599" i="3"/>
  <c r="J4600" i="3"/>
  <c r="J4601" i="3"/>
  <c r="J4602" i="3"/>
  <c r="J4603" i="3"/>
  <c r="J4604" i="3"/>
  <c r="J4605" i="3"/>
  <c r="J4606" i="3"/>
  <c r="J4607" i="3"/>
  <c r="J4608" i="3"/>
  <c r="J4609" i="3"/>
  <c r="J4610" i="3"/>
  <c r="J4611" i="3"/>
  <c r="J4612" i="3"/>
  <c r="J4613" i="3"/>
  <c r="J4614" i="3"/>
  <c r="J4615" i="3"/>
  <c r="J4616" i="3"/>
  <c r="J4617" i="3"/>
  <c r="J4618" i="3"/>
  <c r="J4619" i="3"/>
  <c r="J4620" i="3"/>
  <c r="J4621" i="3"/>
  <c r="J4622" i="3"/>
  <c r="J4623" i="3"/>
  <c r="J4624" i="3"/>
  <c r="J4625" i="3"/>
  <c r="J4626" i="3"/>
  <c r="J4627" i="3"/>
  <c r="J4628" i="3"/>
  <c r="J4629" i="3"/>
  <c r="J4630" i="3"/>
  <c r="J4631" i="3"/>
  <c r="J4632" i="3"/>
  <c r="J4633" i="3"/>
  <c r="J4634" i="3"/>
  <c r="J4635" i="3"/>
  <c r="J4636" i="3"/>
  <c r="J4637" i="3"/>
  <c r="J4638" i="3"/>
  <c r="J4639" i="3"/>
  <c r="J4640" i="3"/>
  <c r="J4641" i="3"/>
  <c r="J4642" i="3"/>
  <c r="J4643" i="3"/>
  <c r="J4644" i="3"/>
  <c r="J4645" i="3"/>
  <c r="J4646" i="3"/>
  <c r="J4647" i="3"/>
  <c r="J4648" i="3"/>
  <c r="J4649" i="3"/>
  <c r="J4650" i="3"/>
  <c r="J4651" i="3"/>
  <c r="J4652" i="3"/>
  <c r="J4653" i="3"/>
  <c r="J4654" i="3"/>
  <c r="J4655" i="3"/>
  <c r="J4656" i="3"/>
  <c r="J4657" i="3"/>
  <c r="J4658" i="3"/>
  <c r="J4659" i="3"/>
  <c r="J4660" i="3"/>
  <c r="J4661" i="3"/>
  <c r="J4662" i="3"/>
  <c r="J4663" i="3"/>
  <c r="J4664" i="3"/>
  <c r="J4665" i="3"/>
  <c r="J4666" i="3"/>
  <c r="J4667" i="3"/>
  <c r="J4668" i="3"/>
  <c r="J4669" i="3"/>
  <c r="J4670" i="3"/>
  <c r="J4671" i="3"/>
  <c r="J4672" i="3"/>
  <c r="J4673" i="3"/>
  <c r="J4674" i="3"/>
  <c r="J4675" i="3"/>
  <c r="J4676" i="3"/>
  <c r="J4677" i="3"/>
  <c r="J4678" i="3"/>
  <c r="J4679" i="3"/>
  <c r="J4680" i="3"/>
  <c r="J4681" i="3"/>
  <c r="J4682" i="3"/>
  <c r="J4683" i="3"/>
  <c r="J4684" i="3"/>
  <c r="J4685" i="3"/>
  <c r="J4686" i="3"/>
  <c r="J4687" i="3"/>
  <c r="J4688" i="3"/>
  <c r="J4689" i="3"/>
  <c r="J4690" i="3"/>
  <c r="J4691" i="3"/>
  <c r="J4692" i="3"/>
  <c r="J4693" i="3"/>
  <c r="J4694" i="3"/>
  <c r="J4695" i="3"/>
  <c r="J4696" i="3"/>
  <c r="J4697" i="3"/>
  <c r="J4698" i="3"/>
  <c r="J4699" i="3"/>
  <c r="J4700" i="3"/>
  <c r="J4701" i="3"/>
  <c r="J4702" i="3"/>
  <c r="J4703" i="3"/>
  <c r="J4704" i="3"/>
  <c r="J4705" i="3"/>
  <c r="J4706" i="3"/>
  <c r="J4707" i="3"/>
  <c r="J4708" i="3"/>
  <c r="J4709" i="3"/>
  <c r="J4710" i="3"/>
  <c r="J4711" i="3"/>
  <c r="J4712" i="3"/>
  <c r="J4713" i="3"/>
  <c r="J4714" i="3"/>
  <c r="J4715" i="3"/>
  <c r="J4716" i="3"/>
  <c r="J4717" i="3"/>
  <c r="J4718" i="3"/>
  <c r="J4719" i="3"/>
  <c r="J4720" i="3"/>
  <c r="J4721" i="3"/>
  <c r="J4722" i="3"/>
  <c r="J4723" i="3"/>
  <c r="J4724" i="3"/>
  <c r="J4725" i="3"/>
  <c r="J4726" i="3"/>
  <c r="J4727" i="3"/>
  <c r="J4728" i="3"/>
  <c r="J4729" i="3"/>
  <c r="J4730" i="3"/>
  <c r="J4731" i="3"/>
  <c r="J4732" i="3"/>
  <c r="J4733" i="3"/>
  <c r="J4734" i="3"/>
  <c r="J4735" i="3"/>
  <c r="J4736" i="3"/>
  <c r="J4737" i="3"/>
  <c r="J4738" i="3"/>
  <c r="J4739" i="3"/>
  <c r="J4740" i="3"/>
  <c r="J4741" i="3"/>
  <c r="J4742" i="3"/>
  <c r="J4743" i="3"/>
  <c r="J4744" i="3"/>
  <c r="J4745" i="3"/>
  <c r="J4746" i="3"/>
  <c r="J4747" i="3"/>
  <c r="J4748" i="3"/>
  <c r="J4749" i="3"/>
  <c r="J4750" i="3"/>
  <c r="J4751" i="3"/>
  <c r="J4752" i="3"/>
  <c r="J4753" i="3"/>
  <c r="J4754" i="3"/>
  <c r="J4755" i="3"/>
  <c r="J4756" i="3"/>
  <c r="J4757" i="3"/>
  <c r="J4758" i="3"/>
  <c r="J4759" i="3"/>
  <c r="J4760" i="3"/>
  <c r="J4761" i="3"/>
  <c r="J4762" i="3"/>
  <c r="J4763" i="3"/>
  <c r="J4764" i="3"/>
  <c r="J4765" i="3"/>
  <c r="J4766" i="3"/>
  <c r="J4767" i="3"/>
  <c r="J4768" i="3"/>
  <c r="J4769" i="3"/>
  <c r="J4770" i="3"/>
  <c r="J4771" i="3"/>
  <c r="J4772" i="3"/>
  <c r="J4773" i="3"/>
  <c r="J4774" i="3"/>
  <c r="J4775" i="3"/>
  <c r="J4776" i="3"/>
  <c r="J4777" i="3"/>
  <c r="J4778" i="3"/>
  <c r="J4779" i="3"/>
  <c r="J4780" i="3"/>
  <c r="J4781" i="3"/>
  <c r="J4782" i="3"/>
  <c r="J4783" i="3"/>
  <c r="J4784" i="3"/>
  <c r="J4785" i="3"/>
  <c r="J4786" i="3"/>
  <c r="J4787" i="3"/>
  <c r="J4788" i="3"/>
  <c r="J4789" i="3"/>
  <c r="J4790" i="3"/>
  <c r="J4791" i="3"/>
  <c r="J4792" i="3"/>
  <c r="J4793" i="3"/>
  <c r="J4794" i="3"/>
  <c r="J4795" i="3"/>
  <c r="J4796" i="3"/>
  <c r="J4797" i="3"/>
  <c r="J4798" i="3"/>
  <c r="J4799" i="3"/>
  <c r="J4800" i="3"/>
  <c r="J4801" i="3"/>
  <c r="J4802" i="3"/>
  <c r="J4803" i="3"/>
  <c r="J4804" i="3"/>
  <c r="J4805" i="3"/>
  <c r="J4806" i="3"/>
  <c r="J4807" i="3"/>
  <c r="J4808" i="3"/>
  <c r="J4809" i="3"/>
  <c r="J4810" i="3"/>
  <c r="J4811" i="3"/>
  <c r="J4812" i="3"/>
  <c r="J4813" i="3"/>
  <c r="J4814" i="3"/>
  <c r="J4815" i="3"/>
  <c r="J4816" i="3"/>
  <c r="J4817" i="3"/>
  <c r="J4818" i="3"/>
  <c r="J4819" i="3"/>
  <c r="J4820" i="3"/>
  <c r="J4821" i="3"/>
  <c r="J4822" i="3"/>
  <c r="J4823" i="3"/>
  <c r="J4824" i="3"/>
  <c r="J4825" i="3"/>
  <c r="J4826" i="3"/>
  <c r="J4827" i="3"/>
  <c r="J4828" i="3"/>
  <c r="J4829" i="3"/>
  <c r="J4830" i="3"/>
  <c r="J4831" i="3"/>
  <c r="J4832" i="3"/>
  <c r="J4833" i="3"/>
  <c r="J4834" i="3"/>
  <c r="J4835" i="3"/>
  <c r="J4836" i="3"/>
  <c r="J4837" i="3"/>
  <c r="J4838" i="3"/>
  <c r="J4839" i="3"/>
  <c r="J4840" i="3"/>
  <c r="J4841" i="3"/>
  <c r="J4842" i="3"/>
  <c r="J4843" i="3"/>
  <c r="J4844" i="3"/>
  <c r="J4845" i="3"/>
  <c r="J4846" i="3"/>
  <c r="J4847" i="3"/>
  <c r="J4848" i="3"/>
  <c r="J4849" i="3"/>
  <c r="J4850" i="3"/>
  <c r="J4851" i="3"/>
  <c r="J4852" i="3"/>
  <c r="J4853" i="3"/>
  <c r="J4854" i="3"/>
  <c r="J4855" i="3"/>
  <c r="J4856" i="3"/>
  <c r="J4857" i="3"/>
  <c r="J4858" i="3"/>
  <c r="J4859" i="3"/>
  <c r="J4860" i="3"/>
  <c r="J4861" i="3"/>
  <c r="J4862" i="3"/>
  <c r="J4863" i="3"/>
  <c r="J4864" i="3"/>
  <c r="J4865" i="3"/>
  <c r="J4866" i="3"/>
  <c r="J4867" i="3"/>
  <c r="J4868" i="3"/>
  <c r="J4869" i="3"/>
  <c r="J4870" i="3"/>
  <c r="J4871" i="3"/>
  <c r="J4872" i="3"/>
  <c r="J4873" i="3"/>
  <c r="J4874" i="3"/>
  <c r="J4875" i="3"/>
  <c r="J4876" i="3"/>
  <c r="J4877" i="3"/>
  <c r="J4878" i="3"/>
  <c r="J4879" i="3"/>
  <c r="J4880" i="3"/>
  <c r="J4881" i="3"/>
  <c r="J4882" i="3"/>
  <c r="J4883" i="3"/>
  <c r="J4884" i="3"/>
  <c r="J4885" i="3"/>
  <c r="J4886" i="3"/>
  <c r="J4887" i="3"/>
  <c r="J4888" i="3"/>
  <c r="J4889" i="3"/>
  <c r="J4890" i="3"/>
  <c r="J4891" i="3"/>
  <c r="J4892" i="3"/>
  <c r="J4893" i="3"/>
  <c r="J4894" i="3"/>
  <c r="J4895" i="3"/>
  <c r="J4896" i="3"/>
  <c r="J4897" i="3"/>
  <c r="J4898" i="3"/>
  <c r="J4899" i="3"/>
  <c r="J4900" i="3"/>
  <c r="J4901" i="3"/>
  <c r="J4902" i="3"/>
  <c r="J4903" i="3"/>
  <c r="J4904" i="3"/>
  <c r="J4905" i="3"/>
  <c r="J4906" i="3"/>
  <c r="J4907" i="3"/>
  <c r="J4908" i="3"/>
  <c r="J4909" i="3"/>
  <c r="J4910" i="3"/>
  <c r="J4911" i="3"/>
  <c r="J4912" i="3"/>
  <c r="J4913" i="3"/>
  <c r="J4914" i="3"/>
  <c r="J4915" i="3"/>
  <c r="J4916" i="3"/>
  <c r="J4917" i="3"/>
  <c r="J4918" i="3"/>
  <c r="J4919" i="3"/>
  <c r="J4920" i="3"/>
  <c r="J4921" i="3"/>
  <c r="J4922" i="3"/>
  <c r="J4923" i="3"/>
  <c r="J4924" i="3"/>
  <c r="J4925" i="3"/>
  <c r="J4926" i="3"/>
  <c r="J4927" i="3"/>
  <c r="J4928" i="3"/>
  <c r="J4929" i="3"/>
  <c r="J4930" i="3"/>
  <c r="J4931" i="3"/>
  <c r="J4932" i="3"/>
  <c r="J4933" i="3"/>
  <c r="J4934" i="3"/>
  <c r="J4935" i="3"/>
  <c r="J4936" i="3"/>
  <c r="J4937" i="3"/>
  <c r="J4938" i="3"/>
  <c r="J4939" i="3"/>
  <c r="J4940" i="3"/>
  <c r="J4941" i="3"/>
  <c r="J4942" i="3"/>
  <c r="J4943" i="3"/>
  <c r="J4944" i="3"/>
  <c r="J4945" i="3"/>
  <c r="J4946" i="3"/>
  <c r="J4947" i="3"/>
  <c r="J4948" i="3"/>
  <c r="J4949" i="3"/>
  <c r="J4950" i="3"/>
  <c r="J4951" i="3"/>
  <c r="J4952" i="3"/>
  <c r="J4953" i="3"/>
  <c r="J4954" i="3"/>
  <c r="J4955" i="3"/>
  <c r="J4956" i="3"/>
  <c r="J4957" i="3"/>
  <c r="J4958" i="3"/>
  <c r="J4959" i="3"/>
  <c r="J4960" i="3"/>
  <c r="J4961" i="3"/>
  <c r="J4962" i="3"/>
  <c r="J4963" i="3"/>
  <c r="J4964" i="3"/>
  <c r="J4965" i="3"/>
  <c r="J4966" i="3"/>
  <c r="J4967" i="3"/>
  <c r="J4968" i="3"/>
  <c r="J4969" i="3"/>
  <c r="J4970" i="3"/>
  <c r="J4971" i="3"/>
  <c r="J4972" i="3"/>
  <c r="J4973" i="3"/>
  <c r="J4974" i="3"/>
  <c r="J4975" i="3"/>
  <c r="J4976" i="3"/>
  <c r="J4977" i="3"/>
  <c r="J4978" i="3"/>
  <c r="J4979" i="3"/>
  <c r="J4980" i="3"/>
  <c r="J4981" i="3"/>
  <c r="J4982" i="3"/>
  <c r="J4983" i="3"/>
  <c r="J4984" i="3"/>
  <c r="J4985" i="3"/>
  <c r="J4986" i="3"/>
  <c r="J4987" i="3"/>
  <c r="J4988" i="3"/>
  <c r="J4989" i="3"/>
  <c r="J4990" i="3"/>
  <c r="J4991" i="3"/>
  <c r="J4992" i="3"/>
  <c r="J4993" i="3"/>
  <c r="J4994" i="3"/>
  <c r="J4995" i="3"/>
  <c r="J4996" i="3"/>
  <c r="J4997" i="3"/>
  <c r="J4998" i="3"/>
  <c r="J4999" i="3"/>
  <c r="J5000" i="3"/>
  <c r="J5001" i="3"/>
  <c r="J5002" i="3"/>
  <c r="J5003" i="3"/>
  <c r="J5004" i="3"/>
  <c r="J5005" i="3"/>
  <c r="J5006" i="3"/>
  <c r="J5007" i="3"/>
  <c r="J5008" i="3"/>
  <c r="J5009" i="3"/>
  <c r="J5010" i="3"/>
  <c r="J5011" i="3"/>
  <c r="J5012" i="3"/>
  <c r="J5013" i="3"/>
  <c r="J5014" i="3"/>
  <c r="J5015" i="3"/>
  <c r="J5016" i="3"/>
  <c r="J5017" i="3"/>
  <c r="J5018" i="3"/>
  <c r="J5019" i="3"/>
  <c r="J5020" i="3"/>
  <c r="J5021" i="3"/>
  <c r="J5022" i="3"/>
  <c r="J5023" i="3"/>
  <c r="J5024" i="3"/>
  <c r="J5025" i="3"/>
  <c r="J5026" i="3"/>
  <c r="J5027" i="3"/>
  <c r="J5028" i="3"/>
  <c r="J5029" i="3"/>
  <c r="J5030" i="3"/>
  <c r="J5031" i="3"/>
  <c r="J5032" i="3"/>
  <c r="J5033" i="3"/>
  <c r="J5034" i="3"/>
  <c r="J5035" i="3"/>
  <c r="J5036" i="3"/>
  <c r="J5037" i="3"/>
  <c r="J5038" i="3"/>
  <c r="J5039" i="3"/>
  <c r="J5040" i="3"/>
  <c r="J5041" i="3"/>
  <c r="J5042" i="3"/>
  <c r="J5043" i="3"/>
  <c r="J5044" i="3"/>
  <c r="J5045" i="3"/>
  <c r="J5046" i="3"/>
  <c r="J5047" i="3"/>
  <c r="J5048" i="3"/>
  <c r="J5049" i="3"/>
  <c r="J5050" i="3"/>
  <c r="J5051" i="3"/>
  <c r="J5052" i="3"/>
  <c r="J5053" i="3"/>
  <c r="J5054" i="3"/>
  <c r="J5055" i="3"/>
  <c r="J5056" i="3"/>
  <c r="J5057" i="3"/>
  <c r="J5058" i="3"/>
  <c r="J5059" i="3"/>
  <c r="J5060" i="3"/>
  <c r="J5061" i="3"/>
  <c r="J5062" i="3"/>
  <c r="J5063" i="3"/>
  <c r="J5064" i="3"/>
  <c r="J5065" i="3"/>
  <c r="J5066" i="3"/>
  <c r="J5067" i="3"/>
  <c r="J5068" i="3"/>
  <c r="J5069" i="3"/>
  <c r="J5070" i="3"/>
  <c r="J5071" i="3"/>
  <c r="J5072" i="3"/>
  <c r="J5073" i="3"/>
  <c r="J5074" i="3"/>
  <c r="J5075" i="3"/>
  <c r="J5076" i="3"/>
  <c r="J5077" i="3"/>
  <c r="J5078" i="3"/>
  <c r="J5079" i="3"/>
  <c r="J5080" i="3"/>
  <c r="J5081" i="3"/>
  <c r="J5082" i="3"/>
  <c r="J5083" i="3"/>
  <c r="J5084" i="3"/>
  <c r="J5085" i="3"/>
  <c r="J5086" i="3"/>
  <c r="J5087" i="3"/>
  <c r="J5088" i="3"/>
  <c r="J5089" i="3"/>
  <c r="J5090" i="3"/>
  <c r="J5091" i="3"/>
  <c r="J5092" i="3"/>
  <c r="J5093" i="3"/>
  <c r="J5094" i="3"/>
  <c r="J5095" i="3"/>
  <c r="J5096" i="3"/>
  <c r="J5097" i="3"/>
  <c r="J5098" i="3"/>
  <c r="J5099" i="3"/>
  <c r="J5100" i="3"/>
  <c r="J5101" i="3"/>
  <c r="J5102" i="3"/>
  <c r="J5103" i="3"/>
  <c r="J5104" i="3"/>
  <c r="J5105" i="3"/>
  <c r="J5106" i="3"/>
  <c r="J5107" i="3"/>
  <c r="J5108" i="3"/>
  <c r="J5109" i="3"/>
  <c r="J5110" i="3"/>
  <c r="J5111" i="3"/>
  <c r="J5112" i="3"/>
  <c r="J5113" i="3"/>
  <c r="J5114" i="3"/>
  <c r="J5115" i="3"/>
  <c r="J5116" i="3"/>
  <c r="J5117" i="3"/>
  <c r="J5118" i="3"/>
  <c r="J5119" i="3"/>
  <c r="J5120" i="3"/>
  <c r="J5121" i="3"/>
  <c r="J5122" i="3"/>
  <c r="J5123" i="3"/>
  <c r="J5124" i="3"/>
  <c r="J5125" i="3"/>
  <c r="J5126" i="3"/>
  <c r="J5127" i="3"/>
  <c r="J5128" i="3"/>
  <c r="J5129" i="3"/>
  <c r="J5130" i="3"/>
  <c r="J5131" i="3"/>
  <c r="J5132" i="3"/>
  <c r="J5133" i="3"/>
  <c r="J5134" i="3"/>
  <c r="J5135" i="3"/>
  <c r="J5136" i="3"/>
  <c r="J5137" i="3"/>
  <c r="J5138" i="3"/>
  <c r="J5139" i="3"/>
  <c r="J5140" i="3"/>
  <c r="J5141" i="3"/>
  <c r="J5142" i="3"/>
  <c r="J5143" i="3"/>
  <c r="J5144" i="3"/>
  <c r="J5145" i="3"/>
  <c r="J5146" i="3"/>
  <c r="J5147" i="3"/>
  <c r="J5148" i="3"/>
  <c r="J5149" i="3"/>
  <c r="J5150" i="3"/>
  <c r="J5151" i="3"/>
  <c r="J5152" i="3"/>
  <c r="J5153" i="3"/>
  <c r="J5154" i="3"/>
  <c r="J5155" i="3"/>
  <c r="J5156" i="3"/>
  <c r="J5157" i="3"/>
  <c r="J5158" i="3"/>
  <c r="J5159" i="3"/>
  <c r="J5160" i="3"/>
  <c r="J5161" i="3"/>
  <c r="J5162" i="3"/>
  <c r="J5163" i="3"/>
  <c r="J5164" i="3"/>
  <c r="J5165" i="3"/>
  <c r="J5166" i="3"/>
  <c r="J5167" i="3"/>
  <c r="J5168" i="3"/>
  <c r="J5169" i="3"/>
  <c r="J5170" i="3"/>
  <c r="J5171" i="3"/>
  <c r="J5172" i="3"/>
  <c r="J5173" i="3"/>
  <c r="J5174" i="3"/>
  <c r="J5175" i="3"/>
  <c r="J5176" i="3"/>
  <c r="J5177" i="3"/>
  <c r="J5178" i="3"/>
  <c r="J5179" i="3"/>
  <c r="J5180" i="3"/>
  <c r="J5181" i="3"/>
  <c r="J5182" i="3"/>
  <c r="J5183" i="3"/>
  <c r="J5184" i="3"/>
  <c r="J5185" i="3"/>
  <c r="J5186" i="3"/>
  <c r="J5187" i="3"/>
  <c r="J5188" i="3"/>
  <c r="J5189" i="3"/>
  <c r="J5190" i="3"/>
  <c r="J5191" i="3"/>
  <c r="J5192" i="3"/>
  <c r="J5193" i="3"/>
  <c r="J5194" i="3"/>
  <c r="J5195" i="3"/>
  <c r="J5196" i="3"/>
  <c r="J5197" i="3"/>
  <c r="J5198" i="3"/>
  <c r="J5199" i="3"/>
  <c r="J5200" i="3"/>
  <c r="J5201" i="3"/>
  <c r="J5202" i="3"/>
  <c r="J5203" i="3"/>
  <c r="J5204" i="3"/>
  <c r="J5205" i="3"/>
  <c r="J5206" i="3"/>
  <c r="J5207" i="3"/>
  <c r="J5208" i="3"/>
  <c r="J5209" i="3"/>
  <c r="J5210" i="3"/>
  <c r="J5211" i="3"/>
  <c r="J5212" i="3"/>
  <c r="J5213" i="3"/>
  <c r="J5214" i="3"/>
  <c r="J5215" i="3"/>
  <c r="J5216" i="3"/>
  <c r="J5217" i="3"/>
  <c r="J5218" i="3"/>
  <c r="J5219" i="3"/>
  <c r="J5220" i="3"/>
  <c r="J5221" i="3"/>
  <c r="J5222" i="3"/>
  <c r="J5223" i="3"/>
  <c r="J5224" i="3"/>
  <c r="J5225" i="3"/>
  <c r="J5226" i="3"/>
  <c r="J5227" i="3"/>
  <c r="J5228" i="3"/>
  <c r="J5229" i="3"/>
  <c r="J5230" i="3"/>
  <c r="J5231" i="3"/>
  <c r="J5232" i="3"/>
  <c r="J5233" i="3"/>
  <c r="J5234" i="3"/>
  <c r="J5235" i="3"/>
  <c r="J5236" i="3"/>
  <c r="J5237" i="3"/>
  <c r="J5238" i="3"/>
  <c r="J5239" i="3"/>
  <c r="J5240" i="3"/>
  <c r="J5241" i="3"/>
  <c r="J5242" i="3"/>
  <c r="J5243" i="3"/>
  <c r="J5244" i="3"/>
  <c r="J5245" i="3"/>
  <c r="J5246" i="3"/>
  <c r="J5247" i="3"/>
  <c r="J5248" i="3"/>
  <c r="J5249" i="3"/>
  <c r="J5250" i="3"/>
  <c r="J5251" i="3"/>
  <c r="J5252" i="3"/>
  <c r="J5253" i="3"/>
  <c r="J5254" i="3"/>
  <c r="J5255" i="3"/>
  <c r="J5256" i="3"/>
  <c r="J5257" i="3"/>
  <c r="J5258" i="3"/>
  <c r="J5259" i="3"/>
  <c r="J5260" i="3"/>
  <c r="J5261" i="3"/>
  <c r="J5262" i="3"/>
  <c r="J5263" i="3"/>
  <c r="J5264" i="3"/>
  <c r="J5265" i="3"/>
  <c r="J5266" i="3"/>
  <c r="J5267" i="3"/>
  <c r="J5268" i="3"/>
  <c r="J5269" i="3"/>
  <c r="J5270" i="3"/>
  <c r="J5271" i="3"/>
  <c r="J5272" i="3"/>
  <c r="J5273" i="3"/>
  <c r="J5274" i="3"/>
  <c r="J5275" i="3"/>
  <c r="J5276" i="3"/>
  <c r="J5277" i="3"/>
  <c r="J5278" i="3"/>
  <c r="J5279" i="3"/>
  <c r="J5280" i="3"/>
  <c r="J5281" i="3"/>
  <c r="J5282" i="3"/>
  <c r="J5283" i="3"/>
  <c r="J5284" i="3"/>
  <c r="J5285" i="3"/>
  <c r="J5286" i="3"/>
  <c r="J5287" i="3"/>
  <c r="J5288" i="3"/>
  <c r="J5289" i="3"/>
  <c r="J5290" i="3"/>
  <c r="J5291" i="3"/>
  <c r="J5292" i="3"/>
  <c r="J5293" i="3"/>
  <c r="J5294" i="3"/>
  <c r="J5295" i="3"/>
  <c r="J5296" i="3"/>
  <c r="J5297" i="3"/>
  <c r="J5298" i="3"/>
  <c r="J5299" i="3"/>
  <c r="J5300" i="3"/>
  <c r="J5301" i="3"/>
  <c r="J5302" i="3"/>
  <c r="J5303" i="3"/>
  <c r="J5304" i="3"/>
  <c r="J5305" i="3"/>
  <c r="J5306" i="3"/>
  <c r="J5307" i="3"/>
  <c r="J5308" i="3"/>
  <c r="J5309" i="3"/>
  <c r="J5310" i="3"/>
  <c r="J5311" i="3"/>
  <c r="J5312" i="3"/>
  <c r="J5313" i="3"/>
  <c r="J5314" i="3"/>
  <c r="J5315" i="3"/>
  <c r="J5316" i="3"/>
  <c r="J5317" i="3"/>
  <c r="J5318" i="3"/>
  <c r="J5319" i="3"/>
  <c r="J5320" i="3"/>
  <c r="J5321" i="3"/>
  <c r="J5322" i="3"/>
  <c r="J5323" i="3"/>
  <c r="J5324" i="3"/>
  <c r="J5325" i="3"/>
  <c r="J5326" i="3"/>
  <c r="J5327" i="3"/>
  <c r="J5328" i="3"/>
  <c r="J5329" i="3"/>
  <c r="J5330" i="3"/>
  <c r="J5331" i="3"/>
  <c r="J5332" i="3"/>
  <c r="J5333" i="3"/>
  <c r="J5334" i="3"/>
  <c r="J5335" i="3"/>
  <c r="J5336" i="3"/>
  <c r="J5337" i="3"/>
  <c r="J5338" i="3"/>
  <c r="J5339" i="3"/>
  <c r="J5340" i="3"/>
  <c r="J5341" i="3"/>
  <c r="J5342" i="3"/>
  <c r="J5343" i="3"/>
  <c r="J5344" i="3"/>
  <c r="J5345" i="3"/>
  <c r="J5346" i="3"/>
  <c r="J5347" i="3"/>
  <c r="J5348" i="3"/>
  <c r="J5349" i="3"/>
  <c r="J5350" i="3"/>
  <c r="J5351" i="3"/>
  <c r="J5352" i="3"/>
  <c r="J5353" i="3"/>
  <c r="J5354" i="3"/>
  <c r="J5355" i="3"/>
  <c r="J5356" i="3"/>
  <c r="J5357" i="3"/>
  <c r="J5358" i="3"/>
  <c r="J5359" i="3"/>
  <c r="J5360" i="3"/>
  <c r="J5361" i="3"/>
  <c r="J5362" i="3"/>
  <c r="J5363" i="3"/>
  <c r="J5364" i="3"/>
  <c r="J5365" i="3"/>
  <c r="J5366" i="3"/>
  <c r="J5367" i="3"/>
  <c r="J5368" i="3"/>
  <c r="J5369" i="3"/>
  <c r="J5370" i="3"/>
  <c r="J5371" i="3"/>
  <c r="J5372" i="3"/>
  <c r="J5373" i="3"/>
  <c r="J5374" i="3"/>
  <c r="J5375" i="3"/>
  <c r="J5376" i="3"/>
  <c r="J5377" i="3"/>
  <c r="J5378" i="3"/>
  <c r="J5379" i="3"/>
  <c r="J5380" i="3"/>
  <c r="J5381" i="3"/>
  <c r="J5382" i="3"/>
  <c r="J5383" i="3"/>
  <c r="J5384" i="3"/>
  <c r="J5385" i="3"/>
  <c r="J5386" i="3"/>
  <c r="J5387" i="3"/>
  <c r="J5388" i="3"/>
  <c r="J5389" i="3"/>
  <c r="J5390" i="3"/>
  <c r="J5391" i="3"/>
  <c r="J5392" i="3"/>
  <c r="J5393" i="3"/>
  <c r="J5394" i="3"/>
  <c r="J5395" i="3"/>
  <c r="J5396" i="3"/>
  <c r="J5397" i="3"/>
  <c r="J5398" i="3"/>
  <c r="J5399" i="3"/>
  <c r="J5400" i="3"/>
  <c r="J5401" i="3"/>
  <c r="J5402" i="3"/>
  <c r="J5403" i="3"/>
  <c r="J5404" i="3"/>
  <c r="J5405" i="3"/>
  <c r="J5406" i="3"/>
  <c r="J5407" i="3"/>
  <c r="J5408" i="3"/>
  <c r="J5409" i="3"/>
  <c r="J5410" i="3"/>
  <c r="J5411" i="3"/>
  <c r="J5412" i="3"/>
  <c r="J5413" i="3"/>
  <c r="J5414" i="3"/>
  <c r="J5415" i="3"/>
  <c r="J5416" i="3"/>
  <c r="J5417" i="3"/>
  <c r="J5418" i="3"/>
  <c r="J5419" i="3"/>
  <c r="J5420" i="3"/>
  <c r="J5421" i="3"/>
  <c r="J5422" i="3"/>
  <c r="J5423" i="3"/>
  <c r="J5424" i="3"/>
  <c r="J5425" i="3"/>
  <c r="J5426" i="3"/>
  <c r="J5427" i="3"/>
  <c r="J5428" i="3"/>
  <c r="J5429" i="3"/>
  <c r="J5430" i="3"/>
  <c r="J5431" i="3"/>
  <c r="J5432" i="3"/>
  <c r="J5433" i="3"/>
  <c r="J5434" i="3"/>
  <c r="J5435" i="3"/>
  <c r="J5436" i="3"/>
  <c r="J5437" i="3"/>
  <c r="J5438" i="3"/>
  <c r="J5439" i="3"/>
  <c r="J5440" i="3"/>
  <c r="J5441" i="3"/>
  <c r="J5442" i="3"/>
  <c r="J5443" i="3"/>
  <c r="J5444" i="3"/>
  <c r="J5445" i="3"/>
  <c r="J5446" i="3"/>
  <c r="J5447" i="3"/>
  <c r="J5448" i="3"/>
  <c r="J5449" i="3"/>
  <c r="J5450" i="3"/>
  <c r="J5451" i="3"/>
  <c r="J5452" i="3"/>
  <c r="J5453" i="3"/>
  <c r="J5454" i="3"/>
  <c r="J5455" i="3"/>
  <c r="J5456" i="3"/>
  <c r="J5457" i="3"/>
  <c r="J5458" i="3"/>
  <c r="J5459" i="3"/>
  <c r="J5460" i="3"/>
  <c r="J5461" i="3"/>
  <c r="J5462" i="3"/>
  <c r="J5463" i="3"/>
  <c r="J5464" i="3"/>
  <c r="J5465" i="3"/>
  <c r="J5466" i="3"/>
  <c r="J5467" i="3"/>
  <c r="J5468" i="3"/>
  <c r="J5469" i="3"/>
  <c r="J5470" i="3"/>
  <c r="J5471" i="3"/>
  <c r="J5472" i="3"/>
  <c r="J5473" i="3"/>
  <c r="J5474" i="3"/>
  <c r="J5475" i="3"/>
  <c r="J5476" i="3"/>
  <c r="J5477" i="3"/>
  <c r="J5478" i="3"/>
  <c r="J5479" i="3"/>
  <c r="J5480" i="3"/>
  <c r="J5481" i="3"/>
  <c r="J5482" i="3"/>
  <c r="J5483" i="3"/>
  <c r="J5484" i="3"/>
  <c r="J5485" i="3"/>
  <c r="J5486" i="3"/>
  <c r="J5487" i="3"/>
  <c r="J5488" i="3"/>
  <c r="J5489" i="3"/>
  <c r="J5490" i="3"/>
  <c r="J5491" i="3"/>
  <c r="J5492" i="3"/>
  <c r="J5493" i="3"/>
  <c r="J5494" i="3"/>
  <c r="J5495" i="3"/>
  <c r="J5496" i="3"/>
  <c r="J5497" i="3"/>
  <c r="J5498" i="3"/>
  <c r="J5499" i="3"/>
  <c r="J5500" i="3"/>
  <c r="J5501" i="3"/>
  <c r="J5502" i="3"/>
  <c r="J5503" i="3"/>
  <c r="J5504" i="3"/>
  <c r="J5505" i="3"/>
  <c r="J5506" i="3"/>
  <c r="J5507" i="3"/>
  <c r="J5508" i="3"/>
  <c r="J5509" i="3"/>
  <c r="J5510" i="3"/>
  <c r="J5511" i="3"/>
  <c r="J5512" i="3"/>
  <c r="J5513" i="3"/>
  <c r="J5514" i="3"/>
  <c r="J5515" i="3"/>
  <c r="J5516" i="3"/>
  <c r="J5517" i="3"/>
  <c r="J5518" i="3"/>
  <c r="J5519" i="3"/>
  <c r="J5520" i="3"/>
  <c r="J5521" i="3"/>
  <c r="J5522" i="3"/>
  <c r="J5523" i="3"/>
  <c r="J5524" i="3"/>
  <c r="J5525" i="3"/>
  <c r="J5526" i="3"/>
  <c r="J5527" i="3"/>
  <c r="J5528" i="3"/>
  <c r="J5529" i="3"/>
  <c r="J5530" i="3"/>
  <c r="J5531" i="3"/>
  <c r="J5532" i="3"/>
  <c r="J5533" i="3"/>
  <c r="J5534" i="3"/>
  <c r="J5535" i="3"/>
  <c r="J5536" i="3"/>
  <c r="J5537" i="3"/>
  <c r="J5538" i="3"/>
  <c r="J5539" i="3"/>
  <c r="J5540" i="3"/>
  <c r="J5541" i="3"/>
  <c r="J5542" i="3"/>
  <c r="J5543" i="3"/>
  <c r="J5544" i="3"/>
  <c r="J5545" i="3"/>
  <c r="J5546" i="3"/>
  <c r="J5547" i="3"/>
  <c r="J5548" i="3"/>
  <c r="J5549" i="3"/>
  <c r="J5550" i="3"/>
  <c r="J5551" i="3"/>
  <c r="J5552" i="3"/>
  <c r="J5553" i="3"/>
  <c r="J5554" i="3"/>
  <c r="J5555" i="3"/>
  <c r="J5556" i="3"/>
  <c r="J5557" i="3"/>
  <c r="J5558" i="3"/>
  <c r="J5559" i="3"/>
  <c r="J5560" i="3"/>
  <c r="J5561" i="3"/>
  <c r="J5562" i="3"/>
  <c r="J5563" i="3"/>
  <c r="J5564" i="3"/>
  <c r="J5565" i="3"/>
  <c r="J5566" i="3"/>
  <c r="J5567" i="3"/>
  <c r="J5568" i="3"/>
  <c r="J5569" i="3"/>
  <c r="J5570" i="3"/>
  <c r="J5571" i="3"/>
  <c r="J5572" i="3"/>
  <c r="J5573" i="3"/>
  <c r="J5574" i="3"/>
  <c r="J5575" i="3"/>
  <c r="J5576" i="3"/>
  <c r="J5577" i="3"/>
  <c r="J5578" i="3"/>
  <c r="J5579" i="3"/>
  <c r="J5580" i="3"/>
  <c r="J5581" i="3"/>
  <c r="J5582" i="3"/>
  <c r="J5583" i="3"/>
  <c r="J5584" i="3"/>
  <c r="J5585" i="3"/>
  <c r="J5586" i="3"/>
  <c r="J5587" i="3"/>
  <c r="J5588" i="3"/>
  <c r="J5589" i="3"/>
  <c r="J5590" i="3"/>
  <c r="J5591" i="3"/>
  <c r="J5592" i="3"/>
  <c r="J5593" i="3"/>
  <c r="J5594" i="3"/>
  <c r="J5595" i="3"/>
  <c r="J5596" i="3"/>
  <c r="J5597" i="3"/>
  <c r="J5598" i="3"/>
  <c r="J5599" i="3"/>
  <c r="J5600" i="3"/>
  <c r="J5601" i="3"/>
  <c r="J5602" i="3"/>
  <c r="J5603" i="3"/>
  <c r="J5604" i="3"/>
  <c r="J5605" i="3"/>
  <c r="J5606" i="3"/>
  <c r="J5607" i="3"/>
  <c r="J5608" i="3"/>
  <c r="J5609" i="3"/>
  <c r="J5610" i="3"/>
  <c r="J5611" i="3"/>
  <c r="J5612" i="3"/>
  <c r="J5613" i="3"/>
  <c r="J5614" i="3"/>
  <c r="J5615" i="3"/>
  <c r="J5616" i="3"/>
  <c r="J5617" i="3"/>
  <c r="J5618" i="3"/>
  <c r="J5619" i="3"/>
  <c r="J5620" i="3"/>
  <c r="J5621" i="3"/>
  <c r="J5622" i="3"/>
  <c r="J5623" i="3"/>
  <c r="J5624" i="3"/>
  <c r="J5625" i="3"/>
  <c r="J5626" i="3"/>
  <c r="J5627" i="3"/>
  <c r="J5628" i="3"/>
  <c r="J5629" i="3"/>
  <c r="J5630" i="3"/>
  <c r="J5631" i="3"/>
  <c r="J5632" i="3"/>
  <c r="J5633" i="3"/>
  <c r="J5634" i="3"/>
  <c r="J5635" i="3"/>
  <c r="J5636" i="3"/>
  <c r="J5637" i="3"/>
  <c r="J5638" i="3"/>
  <c r="J5639" i="3"/>
  <c r="J5640" i="3"/>
  <c r="J5641" i="3"/>
  <c r="J5642" i="3"/>
  <c r="J5643" i="3"/>
  <c r="J5644" i="3"/>
  <c r="J5645" i="3"/>
  <c r="J5646" i="3"/>
  <c r="J5647" i="3"/>
  <c r="J5648" i="3"/>
  <c r="J5649" i="3"/>
  <c r="J5650" i="3"/>
  <c r="J5651" i="3"/>
  <c r="J5652" i="3"/>
  <c r="J5653" i="3"/>
  <c r="J5654" i="3"/>
  <c r="J5655" i="3"/>
  <c r="J5656" i="3"/>
  <c r="J5657" i="3"/>
  <c r="J5658" i="3"/>
  <c r="J5659" i="3"/>
  <c r="J5660" i="3"/>
  <c r="J5661" i="3"/>
  <c r="J5662" i="3"/>
  <c r="J5663" i="3"/>
  <c r="J5664" i="3"/>
  <c r="J5665" i="3"/>
  <c r="J5666" i="3"/>
  <c r="J5667" i="3"/>
  <c r="J5668" i="3"/>
  <c r="J5669" i="3"/>
  <c r="J5670" i="3"/>
  <c r="J5671" i="3"/>
  <c r="J5672" i="3"/>
  <c r="J5673" i="3"/>
  <c r="J5674" i="3"/>
  <c r="J5675" i="3"/>
  <c r="J5676" i="3"/>
  <c r="J5677" i="3"/>
  <c r="J5678" i="3"/>
  <c r="J5679" i="3"/>
  <c r="J5680" i="3"/>
  <c r="J5681" i="3"/>
  <c r="J5682" i="3"/>
  <c r="J5683" i="3"/>
  <c r="J5684" i="3"/>
  <c r="J5685" i="3"/>
  <c r="J5686" i="3"/>
  <c r="J5687" i="3"/>
  <c r="J5688" i="3"/>
  <c r="J5689" i="3"/>
  <c r="J5690" i="3"/>
  <c r="J5691" i="3"/>
  <c r="J5692" i="3"/>
  <c r="J5693" i="3"/>
  <c r="J5694" i="3"/>
  <c r="J5695" i="3"/>
  <c r="J5696" i="3"/>
  <c r="J5697" i="3"/>
  <c r="J5698" i="3"/>
  <c r="J5699" i="3"/>
  <c r="J5700" i="3"/>
  <c r="J5701" i="3"/>
  <c r="J5702" i="3"/>
  <c r="J5703" i="3"/>
  <c r="J5704" i="3"/>
  <c r="J5705" i="3"/>
  <c r="J5706" i="3"/>
  <c r="J5707" i="3"/>
  <c r="J5708" i="3"/>
  <c r="J5709" i="3"/>
  <c r="J5710" i="3"/>
  <c r="J5711" i="3"/>
  <c r="J5712" i="3"/>
  <c r="J5713" i="3"/>
  <c r="J5714" i="3"/>
  <c r="J5715" i="3"/>
  <c r="J5716" i="3"/>
  <c r="J5717" i="3"/>
  <c r="J5718" i="3"/>
  <c r="J5719" i="3"/>
  <c r="J5720" i="3"/>
  <c r="J5721" i="3"/>
  <c r="J5722" i="3"/>
  <c r="J5723" i="3"/>
  <c r="J5724" i="3"/>
  <c r="J5725" i="3"/>
  <c r="J5726" i="3"/>
  <c r="J5727" i="3"/>
  <c r="J5728" i="3"/>
  <c r="J5729" i="3"/>
  <c r="J5730" i="3"/>
  <c r="J5731" i="3"/>
  <c r="J5732" i="3"/>
  <c r="J5733" i="3"/>
  <c r="J5734" i="3"/>
  <c r="J5735" i="3"/>
  <c r="J5736" i="3"/>
  <c r="J5737" i="3"/>
  <c r="J5738" i="3"/>
  <c r="J5739" i="3"/>
  <c r="J5740" i="3"/>
  <c r="J5741" i="3"/>
  <c r="J5742" i="3"/>
  <c r="J5743" i="3"/>
  <c r="J5744" i="3"/>
  <c r="J5745" i="3"/>
  <c r="J5746" i="3"/>
  <c r="J5747" i="3"/>
  <c r="J5748" i="3"/>
  <c r="J5749" i="3"/>
  <c r="J5750" i="3"/>
  <c r="J5751" i="3"/>
  <c r="J5752" i="3"/>
  <c r="J5753" i="3"/>
  <c r="J5754" i="3"/>
  <c r="J5755" i="3"/>
  <c r="J5756" i="3"/>
  <c r="J5757" i="3"/>
  <c r="J5758" i="3"/>
  <c r="J5759" i="3"/>
  <c r="J5760" i="3"/>
  <c r="J5761" i="3"/>
  <c r="J5762" i="3"/>
  <c r="J5763" i="3"/>
  <c r="J5764" i="3"/>
  <c r="J5765" i="3"/>
  <c r="J5766" i="3"/>
  <c r="J5767" i="3"/>
  <c r="J5768" i="3"/>
  <c r="J5769" i="3"/>
  <c r="J5770" i="3"/>
  <c r="J5771" i="3"/>
  <c r="J5772" i="3"/>
  <c r="J5773" i="3"/>
  <c r="J5774" i="3"/>
  <c r="J5775" i="3"/>
  <c r="J5776" i="3"/>
  <c r="J5777" i="3"/>
  <c r="J5778" i="3"/>
  <c r="J5779" i="3"/>
  <c r="J5780" i="3"/>
  <c r="J5781" i="3"/>
  <c r="J5782" i="3"/>
  <c r="J5783" i="3"/>
  <c r="J5784" i="3"/>
  <c r="J5785" i="3"/>
  <c r="J5786" i="3"/>
  <c r="J5787" i="3"/>
  <c r="J5788" i="3"/>
  <c r="J5789" i="3"/>
  <c r="J5790" i="3"/>
  <c r="J5791" i="3"/>
  <c r="J5792" i="3"/>
  <c r="J5793" i="3"/>
  <c r="J5794" i="3"/>
  <c r="J5795" i="3"/>
  <c r="J5796" i="3"/>
  <c r="J5797" i="3"/>
  <c r="J5798" i="3"/>
  <c r="J5799" i="3"/>
  <c r="J5800" i="3"/>
  <c r="J5801" i="3"/>
  <c r="J5802" i="3"/>
  <c r="J5803" i="3"/>
  <c r="J5804" i="3"/>
  <c r="J5805" i="3"/>
  <c r="J5806" i="3"/>
  <c r="J5807" i="3"/>
  <c r="J5808" i="3"/>
  <c r="J5809" i="3"/>
  <c r="J5810" i="3"/>
  <c r="J5811" i="3"/>
  <c r="J5812" i="3"/>
  <c r="J5813" i="3"/>
  <c r="J5814" i="3"/>
  <c r="J5815" i="3"/>
  <c r="J5816" i="3"/>
  <c r="J5817" i="3"/>
  <c r="J5818" i="3"/>
  <c r="J5819" i="3"/>
  <c r="J5820" i="3"/>
  <c r="J5821" i="3"/>
  <c r="J5822" i="3"/>
  <c r="J5823" i="3"/>
  <c r="J5824" i="3"/>
  <c r="J5825" i="3"/>
  <c r="J5826" i="3"/>
  <c r="J5827" i="3"/>
  <c r="J5828" i="3"/>
  <c r="J5829" i="3"/>
  <c r="J5830" i="3"/>
  <c r="J5831" i="3"/>
  <c r="J5832" i="3"/>
  <c r="J5833" i="3"/>
  <c r="J5834" i="3"/>
  <c r="J5835" i="3"/>
  <c r="J5836" i="3"/>
  <c r="J5837" i="3"/>
  <c r="J5838" i="3"/>
  <c r="J5839" i="3"/>
  <c r="J5840" i="3"/>
  <c r="J5841" i="3"/>
  <c r="J5842" i="3"/>
  <c r="J5843" i="3"/>
  <c r="J5844" i="3"/>
  <c r="J5845" i="3"/>
  <c r="J5846" i="3"/>
  <c r="J5847" i="3"/>
  <c r="J5848" i="3"/>
  <c r="J5849" i="3"/>
  <c r="J5850" i="3"/>
  <c r="J5851" i="3"/>
  <c r="J5852" i="3"/>
  <c r="J5853" i="3"/>
  <c r="J5854" i="3"/>
  <c r="J5855" i="3"/>
  <c r="J5856" i="3"/>
  <c r="J5857" i="3"/>
  <c r="J5858" i="3"/>
  <c r="J5859" i="3"/>
  <c r="J5860" i="3"/>
  <c r="J5861" i="3"/>
  <c r="J5862" i="3"/>
  <c r="J5863" i="3"/>
  <c r="J5864" i="3"/>
  <c r="J5865" i="3"/>
  <c r="J5866" i="3"/>
  <c r="J5867" i="3"/>
  <c r="J5868" i="3"/>
  <c r="J5869" i="3"/>
  <c r="J5870" i="3"/>
  <c r="J5871" i="3"/>
  <c r="J5872" i="3"/>
  <c r="J5873" i="3"/>
  <c r="J5874" i="3"/>
  <c r="J5875" i="3"/>
  <c r="J5876" i="3"/>
  <c r="J5877" i="3"/>
  <c r="J5878" i="3"/>
  <c r="J5879" i="3"/>
  <c r="J5880" i="3"/>
  <c r="J5881" i="3"/>
  <c r="J5882" i="3"/>
  <c r="J5883" i="3"/>
  <c r="J5884" i="3"/>
  <c r="J5885" i="3"/>
  <c r="J5886" i="3"/>
  <c r="J5887" i="3"/>
  <c r="J5888" i="3"/>
  <c r="J5889" i="3"/>
  <c r="J5890" i="3"/>
  <c r="J5891" i="3"/>
  <c r="J5892" i="3"/>
  <c r="J5893" i="3"/>
  <c r="J5894" i="3"/>
  <c r="J5895" i="3"/>
  <c r="J5896" i="3"/>
  <c r="J5897" i="3"/>
  <c r="J5898" i="3"/>
  <c r="J5899" i="3"/>
  <c r="J5900" i="3"/>
  <c r="J5901" i="3"/>
  <c r="J5902" i="3"/>
  <c r="J5903" i="3"/>
  <c r="J5904" i="3"/>
  <c r="J5905" i="3"/>
  <c r="J5906" i="3"/>
  <c r="J5907" i="3"/>
  <c r="J5908" i="3"/>
  <c r="J5909" i="3"/>
  <c r="J5910" i="3"/>
  <c r="J5911" i="3"/>
  <c r="J5912" i="3"/>
  <c r="J5913" i="3"/>
  <c r="J5914" i="3"/>
  <c r="J5915" i="3"/>
  <c r="J5916" i="3"/>
  <c r="J5917" i="3"/>
  <c r="J5918" i="3"/>
  <c r="J5919" i="3"/>
  <c r="J5920" i="3"/>
  <c r="J5921" i="3"/>
  <c r="J5922" i="3"/>
  <c r="J5923" i="3"/>
  <c r="J5924" i="3"/>
  <c r="J5925" i="3"/>
  <c r="J5926" i="3"/>
  <c r="J5927" i="3"/>
  <c r="J5928" i="3"/>
  <c r="J5929" i="3"/>
  <c r="J5930" i="3"/>
  <c r="J5931" i="3"/>
  <c r="J5932" i="3"/>
  <c r="J5933" i="3"/>
  <c r="J5934" i="3"/>
  <c r="J5935" i="3"/>
  <c r="J5936" i="3"/>
  <c r="J5937" i="3"/>
  <c r="J5938" i="3"/>
  <c r="J5939" i="3"/>
  <c r="J5940" i="3"/>
  <c r="J5941" i="3"/>
  <c r="J5942" i="3"/>
  <c r="J5943" i="3"/>
  <c r="J5944" i="3"/>
  <c r="J5945" i="3"/>
  <c r="J5946" i="3"/>
  <c r="J5947" i="3"/>
  <c r="J5948" i="3"/>
  <c r="J5949" i="3"/>
  <c r="J5950" i="3"/>
  <c r="J5951" i="3"/>
  <c r="J5952" i="3"/>
  <c r="J5953" i="3"/>
  <c r="J5954" i="3"/>
  <c r="J5955" i="3"/>
  <c r="J5956" i="3"/>
  <c r="J5957" i="3"/>
  <c r="J5958" i="3"/>
  <c r="J5959" i="3"/>
  <c r="J5960" i="3"/>
  <c r="J5961" i="3"/>
  <c r="J5962" i="3"/>
  <c r="J5963" i="3"/>
  <c r="J5964" i="3"/>
  <c r="J5965" i="3"/>
  <c r="J5966" i="3"/>
  <c r="J5967" i="3"/>
  <c r="J5968" i="3"/>
  <c r="J5969" i="3"/>
  <c r="J5970" i="3"/>
  <c r="J5971" i="3"/>
  <c r="J5972" i="3"/>
  <c r="J5973" i="3"/>
  <c r="J5974" i="3"/>
  <c r="J5975" i="3"/>
  <c r="J5976" i="3"/>
  <c r="J5977" i="3"/>
  <c r="J5978" i="3"/>
  <c r="J5979" i="3"/>
  <c r="J5980" i="3"/>
  <c r="J5981" i="3"/>
  <c r="J5982" i="3"/>
  <c r="J5983" i="3"/>
  <c r="J5984" i="3"/>
  <c r="J5985" i="3"/>
  <c r="J5986" i="3"/>
  <c r="J5987" i="3"/>
  <c r="J5988" i="3"/>
  <c r="J5989" i="3"/>
  <c r="J5990" i="3"/>
  <c r="J5991" i="3"/>
  <c r="J5992" i="3"/>
  <c r="J5993" i="3"/>
  <c r="J5994" i="3"/>
  <c r="J5995" i="3"/>
  <c r="J5996" i="3"/>
  <c r="J5997" i="3"/>
  <c r="J5998" i="3"/>
  <c r="J5999" i="3"/>
  <c r="J6000" i="3"/>
  <c r="J6001" i="3"/>
  <c r="J6002" i="3"/>
  <c r="J6003" i="3"/>
  <c r="J6004" i="3"/>
  <c r="J6005" i="3"/>
  <c r="J6006" i="3"/>
  <c r="J6007" i="3"/>
  <c r="J6008" i="3"/>
  <c r="J6009" i="3"/>
  <c r="J6010" i="3"/>
  <c r="J6011" i="3"/>
  <c r="J6012" i="3"/>
  <c r="J6013" i="3"/>
  <c r="J6014" i="3"/>
  <c r="J6015" i="3"/>
  <c r="J6016" i="3"/>
  <c r="J6017" i="3"/>
  <c r="J6018" i="3"/>
  <c r="J6019" i="3"/>
  <c r="J6020" i="3"/>
  <c r="J6021" i="3"/>
  <c r="J6022" i="3"/>
  <c r="J6023" i="3"/>
  <c r="J6024" i="3"/>
  <c r="J6025" i="3"/>
  <c r="J6026" i="3"/>
  <c r="J6027" i="3"/>
  <c r="J6028" i="3"/>
  <c r="J6029" i="3"/>
  <c r="J6030" i="3"/>
  <c r="J6031" i="3"/>
  <c r="J6032" i="3"/>
  <c r="J6033" i="3"/>
  <c r="J6034" i="3"/>
  <c r="J6035" i="3"/>
  <c r="J6036" i="3"/>
  <c r="J6037" i="3"/>
  <c r="J6038" i="3"/>
  <c r="J6039" i="3"/>
  <c r="J6040" i="3"/>
  <c r="J6041" i="3"/>
  <c r="J6042" i="3"/>
  <c r="J6043" i="3"/>
  <c r="J6044" i="3"/>
  <c r="J6045" i="3"/>
  <c r="J6046" i="3"/>
  <c r="J6047" i="3"/>
  <c r="J6048" i="3"/>
  <c r="J6049" i="3"/>
  <c r="J6050" i="3"/>
  <c r="J6051" i="3"/>
  <c r="J6052" i="3"/>
  <c r="J6053" i="3"/>
  <c r="J6054" i="3"/>
  <c r="J6055" i="3"/>
  <c r="J6056" i="3"/>
  <c r="J6057" i="3"/>
  <c r="J6058" i="3"/>
  <c r="J6059" i="3"/>
  <c r="J6060" i="3"/>
  <c r="J6061" i="3"/>
  <c r="J6062" i="3"/>
  <c r="J6063" i="3"/>
  <c r="J6064" i="3"/>
  <c r="J6065" i="3"/>
  <c r="J6066" i="3"/>
  <c r="J6067" i="3"/>
  <c r="J6068" i="3"/>
  <c r="J6069" i="3"/>
  <c r="J6070" i="3"/>
  <c r="J6071" i="3"/>
  <c r="J6072" i="3"/>
  <c r="J6073" i="3"/>
  <c r="J6074" i="3"/>
  <c r="J6075" i="3"/>
  <c r="J6076" i="3"/>
  <c r="J6077" i="3"/>
  <c r="J6078" i="3"/>
  <c r="J6079" i="3"/>
  <c r="J6080" i="3"/>
  <c r="J6081" i="3"/>
  <c r="J6082" i="3"/>
  <c r="J6083" i="3"/>
  <c r="J6084" i="3"/>
  <c r="J6085" i="3"/>
  <c r="J6086" i="3"/>
  <c r="J6087" i="3"/>
  <c r="J6088" i="3"/>
  <c r="J6089" i="3"/>
  <c r="J6090" i="3"/>
  <c r="J6091" i="3"/>
  <c r="J6092" i="3"/>
  <c r="J6093" i="3"/>
  <c r="J6094" i="3"/>
  <c r="J6095" i="3"/>
  <c r="J6096" i="3"/>
  <c r="J6097" i="3"/>
  <c r="J6098" i="3"/>
  <c r="J6099" i="3"/>
  <c r="J6100" i="3"/>
  <c r="J6101" i="3"/>
  <c r="J6102" i="3"/>
  <c r="J6103" i="3"/>
  <c r="J6104" i="3"/>
  <c r="J6105" i="3"/>
  <c r="J6106" i="3"/>
  <c r="J6107" i="3"/>
  <c r="J6108" i="3"/>
  <c r="J6109" i="3"/>
  <c r="J6110" i="3"/>
  <c r="J6111" i="3"/>
  <c r="J6112" i="3"/>
  <c r="J6113" i="3"/>
  <c r="J6114" i="3"/>
  <c r="J6115" i="3"/>
  <c r="J6116" i="3"/>
  <c r="J6117" i="3"/>
  <c r="J6118" i="3"/>
  <c r="J6119" i="3"/>
  <c r="J6120" i="3"/>
  <c r="J6121" i="3"/>
  <c r="J6122" i="3"/>
  <c r="J6123" i="3"/>
  <c r="J6124" i="3"/>
  <c r="J6125" i="3"/>
  <c r="J6126" i="3"/>
  <c r="J6127" i="3"/>
  <c r="J6128" i="3"/>
  <c r="J6129" i="3"/>
  <c r="J6130" i="3"/>
  <c r="J6131" i="3"/>
  <c r="J6132" i="3"/>
  <c r="J6133" i="3"/>
  <c r="J6134" i="3"/>
  <c r="J6135" i="3"/>
  <c r="J6136" i="3"/>
  <c r="J6137" i="3"/>
  <c r="J6138" i="3"/>
  <c r="J6139" i="3"/>
  <c r="J6140" i="3"/>
  <c r="J6141" i="3"/>
  <c r="J6142" i="3"/>
  <c r="J6143" i="3"/>
  <c r="J6144" i="3"/>
  <c r="J6145" i="3"/>
  <c r="J6146" i="3"/>
  <c r="J6147" i="3"/>
  <c r="J6148" i="3"/>
  <c r="J6149" i="3"/>
  <c r="J6150" i="3"/>
  <c r="J6151" i="3"/>
  <c r="J6152" i="3"/>
  <c r="J6153" i="3"/>
  <c r="J6154" i="3"/>
  <c r="J6155" i="3"/>
  <c r="J6156" i="3"/>
  <c r="J6157" i="3"/>
  <c r="J6158" i="3"/>
  <c r="J6159" i="3"/>
  <c r="J6160" i="3"/>
  <c r="J6161" i="3"/>
  <c r="J6162" i="3"/>
  <c r="J6163" i="3"/>
  <c r="J6164" i="3"/>
  <c r="J6165" i="3"/>
  <c r="J6166" i="3"/>
  <c r="J6167" i="3"/>
  <c r="J6168" i="3"/>
  <c r="J6169" i="3"/>
  <c r="J6170" i="3"/>
  <c r="J6171" i="3"/>
  <c r="J6172" i="3"/>
  <c r="J6173" i="3"/>
  <c r="J6174" i="3"/>
  <c r="J6175" i="3"/>
  <c r="J6176" i="3"/>
  <c r="J6177" i="3"/>
  <c r="J6178" i="3"/>
  <c r="J6179" i="3"/>
  <c r="J6180" i="3"/>
  <c r="J6181" i="3"/>
  <c r="J6182" i="3"/>
  <c r="J6183" i="3"/>
  <c r="J6184" i="3"/>
  <c r="J6185" i="3"/>
  <c r="J6186" i="3"/>
  <c r="J6187" i="3"/>
  <c r="J6188" i="3"/>
  <c r="J6189" i="3"/>
  <c r="J6190" i="3"/>
  <c r="J6191" i="3"/>
  <c r="J6192" i="3"/>
  <c r="J6193" i="3"/>
  <c r="J6194" i="3"/>
  <c r="J6195" i="3"/>
  <c r="J6196" i="3"/>
  <c r="J6197" i="3"/>
  <c r="J6198" i="3"/>
  <c r="J6199" i="3"/>
  <c r="J6200" i="3"/>
  <c r="J6201" i="3"/>
  <c r="J6202" i="3"/>
  <c r="J6203" i="3"/>
  <c r="J6204" i="3"/>
  <c r="J6205" i="3"/>
  <c r="J6206" i="3"/>
  <c r="J6207" i="3"/>
  <c r="J6208" i="3"/>
  <c r="J6209" i="3"/>
  <c r="J6210" i="3"/>
  <c r="J6211" i="3"/>
  <c r="J6212" i="3"/>
  <c r="J6213" i="3"/>
  <c r="J6214" i="3"/>
  <c r="J6215" i="3"/>
  <c r="J6216" i="3"/>
  <c r="J6217" i="3"/>
  <c r="J6218" i="3"/>
  <c r="J6219" i="3"/>
  <c r="J6220" i="3"/>
  <c r="J6221" i="3"/>
  <c r="J6222" i="3"/>
  <c r="J6223" i="3"/>
  <c r="J6224" i="3"/>
  <c r="J6225" i="3"/>
  <c r="J6226" i="3"/>
  <c r="J6227" i="3"/>
  <c r="J6228" i="3"/>
  <c r="J6229" i="3"/>
  <c r="J6230" i="3"/>
  <c r="J6231" i="3"/>
  <c r="J6232" i="3"/>
  <c r="J6233" i="3"/>
  <c r="J6234" i="3"/>
  <c r="J6235" i="3"/>
  <c r="J6236" i="3"/>
  <c r="J6237" i="3"/>
  <c r="J6238" i="3"/>
  <c r="J6239" i="3"/>
  <c r="J6240" i="3"/>
  <c r="J6241" i="3"/>
  <c r="J6242" i="3"/>
  <c r="J6243" i="3"/>
  <c r="J6244" i="3"/>
  <c r="J6245" i="3"/>
  <c r="J6246" i="3"/>
  <c r="J6247" i="3"/>
  <c r="J6248" i="3"/>
  <c r="J6249" i="3"/>
  <c r="J6250" i="3"/>
  <c r="J6251" i="3"/>
  <c r="J6252" i="3"/>
  <c r="J6253" i="3"/>
  <c r="J6254" i="3"/>
  <c r="J6255" i="3"/>
  <c r="J6256" i="3"/>
  <c r="J6257" i="3"/>
  <c r="J6258" i="3"/>
  <c r="J6259" i="3"/>
  <c r="J6260" i="3"/>
  <c r="J6261" i="3"/>
  <c r="J6262" i="3"/>
  <c r="J6263" i="3"/>
  <c r="J6264" i="3"/>
  <c r="J6265" i="3"/>
  <c r="J6266" i="3"/>
  <c r="J6267" i="3"/>
  <c r="J6268" i="3"/>
  <c r="J6269" i="3"/>
  <c r="J6270" i="3"/>
  <c r="J6271" i="3"/>
  <c r="J6272" i="3"/>
  <c r="J6273" i="3"/>
  <c r="J6274" i="3"/>
  <c r="J6275" i="3"/>
  <c r="J6276" i="3"/>
  <c r="J6277" i="3"/>
  <c r="J6278" i="3"/>
  <c r="J6279" i="3"/>
  <c r="J6280" i="3"/>
  <c r="J6281" i="3"/>
  <c r="J6282" i="3"/>
  <c r="J6283" i="3"/>
  <c r="J6284" i="3"/>
  <c r="J6285" i="3"/>
  <c r="J6286" i="3"/>
  <c r="J6287" i="3"/>
  <c r="J6288" i="3"/>
  <c r="J6289" i="3"/>
  <c r="J6290" i="3"/>
  <c r="J6291" i="3"/>
  <c r="J6292" i="3"/>
  <c r="J6293" i="3"/>
  <c r="J6294" i="3"/>
  <c r="J6295" i="3"/>
  <c r="J6296" i="3"/>
  <c r="J6297" i="3"/>
  <c r="J6298" i="3"/>
  <c r="J6299" i="3"/>
  <c r="J6300" i="3"/>
  <c r="J6301" i="3"/>
  <c r="J6302" i="3"/>
  <c r="J6303" i="3"/>
  <c r="J6304" i="3"/>
  <c r="J6305" i="3"/>
  <c r="J6306" i="3"/>
  <c r="J6307" i="3"/>
  <c r="J6308" i="3"/>
  <c r="J6309" i="3"/>
  <c r="J6310" i="3"/>
  <c r="J6311" i="3"/>
  <c r="J6312" i="3"/>
  <c r="J6313" i="3"/>
  <c r="J6314" i="3"/>
  <c r="J6315" i="3"/>
  <c r="J6316" i="3"/>
  <c r="J6317" i="3"/>
  <c r="J6318" i="3"/>
  <c r="J6319" i="3"/>
  <c r="J6320" i="3"/>
  <c r="J6321" i="3"/>
  <c r="J6322" i="3"/>
  <c r="J6323" i="3"/>
  <c r="J6324" i="3"/>
  <c r="J6325" i="3"/>
  <c r="J6326" i="3"/>
  <c r="J6327" i="3"/>
  <c r="J6328" i="3"/>
  <c r="J6329" i="3"/>
  <c r="J6330" i="3"/>
  <c r="J6331" i="3"/>
  <c r="J6332" i="3"/>
  <c r="J6333" i="3"/>
  <c r="J6334" i="3"/>
  <c r="J6335" i="3"/>
  <c r="J6336" i="3"/>
  <c r="J6337" i="3"/>
  <c r="J6338" i="3"/>
  <c r="J6339" i="3"/>
  <c r="J6340" i="3"/>
  <c r="J6341" i="3"/>
  <c r="J6342" i="3"/>
  <c r="J6343" i="3"/>
  <c r="J6344" i="3"/>
  <c r="J6345" i="3"/>
  <c r="J6346" i="3"/>
  <c r="J6347" i="3"/>
  <c r="J6348" i="3"/>
  <c r="J6349" i="3"/>
  <c r="J6350" i="3"/>
  <c r="J6351" i="3"/>
  <c r="J6352" i="3"/>
  <c r="J6353" i="3"/>
  <c r="J6354" i="3"/>
  <c r="J6355" i="3"/>
  <c r="J6356" i="3"/>
  <c r="J6357" i="3"/>
  <c r="J6358" i="3"/>
  <c r="J6359" i="3"/>
  <c r="J6360" i="3"/>
  <c r="J6361" i="3"/>
  <c r="J6362" i="3"/>
  <c r="J6363" i="3"/>
  <c r="J6364" i="3"/>
  <c r="J6365" i="3"/>
  <c r="J6366" i="3"/>
  <c r="J6367" i="3"/>
  <c r="J6368" i="3"/>
  <c r="J6369" i="3"/>
  <c r="J6370" i="3"/>
  <c r="J6371" i="3"/>
  <c r="J6372" i="3"/>
  <c r="J6373" i="3"/>
  <c r="J6374" i="3"/>
  <c r="J6375" i="3"/>
  <c r="J6376" i="3"/>
  <c r="J6377" i="3"/>
  <c r="J6378" i="3"/>
  <c r="J6379" i="3"/>
  <c r="J6380" i="3"/>
  <c r="J6381" i="3"/>
  <c r="J6382" i="3"/>
  <c r="J6383" i="3"/>
  <c r="J6384" i="3"/>
  <c r="J6385" i="3"/>
  <c r="J6386" i="3"/>
  <c r="J6387" i="3"/>
  <c r="J6388" i="3"/>
  <c r="J6389" i="3"/>
  <c r="J6390" i="3"/>
  <c r="J6391" i="3"/>
  <c r="J6392" i="3"/>
  <c r="J6393" i="3"/>
  <c r="J6394" i="3"/>
  <c r="J6395" i="3"/>
  <c r="J6396" i="3"/>
  <c r="J6397" i="3"/>
  <c r="J6398" i="3"/>
  <c r="J6399" i="3"/>
  <c r="J6400" i="3"/>
  <c r="J6401" i="3"/>
  <c r="J6402" i="3"/>
  <c r="J6403" i="3"/>
  <c r="J6404" i="3"/>
  <c r="J6405" i="3"/>
  <c r="J6406" i="3"/>
  <c r="J6407" i="3"/>
  <c r="J6408" i="3"/>
  <c r="J6409" i="3"/>
  <c r="J6410" i="3"/>
  <c r="J6411" i="3"/>
  <c r="J6412" i="3"/>
  <c r="J6413" i="3"/>
  <c r="J6414" i="3"/>
  <c r="J6415" i="3"/>
  <c r="J6416" i="3"/>
  <c r="J6417" i="3"/>
  <c r="J6418" i="3"/>
  <c r="J6419" i="3"/>
  <c r="J6420" i="3"/>
  <c r="J6421" i="3"/>
  <c r="J6422" i="3"/>
  <c r="J6423" i="3"/>
  <c r="J6424" i="3"/>
  <c r="J6425" i="3"/>
  <c r="J6426" i="3"/>
  <c r="J6427" i="3"/>
  <c r="J6428" i="3"/>
  <c r="J6429" i="3"/>
  <c r="J6430" i="3"/>
  <c r="J6431" i="3"/>
  <c r="J6432" i="3"/>
  <c r="J6433" i="3"/>
  <c r="J6434" i="3"/>
  <c r="J6435" i="3"/>
  <c r="J6436" i="3"/>
  <c r="J6437" i="3"/>
  <c r="J6438" i="3"/>
  <c r="J6439" i="3"/>
  <c r="J6440" i="3"/>
  <c r="J6441" i="3"/>
  <c r="J6442" i="3"/>
  <c r="J6443" i="3"/>
  <c r="J6444" i="3"/>
  <c r="J6445" i="3"/>
  <c r="J6446" i="3"/>
  <c r="J6447" i="3"/>
  <c r="J6448" i="3"/>
  <c r="J6449" i="3"/>
  <c r="J6450" i="3"/>
  <c r="J6451" i="3"/>
  <c r="J6452" i="3"/>
  <c r="J6453" i="3"/>
  <c r="J6454" i="3"/>
  <c r="J6455" i="3"/>
  <c r="J6456" i="3"/>
  <c r="J6457" i="3"/>
  <c r="J6458" i="3"/>
  <c r="J6459" i="3"/>
  <c r="J6460" i="3"/>
  <c r="J6461" i="3"/>
  <c r="J6462" i="3"/>
  <c r="J6463" i="3"/>
  <c r="J6464" i="3"/>
  <c r="J6465" i="3"/>
  <c r="J6466" i="3"/>
  <c r="J6467" i="3"/>
  <c r="J6468" i="3"/>
  <c r="J6469" i="3"/>
  <c r="J6470" i="3"/>
  <c r="J6471" i="3"/>
  <c r="J6472" i="3"/>
  <c r="J6473" i="3"/>
  <c r="J6474" i="3"/>
  <c r="J6475" i="3"/>
  <c r="J6476" i="3"/>
  <c r="J6477" i="3"/>
  <c r="J6478" i="3"/>
  <c r="J6479" i="3"/>
  <c r="J6480" i="3"/>
  <c r="J6481" i="3"/>
  <c r="J6482" i="3"/>
  <c r="J6483" i="3"/>
  <c r="J6484" i="3"/>
  <c r="J6485" i="3"/>
  <c r="J6486" i="3"/>
  <c r="J6487" i="3"/>
  <c r="J6488" i="3"/>
  <c r="J6489" i="3"/>
  <c r="J6490" i="3"/>
  <c r="J6491" i="3"/>
  <c r="J6492" i="3"/>
  <c r="J6493" i="3"/>
  <c r="J6494" i="3"/>
  <c r="J6495" i="3"/>
  <c r="J6496" i="3"/>
  <c r="J6497" i="3"/>
  <c r="J6498" i="3"/>
  <c r="J6499" i="3"/>
  <c r="J6500" i="3"/>
  <c r="J6501" i="3"/>
  <c r="J6502" i="3"/>
  <c r="J6503" i="3"/>
  <c r="J6504" i="3"/>
  <c r="J6505" i="3"/>
  <c r="J6506" i="3"/>
  <c r="J6507" i="3"/>
  <c r="J6508" i="3"/>
  <c r="J6509" i="3"/>
  <c r="J6510" i="3"/>
  <c r="J6511" i="3"/>
  <c r="J6512" i="3"/>
  <c r="J6513" i="3"/>
  <c r="J6514" i="3"/>
  <c r="J6515" i="3"/>
  <c r="J6516" i="3"/>
  <c r="J6517" i="3"/>
  <c r="J6518" i="3"/>
  <c r="J6519" i="3"/>
  <c r="J6520" i="3"/>
  <c r="J6521" i="3"/>
  <c r="J6522" i="3"/>
  <c r="J6523" i="3"/>
  <c r="J6524" i="3"/>
  <c r="J6525" i="3"/>
  <c r="J6526" i="3"/>
  <c r="J6527" i="3"/>
  <c r="J6528" i="3"/>
  <c r="J6529" i="3"/>
  <c r="J6530" i="3"/>
  <c r="J6531" i="3"/>
  <c r="J6532" i="3"/>
  <c r="J6533" i="3"/>
  <c r="J6534" i="3"/>
  <c r="J6535" i="3"/>
  <c r="J6536" i="3"/>
  <c r="J6537" i="3"/>
  <c r="J6538" i="3"/>
  <c r="J6539" i="3"/>
  <c r="J6540" i="3"/>
  <c r="J6541" i="3"/>
  <c r="J6542" i="3"/>
  <c r="J6543" i="3"/>
  <c r="J6544" i="3"/>
  <c r="J6545" i="3"/>
  <c r="J6546" i="3"/>
  <c r="J6547" i="3"/>
  <c r="J6548" i="3"/>
  <c r="J6549" i="3"/>
  <c r="J6550" i="3"/>
  <c r="J6551" i="3"/>
  <c r="J6552" i="3"/>
  <c r="J6553" i="3"/>
  <c r="J6554" i="3"/>
  <c r="J6555" i="3"/>
  <c r="J6556" i="3"/>
  <c r="J6557" i="3"/>
  <c r="J6558" i="3"/>
  <c r="J6559" i="3"/>
  <c r="J6560" i="3"/>
  <c r="J6561" i="3"/>
  <c r="J6562" i="3"/>
  <c r="J6563" i="3"/>
  <c r="J6564" i="3"/>
  <c r="J6565" i="3"/>
  <c r="J6566" i="3"/>
  <c r="J6567" i="3"/>
  <c r="J6568" i="3"/>
  <c r="J6569" i="3"/>
  <c r="J6570" i="3"/>
  <c r="J6571" i="3"/>
  <c r="J6572" i="3"/>
  <c r="J6573" i="3"/>
  <c r="J6574" i="3"/>
  <c r="J6575" i="3"/>
  <c r="J6576" i="3"/>
  <c r="J6577" i="3"/>
  <c r="J6578" i="3"/>
  <c r="J6579" i="3"/>
  <c r="J6580" i="3"/>
  <c r="J6581" i="3"/>
  <c r="J6582" i="3"/>
  <c r="J6583" i="3"/>
  <c r="J6584" i="3"/>
  <c r="J6585" i="3"/>
  <c r="J6586" i="3"/>
  <c r="J6587" i="3"/>
  <c r="J6588" i="3"/>
  <c r="J6589" i="3"/>
  <c r="J6590" i="3"/>
  <c r="J6591" i="3"/>
  <c r="J6592" i="3"/>
  <c r="J6593" i="3"/>
  <c r="J6594" i="3"/>
  <c r="J6595" i="3"/>
  <c r="J6596" i="3"/>
  <c r="J6597" i="3"/>
  <c r="J6598" i="3"/>
  <c r="J6599" i="3"/>
  <c r="J6600" i="3"/>
  <c r="J6601" i="3"/>
  <c r="J6602" i="3"/>
  <c r="J6603" i="3"/>
  <c r="J6604" i="3"/>
  <c r="J6605" i="3"/>
  <c r="J6606" i="3"/>
  <c r="J6607" i="3"/>
  <c r="J6608" i="3"/>
  <c r="J6609" i="3"/>
  <c r="J6610" i="3"/>
  <c r="J6611" i="3"/>
  <c r="J6612" i="3"/>
  <c r="J6613" i="3"/>
  <c r="J6614" i="3"/>
  <c r="J6615" i="3"/>
  <c r="J6616" i="3"/>
  <c r="J6617" i="3"/>
  <c r="J6618" i="3"/>
  <c r="J6619" i="3"/>
  <c r="J6620" i="3"/>
  <c r="J6621" i="3"/>
  <c r="J6622" i="3"/>
  <c r="J6623" i="3"/>
  <c r="J6624" i="3"/>
  <c r="J6625" i="3"/>
  <c r="J6626" i="3"/>
  <c r="J6627" i="3"/>
  <c r="J6628" i="3"/>
  <c r="J6629" i="3"/>
  <c r="J6630" i="3"/>
  <c r="J6631" i="3"/>
  <c r="J6632" i="3"/>
  <c r="J6633" i="3"/>
  <c r="J6634" i="3"/>
  <c r="J6635" i="3"/>
  <c r="J6636" i="3"/>
  <c r="J6637" i="3"/>
  <c r="J6638" i="3"/>
  <c r="J6639" i="3"/>
  <c r="J6640" i="3"/>
  <c r="J6641" i="3"/>
  <c r="J6642" i="3"/>
  <c r="J6643" i="3"/>
  <c r="J6644" i="3"/>
  <c r="J6645" i="3"/>
  <c r="J6646" i="3"/>
  <c r="J6647" i="3"/>
  <c r="J6648" i="3"/>
  <c r="J6649" i="3"/>
  <c r="J6650" i="3"/>
  <c r="J6651" i="3"/>
  <c r="J6652" i="3"/>
  <c r="J6653" i="3"/>
  <c r="J6654" i="3"/>
  <c r="J6655" i="3"/>
  <c r="J6656" i="3"/>
  <c r="J6657" i="3"/>
  <c r="J6658" i="3"/>
  <c r="J6659" i="3"/>
  <c r="J6660" i="3"/>
  <c r="J6661" i="3"/>
  <c r="J6662" i="3"/>
  <c r="J6663" i="3"/>
  <c r="J6664" i="3"/>
  <c r="J6665" i="3"/>
  <c r="J6666" i="3"/>
  <c r="J6667" i="3"/>
  <c r="J6668" i="3"/>
  <c r="J6669" i="3"/>
  <c r="J6670" i="3"/>
  <c r="J6671" i="3"/>
  <c r="J6672" i="3"/>
  <c r="J6673" i="3"/>
  <c r="J6674" i="3"/>
  <c r="J6675" i="3"/>
  <c r="J6676" i="3"/>
  <c r="J6677" i="3"/>
  <c r="J6678" i="3"/>
  <c r="J6679" i="3"/>
  <c r="J6680" i="3"/>
  <c r="J6681" i="3"/>
  <c r="J6682" i="3"/>
  <c r="J6683" i="3"/>
  <c r="J6684" i="3"/>
  <c r="J6685" i="3"/>
  <c r="J6686" i="3"/>
  <c r="J6687" i="3"/>
  <c r="J6688" i="3"/>
  <c r="J6689" i="3"/>
  <c r="J6690" i="3"/>
  <c r="J6691" i="3"/>
  <c r="J6692" i="3"/>
  <c r="J6693" i="3"/>
  <c r="J6694" i="3"/>
  <c r="J6695" i="3"/>
  <c r="J6696" i="3"/>
  <c r="J6697" i="3"/>
  <c r="J6698" i="3"/>
  <c r="J6699" i="3"/>
  <c r="J6700" i="3"/>
  <c r="J6701" i="3"/>
  <c r="J6702" i="3"/>
  <c r="J6703" i="3"/>
  <c r="J6704" i="3"/>
  <c r="J6705" i="3"/>
  <c r="J6706" i="3"/>
  <c r="J6707" i="3"/>
  <c r="J6708" i="3"/>
  <c r="J6709" i="3"/>
  <c r="J6710" i="3"/>
  <c r="J6711" i="3"/>
  <c r="J6712" i="3"/>
  <c r="J6713" i="3"/>
  <c r="J6714" i="3"/>
  <c r="J6715" i="3"/>
  <c r="J6716" i="3"/>
  <c r="J6717" i="3"/>
  <c r="J6718" i="3"/>
  <c r="J6719" i="3"/>
  <c r="J6720" i="3"/>
  <c r="J6721" i="3"/>
  <c r="J6722" i="3"/>
  <c r="J6723" i="3"/>
  <c r="J6724" i="3"/>
  <c r="J6725" i="3"/>
  <c r="J6726" i="3"/>
  <c r="J6727" i="3"/>
  <c r="J6728" i="3"/>
  <c r="J6729" i="3"/>
  <c r="J6730" i="3"/>
  <c r="J6731" i="3"/>
  <c r="J6732" i="3"/>
  <c r="J6733" i="3"/>
  <c r="J6734" i="3"/>
  <c r="J6735" i="3"/>
  <c r="J6736" i="3"/>
  <c r="J6737" i="3"/>
  <c r="J6738" i="3"/>
  <c r="J6739" i="3"/>
  <c r="J6740" i="3"/>
  <c r="J6741" i="3"/>
  <c r="J6742" i="3"/>
  <c r="J6743" i="3"/>
  <c r="J6744" i="3"/>
  <c r="J6745" i="3"/>
  <c r="J6746" i="3"/>
  <c r="J6747" i="3"/>
  <c r="J6748" i="3"/>
  <c r="J6749" i="3"/>
  <c r="J6750" i="3"/>
  <c r="J6751" i="3"/>
  <c r="J6752" i="3"/>
  <c r="J6753" i="3"/>
  <c r="J6754" i="3"/>
  <c r="J6755" i="3"/>
  <c r="J6756" i="3"/>
  <c r="J6757" i="3"/>
  <c r="J6758" i="3"/>
  <c r="J6759" i="3"/>
  <c r="J6760" i="3"/>
  <c r="J6761" i="3"/>
  <c r="J6762" i="3"/>
  <c r="J6763" i="3"/>
  <c r="J6764" i="3"/>
  <c r="J6765" i="3"/>
  <c r="J6766" i="3"/>
  <c r="J6767" i="3"/>
  <c r="J6768" i="3"/>
  <c r="J6769" i="3"/>
  <c r="J6770" i="3"/>
  <c r="J6771" i="3"/>
  <c r="J6772" i="3"/>
  <c r="J6773" i="3"/>
  <c r="J6774" i="3"/>
  <c r="J6775" i="3"/>
  <c r="J6776" i="3"/>
  <c r="J6777" i="3"/>
  <c r="J6778" i="3"/>
  <c r="J6779" i="3"/>
  <c r="J6780" i="3"/>
  <c r="J6781" i="3"/>
  <c r="J6782" i="3"/>
  <c r="J6783" i="3"/>
  <c r="J6784" i="3"/>
  <c r="J6785" i="3"/>
  <c r="J6786" i="3"/>
  <c r="J6787" i="3"/>
  <c r="J6788" i="3"/>
  <c r="J6789" i="3"/>
  <c r="J6790" i="3"/>
  <c r="J6791" i="3"/>
  <c r="J6792" i="3"/>
  <c r="J6793" i="3"/>
  <c r="J6794" i="3"/>
  <c r="J6795" i="3"/>
  <c r="J6796" i="3"/>
  <c r="J6797" i="3"/>
  <c r="J6798" i="3"/>
  <c r="J6799" i="3"/>
  <c r="J6800" i="3"/>
  <c r="J6801" i="3"/>
  <c r="J6802" i="3"/>
  <c r="J6803" i="3"/>
  <c r="J6804" i="3"/>
  <c r="J6805" i="3"/>
  <c r="J6806" i="3"/>
  <c r="J6807" i="3"/>
  <c r="J6808" i="3"/>
  <c r="J6809" i="3"/>
  <c r="J6810" i="3"/>
  <c r="J6811" i="3"/>
  <c r="J6812" i="3"/>
  <c r="J6813" i="3"/>
  <c r="J6814" i="3"/>
  <c r="J6815" i="3"/>
  <c r="J6816" i="3"/>
  <c r="J6817" i="3"/>
  <c r="J6818" i="3"/>
  <c r="J6819" i="3"/>
  <c r="J6820" i="3"/>
  <c r="J6821" i="3"/>
  <c r="J6822" i="3"/>
  <c r="J6823" i="3"/>
  <c r="J6824" i="3"/>
  <c r="J6825" i="3"/>
  <c r="J6826" i="3"/>
  <c r="J6827" i="3"/>
  <c r="J6828" i="3"/>
  <c r="J6829" i="3"/>
  <c r="J6830" i="3"/>
  <c r="J6831" i="3"/>
  <c r="J6832" i="3"/>
  <c r="J6833" i="3"/>
  <c r="J6834" i="3"/>
  <c r="J6835" i="3"/>
  <c r="J6836" i="3"/>
  <c r="J6837" i="3"/>
  <c r="J6838" i="3"/>
  <c r="J6839" i="3"/>
  <c r="J6840" i="3"/>
  <c r="J6841" i="3"/>
  <c r="J6842" i="3"/>
  <c r="J6843" i="3"/>
  <c r="J6844" i="3"/>
  <c r="J6845" i="3"/>
  <c r="J6846" i="3"/>
  <c r="J6847" i="3"/>
  <c r="J6848" i="3"/>
  <c r="J6849" i="3"/>
  <c r="J6850" i="3"/>
  <c r="J6851" i="3"/>
  <c r="J6852" i="3"/>
  <c r="J6853" i="3"/>
  <c r="J6854" i="3"/>
  <c r="J6855" i="3"/>
  <c r="J6856" i="3"/>
  <c r="J6857" i="3"/>
  <c r="J6858" i="3"/>
  <c r="J6859" i="3"/>
  <c r="J6860" i="3"/>
  <c r="J6861" i="3"/>
  <c r="J6862" i="3"/>
  <c r="J6863" i="3"/>
  <c r="J6864" i="3"/>
  <c r="J6865" i="3"/>
  <c r="J6866" i="3"/>
  <c r="J6867" i="3"/>
  <c r="J6868" i="3"/>
  <c r="J6869" i="3"/>
  <c r="J6870" i="3"/>
  <c r="J6871" i="3"/>
  <c r="J6872" i="3"/>
  <c r="J6873" i="3"/>
  <c r="J6874" i="3"/>
  <c r="J6875" i="3"/>
  <c r="J6876" i="3"/>
  <c r="J6877" i="3"/>
  <c r="J6878" i="3"/>
  <c r="J6879" i="3"/>
  <c r="J6880" i="3"/>
  <c r="J6881" i="3"/>
  <c r="J6882" i="3"/>
  <c r="J6883" i="3"/>
  <c r="J6884" i="3"/>
  <c r="J6885" i="3"/>
  <c r="J6886" i="3"/>
  <c r="J6887" i="3"/>
  <c r="J6888" i="3"/>
  <c r="J6889" i="3"/>
  <c r="J6890" i="3"/>
  <c r="J6891" i="3"/>
  <c r="J6892" i="3"/>
  <c r="J6893" i="3"/>
  <c r="J6894" i="3"/>
  <c r="J6895" i="3"/>
  <c r="J6896" i="3"/>
  <c r="J6897" i="3"/>
  <c r="J6898" i="3"/>
  <c r="J6899" i="3"/>
  <c r="J6900" i="3"/>
  <c r="J6901" i="3"/>
  <c r="J6902" i="3"/>
  <c r="J6903" i="3"/>
  <c r="J6904" i="3"/>
  <c r="J6905" i="3"/>
  <c r="J6906" i="3"/>
  <c r="J6907" i="3"/>
  <c r="J6908" i="3"/>
  <c r="J6909" i="3"/>
  <c r="J6910" i="3"/>
  <c r="J6911" i="3"/>
  <c r="J6912" i="3"/>
  <c r="J6913" i="3"/>
  <c r="J6914" i="3"/>
  <c r="J6915" i="3"/>
  <c r="J6916" i="3"/>
  <c r="J6917" i="3"/>
  <c r="J6918" i="3"/>
  <c r="J6919" i="3"/>
  <c r="J6920" i="3"/>
  <c r="J6921" i="3"/>
  <c r="J6922" i="3"/>
  <c r="J6923" i="3"/>
  <c r="J6924" i="3"/>
  <c r="J6925" i="3"/>
  <c r="J6926" i="3"/>
  <c r="J6927" i="3"/>
  <c r="J6928" i="3"/>
  <c r="J6929" i="3"/>
  <c r="J6930" i="3"/>
  <c r="J6931" i="3"/>
  <c r="J6932" i="3"/>
  <c r="J6933" i="3"/>
  <c r="J6934" i="3"/>
  <c r="J6935" i="3"/>
  <c r="J6936" i="3"/>
  <c r="J6937" i="3"/>
  <c r="J6938" i="3"/>
  <c r="J6939" i="3"/>
  <c r="J6940" i="3"/>
  <c r="J6941" i="3"/>
  <c r="J6942" i="3"/>
  <c r="J6943" i="3"/>
  <c r="J6944" i="3"/>
  <c r="J6945" i="3"/>
  <c r="J6946" i="3"/>
  <c r="J6947" i="3"/>
  <c r="J6948" i="3"/>
  <c r="J6949" i="3"/>
  <c r="J6950" i="3"/>
  <c r="J6951" i="3"/>
  <c r="J6952" i="3"/>
  <c r="J6953" i="3"/>
  <c r="J6954" i="3"/>
  <c r="J6955" i="3"/>
  <c r="J6956" i="3"/>
  <c r="J6957" i="3"/>
  <c r="J6958" i="3"/>
  <c r="J6959" i="3"/>
  <c r="J6960" i="3"/>
  <c r="J6961" i="3"/>
  <c r="J6962" i="3"/>
  <c r="J6963" i="3"/>
  <c r="J6964" i="3"/>
  <c r="J6965" i="3"/>
  <c r="J6966" i="3"/>
  <c r="J6967" i="3"/>
  <c r="J6968" i="3"/>
  <c r="J6969" i="3"/>
  <c r="J6970" i="3"/>
  <c r="J6971" i="3"/>
  <c r="J6972" i="3"/>
  <c r="J6973" i="3"/>
  <c r="J6974" i="3"/>
  <c r="J6975" i="3"/>
  <c r="J6976" i="3"/>
  <c r="J6977" i="3"/>
  <c r="J6978" i="3"/>
  <c r="J6979" i="3"/>
  <c r="J6980" i="3"/>
  <c r="J6981" i="3"/>
  <c r="J6982" i="3"/>
  <c r="J6983" i="3"/>
  <c r="J6984" i="3"/>
  <c r="J6985" i="3"/>
  <c r="J6986" i="3"/>
  <c r="J6987" i="3"/>
  <c r="J6988" i="3"/>
  <c r="J6989" i="3"/>
  <c r="J6990" i="3"/>
  <c r="J6991" i="3"/>
  <c r="J6992" i="3"/>
  <c r="J6993" i="3"/>
  <c r="J6994" i="3"/>
  <c r="J6995" i="3"/>
  <c r="J6996" i="3"/>
  <c r="J6997" i="3"/>
  <c r="J6998" i="3"/>
  <c r="J6999" i="3"/>
  <c r="J7000" i="3"/>
  <c r="J7001" i="3"/>
  <c r="J7002" i="3"/>
  <c r="J7003" i="3"/>
  <c r="J7004" i="3"/>
  <c r="J7005" i="3"/>
  <c r="J7006" i="3"/>
  <c r="J7007" i="3"/>
  <c r="J7008" i="3"/>
  <c r="J7009" i="3"/>
  <c r="J7010" i="3"/>
  <c r="J7011" i="3"/>
  <c r="J7012" i="3"/>
  <c r="J7013" i="3"/>
  <c r="J7014" i="3"/>
  <c r="J7015" i="3"/>
  <c r="J7016" i="3"/>
  <c r="J7017" i="3"/>
  <c r="J7018" i="3"/>
  <c r="J7019" i="3"/>
  <c r="J7020" i="3"/>
  <c r="J7021" i="3"/>
  <c r="J7022" i="3"/>
  <c r="J7023" i="3"/>
  <c r="J7024" i="3"/>
  <c r="J7025" i="3"/>
  <c r="J7026" i="3"/>
  <c r="J7027" i="3"/>
  <c r="J7028" i="3"/>
  <c r="J7029" i="3"/>
  <c r="J7030" i="3"/>
  <c r="J7031" i="3"/>
  <c r="J7032" i="3"/>
  <c r="J7033" i="3"/>
  <c r="J7034" i="3"/>
  <c r="J7035" i="3"/>
  <c r="J7036" i="3"/>
  <c r="J7037" i="3"/>
  <c r="J7038" i="3"/>
  <c r="J7039" i="3"/>
  <c r="J7040" i="3"/>
  <c r="J7041" i="3"/>
  <c r="J7042" i="3"/>
  <c r="J7043" i="3"/>
  <c r="J7044" i="3"/>
  <c r="J7045" i="3"/>
  <c r="J7046" i="3"/>
  <c r="J7047" i="3"/>
  <c r="J7048" i="3"/>
  <c r="J7049" i="3"/>
  <c r="J7050" i="3"/>
  <c r="J7051" i="3"/>
  <c r="J7052" i="3"/>
  <c r="J7053" i="3"/>
  <c r="J7054" i="3"/>
  <c r="J7055" i="3"/>
  <c r="J7056" i="3"/>
  <c r="J7057" i="3"/>
  <c r="J7058" i="3"/>
  <c r="J7059" i="3"/>
  <c r="J7060" i="3"/>
  <c r="J7061" i="3"/>
  <c r="J7062" i="3"/>
  <c r="J7063" i="3"/>
  <c r="J7064" i="3"/>
  <c r="J7065" i="3"/>
  <c r="J7066" i="3"/>
  <c r="J7067" i="3"/>
  <c r="J7068" i="3"/>
  <c r="J7069" i="3"/>
  <c r="J7070" i="3"/>
  <c r="J7071" i="3"/>
  <c r="J7072" i="3"/>
  <c r="J7073" i="3"/>
  <c r="J7074" i="3"/>
  <c r="J7075" i="3"/>
  <c r="J7076" i="3"/>
  <c r="J7077" i="3"/>
  <c r="J7078" i="3"/>
  <c r="J7079" i="3"/>
  <c r="J7080" i="3"/>
  <c r="J7081" i="3"/>
  <c r="J7082" i="3"/>
  <c r="J7083" i="3"/>
  <c r="J7084" i="3"/>
  <c r="J7085" i="3"/>
  <c r="J7086" i="3"/>
  <c r="J7087" i="3"/>
  <c r="J7088" i="3"/>
  <c r="J7089" i="3"/>
  <c r="J7090" i="3"/>
  <c r="J7091" i="3"/>
  <c r="J7092" i="3"/>
  <c r="J7093" i="3"/>
  <c r="J7094" i="3"/>
  <c r="J7095" i="3"/>
  <c r="J7096" i="3"/>
  <c r="J7097" i="3"/>
  <c r="J7098" i="3"/>
  <c r="J7099" i="3"/>
  <c r="J7100" i="3"/>
  <c r="J7101" i="3"/>
  <c r="J7102" i="3"/>
  <c r="J7103" i="3"/>
  <c r="J7104" i="3"/>
  <c r="J7105" i="3"/>
  <c r="J7106" i="3"/>
  <c r="J7107" i="3"/>
  <c r="J7108" i="3"/>
  <c r="J7109" i="3"/>
  <c r="J7110" i="3"/>
  <c r="J7111" i="3"/>
  <c r="J7112" i="3"/>
  <c r="J7113" i="3"/>
  <c r="J7114" i="3"/>
  <c r="J7115" i="3"/>
  <c r="J7116" i="3"/>
  <c r="J7117" i="3"/>
  <c r="J7118" i="3"/>
  <c r="J7119" i="3"/>
  <c r="J7120" i="3"/>
  <c r="J7121" i="3"/>
  <c r="J7122" i="3"/>
  <c r="J7123" i="3"/>
  <c r="J7124" i="3"/>
  <c r="J7125" i="3"/>
  <c r="J7126" i="3"/>
  <c r="J7127" i="3"/>
  <c r="J7128" i="3"/>
  <c r="J7129" i="3"/>
  <c r="J7130" i="3"/>
  <c r="J7131" i="3"/>
  <c r="J7132" i="3"/>
  <c r="J7133" i="3"/>
  <c r="J7134" i="3"/>
  <c r="J7135" i="3"/>
  <c r="J7136" i="3"/>
  <c r="J7137" i="3"/>
  <c r="J7138" i="3"/>
  <c r="J7139" i="3"/>
  <c r="J7140" i="3"/>
  <c r="J7141" i="3"/>
  <c r="J7142" i="3"/>
  <c r="J7143" i="3"/>
  <c r="J7144" i="3"/>
  <c r="J7145" i="3"/>
  <c r="J7146" i="3"/>
  <c r="J7147" i="3"/>
  <c r="J7148" i="3"/>
  <c r="J7149" i="3"/>
  <c r="J7150" i="3"/>
  <c r="J7151" i="3"/>
  <c r="J7152" i="3"/>
  <c r="J7153" i="3"/>
  <c r="J7154" i="3"/>
  <c r="J7155" i="3"/>
  <c r="J7156" i="3"/>
  <c r="J7157" i="3"/>
  <c r="J7158" i="3"/>
  <c r="J7159" i="3"/>
  <c r="J7160" i="3"/>
  <c r="J7161" i="3"/>
  <c r="J7162" i="3"/>
  <c r="J7163" i="3"/>
  <c r="J7164" i="3"/>
  <c r="J7165" i="3"/>
  <c r="J7166" i="3"/>
  <c r="J7167" i="3"/>
  <c r="J7168" i="3"/>
  <c r="J7169" i="3"/>
  <c r="J7170" i="3"/>
  <c r="J7171" i="3"/>
  <c r="J7172" i="3"/>
  <c r="J7173" i="3"/>
  <c r="J7174" i="3"/>
  <c r="J7175" i="3"/>
  <c r="J7176" i="3"/>
  <c r="J7177" i="3"/>
  <c r="J7178" i="3"/>
  <c r="J7179" i="3"/>
  <c r="J7180" i="3"/>
  <c r="J7181" i="3"/>
  <c r="J7182" i="3"/>
  <c r="J7183" i="3"/>
  <c r="J7184" i="3"/>
  <c r="J7185" i="3"/>
  <c r="J7186" i="3"/>
  <c r="J7187" i="3"/>
  <c r="J7188" i="3"/>
  <c r="J7189" i="3"/>
  <c r="J7190" i="3"/>
  <c r="J7191" i="3"/>
  <c r="J7192" i="3"/>
  <c r="J7193" i="3"/>
  <c r="J7194" i="3"/>
  <c r="J7195" i="3"/>
  <c r="J7196" i="3"/>
  <c r="J7197" i="3"/>
  <c r="J7198" i="3"/>
  <c r="J7199" i="3"/>
  <c r="J7200" i="3"/>
  <c r="J7201" i="3"/>
  <c r="J7202" i="3"/>
  <c r="J7203" i="3"/>
  <c r="J7204" i="3"/>
  <c r="J7205" i="3"/>
  <c r="J7206" i="3"/>
  <c r="J7207" i="3"/>
  <c r="J7208" i="3"/>
  <c r="J7209" i="3"/>
  <c r="J7210" i="3"/>
  <c r="J7211" i="3"/>
  <c r="J7212" i="3"/>
  <c r="J7213" i="3"/>
  <c r="J7214" i="3"/>
  <c r="J7215" i="3"/>
  <c r="J7216" i="3"/>
  <c r="J7217" i="3"/>
  <c r="J7218" i="3"/>
  <c r="J7219" i="3"/>
  <c r="J7220" i="3"/>
  <c r="J7221" i="3"/>
  <c r="J7222" i="3"/>
  <c r="J7223" i="3"/>
  <c r="J7224" i="3"/>
  <c r="J7225" i="3"/>
  <c r="J7226" i="3"/>
  <c r="J7227" i="3"/>
  <c r="J7228" i="3"/>
  <c r="J7229" i="3"/>
  <c r="J7230" i="3"/>
  <c r="J7231" i="3"/>
  <c r="J7232" i="3"/>
  <c r="J7233" i="3"/>
  <c r="J7234" i="3"/>
  <c r="J7235" i="3"/>
  <c r="J7236" i="3"/>
  <c r="J7237" i="3"/>
  <c r="J7238" i="3"/>
  <c r="J7239" i="3"/>
  <c r="J7240" i="3"/>
  <c r="J7241" i="3"/>
  <c r="J7242" i="3"/>
  <c r="J7243" i="3"/>
  <c r="J7244" i="3"/>
  <c r="J7245" i="3"/>
  <c r="J7246" i="3"/>
  <c r="J7247" i="3"/>
  <c r="J7248" i="3"/>
  <c r="J7249" i="3"/>
  <c r="J7250" i="3"/>
  <c r="J7251" i="3"/>
  <c r="J7252" i="3"/>
  <c r="J7253" i="3"/>
  <c r="J7254" i="3"/>
  <c r="J7255" i="3"/>
  <c r="J7256" i="3"/>
  <c r="J7257" i="3"/>
  <c r="J7258" i="3"/>
  <c r="J7259" i="3"/>
  <c r="J7260" i="3"/>
  <c r="J7261" i="3"/>
  <c r="J7262" i="3"/>
  <c r="J7263" i="3"/>
  <c r="J7264" i="3"/>
  <c r="J7265" i="3"/>
  <c r="J7266" i="3"/>
  <c r="J7267" i="3"/>
  <c r="J7268" i="3"/>
  <c r="J7269" i="3"/>
  <c r="J7270" i="3"/>
  <c r="J7271" i="3"/>
  <c r="J7272" i="3"/>
  <c r="J7273" i="3"/>
  <c r="J7274" i="3"/>
  <c r="J7275" i="3"/>
  <c r="J7276" i="3"/>
  <c r="J7277" i="3"/>
  <c r="J7278" i="3"/>
  <c r="J7279" i="3"/>
  <c r="J7280" i="3"/>
  <c r="J7281" i="3"/>
  <c r="J7282" i="3"/>
  <c r="J7283" i="3"/>
  <c r="J7284" i="3"/>
  <c r="J7285" i="3"/>
  <c r="J7286" i="3"/>
  <c r="J7287" i="3"/>
  <c r="J7288" i="3"/>
  <c r="J7289" i="3"/>
  <c r="J7290" i="3"/>
  <c r="J7291" i="3"/>
  <c r="J7292" i="3"/>
  <c r="J7293" i="3"/>
  <c r="J7294" i="3"/>
  <c r="J7295" i="3"/>
  <c r="J7296" i="3"/>
  <c r="J7297" i="3"/>
  <c r="J7298" i="3"/>
  <c r="J7299" i="3"/>
  <c r="J7300" i="3"/>
  <c r="J7301" i="3"/>
  <c r="J7302" i="3"/>
  <c r="J7303" i="3"/>
  <c r="J7304" i="3"/>
  <c r="J7305" i="3"/>
  <c r="J7306" i="3"/>
  <c r="J7307" i="3"/>
  <c r="J7308" i="3"/>
  <c r="J7309" i="3"/>
  <c r="J7310" i="3"/>
  <c r="J7311" i="3"/>
  <c r="J7312" i="3"/>
  <c r="J7313" i="3"/>
  <c r="J7314" i="3"/>
  <c r="J7315" i="3"/>
  <c r="J7316" i="3"/>
  <c r="J7317" i="3"/>
  <c r="J7318" i="3"/>
  <c r="J7319" i="3"/>
  <c r="J7320" i="3"/>
  <c r="J7321" i="3"/>
  <c r="J7322" i="3"/>
  <c r="J7323" i="3"/>
  <c r="J7324" i="3"/>
  <c r="J7325" i="3"/>
  <c r="J7326" i="3"/>
  <c r="J7327" i="3"/>
  <c r="J7328" i="3"/>
  <c r="J7329" i="3"/>
  <c r="J7330" i="3"/>
  <c r="J7331" i="3"/>
  <c r="J7332" i="3"/>
  <c r="J7333" i="3"/>
  <c r="J7334" i="3"/>
  <c r="J7335" i="3"/>
  <c r="J7336" i="3"/>
  <c r="J7337" i="3"/>
  <c r="J7338" i="3"/>
  <c r="J7339" i="3"/>
  <c r="J7340" i="3"/>
  <c r="J7341" i="3"/>
  <c r="J7342" i="3"/>
  <c r="J7343" i="3"/>
  <c r="J7344" i="3"/>
  <c r="J7345" i="3"/>
  <c r="J7346" i="3"/>
  <c r="J7347" i="3"/>
  <c r="J7348" i="3"/>
  <c r="J7349" i="3"/>
  <c r="J7350" i="3"/>
  <c r="J7351" i="3"/>
  <c r="J7352" i="3"/>
  <c r="J7353" i="3"/>
  <c r="J7354" i="3"/>
  <c r="J7355" i="3"/>
  <c r="J7356" i="3"/>
  <c r="J7357" i="3"/>
  <c r="J7358" i="3"/>
  <c r="J7359" i="3"/>
  <c r="J7360" i="3"/>
  <c r="J7361" i="3"/>
  <c r="J7362" i="3"/>
  <c r="J7363" i="3"/>
  <c r="J7364" i="3"/>
  <c r="J7365" i="3"/>
  <c r="J7366" i="3"/>
  <c r="J7367" i="3"/>
  <c r="J7368" i="3"/>
  <c r="J7369" i="3"/>
  <c r="J7370" i="3"/>
  <c r="J7371" i="3"/>
  <c r="J7372" i="3"/>
  <c r="J7373" i="3"/>
  <c r="J7374" i="3"/>
  <c r="J7375" i="3"/>
  <c r="J7376" i="3"/>
  <c r="J7377" i="3"/>
  <c r="J7378" i="3"/>
  <c r="J7379" i="3"/>
  <c r="J7380" i="3"/>
  <c r="J7381" i="3"/>
  <c r="J7382" i="3"/>
  <c r="J7383" i="3"/>
  <c r="J7384" i="3"/>
  <c r="J7385" i="3"/>
  <c r="J7386" i="3"/>
  <c r="J7387" i="3"/>
  <c r="J7388" i="3"/>
  <c r="J7389" i="3"/>
  <c r="J7390" i="3"/>
  <c r="J7391" i="3"/>
  <c r="J7392" i="3"/>
  <c r="J7393" i="3"/>
  <c r="J7394" i="3"/>
  <c r="J7395" i="3"/>
  <c r="J7396" i="3"/>
  <c r="J7397" i="3"/>
  <c r="J7398" i="3"/>
  <c r="J7399" i="3"/>
  <c r="J7400" i="3"/>
  <c r="J7401" i="3"/>
  <c r="J7402" i="3"/>
  <c r="J7403" i="3"/>
  <c r="J7404" i="3"/>
  <c r="J7405" i="3"/>
  <c r="J7406" i="3"/>
  <c r="J7407" i="3"/>
  <c r="J7408" i="3"/>
  <c r="J7409" i="3"/>
  <c r="J7410" i="3"/>
  <c r="J7411" i="3"/>
  <c r="J7412" i="3"/>
  <c r="J7413" i="3"/>
  <c r="J7414" i="3"/>
  <c r="J7415" i="3"/>
  <c r="J7416" i="3"/>
  <c r="J7417" i="3"/>
  <c r="J7418" i="3"/>
  <c r="J7419" i="3"/>
  <c r="J7420" i="3"/>
  <c r="J7421" i="3"/>
  <c r="J7422" i="3"/>
  <c r="J7423" i="3"/>
  <c r="J7424" i="3"/>
  <c r="J7425" i="3"/>
  <c r="J7426" i="3"/>
  <c r="J7427" i="3"/>
  <c r="J7428" i="3"/>
  <c r="J7429" i="3"/>
  <c r="J7430" i="3"/>
  <c r="J7431" i="3"/>
  <c r="J7432" i="3"/>
  <c r="J7433" i="3"/>
  <c r="J7434" i="3"/>
  <c r="J7435" i="3"/>
  <c r="J7436" i="3"/>
  <c r="J7437" i="3"/>
  <c r="J7438" i="3"/>
  <c r="J7439" i="3"/>
  <c r="J7440" i="3"/>
  <c r="J7441" i="3"/>
  <c r="J7442" i="3"/>
  <c r="J7443" i="3"/>
  <c r="J7444" i="3"/>
  <c r="J7445" i="3"/>
  <c r="J7446" i="3"/>
  <c r="J7447" i="3"/>
  <c r="J7448" i="3"/>
  <c r="J7449" i="3"/>
  <c r="J7450" i="3"/>
  <c r="J7451" i="3"/>
  <c r="J7452" i="3"/>
  <c r="J7453" i="3"/>
  <c r="J7454" i="3"/>
  <c r="J7455" i="3"/>
  <c r="J7456" i="3"/>
  <c r="J7457" i="3"/>
  <c r="J7458" i="3"/>
  <c r="J7459" i="3"/>
  <c r="J7460" i="3"/>
  <c r="J7461" i="3"/>
  <c r="J7462" i="3"/>
  <c r="J7463" i="3"/>
  <c r="J7464" i="3"/>
  <c r="J7465" i="3"/>
  <c r="J7466" i="3"/>
  <c r="J7467" i="3"/>
  <c r="J7468" i="3"/>
  <c r="J7469" i="3"/>
  <c r="J7470" i="3"/>
  <c r="J7471" i="3"/>
  <c r="J7472" i="3"/>
  <c r="J7473" i="3"/>
  <c r="J7474" i="3"/>
  <c r="J7475" i="3"/>
  <c r="J7476" i="3"/>
  <c r="J7477" i="3"/>
  <c r="J7478" i="3"/>
  <c r="J7479" i="3"/>
  <c r="J7480" i="3"/>
  <c r="J7481" i="3"/>
  <c r="J7482" i="3"/>
  <c r="J7483" i="3"/>
  <c r="J7484" i="3"/>
  <c r="J7485" i="3"/>
  <c r="J7486" i="3"/>
  <c r="J7487" i="3"/>
  <c r="J7488" i="3"/>
  <c r="J7489" i="3"/>
  <c r="J7490" i="3"/>
  <c r="J7491" i="3"/>
  <c r="J7492" i="3"/>
  <c r="J7493" i="3"/>
  <c r="J7494" i="3"/>
  <c r="J7495" i="3"/>
  <c r="J7496" i="3"/>
  <c r="J7497" i="3"/>
  <c r="J7498" i="3"/>
  <c r="J7499" i="3"/>
  <c r="J7500" i="3"/>
  <c r="J7501" i="3"/>
  <c r="J7502" i="3"/>
  <c r="J7503" i="3"/>
  <c r="J7504" i="3"/>
  <c r="J7505" i="3"/>
  <c r="J7506" i="3"/>
  <c r="J7507" i="3"/>
  <c r="J7508" i="3"/>
  <c r="J7509" i="3"/>
  <c r="J7510" i="3"/>
  <c r="J7511" i="3"/>
  <c r="J7512" i="3"/>
  <c r="J7513" i="3"/>
  <c r="J7514" i="3"/>
  <c r="J7515" i="3"/>
  <c r="J7516" i="3"/>
  <c r="J7517" i="3"/>
  <c r="J7518" i="3"/>
  <c r="J7519" i="3"/>
  <c r="J7520" i="3"/>
  <c r="J7521" i="3"/>
  <c r="J7522" i="3"/>
  <c r="J7523" i="3"/>
  <c r="J7524" i="3"/>
  <c r="J7525" i="3"/>
  <c r="J7526" i="3"/>
  <c r="J7527" i="3"/>
  <c r="J7528" i="3"/>
  <c r="J7529" i="3"/>
  <c r="J7530" i="3"/>
  <c r="J7531" i="3"/>
  <c r="J7532" i="3"/>
  <c r="J7533" i="3"/>
  <c r="J7534" i="3"/>
  <c r="J7535" i="3"/>
  <c r="J7536" i="3"/>
  <c r="J7537" i="3"/>
  <c r="J7538" i="3"/>
  <c r="J7539" i="3"/>
  <c r="J7540" i="3"/>
  <c r="J7541" i="3"/>
  <c r="J7542" i="3"/>
  <c r="J7543" i="3"/>
  <c r="J7544" i="3"/>
  <c r="J7545" i="3"/>
  <c r="J7546" i="3"/>
  <c r="J7547" i="3"/>
  <c r="J7548" i="3"/>
  <c r="J7549" i="3"/>
  <c r="J7550" i="3"/>
  <c r="J7551" i="3"/>
  <c r="J7552" i="3"/>
  <c r="J7553" i="3"/>
  <c r="J7554" i="3"/>
  <c r="J7555" i="3"/>
  <c r="J7556" i="3"/>
  <c r="J7557" i="3"/>
  <c r="J7558" i="3"/>
  <c r="J7559" i="3"/>
  <c r="J7560" i="3"/>
  <c r="J7561" i="3"/>
  <c r="J7562" i="3"/>
  <c r="J7563" i="3"/>
  <c r="J7564" i="3"/>
  <c r="J7565" i="3"/>
  <c r="J7566" i="3"/>
  <c r="J7567" i="3"/>
  <c r="J7568" i="3"/>
  <c r="J7569" i="3"/>
  <c r="J7570" i="3"/>
  <c r="J7571" i="3"/>
  <c r="J7572" i="3"/>
  <c r="J7573" i="3"/>
  <c r="J7574" i="3"/>
  <c r="J7575" i="3"/>
  <c r="J7576" i="3"/>
  <c r="J7577" i="3"/>
  <c r="J7578" i="3"/>
  <c r="J7579" i="3"/>
  <c r="J7580" i="3"/>
  <c r="J7581" i="3"/>
  <c r="J7582" i="3"/>
  <c r="J7583" i="3"/>
  <c r="J7584" i="3"/>
  <c r="J7585" i="3"/>
  <c r="J7586" i="3"/>
  <c r="J7587" i="3"/>
  <c r="J7588" i="3"/>
  <c r="J7589" i="3"/>
  <c r="J7590" i="3"/>
  <c r="J7591" i="3"/>
  <c r="J7592" i="3"/>
  <c r="J7593" i="3"/>
  <c r="J7594" i="3"/>
  <c r="J7595" i="3"/>
  <c r="J7596" i="3"/>
  <c r="J7597" i="3"/>
  <c r="J7598" i="3"/>
  <c r="J7599" i="3"/>
  <c r="J7600" i="3"/>
  <c r="J7601" i="3"/>
  <c r="J7602" i="3"/>
  <c r="J7603" i="3"/>
  <c r="J7604" i="3"/>
  <c r="J7605" i="3"/>
  <c r="J7606" i="3"/>
  <c r="J7607" i="3"/>
  <c r="J7608" i="3"/>
  <c r="J7609" i="3"/>
  <c r="J7610" i="3"/>
  <c r="J7611" i="3"/>
  <c r="J7612" i="3"/>
  <c r="J7613" i="3"/>
  <c r="J7614" i="3"/>
  <c r="J7615" i="3"/>
  <c r="J7616" i="3"/>
  <c r="J7617" i="3"/>
  <c r="J7618" i="3"/>
  <c r="J7619" i="3"/>
  <c r="J7620" i="3"/>
  <c r="J7621" i="3"/>
  <c r="J7622" i="3"/>
  <c r="J7623" i="3"/>
  <c r="J7624" i="3"/>
  <c r="J7625" i="3"/>
  <c r="J7626" i="3"/>
  <c r="J7627" i="3"/>
  <c r="J7628" i="3"/>
  <c r="J7629" i="3"/>
  <c r="J7630" i="3"/>
  <c r="J7631" i="3"/>
  <c r="J7632" i="3"/>
  <c r="J7633" i="3"/>
  <c r="J7634" i="3"/>
  <c r="J7635" i="3"/>
  <c r="J7636" i="3"/>
  <c r="J7637" i="3"/>
  <c r="J7638" i="3"/>
  <c r="J7639" i="3"/>
  <c r="J7640" i="3"/>
  <c r="J7641" i="3"/>
  <c r="J7642" i="3"/>
  <c r="J7643" i="3"/>
  <c r="J7644" i="3"/>
  <c r="J7645" i="3"/>
  <c r="J7646" i="3"/>
  <c r="J7647" i="3"/>
  <c r="J7648" i="3"/>
  <c r="J7649" i="3"/>
  <c r="J7650" i="3"/>
  <c r="J7651" i="3"/>
  <c r="J7652" i="3"/>
  <c r="J7653" i="3"/>
  <c r="J7654" i="3"/>
  <c r="J7655" i="3"/>
  <c r="J7656" i="3"/>
  <c r="J7657" i="3"/>
  <c r="J7658" i="3"/>
  <c r="J7659" i="3"/>
  <c r="J7660" i="3"/>
  <c r="J7661" i="3"/>
  <c r="J7662" i="3"/>
  <c r="J7663" i="3"/>
  <c r="J7664" i="3"/>
  <c r="J7665" i="3"/>
  <c r="J7666" i="3"/>
  <c r="J7667" i="3"/>
  <c r="J7668" i="3"/>
  <c r="J7669" i="3"/>
  <c r="J7670" i="3"/>
  <c r="J7671" i="3"/>
  <c r="J7672" i="3"/>
  <c r="J7673" i="3"/>
  <c r="J7674" i="3"/>
  <c r="J7675" i="3"/>
  <c r="J7676" i="3"/>
  <c r="J7677" i="3"/>
  <c r="J7678" i="3"/>
  <c r="J7679" i="3"/>
  <c r="J7680" i="3"/>
  <c r="J7681" i="3"/>
  <c r="J7682" i="3"/>
  <c r="J7683" i="3"/>
  <c r="J7684" i="3"/>
  <c r="J7685" i="3"/>
  <c r="J7686" i="3"/>
  <c r="J7687" i="3"/>
  <c r="J7688" i="3"/>
  <c r="J7689" i="3"/>
  <c r="J7690" i="3"/>
  <c r="J7691" i="3"/>
  <c r="J7692" i="3"/>
  <c r="J7693" i="3"/>
  <c r="J7694" i="3"/>
  <c r="J7695" i="3"/>
  <c r="J7696" i="3"/>
  <c r="J7697" i="3"/>
  <c r="J7698" i="3"/>
  <c r="J7699" i="3"/>
  <c r="J7700" i="3"/>
  <c r="J7701" i="3"/>
  <c r="J7702" i="3"/>
  <c r="J7703" i="3"/>
  <c r="J7704" i="3"/>
  <c r="J7705" i="3"/>
  <c r="J7706" i="3"/>
  <c r="J7707" i="3"/>
  <c r="J7708" i="3"/>
  <c r="J7709" i="3"/>
  <c r="J7710" i="3"/>
  <c r="J7711" i="3"/>
  <c r="J7712" i="3"/>
  <c r="J7713" i="3"/>
  <c r="J7714" i="3"/>
  <c r="J7715" i="3"/>
  <c r="J7716" i="3"/>
  <c r="J7717" i="3"/>
  <c r="J7718" i="3"/>
  <c r="J7719" i="3"/>
  <c r="J7720" i="3"/>
  <c r="J7721" i="3"/>
  <c r="J7722" i="3"/>
  <c r="J7723" i="3"/>
  <c r="J7724" i="3"/>
  <c r="J7725" i="3"/>
  <c r="J7726" i="3"/>
  <c r="J7727" i="3"/>
  <c r="J7728" i="3"/>
  <c r="J7729" i="3"/>
  <c r="J7730" i="3"/>
  <c r="J7731" i="3"/>
  <c r="J7732" i="3"/>
  <c r="J7733" i="3"/>
  <c r="J7734" i="3"/>
  <c r="J7735" i="3"/>
  <c r="J7736" i="3"/>
  <c r="J7737" i="3"/>
  <c r="J7738" i="3"/>
  <c r="J7739" i="3"/>
  <c r="J7740" i="3"/>
  <c r="J7741" i="3"/>
  <c r="J7742" i="3"/>
  <c r="J7743" i="3"/>
  <c r="J7744" i="3"/>
  <c r="J7745" i="3"/>
  <c r="J7746" i="3"/>
  <c r="J7747" i="3"/>
  <c r="J7748" i="3"/>
  <c r="J7749" i="3"/>
  <c r="J7750" i="3"/>
  <c r="J7751" i="3"/>
  <c r="J7752" i="3"/>
  <c r="J7753" i="3"/>
  <c r="J7754" i="3"/>
  <c r="J7755" i="3"/>
  <c r="J7756" i="3"/>
  <c r="J7757" i="3"/>
  <c r="J7758" i="3"/>
  <c r="J7759" i="3"/>
  <c r="J7760" i="3"/>
  <c r="J7761" i="3"/>
  <c r="J7762" i="3"/>
  <c r="J7763" i="3"/>
  <c r="J7764" i="3"/>
  <c r="J7765" i="3"/>
  <c r="J7766" i="3"/>
  <c r="J7767" i="3"/>
  <c r="J7768" i="3"/>
  <c r="J7769" i="3"/>
  <c r="J7770" i="3"/>
  <c r="J7771" i="3"/>
  <c r="J7772" i="3"/>
  <c r="J7773" i="3"/>
  <c r="J7774" i="3"/>
  <c r="J7775" i="3"/>
  <c r="J7776" i="3"/>
  <c r="J7777" i="3"/>
  <c r="J7778" i="3"/>
  <c r="J7779" i="3"/>
  <c r="J7780" i="3"/>
  <c r="J7781" i="3"/>
  <c r="J7782" i="3"/>
  <c r="J7783" i="3"/>
  <c r="J7784" i="3"/>
  <c r="J7785" i="3"/>
  <c r="J7786" i="3"/>
  <c r="J7787" i="3"/>
  <c r="J7788" i="3"/>
  <c r="J7789" i="3"/>
  <c r="J7790" i="3"/>
  <c r="J7791" i="3"/>
  <c r="J7792" i="3"/>
  <c r="J7793" i="3"/>
  <c r="J7794" i="3"/>
  <c r="J7795" i="3"/>
  <c r="J7796" i="3"/>
  <c r="J7797" i="3"/>
  <c r="J7798" i="3"/>
  <c r="J7799" i="3"/>
  <c r="J7800" i="3"/>
  <c r="J7801" i="3"/>
  <c r="J7802" i="3"/>
  <c r="J7803" i="3"/>
  <c r="J7804" i="3"/>
  <c r="J7805" i="3"/>
  <c r="J7806" i="3"/>
  <c r="J7807" i="3"/>
  <c r="J7808" i="3"/>
  <c r="J7809" i="3"/>
  <c r="J7810" i="3"/>
  <c r="J7811" i="3"/>
  <c r="J7812" i="3"/>
  <c r="J7813" i="3"/>
  <c r="J7814" i="3"/>
  <c r="J7815" i="3"/>
  <c r="J7816" i="3"/>
  <c r="J7817" i="3"/>
  <c r="J7818" i="3"/>
  <c r="J7819" i="3"/>
  <c r="J7820" i="3"/>
  <c r="J7821" i="3"/>
  <c r="J7822" i="3"/>
  <c r="J7823" i="3"/>
  <c r="J7824" i="3"/>
  <c r="J7825" i="3"/>
  <c r="J7826" i="3"/>
  <c r="J7827" i="3"/>
  <c r="J7828" i="3"/>
  <c r="J7829" i="3"/>
  <c r="J7830" i="3"/>
  <c r="J7831" i="3"/>
  <c r="J7832" i="3"/>
  <c r="J7833" i="3"/>
  <c r="J7834" i="3"/>
  <c r="J7835" i="3"/>
  <c r="J7836" i="3"/>
  <c r="J7837" i="3"/>
  <c r="J7838" i="3"/>
  <c r="J7839" i="3"/>
  <c r="J7840" i="3"/>
  <c r="J7841" i="3"/>
  <c r="J7842" i="3"/>
  <c r="J7843" i="3"/>
  <c r="J7844" i="3"/>
  <c r="J7845" i="3"/>
  <c r="J7846" i="3"/>
  <c r="J7847" i="3"/>
  <c r="J7848" i="3"/>
  <c r="J7849" i="3"/>
  <c r="J7850" i="3"/>
  <c r="J7851" i="3"/>
  <c r="J7852" i="3"/>
  <c r="J7853" i="3"/>
  <c r="J7854" i="3"/>
  <c r="J7855" i="3"/>
  <c r="J7856" i="3"/>
  <c r="J7857" i="3"/>
  <c r="J7858" i="3"/>
  <c r="J7859" i="3"/>
  <c r="J7860" i="3"/>
  <c r="J7861" i="3"/>
  <c r="J7862" i="3"/>
  <c r="J7863" i="3"/>
  <c r="J7864" i="3"/>
  <c r="J7865" i="3"/>
  <c r="J7866" i="3"/>
  <c r="J7867" i="3"/>
  <c r="J7868" i="3"/>
  <c r="J7869" i="3"/>
  <c r="J7870" i="3"/>
  <c r="J7871" i="3"/>
  <c r="J7872" i="3"/>
  <c r="J7873" i="3"/>
  <c r="J7874" i="3"/>
  <c r="J7875" i="3"/>
  <c r="J7876" i="3"/>
  <c r="J7877" i="3"/>
  <c r="J7878" i="3"/>
  <c r="J7879" i="3"/>
  <c r="J7880" i="3"/>
  <c r="J7881" i="3"/>
  <c r="J7882" i="3"/>
  <c r="J7883" i="3"/>
  <c r="J7884" i="3"/>
  <c r="J7885" i="3"/>
  <c r="J7886" i="3"/>
  <c r="J7887" i="3"/>
  <c r="J7888" i="3"/>
  <c r="J7889" i="3"/>
  <c r="J7890" i="3"/>
  <c r="J7891" i="3"/>
  <c r="J7892" i="3"/>
  <c r="J7893" i="3"/>
  <c r="J7894" i="3"/>
  <c r="J7895" i="3"/>
  <c r="J7896" i="3"/>
  <c r="J7897" i="3"/>
  <c r="J7898" i="3"/>
  <c r="J7899" i="3"/>
  <c r="J7900" i="3"/>
  <c r="J7901" i="3"/>
  <c r="J7902" i="3"/>
  <c r="J7903" i="3"/>
  <c r="J7904" i="3"/>
  <c r="J7905" i="3"/>
  <c r="J7906" i="3"/>
  <c r="J7907" i="3"/>
  <c r="J7908" i="3"/>
  <c r="J7909" i="3"/>
  <c r="J7910" i="3"/>
  <c r="J7911" i="3"/>
  <c r="J7912" i="3"/>
  <c r="J7913" i="3"/>
  <c r="J7914" i="3"/>
  <c r="J7915" i="3"/>
  <c r="J7916" i="3"/>
  <c r="J7917" i="3"/>
  <c r="J7918" i="3"/>
  <c r="J7919" i="3"/>
  <c r="J7920" i="3"/>
  <c r="J7921" i="3"/>
  <c r="J7922" i="3"/>
  <c r="J7923" i="3"/>
  <c r="J7924" i="3"/>
  <c r="J7925" i="3"/>
  <c r="J7926" i="3"/>
  <c r="J7927" i="3"/>
  <c r="J7928" i="3"/>
  <c r="J7929" i="3"/>
  <c r="J7930" i="3"/>
  <c r="J7931" i="3"/>
  <c r="J7932" i="3"/>
  <c r="J7933" i="3"/>
  <c r="J7934" i="3"/>
  <c r="J7935" i="3"/>
  <c r="J7936" i="3"/>
  <c r="J7937" i="3"/>
  <c r="J7938" i="3"/>
  <c r="J7939" i="3"/>
  <c r="J7940" i="3"/>
  <c r="J7941" i="3"/>
  <c r="J7942" i="3"/>
  <c r="J7943" i="3"/>
  <c r="J7944" i="3"/>
  <c r="J7945" i="3"/>
  <c r="J7946" i="3"/>
  <c r="J7947" i="3"/>
  <c r="J7948" i="3"/>
  <c r="J7949" i="3"/>
  <c r="J7950" i="3"/>
  <c r="J7951" i="3"/>
  <c r="J7952" i="3"/>
  <c r="J7953" i="3"/>
  <c r="J7954" i="3"/>
  <c r="J7955" i="3"/>
  <c r="J7956" i="3"/>
  <c r="J7957" i="3"/>
  <c r="J7958" i="3"/>
  <c r="J7959" i="3"/>
  <c r="J7960" i="3"/>
  <c r="J7961" i="3"/>
  <c r="J7962" i="3"/>
  <c r="J7963" i="3"/>
  <c r="J7964" i="3"/>
  <c r="J7965" i="3"/>
  <c r="J7966" i="3"/>
  <c r="J7967" i="3"/>
  <c r="J7968" i="3"/>
  <c r="J7969" i="3"/>
  <c r="J7970" i="3"/>
  <c r="J7971" i="3"/>
  <c r="J7972" i="3"/>
  <c r="J7973" i="3"/>
  <c r="J7974" i="3"/>
  <c r="J7975" i="3"/>
  <c r="J7976" i="3"/>
  <c r="J7977" i="3"/>
  <c r="J7978" i="3"/>
  <c r="J7979" i="3"/>
  <c r="J7980" i="3"/>
  <c r="J7981" i="3"/>
  <c r="J7982" i="3"/>
  <c r="J7983" i="3"/>
  <c r="J7984" i="3"/>
  <c r="J7985" i="3"/>
  <c r="J7986" i="3"/>
  <c r="J7987" i="3"/>
  <c r="J7988" i="3"/>
  <c r="J7989" i="3"/>
  <c r="J7990" i="3"/>
  <c r="J7991" i="3"/>
  <c r="J7992" i="3"/>
  <c r="J7993" i="3"/>
  <c r="J7994" i="3"/>
  <c r="J7995" i="3"/>
  <c r="J7996" i="3"/>
  <c r="J7997" i="3"/>
  <c r="J7998" i="3"/>
  <c r="J7999" i="3"/>
  <c r="J8000" i="3"/>
  <c r="J8001" i="3"/>
  <c r="J8002" i="3"/>
  <c r="J8003" i="3"/>
  <c r="J8004" i="3"/>
  <c r="J8005" i="3"/>
  <c r="J8006" i="3"/>
  <c r="J8007" i="3"/>
  <c r="J8008" i="3"/>
  <c r="J8009" i="3"/>
  <c r="J8010" i="3"/>
  <c r="J8011" i="3"/>
  <c r="J8012" i="3"/>
  <c r="J8013" i="3"/>
  <c r="J8014" i="3"/>
  <c r="J8015" i="3"/>
  <c r="J8016" i="3"/>
  <c r="J8017" i="3"/>
  <c r="J8018" i="3"/>
  <c r="J8019" i="3"/>
  <c r="J8020" i="3"/>
  <c r="J8021" i="3"/>
  <c r="J8022" i="3"/>
  <c r="J8023" i="3"/>
  <c r="J8024" i="3"/>
  <c r="J8025" i="3"/>
  <c r="J8026" i="3"/>
  <c r="J8027" i="3"/>
  <c r="J8028" i="3"/>
  <c r="J8029" i="3"/>
  <c r="J8030" i="3"/>
  <c r="J8031" i="3"/>
  <c r="J8032" i="3"/>
  <c r="J8033" i="3"/>
  <c r="J8034" i="3"/>
  <c r="J8035" i="3"/>
  <c r="J8036" i="3"/>
  <c r="J8037" i="3"/>
  <c r="J8038" i="3"/>
  <c r="J8039" i="3"/>
  <c r="J8040" i="3"/>
  <c r="J8041" i="3"/>
  <c r="J8042" i="3"/>
  <c r="J8043" i="3"/>
  <c r="J8044" i="3"/>
  <c r="J8045" i="3"/>
  <c r="J8046" i="3"/>
  <c r="J8047" i="3"/>
  <c r="J8048" i="3"/>
  <c r="J8049" i="3"/>
  <c r="J8050" i="3"/>
  <c r="J8051" i="3"/>
  <c r="J8052" i="3"/>
  <c r="J8053" i="3"/>
  <c r="J8054" i="3"/>
  <c r="J8055" i="3"/>
  <c r="J8056" i="3"/>
  <c r="J8057" i="3"/>
  <c r="J8058" i="3"/>
  <c r="J8059" i="3"/>
  <c r="J8060" i="3"/>
  <c r="J8061" i="3"/>
  <c r="J8062" i="3"/>
  <c r="J8063" i="3"/>
  <c r="J8064" i="3"/>
  <c r="J8065" i="3"/>
  <c r="J8066" i="3"/>
  <c r="J8067" i="3"/>
  <c r="J8068" i="3"/>
  <c r="J8069" i="3"/>
  <c r="J8070" i="3"/>
  <c r="J8071" i="3"/>
  <c r="J8072" i="3"/>
  <c r="J8073" i="3"/>
  <c r="J8074" i="3"/>
  <c r="J8075" i="3"/>
  <c r="J8076" i="3"/>
  <c r="J8077" i="3"/>
  <c r="J8078" i="3"/>
  <c r="J8079" i="3"/>
  <c r="J8080" i="3"/>
  <c r="J8081" i="3"/>
  <c r="J8082" i="3"/>
  <c r="J8083" i="3"/>
  <c r="J8084" i="3"/>
  <c r="J8085" i="3"/>
  <c r="J8086" i="3"/>
  <c r="J8087" i="3"/>
  <c r="J8088" i="3"/>
  <c r="J8089" i="3"/>
  <c r="J8090" i="3"/>
  <c r="J8091" i="3"/>
  <c r="J8092" i="3"/>
  <c r="J8093" i="3"/>
  <c r="J8094" i="3"/>
  <c r="J8095" i="3"/>
  <c r="J8096" i="3"/>
  <c r="J8097" i="3"/>
  <c r="J8098" i="3"/>
  <c r="J8099" i="3"/>
  <c r="J8100" i="3"/>
  <c r="J8101" i="3"/>
  <c r="J8102" i="3"/>
  <c r="J8103" i="3"/>
  <c r="J8104" i="3"/>
  <c r="J8105" i="3"/>
  <c r="J8106" i="3"/>
  <c r="J8107" i="3"/>
  <c r="J8108" i="3"/>
  <c r="J8109" i="3"/>
  <c r="J8110" i="3"/>
  <c r="J8111" i="3"/>
  <c r="J8112" i="3"/>
  <c r="J8113" i="3"/>
  <c r="J8114" i="3"/>
  <c r="J8115" i="3"/>
  <c r="J8116" i="3"/>
  <c r="J8117" i="3"/>
  <c r="J8118" i="3"/>
  <c r="J8119" i="3"/>
  <c r="J8120" i="3"/>
  <c r="J8121" i="3"/>
  <c r="J8122" i="3"/>
  <c r="J8123" i="3"/>
  <c r="J8124" i="3"/>
  <c r="J8125" i="3"/>
  <c r="J8126" i="3"/>
  <c r="J8127" i="3"/>
  <c r="J8128" i="3"/>
  <c r="J8129" i="3"/>
  <c r="J8130" i="3"/>
  <c r="J8131" i="3"/>
  <c r="J8132" i="3"/>
  <c r="J8133" i="3"/>
  <c r="J8134" i="3"/>
  <c r="J8135" i="3"/>
  <c r="J8136" i="3"/>
  <c r="J8137" i="3"/>
  <c r="J8138" i="3"/>
  <c r="J8139" i="3"/>
  <c r="J8140" i="3"/>
  <c r="J8141" i="3"/>
  <c r="J8142" i="3"/>
  <c r="J8143" i="3"/>
  <c r="J8144" i="3"/>
  <c r="J8145" i="3"/>
  <c r="J8146" i="3"/>
  <c r="J8147" i="3"/>
  <c r="J8148" i="3"/>
  <c r="J8149" i="3"/>
  <c r="J8150" i="3"/>
  <c r="J8151" i="3"/>
  <c r="J8152" i="3"/>
  <c r="J8153" i="3"/>
  <c r="J8154" i="3"/>
  <c r="J8155" i="3"/>
  <c r="J8156" i="3"/>
  <c r="J8157" i="3"/>
  <c r="J8158" i="3"/>
  <c r="J8159" i="3"/>
  <c r="J8160" i="3"/>
  <c r="J8161" i="3"/>
  <c r="J8162" i="3"/>
  <c r="J8163" i="3"/>
  <c r="J8164" i="3"/>
  <c r="J8165" i="3"/>
  <c r="J8166" i="3"/>
  <c r="J8167" i="3"/>
  <c r="J8168" i="3"/>
  <c r="J8169" i="3"/>
  <c r="J8170" i="3"/>
  <c r="J8171" i="3"/>
  <c r="J8172" i="3"/>
  <c r="J8173" i="3"/>
  <c r="J8174" i="3"/>
  <c r="J8175" i="3"/>
  <c r="J8176" i="3"/>
  <c r="J8177" i="3"/>
  <c r="J8178" i="3"/>
  <c r="J8179" i="3"/>
  <c r="J8180" i="3"/>
  <c r="J8181" i="3"/>
  <c r="J8182" i="3"/>
  <c r="J8183" i="3"/>
  <c r="J8184" i="3"/>
  <c r="J8185" i="3"/>
  <c r="J8186" i="3"/>
  <c r="J8187" i="3"/>
  <c r="J8188" i="3"/>
  <c r="J8189" i="3"/>
  <c r="J8190" i="3"/>
  <c r="J8191" i="3"/>
  <c r="J8192" i="3"/>
  <c r="J8193" i="3"/>
  <c r="J8194" i="3"/>
  <c r="J8195" i="3"/>
  <c r="J8196" i="3"/>
  <c r="J8197" i="3"/>
  <c r="J8198" i="3"/>
  <c r="J8199" i="3"/>
  <c r="J8200" i="3"/>
  <c r="J8201" i="3"/>
  <c r="J8202" i="3"/>
  <c r="J8203" i="3"/>
  <c r="J8204" i="3"/>
  <c r="J8205" i="3"/>
  <c r="J8206" i="3"/>
  <c r="J8207" i="3"/>
  <c r="J8208" i="3"/>
  <c r="J8209" i="3"/>
  <c r="J8210" i="3"/>
  <c r="J8211" i="3"/>
  <c r="J8212" i="3"/>
  <c r="J8213" i="3"/>
  <c r="J8214" i="3"/>
  <c r="J8215" i="3"/>
  <c r="J8216" i="3"/>
  <c r="J8217" i="3"/>
  <c r="J8218" i="3"/>
  <c r="J8219" i="3"/>
  <c r="J8220" i="3"/>
  <c r="J8221" i="3"/>
  <c r="J8222" i="3"/>
  <c r="J8223" i="3"/>
  <c r="J8224" i="3"/>
  <c r="J8225" i="3"/>
  <c r="J8226" i="3"/>
  <c r="J8227" i="3"/>
  <c r="J8228" i="3"/>
  <c r="J8229" i="3"/>
  <c r="J8230" i="3"/>
  <c r="J8231" i="3"/>
  <c r="J8232" i="3"/>
  <c r="J8233" i="3"/>
  <c r="J8234" i="3"/>
  <c r="J8235" i="3"/>
  <c r="J8236" i="3"/>
  <c r="J8237" i="3"/>
  <c r="J8238" i="3"/>
  <c r="J8239" i="3"/>
  <c r="J8240" i="3"/>
  <c r="J8241" i="3"/>
  <c r="J8242" i="3"/>
  <c r="J8243" i="3"/>
  <c r="J8244" i="3"/>
  <c r="J8245" i="3"/>
  <c r="J8246" i="3"/>
  <c r="J8247" i="3"/>
  <c r="J8248" i="3"/>
  <c r="J8249" i="3"/>
  <c r="J8250" i="3"/>
  <c r="J8251" i="3"/>
  <c r="J8252" i="3"/>
  <c r="J8253" i="3"/>
  <c r="J8254" i="3"/>
  <c r="J8255" i="3"/>
  <c r="J8256" i="3"/>
  <c r="J8257" i="3"/>
  <c r="J8258" i="3"/>
  <c r="J8259" i="3"/>
  <c r="J8260" i="3"/>
  <c r="J8261" i="3"/>
  <c r="J8262" i="3"/>
  <c r="J8263" i="3"/>
  <c r="J8264" i="3"/>
  <c r="J8265" i="3"/>
  <c r="J8266" i="3"/>
  <c r="J8267" i="3"/>
  <c r="J8268" i="3"/>
  <c r="J8269" i="3"/>
  <c r="J8270" i="3"/>
  <c r="J8271" i="3"/>
  <c r="J8272" i="3"/>
  <c r="J8273" i="3"/>
  <c r="J8274" i="3"/>
  <c r="J8275" i="3"/>
  <c r="J8276" i="3"/>
  <c r="J8277" i="3"/>
  <c r="J8278" i="3"/>
  <c r="J8279" i="3"/>
  <c r="J8280" i="3"/>
  <c r="J8281" i="3"/>
  <c r="J8282" i="3"/>
  <c r="J8283" i="3"/>
  <c r="J8284" i="3"/>
  <c r="J8285" i="3"/>
  <c r="J8286" i="3"/>
  <c r="J8287" i="3"/>
  <c r="J8288" i="3"/>
  <c r="J8289" i="3"/>
  <c r="J8290" i="3"/>
  <c r="J8291" i="3"/>
  <c r="J8292" i="3"/>
  <c r="J8293" i="3"/>
  <c r="J8294" i="3"/>
  <c r="J8295" i="3"/>
  <c r="J8296" i="3"/>
  <c r="J8297" i="3"/>
  <c r="J8298" i="3"/>
  <c r="J8299" i="3"/>
  <c r="J8300" i="3"/>
  <c r="J8301" i="3"/>
  <c r="J8302" i="3"/>
  <c r="J8303" i="3"/>
  <c r="J8304" i="3"/>
  <c r="J8305" i="3"/>
  <c r="J8306" i="3"/>
  <c r="J8307" i="3"/>
  <c r="J8308" i="3"/>
  <c r="J8309" i="3"/>
  <c r="J8310" i="3"/>
  <c r="J8311" i="3"/>
  <c r="J8312" i="3"/>
  <c r="J8313" i="3"/>
  <c r="J8314" i="3"/>
  <c r="J8315" i="3"/>
  <c r="J8316" i="3"/>
  <c r="J8317" i="3"/>
  <c r="J8318" i="3"/>
  <c r="J8319" i="3"/>
  <c r="J8320" i="3"/>
  <c r="J8321" i="3"/>
  <c r="J8322" i="3"/>
  <c r="J8323" i="3"/>
  <c r="J8324" i="3"/>
  <c r="J8325" i="3"/>
  <c r="J8326" i="3"/>
  <c r="J8327" i="3"/>
  <c r="J8328" i="3"/>
  <c r="J8329" i="3"/>
  <c r="J8330" i="3"/>
  <c r="J8331" i="3"/>
  <c r="J8332" i="3"/>
  <c r="J8333" i="3"/>
  <c r="J8334" i="3"/>
  <c r="J8335" i="3"/>
  <c r="J8336" i="3"/>
  <c r="J8337" i="3"/>
  <c r="J8338" i="3"/>
  <c r="J8339" i="3"/>
  <c r="J8340" i="3"/>
  <c r="J8341" i="3"/>
  <c r="J8342" i="3"/>
  <c r="J8343" i="3"/>
  <c r="J8344" i="3"/>
  <c r="J8345" i="3"/>
  <c r="J8346" i="3"/>
  <c r="J8347" i="3"/>
  <c r="J8348" i="3"/>
  <c r="J8349" i="3"/>
  <c r="J8350" i="3"/>
  <c r="J8351" i="3"/>
  <c r="J8352" i="3"/>
  <c r="J8353" i="3"/>
  <c r="J8354" i="3"/>
  <c r="J8355" i="3"/>
  <c r="J8356" i="3"/>
  <c r="J8357" i="3"/>
  <c r="J8358" i="3"/>
  <c r="J8359" i="3"/>
  <c r="J8360" i="3"/>
  <c r="J8361" i="3"/>
  <c r="J8362" i="3"/>
  <c r="J8363" i="3"/>
  <c r="J8364" i="3"/>
  <c r="J8365" i="3"/>
  <c r="J8366" i="3"/>
  <c r="J8367" i="3"/>
  <c r="J8368" i="3"/>
  <c r="J8369" i="3"/>
  <c r="J8370" i="3"/>
  <c r="J8371" i="3"/>
  <c r="J8372" i="3"/>
  <c r="J8373" i="3"/>
  <c r="J8374" i="3"/>
  <c r="J8375" i="3"/>
  <c r="J8376" i="3"/>
  <c r="J8377" i="3"/>
  <c r="J8378" i="3"/>
  <c r="J8379" i="3"/>
  <c r="J8380" i="3"/>
  <c r="J8381" i="3"/>
  <c r="J8382" i="3"/>
  <c r="J8383" i="3"/>
  <c r="J8384" i="3"/>
  <c r="J8385" i="3"/>
  <c r="J8386" i="3"/>
  <c r="J8387" i="3"/>
  <c r="J8388" i="3"/>
  <c r="J8389" i="3"/>
  <c r="J8390" i="3"/>
  <c r="J8391" i="3"/>
  <c r="J8392" i="3"/>
  <c r="J8393" i="3"/>
  <c r="J8394" i="3"/>
  <c r="J8395" i="3"/>
  <c r="J8396" i="3"/>
  <c r="J8397" i="3"/>
  <c r="J8398" i="3"/>
  <c r="J8399" i="3"/>
  <c r="J8400" i="3"/>
  <c r="J8401" i="3"/>
  <c r="J8402" i="3"/>
  <c r="J8403" i="3"/>
  <c r="J8404" i="3"/>
  <c r="J8405" i="3"/>
  <c r="J8406" i="3"/>
  <c r="J8407" i="3"/>
  <c r="J8408" i="3"/>
  <c r="J8409" i="3"/>
  <c r="J8410" i="3"/>
  <c r="J8411" i="3"/>
  <c r="J8412" i="3"/>
  <c r="J8413" i="3"/>
  <c r="J8414" i="3"/>
  <c r="J8415" i="3"/>
  <c r="J8416" i="3"/>
  <c r="J8417" i="3"/>
  <c r="J8418" i="3"/>
  <c r="J8419" i="3"/>
  <c r="J8420" i="3"/>
  <c r="J8421" i="3"/>
  <c r="J8422" i="3"/>
  <c r="J8423" i="3"/>
  <c r="J8424" i="3"/>
  <c r="J8425" i="3"/>
  <c r="J8426" i="3"/>
  <c r="J8427" i="3"/>
  <c r="J8428" i="3"/>
  <c r="J8429" i="3"/>
  <c r="J8430" i="3"/>
  <c r="J8431" i="3"/>
  <c r="J8432" i="3"/>
  <c r="J8433" i="3"/>
  <c r="J8434" i="3"/>
  <c r="J8435" i="3"/>
  <c r="J8436" i="3"/>
  <c r="J8437" i="3"/>
  <c r="J8438" i="3"/>
  <c r="J8439" i="3"/>
  <c r="J8440" i="3"/>
  <c r="J8441" i="3"/>
  <c r="J8442" i="3"/>
  <c r="J8443" i="3"/>
  <c r="J8444" i="3"/>
  <c r="J8445" i="3"/>
  <c r="J8446" i="3"/>
  <c r="J8447" i="3"/>
  <c r="J8448" i="3"/>
  <c r="J8449" i="3"/>
  <c r="J8450" i="3"/>
  <c r="J8451" i="3"/>
  <c r="J8452" i="3"/>
  <c r="J8453" i="3"/>
  <c r="J8454" i="3"/>
  <c r="J8455" i="3"/>
  <c r="J8456" i="3"/>
  <c r="J8457" i="3"/>
  <c r="J8458" i="3"/>
  <c r="J8459" i="3"/>
  <c r="J8460" i="3"/>
  <c r="J8461" i="3"/>
  <c r="J8462" i="3"/>
  <c r="J8463" i="3"/>
  <c r="J8464" i="3"/>
  <c r="J8465" i="3"/>
  <c r="J8466" i="3"/>
  <c r="J8467" i="3"/>
  <c r="J8468" i="3"/>
  <c r="J8469" i="3"/>
  <c r="J8470" i="3"/>
  <c r="J8471" i="3"/>
  <c r="J8472" i="3"/>
  <c r="J8473" i="3"/>
  <c r="J8474" i="3"/>
  <c r="J8475" i="3"/>
  <c r="J8476" i="3"/>
  <c r="J8477" i="3"/>
  <c r="J8478" i="3"/>
  <c r="J8479" i="3"/>
  <c r="J8480" i="3"/>
  <c r="J8481" i="3"/>
  <c r="J8482" i="3"/>
  <c r="J8483" i="3"/>
  <c r="J8484" i="3"/>
  <c r="J8485" i="3"/>
  <c r="J8486" i="3"/>
  <c r="J8487" i="3"/>
  <c r="J8488" i="3"/>
  <c r="J8489" i="3"/>
  <c r="J8490" i="3"/>
  <c r="J8491" i="3"/>
  <c r="J8492" i="3"/>
  <c r="J8493" i="3"/>
  <c r="J8494" i="3"/>
  <c r="J8495" i="3"/>
  <c r="J8496" i="3"/>
  <c r="J8497" i="3"/>
  <c r="J8498" i="3"/>
  <c r="J8499" i="3"/>
  <c r="J8500" i="3"/>
  <c r="J8501" i="3"/>
  <c r="J8502" i="3"/>
  <c r="J8503" i="3"/>
  <c r="J8504" i="3"/>
  <c r="J8505" i="3"/>
  <c r="J8506" i="3"/>
  <c r="J8507" i="3"/>
  <c r="J8508" i="3"/>
  <c r="J8509" i="3"/>
  <c r="J8510" i="3"/>
  <c r="J8511" i="3"/>
  <c r="J8512" i="3"/>
  <c r="J8513" i="3"/>
  <c r="J8514" i="3"/>
  <c r="J8515" i="3"/>
  <c r="J8516" i="3"/>
  <c r="J8517" i="3"/>
  <c r="J8518" i="3"/>
  <c r="J8519" i="3"/>
  <c r="J8520" i="3"/>
  <c r="J8521" i="3"/>
  <c r="J8522" i="3"/>
  <c r="J8523" i="3"/>
  <c r="J8524" i="3"/>
  <c r="J8525" i="3"/>
  <c r="J8526" i="3"/>
  <c r="J8527" i="3"/>
  <c r="J8528" i="3"/>
  <c r="J8529" i="3"/>
  <c r="J8530" i="3"/>
  <c r="J8531" i="3"/>
  <c r="J8532" i="3"/>
  <c r="J8533" i="3"/>
  <c r="J8534" i="3"/>
  <c r="J8535" i="3"/>
  <c r="J8536" i="3"/>
  <c r="J8537" i="3"/>
  <c r="J8538" i="3"/>
  <c r="J8539" i="3"/>
  <c r="J8540" i="3"/>
  <c r="J8541" i="3"/>
  <c r="J8542" i="3"/>
  <c r="J8543" i="3"/>
  <c r="J8544" i="3"/>
  <c r="J8545" i="3"/>
  <c r="J8546" i="3"/>
  <c r="J8547" i="3"/>
  <c r="J8548" i="3"/>
  <c r="J8549" i="3"/>
  <c r="J8550" i="3"/>
  <c r="J8551" i="3"/>
  <c r="J8552" i="3"/>
  <c r="J8553" i="3"/>
  <c r="J8554" i="3"/>
  <c r="J8555" i="3"/>
  <c r="J8556" i="3"/>
  <c r="J8557" i="3"/>
  <c r="J8558" i="3"/>
  <c r="J8559" i="3"/>
  <c r="J8560" i="3"/>
  <c r="J8561" i="3"/>
  <c r="J8562" i="3"/>
  <c r="J8563" i="3"/>
  <c r="J8564" i="3"/>
  <c r="J8565" i="3"/>
  <c r="J8566" i="3"/>
  <c r="J8567" i="3"/>
  <c r="J8568" i="3"/>
  <c r="J8569" i="3"/>
  <c r="J8570" i="3"/>
  <c r="J8571" i="3"/>
  <c r="J8572" i="3"/>
  <c r="J8573" i="3"/>
  <c r="J8574" i="3"/>
  <c r="J8575" i="3"/>
  <c r="J8576" i="3"/>
  <c r="J8577" i="3"/>
  <c r="J8578" i="3"/>
  <c r="J8579" i="3"/>
  <c r="J8580" i="3"/>
  <c r="J8581" i="3"/>
  <c r="J8582" i="3"/>
  <c r="J8583" i="3"/>
  <c r="J8584" i="3"/>
  <c r="J8585" i="3"/>
  <c r="J8586" i="3"/>
  <c r="J8587" i="3"/>
  <c r="J8588" i="3"/>
  <c r="J8589" i="3"/>
  <c r="J8590" i="3"/>
  <c r="J8591" i="3"/>
  <c r="J8592" i="3"/>
  <c r="J8593" i="3"/>
  <c r="J8594" i="3"/>
  <c r="J8595" i="3"/>
  <c r="J8596" i="3"/>
  <c r="J8597" i="3"/>
  <c r="J8598" i="3"/>
  <c r="J8599" i="3"/>
  <c r="J8600" i="3"/>
  <c r="J8601" i="3"/>
  <c r="J8602" i="3"/>
  <c r="J8603" i="3"/>
  <c r="J8604" i="3"/>
  <c r="J8605" i="3"/>
  <c r="J8606" i="3"/>
  <c r="J8607" i="3"/>
  <c r="J8608" i="3"/>
  <c r="J8609" i="3"/>
  <c r="J8610" i="3"/>
  <c r="J8611" i="3"/>
  <c r="J8612" i="3"/>
  <c r="J8613" i="3"/>
  <c r="J8614" i="3"/>
  <c r="J8615" i="3"/>
  <c r="J8616" i="3"/>
  <c r="J8617" i="3"/>
  <c r="J8618" i="3"/>
  <c r="J8619" i="3"/>
  <c r="J8620" i="3"/>
  <c r="J8621" i="3"/>
  <c r="J8622" i="3"/>
  <c r="J8623" i="3"/>
  <c r="J8624" i="3"/>
  <c r="J8625" i="3"/>
  <c r="J8626" i="3"/>
  <c r="J8627" i="3"/>
  <c r="J8628" i="3"/>
  <c r="J8629" i="3"/>
  <c r="J8630" i="3"/>
  <c r="J8631" i="3"/>
  <c r="J8632" i="3"/>
  <c r="J8633" i="3"/>
  <c r="J8634" i="3"/>
  <c r="J8635" i="3"/>
  <c r="J8636" i="3"/>
  <c r="J8637" i="3"/>
  <c r="J8638" i="3"/>
  <c r="J8639" i="3"/>
  <c r="J8640" i="3"/>
  <c r="J8641" i="3"/>
  <c r="J8642" i="3"/>
  <c r="J8643" i="3"/>
  <c r="J8644" i="3"/>
  <c r="J8645" i="3"/>
  <c r="J8646" i="3"/>
  <c r="J8647" i="3"/>
  <c r="J8648" i="3"/>
  <c r="J8649" i="3"/>
  <c r="J8650" i="3"/>
  <c r="J8651" i="3"/>
  <c r="J8652" i="3"/>
  <c r="J8653" i="3"/>
  <c r="J8654" i="3"/>
  <c r="J8655" i="3"/>
  <c r="J8656" i="3"/>
  <c r="J8657" i="3"/>
  <c r="J8658" i="3"/>
  <c r="J8659" i="3"/>
  <c r="J8660" i="3"/>
  <c r="J8661" i="3"/>
  <c r="J8662" i="3"/>
  <c r="J8663" i="3"/>
  <c r="J8664" i="3"/>
  <c r="J8665" i="3"/>
  <c r="J8666" i="3"/>
  <c r="J8667" i="3"/>
  <c r="J8668" i="3"/>
  <c r="J8669" i="3"/>
  <c r="J8670" i="3"/>
  <c r="J8671" i="3"/>
  <c r="J8672" i="3"/>
  <c r="J8673" i="3"/>
  <c r="J8674" i="3"/>
  <c r="J8675" i="3"/>
  <c r="J8676" i="3"/>
  <c r="J8677" i="3"/>
  <c r="J8678" i="3"/>
  <c r="J8679" i="3"/>
  <c r="J8680" i="3"/>
  <c r="J8681" i="3"/>
  <c r="J8682" i="3"/>
  <c r="J8683" i="3"/>
  <c r="J8684" i="3"/>
  <c r="J8685" i="3"/>
  <c r="J8686" i="3"/>
  <c r="J8687" i="3"/>
  <c r="J8688" i="3"/>
  <c r="J8689" i="3"/>
  <c r="J8690" i="3"/>
  <c r="J8691" i="3"/>
  <c r="J8692" i="3"/>
  <c r="J8693" i="3"/>
  <c r="J8694" i="3"/>
  <c r="J8695" i="3"/>
  <c r="J8696" i="3"/>
  <c r="J8697" i="3"/>
  <c r="J8698" i="3"/>
  <c r="J8699" i="3"/>
  <c r="J8700" i="3"/>
  <c r="J8701" i="3"/>
  <c r="J8702" i="3"/>
  <c r="J8703" i="3"/>
  <c r="J8704" i="3"/>
  <c r="J8705" i="3"/>
  <c r="J8706" i="3"/>
  <c r="J8707" i="3"/>
  <c r="J8708" i="3"/>
  <c r="J8709" i="3"/>
  <c r="J8710" i="3"/>
  <c r="J8711" i="3"/>
  <c r="J8712" i="3"/>
  <c r="J8713" i="3"/>
  <c r="J8714" i="3"/>
  <c r="J8715" i="3"/>
  <c r="J8716" i="3"/>
  <c r="J8717" i="3"/>
  <c r="J8718" i="3"/>
  <c r="J8719" i="3"/>
  <c r="J8720" i="3"/>
  <c r="J8721" i="3"/>
  <c r="J8722" i="3"/>
  <c r="J8723" i="3"/>
  <c r="J8724" i="3"/>
  <c r="J8725" i="3"/>
  <c r="J8726" i="3"/>
  <c r="J8727" i="3"/>
  <c r="J8728" i="3"/>
  <c r="J8729" i="3"/>
  <c r="J8730" i="3"/>
  <c r="J8731" i="3"/>
  <c r="J8732" i="3"/>
  <c r="J8733" i="3"/>
  <c r="J8734" i="3"/>
  <c r="J8735" i="3"/>
  <c r="J8736" i="3"/>
  <c r="J8737" i="3"/>
  <c r="J8738" i="3"/>
  <c r="J8739" i="3"/>
  <c r="J8740" i="3"/>
  <c r="J8741" i="3"/>
  <c r="J8742" i="3"/>
  <c r="J8743" i="3"/>
  <c r="J8744" i="3"/>
  <c r="J8745" i="3"/>
  <c r="J8746" i="3"/>
  <c r="J8747" i="3"/>
  <c r="J8748" i="3"/>
  <c r="J8749" i="3"/>
  <c r="J8750" i="3"/>
  <c r="J8751" i="3"/>
  <c r="J8752" i="3"/>
  <c r="J8753" i="3"/>
  <c r="J8754" i="3"/>
  <c r="J8755" i="3"/>
  <c r="J8756" i="3"/>
  <c r="J8757" i="3"/>
  <c r="J8758" i="3"/>
  <c r="J8759" i="3"/>
  <c r="J8760" i="3"/>
  <c r="J8761" i="3"/>
  <c r="J8762" i="3"/>
  <c r="J8763" i="3"/>
  <c r="J8764" i="3"/>
  <c r="J8765" i="3"/>
  <c r="J8766" i="3"/>
  <c r="J8767" i="3"/>
  <c r="J8768" i="3"/>
  <c r="J8769" i="3"/>
  <c r="J8770" i="3"/>
  <c r="J8771" i="3"/>
  <c r="J8772" i="3"/>
  <c r="J8773" i="3"/>
  <c r="J8774" i="3"/>
  <c r="J8775" i="3"/>
  <c r="J8776" i="3"/>
  <c r="J8777" i="3"/>
  <c r="J8778" i="3"/>
  <c r="J8779" i="3"/>
  <c r="J8780" i="3"/>
  <c r="J8781" i="3"/>
  <c r="J8782" i="3"/>
  <c r="J8783" i="3"/>
  <c r="J8784" i="3"/>
  <c r="J8785" i="3"/>
  <c r="J8786" i="3"/>
  <c r="J8787" i="3"/>
  <c r="J8788" i="3"/>
  <c r="J8789" i="3"/>
  <c r="J8790" i="3"/>
  <c r="J8791" i="3"/>
  <c r="J8792" i="3"/>
  <c r="J8793" i="3"/>
  <c r="J8794" i="3"/>
  <c r="J8795" i="3"/>
  <c r="J8796" i="3"/>
  <c r="J8797" i="3"/>
  <c r="J8798" i="3"/>
  <c r="J8799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4831" i="3"/>
  <c r="I4832" i="3"/>
  <c r="I4833" i="3"/>
  <c r="I4834" i="3"/>
  <c r="I4835" i="3"/>
  <c r="I4836" i="3"/>
  <c r="I4837" i="3"/>
  <c r="I4838" i="3"/>
  <c r="I4839" i="3"/>
  <c r="I4840" i="3"/>
  <c r="I4841" i="3"/>
  <c r="I4842" i="3"/>
  <c r="I4843" i="3"/>
  <c r="I4844" i="3"/>
  <c r="I4845" i="3"/>
  <c r="I4846" i="3"/>
  <c r="I4847" i="3"/>
  <c r="I4848" i="3"/>
  <c r="I4849" i="3"/>
  <c r="I4850" i="3"/>
  <c r="I4851" i="3"/>
  <c r="I4852" i="3"/>
  <c r="I4853" i="3"/>
  <c r="I4854" i="3"/>
  <c r="I4855" i="3"/>
  <c r="I4856" i="3"/>
  <c r="I4857" i="3"/>
  <c r="I4858" i="3"/>
  <c r="I4859" i="3"/>
  <c r="I4860" i="3"/>
  <c r="I4861" i="3"/>
  <c r="I4862" i="3"/>
  <c r="I4863" i="3"/>
  <c r="I4864" i="3"/>
  <c r="I4865" i="3"/>
  <c r="I4866" i="3"/>
  <c r="I4867" i="3"/>
  <c r="I4868" i="3"/>
  <c r="I4869" i="3"/>
  <c r="I4870" i="3"/>
  <c r="I4871" i="3"/>
  <c r="I4872" i="3"/>
  <c r="I4873" i="3"/>
  <c r="I4874" i="3"/>
  <c r="I4875" i="3"/>
  <c r="I4876" i="3"/>
  <c r="I4877" i="3"/>
  <c r="I4878" i="3"/>
  <c r="I4879" i="3"/>
  <c r="I4880" i="3"/>
  <c r="I4881" i="3"/>
  <c r="I4882" i="3"/>
  <c r="I4883" i="3"/>
  <c r="I4884" i="3"/>
  <c r="I4885" i="3"/>
  <c r="I4886" i="3"/>
  <c r="I4887" i="3"/>
  <c r="I4888" i="3"/>
  <c r="I4889" i="3"/>
  <c r="I4890" i="3"/>
  <c r="I4891" i="3"/>
  <c r="I4892" i="3"/>
  <c r="I4893" i="3"/>
  <c r="I4894" i="3"/>
  <c r="I4895" i="3"/>
  <c r="I4896" i="3"/>
  <c r="I4897" i="3"/>
  <c r="I4898" i="3"/>
  <c r="I4899" i="3"/>
  <c r="I4900" i="3"/>
  <c r="I4901" i="3"/>
  <c r="I4902" i="3"/>
  <c r="I4903" i="3"/>
  <c r="I4904" i="3"/>
  <c r="I4905" i="3"/>
  <c r="I4906" i="3"/>
  <c r="I4907" i="3"/>
  <c r="I4908" i="3"/>
  <c r="I4909" i="3"/>
  <c r="I4910" i="3"/>
  <c r="I4911" i="3"/>
  <c r="I4912" i="3"/>
  <c r="I4913" i="3"/>
  <c r="I4914" i="3"/>
  <c r="I4915" i="3"/>
  <c r="I4916" i="3"/>
  <c r="I4917" i="3"/>
  <c r="I4918" i="3"/>
  <c r="I4919" i="3"/>
  <c r="I4920" i="3"/>
  <c r="I4921" i="3"/>
  <c r="I4922" i="3"/>
  <c r="I4923" i="3"/>
  <c r="I4924" i="3"/>
  <c r="I4925" i="3"/>
  <c r="I4926" i="3"/>
  <c r="I4927" i="3"/>
  <c r="I4928" i="3"/>
  <c r="I4929" i="3"/>
  <c r="I4930" i="3"/>
  <c r="I4931" i="3"/>
  <c r="I4932" i="3"/>
  <c r="I4933" i="3"/>
  <c r="I4934" i="3"/>
  <c r="I4935" i="3"/>
  <c r="I4936" i="3"/>
  <c r="I4937" i="3"/>
  <c r="I4938" i="3"/>
  <c r="I4939" i="3"/>
  <c r="I4940" i="3"/>
  <c r="I4941" i="3"/>
  <c r="I4942" i="3"/>
  <c r="I4943" i="3"/>
  <c r="I4944" i="3"/>
  <c r="I4945" i="3"/>
  <c r="I4946" i="3"/>
  <c r="I4947" i="3"/>
  <c r="I4948" i="3"/>
  <c r="I4949" i="3"/>
  <c r="I4950" i="3"/>
  <c r="I4951" i="3"/>
  <c r="I4952" i="3"/>
  <c r="I4953" i="3"/>
  <c r="I4954" i="3"/>
  <c r="I4955" i="3"/>
  <c r="I4956" i="3"/>
  <c r="I4957" i="3"/>
  <c r="I4958" i="3"/>
  <c r="I4959" i="3"/>
  <c r="I4960" i="3"/>
  <c r="I4961" i="3"/>
  <c r="I4962" i="3"/>
  <c r="I4963" i="3"/>
  <c r="I4964" i="3"/>
  <c r="I4965" i="3"/>
  <c r="I4966" i="3"/>
  <c r="I4967" i="3"/>
  <c r="I4968" i="3"/>
  <c r="I4969" i="3"/>
  <c r="I4970" i="3"/>
  <c r="I4971" i="3"/>
  <c r="I4972" i="3"/>
  <c r="I4973" i="3"/>
  <c r="I4974" i="3"/>
  <c r="I4975" i="3"/>
  <c r="I4976" i="3"/>
  <c r="I4977" i="3"/>
  <c r="I4978" i="3"/>
  <c r="I4979" i="3"/>
  <c r="I4980" i="3"/>
  <c r="I4981" i="3"/>
  <c r="I4982" i="3"/>
  <c r="I4983" i="3"/>
  <c r="I4984" i="3"/>
  <c r="I4985" i="3"/>
  <c r="I4986" i="3"/>
  <c r="I4987" i="3"/>
  <c r="I4988" i="3"/>
  <c r="I4989" i="3"/>
  <c r="I4990" i="3"/>
  <c r="I4991" i="3"/>
  <c r="I4992" i="3"/>
  <c r="I4993" i="3"/>
  <c r="I4994" i="3"/>
  <c r="I4995" i="3"/>
  <c r="I4996" i="3"/>
  <c r="I4997" i="3"/>
  <c r="I4998" i="3"/>
  <c r="I4999" i="3"/>
  <c r="I5000" i="3"/>
  <c r="I5001" i="3"/>
  <c r="I5002" i="3"/>
  <c r="I5003" i="3"/>
  <c r="I5004" i="3"/>
  <c r="I5005" i="3"/>
  <c r="I5006" i="3"/>
  <c r="I5007" i="3"/>
  <c r="I5008" i="3"/>
  <c r="I5009" i="3"/>
  <c r="I5010" i="3"/>
  <c r="I5011" i="3"/>
  <c r="I5012" i="3"/>
  <c r="I5013" i="3"/>
  <c r="I5014" i="3"/>
  <c r="I5015" i="3"/>
  <c r="I5016" i="3"/>
  <c r="I5017" i="3"/>
  <c r="I5018" i="3"/>
  <c r="I5019" i="3"/>
  <c r="I5020" i="3"/>
  <c r="I5021" i="3"/>
  <c r="I5022" i="3"/>
  <c r="I5023" i="3"/>
  <c r="I5024" i="3"/>
  <c r="I5025" i="3"/>
  <c r="I5026" i="3"/>
  <c r="I5027" i="3"/>
  <c r="I5028" i="3"/>
  <c r="I5029" i="3"/>
  <c r="I5030" i="3"/>
  <c r="I5031" i="3"/>
  <c r="I5032" i="3"/>
  <c r="I5033" i="3"/>
  <c r="I5034" i="3"/>
  <c r="I5035" i="3"/>
  <c r="I5036" i="3"/>
  <c r="I5037" i="3"/>
  <c r="I5038" i="3"/>
  <c r="I5039" i="3"/>
  <c r="I5040" i="3"/>
  <c r="I5041" i="3"/>
  <c r="I5042" i="3"/>
  <c r="I5043" i="3"/>
  <c r="I5044" i="3"/>
  <c r="I5045" i="3"/>
  <c r="I5046" i="3"/>
  <c r="I5047" i="3"/>
  <c r="I5048" i="3"/>
  <c r="I5049" i="3"/>
  <c r="I5050" i="3"/>
  <c r="I5051" i="3"/>
  <c r="I5052" i="3"/>
  <c r="I5053" i="3"/>
  <c r="I5054" i="3"/>
  <c r="I5055" i="3"/>
  <c r="I5056" i="3"/>
  <c r="I5057" i="3"/>
  <c r="I5058" i="3"/>
  <c r="I5059" i="3"/>
  <c r="I5060" i="3"/>
  <c r="I5061" i="3"/>
  <c r="I5062" i="3"/>
  <c r="I5063" i="3"/>
  <c r="I5064" i="3"/>
  <c r="I5065" i="3"/>
  <c r="I5066" i="3"/>
  <c r="I5067" i="3"/>
  <c r="I5068" i="3"/>
  <c r="I5069" i="3"/>
  <c r="I5070" i="3"/>
  <c r="I5071" i="3"/>
  <c r="I5072" i="3"/>
  <c r="I5073" i="3"/>
  <c r="I5074" i="3"/>
  <c r="I5075" i="3"/>
  <c r="I5076" i="3"/>
  <c r="I5077" i="3"/>
  <c r="I5078" i="3"/>
  <c r="I5079" i="3"/>
  <c r="I5080" i="3"/>
  <c r="I5081" i="3"/>
  <c r="I5082" i="3"/>
  <c r="I5083" i="3"/>
  <c r="I5084" i="3"/>
  <c r="I5085" i="3"/>
  <c r="I5086" i="3"/>
  <c r="I5087" i="3"/>
  <c r="I5088" i="3"/>
  <c r="I5089" i="3"/>
  <c r="I5090" i="3"/>
  <c r="I5091" i="3"/>
  <c r="I5092" i="3"/>
  <c r="I5093" i="3"/>
  <c r="I5094" i="3"/>
  <c r="I5095" i="3"/>
  <c r="I5096" i="3"/>
  <c r="I5097" i="3"/>
  <c r="I5098" i="3"/>
  <c r="I5099" i="3"/>
  <c r="I5100" i="3"/>
  <c r="I5101" i="3"/>
  <c r="I5102" i="3"/>
  <c r="I5103" i="3"/>
  <c r="I5104" i="3"/>
  <c r="I5105" i="3"/>
  <c r="I5106" i="3"/>
  <c r="I5107" i="3"/>
  <c r="I5108" i="3"/>
  <c r="I5109" i="3"/>
  <c r="I5110" i="3"/>
  <c r="I5111" i="3"/>
  <c r="I5112" i="3"/>
  <c r="I5113" i="3"/>
  <c r="I5114" i="3"/>
  <c r="I5115" i="3"/>
  <c r="I5116" i="3"/>
  <c r="I5117" i="3"/>
  <c r="I5118" i="3"/>
  <c r="I5119" i="3"/>
  <c r="I5120" i="3"/>
  <c r="I5121" i="3"/>
  <c r="I5122" i="3"/>
  <c r="I5123" i="3"/>
  <c r="I5124" i="3"/>
  <c r="I5125" i="3"/>
  <c r="I5126" i="3"/>
  <c r="I5127" i="3"/>
  <c r="I5128" i="3"/>
  <c r="I5129" i="3"/>
  <c r="I5130" i="3"/>
  <c r="I5131" i="3"/>
  <c r="I5132" i="3"/>
  <c r="I5133" i="3"/>
  <c r="I5134" i="3"/>
  <c r="I5135" i="3"/>
  <c r="I5136" i="3"/>
  <c r="I5137" i="3"/>
  <c r="I5138" i="3"/>
  <c r="I5139" i="3"/>
  <c r="I5140" i="3"/>
  <c r="I5141" i="3"/>
  <c r="I5142" i="3"/>
  <c r="I5143" i="3"/>
  <c r="I5144" i="3"/>
  <c r="I5145" i="3"/>
  <c r="I5146" i="3"/>
  <c r="I5147" i="3"/>
  <c r="I5148" i="3"/>
  <c r="I5149" i="3"/>
  <c r="I5150" i="3"/>
  <c r="I5151" i="3"/>
  <c r="I5152" i="3"/>
  <c r="I5153" i="3"/>
  <c r="I5154" i="3"/>
  <c r="I5155" i="3"/>
  <c r="I5156" i="3"/>
  <c r="I5157" i="3"/>
  <c r="I5158" i="3"/>
  <c r="I5159" i="3"/>
  <c r="I5160" i="3"/>
  <c r="I5161" i="3"/>
  <c r="I5162" i="3"/>
  <c r="I5163" i="3"/>
  <c r="I5164" i="3"/>
  <c r="I5165" i="3"/>
  <c r="I5166" i="3"/>
  <c r="I5167" i="3"/>
  <c r="I5168" i="3"/>
  <c r="I5169" i="3"/>
  <c r="I5170" i="3"/>
  <c r="I5171" i="3"/>
  <c r="I5172" i="3"/>
  <c r="I5173" i="3"/>
  <c r="I5174" i="3"/>
  <c r="I5175" i="3"/>
  <c r="I5176" i="3"/>
  <c r="I5177" i="3"/>
  <c r="I5178" i="3"/>
  <c r="I5179" i="3"/>
  <c r="I5180" i="3"/>
  <c r="I5181" i="3"/>
  <c r="I5182" i="3"/>
  <c r="I5183" i="3"/>
  <c r="I5184" i="3"/>
  <c r="I5185" i="3"/>
  <c r="I5186" i="3"/>
  <c r="I5187" i="3"/>
  <c r="I5188" i="3"/>
  <c r="I5189" i="3"/>
  <c r="I5190" i="3"/>
  <c r="I5191" i="3"/>
  <c r="I5192" i="3"/>
  <c r="I5193" i="3"/>
  <c r="I5194" i="3"/>
  <c r="I5195" i="3"/>
  <c r="I5196" i="3"/>
  <c r="I5197" i="3"/>
  <c r="I5198" i="3"/>
  <c r="I5199" i="3"/>
  <c r="I5200" i="3"/>
  <c r="I5201" i="3"/>
  <c r="I5202" i="3"/>
  <c r="I5203" i="3"/>
  <c r="I5204" i="3"/>
  <c r="I5205" i="3"/>
  <c r="I5206" i="3"/>
  <c r="I5207" i="3"/>
  <c r="I5208" i="3"/>
  <c r="I5209" i="3"/>
  <c r="I5210" i="3"/>
  <c r="I5211" i="3"/>
  <c r="I5212" i="3"/>
  <c r="I5213" i="3"/>
  <c r="I5214" i="3"/>
  <c r="I5215" i="3"/>
  <c r="I5216" i="3"/>
  <c r="I5217" i="3"/>
  <c r="I5218" i="3"/>
  <c r="I5219" i="3"/>
  <c r="I5220" i="3"/>
  <c r="I5221" i="3"/>
  <c r="I5222" i="3"/>
  <c r="I5223" i="3"/>
  <c r="I5224" i="3"/>
  <c r="I5225" i="3"/>
  <c r="I5226" i="3"/>
  <c r="I5227" i="3"/>
  <c r="I5228" i="3"/>
  <c r="I5229" i="3"/>
  <c r="I5230" i="3"/>
  <c r="I5231" i="3"/>
  <c r="I5232" i="3"/>
  <c r="I5233" i="3"/>
  <c r="I5234" i="3"/>
  <c r="I5235" i="3"/>
  <c r="I5236" i="3"/>
  <c r="I5237" i="3"/>
  <c r="I5238" i="3"/>
  <c r="I5239" i="3"/>
  <c r="I5240" i="3"/>
  <c r="I5241" i="3"/>
  <c r="I5242" i="3"/>
  <c r="I5243" i="3"/>
  <c r="I5244" i="3"/>
  <c r="I5245" i="3"/>
  <c r="I5246" i="3"/>
  <c r="I5247" i="3"/>
  <c r="I5248" i="3"/>
  <c r="I5249" i="3"/>
  <c r="I5250" i="3"/>
  <c r="I5251" i="3"/>
  <c r="I5252" i="3"/>
  <c r="I5253" i="3"/>
  <c r="I5254" i="3"/>
  <c r="I5255" i="3"/>
  <c r="I5256" i="3"/>
  <c r="I5257" i="3"/>
  <c r="I5258" i="3"/>
  <c r="I5259" i="3"/>
  <c r="I5260" i="3"/>
  <c r="I5261" i="3"/>
  <c r="I5262" i="3"/>
  <c r="I5263" i="3"/>
  <c r="I5264" i="3"/>
  <c r="I5265" i="3"/>
  <c r="I5266" i="3"/>
  <c r="I5267" i="3"/>
  <c r="I5268" i="3"/>
  <c r="I5269" i="3"/>
  <c r="I5270" i="3"/>
  <c r="I5271" i="3"/>
  <c r="I5272" i="3"/>
  <c r="I5273" i="3"/>
  <c r="I5274" i="3"/>
  <c r="I5275" i="3"/>
  <c r="I5276" i="3"/>
  <c r="I5277" i="3"/>
  <c r="I5278" i="3"/>
  <c r="I5279" i="3"/>
  <c r="I5280" i="3"/>
  <c r="I5281" i="3"/>
  <c r="I5282" i="3"/>
  <c r="I5283" i="3"/>
  <c r="I5284" i="3"/>
  <c r="I5285" i="3"/>
  <c r="I5286" i="3"/>
  <c r="I5287" i="3"/>
  <c r="I5288" i="3"/>
  <c r="I5289" i="3"/>
  <c r="I5290" i="3"/>
  <c r="I5291" i="3"/>
  <c r="I5292" i="3"/>
  <c r="I5293" i="3"/>
  <c r="I5294" i="3"/>
  <c r="I5295" i="3"/>
  <c r="I5296" i="3"/>
  <c r="I5297" i="3"/>
  <c r="I5298" i="3"/>
  <c r="I5299" i="3"/>
  <c r="I5300" i="3"/>
  <c r="I5301" i="3"/>
  <c r="I5302" i="3"/>
  <c r="I5303" i="3"/>
  <c r="I5304" i="3"/>
  <c r="I5305" i="3"/>
  <c r="I5306" i="3"/>
  <c r="I5307" i="3"/>
  <c r="I5308" i="3"/>
  <c r="I5309" i="3"/>
  <c r="I5310" i="3"/>
  <c r="I5311" i="3"/>
  <c r="I5312" i="3"/>
  <c r="I5313" i="3"/>
  <c r="I5314" i="3"/>
  <c r="I5315" i="3"/>
  <c r="I5316" i="3"/>
  <c r="I5317" i="3"/>
  <c r="I5318" i="3"/>
  <c r="I5319" i="3"/>
  <c r="I5320" i="3"/>
  <c r="I5321" i="3"/>
  <c r="I5322" i="3"/>
  <c r="I5323" i="3"/>
  <c r="I5324" i="3"/>
  <c r="I5325" i="3"/>
  <c r="I5326" i="3"/>
  <c r="I5327" i="3"/>
  <c r="I5328" i="3"/>
  <c r="I5329" i="3"/>
  <c r="I5330" i="3"/>
  <c r="I5331" i="3"/>
  <c r="I5332" i="3"/>
  <c r="I5333" i="3"/>
  <c r="I5334" i="3"/>
  <c r="I5335" i="3"/>
  <c r="I5336" i="3"/>
  <c r="I5337" i="3"/>
  <c r="I5338" i="3"/>
  <c r="I5339" i="3"/>
  <c r="I5340" i="3"/>
  <c r="I5341" i="3"/>
  <c r="I5342" i="3"/>
  <c r="I5343" i="3"/>
  <c r="I5344" i="3"/>
  <c r="I5345" i="3"/>
  <c r="I5346" i="3"/>
  <c r="I5347" i="3"/>
  <c r="I5348" i="3"/>
  <c r="I5349" i="3"/>
  <c r="I5350" i="3"/>
  <c r="I5351" i="3"/>
  <c r="I5352" i="3"/>
  <c r="I5353" i="3"/>
  <c r="I5354" i="3"/>
  <c r="I5355" i="3"/>
  <c r="I5356" i="3"/>
  <c r="I5357" i="3"/>
  <c r="I5358" i="3"/>
  <c r="I5359" i="3"/>
  <c r="I5360" i="3"/>
  <c r="I5361" i="3"/>
  <c r="I5362" i="3"/>
  <c r="I5363" i="3"/>
  <c r="I5364" i="3"/>
  <c r="I5365" i="3"/>
  <c r="I5366" i="3"/>
  <c r="I5367" i="3"/>
  <c r="I5368" i="3"/>
  <c r="I5369" i="3"/>
  <c r="I5370" i="3"/>
  <c r="I5371" i="3"/>
  <c r="I5372" i="3"/>
  <c r="I5373" i="3"/>
  <c r="I5374" i="3"/>
  <c r="I5375" i="3"/>
  <c r="I5376" i="3"/>
  <c r="I5377" i="3"/>
  <c r="I5378" i="3"/>
  <c r="I5379" i="3"/>
  <c r="I5380" i="3"/>
  <c r="I5381" i="3"/>
  <c r="I5382" i="3"/>
  <c r="I5383" i="3"/>
  <c r="I5384" i="3"/>
  <c r="I5385" i="3"/>
  <c r="I5386" i="3"/>
  <c r="I5387" i="3"/>
  <c r="I5388" i="3"/>
  <c r="I5389" i="3"/>
  <c r="I5390" i="3"/>
  <c r="I5391" i="3"/>
  <c r="I5392" i="3"/>
  <c r="I5393" i="3"/>
  <c r="I5394" i="3"/>
  <c r="I5395" i="3"/>
  <c r="I5396" i="3"/>
  <c r="I5397" i="3"/>
  <c r="I5398" i="3"/>
  <c r="I5399" i="3"/>
  <c r="I5400" i="3"/>
  <c r="I5401" i="3"/>
  <c r="I5402" i="3"/>
  <c r="I5403" i="3"/>
  <c r="I5404" i="3"/>
  <c r="I5405" i="3"/>
  <c r="I5406" i="3"/>
  <c r="I5407" i="3"/>
  <c r="I5408" i="3"/>
  <c r="I5409" i="3"/>
  <c r="I5410" i="3"/>
  <c r="I5411" i="3"/>
  <c r="I5412" i="3"/>
  <c r="I5413" i="3"/>
  <c r="I5414" i="3"/>
  <c r="I5415" i="3"/>
  <c r="I5416" i="3"/>
  <c r="I5417" i="3"/>
  <c r="I5418" i="3"/>
  <c r="I5419" i="3"/>
  <c r="I5420" i="3"/>
  <c r="I5421" i="3"/>
  <c r="I5422" i="3"/>
  <c r="I5423" i="3"/>
  <c r="I5424" i="3"/>
  <c r="I5425" i="3"/>
  <c r="I5426" i="3"/>
  <c r="I5427" i="3"/>
  <c r="I5428" i="3"/>
  <c r="I5429" i="3"/>
  <c r="I5430" i="3"/>
  <c r="I5431" i="3"/>
  <c r="I5432" i="3"/>
  <c r="I5433" i="3"/>
  <c r="I5434" i="3"/>
  <c r="I5435" i="3"/>
  <c r="I5436" i="3"/>
  <c r="I5437" i="3"/>
  <c r="I5438" i="3"/>
  <c r="I5439" i="3"/>
  <c r="I5440" i="3"/>
  <c r="I5441" i="3"/>
  <c r="I5442" i="3"/>
  <c r="I5443" i="3"/>
  <c r="I5444" i="3"/>
  <c r="I5445" i="3"/>
  <c r="I5446" i="3"/>
  <c r="I5447" i="3"/>
  <c r="I5448" i="3"/>
  <c r="I5449" i="3"/>
  <c r="I5450" i="3"/>
  <c r="I5451" i="3"/>
  <c r="I5452" i="3"/>
  <c r="I5453" i="3"/>
  <c r="I5454" i="3"/>
  <c r="I5455" i="3"/>
  <c r="I5456" i="3"/>
  <c r="I5457" i="3"/>
  <c r="I5458" i="3"/>
  <c r="I5459" i="3"/>
  <c r="I5460" i="3"/>
  <c r="I5461" i="3"/>
  <c r="I5462" i="3"/>
  <c r="I5463" i="3"/>
  <c r="I5464" i="3"/>
  <c r="I5465" i="3"/>
  <c r="I5466" i="3"/>
  <c r="I5467" i="3"/>
  <c r="I5468" i="3"/>
  <c r="I5469" i="3"/>
  <c r="I5470" i="3"/>
  <c r="I5471" i="3"/>
  <c r="I5472" i="3"/>
  <c r="I5473" i="3"/>
  <c r="I5474" i="3"/>
  <c r="I5475" i="3"/>
  <c r="I5476" i="3"/>
  <c r="I5477" i="3"/>
  <c r="I5478" i="3"/>
  <c r="I5479" i="3"/>
  <c r="I5480" i="3"/>
  <c r="I5481" i="3"/>
  <c r="I5482" i="3"/>
  <c r="I5483" i="3"/>
  <c r="I5484" i="3"/>
  <c r="I5485" i="3"/>
  <c r="I5486" i="3"/>
  <c r="I5487" i="3"/>
  <c r="I5488" i="3"/>
  <c r="I5489" i="3"/>
  <c r="I5490" i="3"/>
  <c r="I5491" i="3"/>
  <c r="I5492" i="3"/>
  <c r="I5493" i="3"/>
  <c r="I5494" i="3"/>
  <c r="I5495" i="3"/>
  <c r="I5496" i="3"/>
  <c r="I5497" i="3"/>
  <c r="I5498" i="3"/>
  <c r="I5499" i="3"/>
  <c r="I5500" i="3"/>
  <c r="I5501" i="3"/>
  <c r="I5502" i="3"/>
  <c r="I5503" i="3"/>
  <c r="I5504" i="3"/>
  <c r="I5505" i="3"/>
  <c r="I5506" i="3"/>
  <c r="I5507" i="3"/>
  <c r="I5508" i="3"/>
  <c r="I5509" i="3"/>
  <c r="I5510" i="3"/>
  <c r="I5511" i="3"/>
  <c r="I5512" i="3"/>
  <c r="I5513" i="3"/>
  <c r="I5514" i="3"/>
  <c r="I5515" i="3"/>
  <c r="I5516" i="3"/>
  <c r="I5517" i="3"/>
  <c r="I5518" i="3"/>
  <c r="I5519" i="3"/>
  <c r="I5520" i="3"/>
  <c r="I5521" i="3"/>
  <c r="I5522" i="3"/>
  <c r="I5523" i="3"/>
  <c r="I5524" i="3"/>
  <c r="I5525" i="3"/>
  <c r="I5526" i="3"/>
  <c r="I5527" i="3"/>
  <c r="I5528" i="3"/>
  <c r="I5529" i="3"/>
  <c r="I5530" i="3"/>
  <c r="I5531" i="3"/>
  <c r="I5532" i="3"/>
  <c r="I5533" i="3"/>
  <c r="I5534" i="3"/>
  <c r="I5535" i="3"/>
  <c r="I5536" i="3"/>
  <c r="I5537" i="3"/>
  <c r="I5538" i="3"/>
  <c r="I5539" i="3"/>
  <c r="I5540" i="3"/>
  <c r="I5541" i="3"/>
  <c r="I5542" i="3"/>
  <c r="I5543" i="3"/>
  <c r="I5544" i="3"/>
  <c r="I5545" i="3"/>
  <c r="I5546" i="3"/>
  <c r="I5547" i="3"/>
  <c r="I5548" i="3"/>
  <c r="I5549" i="3"/>
  <c r="I5550" i="3"/>
  <c r="I5551" i="3"/>
  <c r="I5552" i="3"/>
  <c r="I5553" i="3"/>
  <c r="I5554" i="3"/>
  <c r="I5555" i="3"/>
  <c r="I5556" i="3"/>
  <c r="I5557" i="3"/>
  <c r="I5558" i="3"/>
  <c r="I5559" i="3"/>
  <c r="I5560" i="3"/>
  <c r="I5561" i="3"/>
  <c r="I5562" i="3"/>
  <c r="I5563" i="3"/>
  <c r="I5564" i="3"/>
  <c r="I5565" i="3"/>
  <c r="I5566" i="3"/>
  <c r="I5567" i="3"/>
  <c r="I5568" i="3"/>
  <c r="I5569" i="3"/>
  <c r="I5570" i="3"/>
  <c r="I5571" i="3"/>
  <c r="I5572" i="3"/>
  <c r="I5573" i="3"/>
  <c r="I5574" i="3"/>
  <c r="I5575" i="3"/>
  <c r="I5576" i="3"/>
  <c r="I5577" i="3"/>
  <c r="I5578" i="3"/>
  <c r="I5579" i="3"/>
  <c r="I5580" i="3"/>
  <c r="I5581" i="3"/>
  <c r="I5582" i="3"/>
  <c r="I5583" i="3"/>
  <c r="I5584" i="3"/>
  <c r="I5585" i="3"/>
  <c r="I5586" i="3"/>
  <c r="I5587" i="3"/>
  <c r="I5588" i="3"/>
  <c r="I5589" i="3"/>
  <c r="I5590" i="3"/>
  <c r="I5591" i="3"/>
  <c r="I5592" i="3"/>
  <c r="I5593" i="3"/>
  <c r="I5594" i="3"/>
  <c r="I5595" i="3"/>
  <c r="I5596" i="3"/>
  <c r="I5597" i="3"/>
  <c r="I5598" i="3"/>
  <c r="I5599" i="3"/>
  <c r="I5600" i="3"/>
  <c r="I5601" i="3"/>
  <c r="I5602" i="3"/>
  <c r="I5603" i="3"/>
  <c r="I5604" i="3"/>
  <c r="I5605" i="3"/>
  <c r="I5606" i="3"/>
  <c r="I5607" i="3"/>
  <c r="I5608" i="3"/>
  <c r="I5609" i="3"/>
  <c r="I5610" i="3"/>
  <c r="I5611" i="3"/>
  <c r="I5612" i="3"/>
  <c r="I5613" i="3"/>
  <c r="I5614" i="3"/>
  <c r="I5615" i="3"/>
  <c r="I5616" i="3"/>
  <c r="I5617" i="3"/>
  <c r="I5618" i="3"/>
  <c r="I5619" i="3"/>
  <c r="I5620" i="3"/>
  <c r="I5621" i="3"/>
  <c r="I5622" i="3"/>
  <c r="I5623" i="3"/>
  <c r="I5624" i="3"/>
  <c r="I5625" i="3"/>
  <c r="I5626" i="3"/>
  <c r="I5627" i="3"/>
  <c r="I5628" i="3"/>
  <c r="I5629" i="3"/>
  <c r="I5630" i="3"/>
  <c r="I5631" i="3"/>
  <c r="I5632" i="3"/>
  <c r="I5633" i="3"/>
  <c r="I5634" i="3"/>
  <c r="I5635" i="3"/>
  <c r="I5636" i="3"/>
  <c r="I5637" i="3"/>
  <c r="I5638" i="3"/>
  <c r="I5639" i="3"/>
  <c r="I5640" i="3"/>
  <c r="I5641" i="3"/>
  <c r="I5642" i="3"/>
  <c r="I5643" i="3"/>
  <c r="I5644" i="3"/>
  <c r="I5645" i="3"/>
  <c r="I5646" i="3"/>
  <c r="I5647" i="3"/>
  <c r="I5648" i="3"/>
  <c r="I5649" i="3"/>
  <c r="I5650" i="3"/>
  <c r="I5651" i="3"/>
  <c r="I5652" i="3"/>
  <c r="I5653" i="3"/>
  <c r="I5654" i="3"/>
  <c r="I5655" i="3"/>
  <c r="I5656" i="3"/>
  <c r="I5657" i="3"/>
  <c r="I5658" i="3"/>
  <c r="I5659" i="3"/>
  <c r="I5660" i="3"/>
  <c r="I5661" i="3"/>
  <c r="I5662" i="3"/>
  <c r="I5663" i="3"/>
  <c r="I5664" i="3"/>
  <c r="I5665" i="3"/>
  <c r="I5666" i="3"/>
  <c r="I5667" i="3"/>
  <c r="I5668" i="3"/>
  <c r="I5669" i="3"/>
  <c r="I5670" i="3"/>
  <c r="I5671" i="3"/>
  <c r="I5672" i="3"/>
  <c r="I5673" i="3"/>
  <c r="I5674" i="3"/>
  <c r="I5675" i="3"/>
  <c r="I5676" i="3"/>
  <c r="I5677" i="3"/>
  <c r="I5678" i="3"/>
  <c r="I5679" i="3"/>
  <c r="I5680" i="3"/>
  <c r="I5681" i="3"/>
  <c r="I5682" i="3"/>
  <c r="I5683" i="3"/>
  <c r="I5684" i="3"/>
  <c r="I5685" i="3"/>
  <c r="I5686" i="3"/>
  <c r="I5687" i="3"/>
  <c r="I5688" i="3"/>
  <c r="I5689" i="3"/>
  <c r="I5690" i="3"/>
  <c r="I5691" i="3"/>
  <c r="I5692" i="3"/>
  <c r="I5693" i="3"/>
  <c r="I5694" i="3"/>
  <c r="I5695" i="3"/>
  <c r="I5696" i="3"/>
  <c r="I5697" i="3"/>
  <c r="I5698" i="3"/>
  <c r="I5699" i="3"/>
  <c r="I5700" i="3"/>
  <c r="I5701" i="3"/>
  <c r="I5702" i="3"/>
  <c r="I5703" i="3"/>
  <c r="I5704" i="3"/>
  <c r="I5705" i="3"/>
  <c r="I5706" i="3"/>
  <c r="I5707" i="3"/>
  <c r="I5708" i="3"/>
  <c r="I5709" i="3"/>
  <c r="I5710" i="3"/>
  <c r="I5711" i="3"/>
  <c r="I5712" i="3"/>
  <c r="I5713" i="3"/>
  <c r="I5714" i="3"/>
  <c r="I5715" i="3"/>
  <c r="I5716" i="3"/>
  <c r="I5717" i="3"/>
  <c r="I5718" i="3"/>
  <c r="I5719" i="3"/>
  <c r="I5720" i="3"/>
  <c r="I5721" i="3"/>
  <c r="I5722" i="3"/>
  <c r="I5723" i="3"/>
  <c r="I5724" i="3"/>
  <c r="I5725" i="3"/>
  <c r="I5726" i="3"/>
  <c r="I5727" i="3"/>
  <c r="I5728" i="3"/>
  <c r="I5729" i="3"/>
  <c r="I5730" i="3"/>
  <c r="I5731" i="3"/>
  <c r="I5732" i="3"/>
  <c r="I5733" i="3"/>
  <c r="I5734" i="3"/>
  <c r="I5735" i="3"/>
  <c r="I5736" i="3"/>
  <c r="I5737" i="3"/>
  <c r="I5738" i="3"/>
  <c r="I5739" i="3"/>
  <c r="I5740" i="3"/>
  <c r="I5741" i="3"/>
  <c r="I5742" i="3"/>
  <c r="I5743" i="3"/>
  <c r="I5744" i="3"/>
  <c r="I5745" i="3"/>
  <c r="I5746" i="3"/>
  <c r="I5747" i="3"/>
  <c r="I5748" i="3"/>
  <c r="I5749" i="3"/>
  <c r="I5750" i="3"/>
  <c r="I5751" i="3"/>
  <c r="I5752" i="3"/>
  <c r="I5753" i="3"/>
  <c r="I5754" i="3"/>
  <c r="I5755" i="3"/>
  <c r="I5756" i="3"/>
  <c r="I5757" i="3"/>
  <c r="I5758" i="3"/>
  <c r="I5759" i="3"/>
  <c r="I5760" i="3"/>
  <c r="I5761" i="3"/>
  <c r="I5762" i="3"/>
  <c r="I5763" i="3"/>
  <c r="I5764" i="3"/>
  <c r="I5765" i="3"/>
  <c r="I5766" i="3"/>
  <c r="I5767" i="3"/>
  <c r="I5768" i="3"/>
  <c r="I5769" i="3"/>
  <c r="I5770" i="3"/>
  <c r="I5771" i="3"/>
  <c r="I5772" i="3"/>
  <c r="I5773" i="3"/>
  <c r="I5774" i="3"/>
  <c r="I5775" i="3"/>
  <c r="I5776" i="3"/>
  <c r="I5777" i="3"/>
  <c r="I5778" i="3"/>
  <c r="I5779" i="3"/>
  <c r="I5780" i="3"/>
  <c r="I5781" i="3"/>
  <c r="I5782" i="3"/>
  <c r="I5783" i="3"/>
  <c r="I5784" i="3"/>
  <c r="I5785" i="3"/>
  <c r="I5786" i="3"/>
  <c r="I5787" i="3"/>
  <c r="I5788" i="3"/>
  <c r="I5789" i="3"/>
  <c r="I5790" i="3"/>
  <c r="I5791" i="3"/>
  <c r="I5792" i="3"/>
  <c r="I5793" i="3"/>
  <c r="I5794" i="3"/>
  <c r="I5795" i="3"/>
  <c r="I5796" i="3"/>
  <c r="I5797" i="3"/>
  <c r="I5798" i="3"/>
  <c r="I5799" i="3"/>
  <c r="I5800" i="3"/>
  <c r="I5801" i="3"/>
  <c r="I5802" i="3"/>
  <c r="I5803" i="3"/>
  <c r="I5804" i="3"/>
  <c r="I5805" i="3"/>
  <c r="I5806" i="3"/>
  <c r="I5807" i="3"/>
  <c r="I5808" i="3"/>
  <c r="I5809" i="3"/>
  <c r="I5810" i="3"/>
  <c r="I5811" i="3"/>
  <c r="I5812" i="3"/>
  <c r="I5813" i="3"/>
  <c r="I5814" i="3"/>
  <c r="I5815" i="3"/>
  <c r="I5816" i="3"/>
  <c r="I5817" i="3"/>
  <c r="I5818" i="3"/>
  <c r="I5819" i="3"/>
  <c r="I5820" i="3"/>
  <c r="I5821" i="3"/>
  <c r="I5822" i="3"/>
  <c r="I5823" i="3"/>
  <c r="I5824" i="3"/>
  <c r="I5825" i="3"/>
  <c r="I5826" i="3"/>
  <c r="I5827" i="3"/>
  <c r="I5828" i="3"/>
  <c r="I5829" i="3"/>
  <c r="I5830" i="3"/>
  <c r="I5831" i="3"/>
  <c r="I5832" i="3"/>
  <c r="I5833" i="3"/>
  <c r="I5834" i="3"/>
  <c r="I5835" i="3"/>
  <c r="I5836" i="3"/>
  <c r="I5837" i="3"/>
  <c r="I5838" i="3"/>
  <c r="I5839" i="3"/>
  <c r="I5840" i="3"/>
  <c r="I5841" i="3"/>
  <c r="I5842" i="3"/>
  <c r="I5843" i="3"/>
  <c r="I5844" i="3"/>
  <c r="I5845" i="3"/>
  <c r="I5846" i="3"/>
  <c r="I5847" i="3"/>
  <c r="I5848" i="3"/>
  <c r="I5849" i="3"/>
  <c r="I5850" i="3"/>
  <c r="I5851" i="3"/>
  <c r="I5852" i="3"/>
  <c r="I5853" i="3"/>
  <c r="I5854" i="3"/>
  <c r="I5855" i="3"/>
  <c r="I5856" i="3"/>
  <c r="I5857" i="3"/>
  <c r="I5858" i="3"/>
  <c r="I5859" i="3"/>
  <c r="I5860" i="3"/>
  <c r="I5861" i="3"/>
  <c r="I5862" i="3"/>
  <c r="I5863" i="3"/>
  <c r="I5864" i="3"/>
  <c r="I5865" i="3"/>
  <c r="I5866" i="3"/>
  <c r="I5867" i="3"/>
  <c r="I5868" i="3"/>
  <c r="I5869" i="3"/>
  <c r="I5870" i="3"/>
  <c r="I5871" i="3"/>
  <c r="I5872" i="3"/>
  <c r="I5873" i="3"/>
  <c r="I5874" i="3"/>
  <c r="I5875" i="3"/>
  <c r="I5876" i="3"/>
  <c r="I5877" i="3"/>
  <c r="I5878" i="3"/>
  <c r="I5879" i="3"/>
  <c r="I5880" i="3"/>
  <c r="I5881" i="3"/>
  <c r="I5882" i="3"/>
  <c r="I5883" i="3"/>
  <c r="I5884" i="3"/>
  <c r="I5885" i="3"/>
  <c r="I5886" i="3"/>
  <c r="I5887" i="3"/>
  <c r="I5888" i="3"/>
  <c r="I5889" i="3"/>
  <c r="I5890" i="3"/>
  <c r="I5891" i="3"/>
  <c r="I5892" i="3"/>
  <c r="I5893" i="3"/>
  <c r="I5894" i="3"/>
  <c r="I5895" i="3"/>
  <c r="I5896" i="3"/>
  <c r="I5897" i="3"/>
  <c r="I5898" i="3"/>
  <c r="I5899" i="3"/>
  <c r="I5900" i="3"/>
  <c r="I5901" i="3"/>
  <c r="I5902" i="3"/>
  <c r="I5903" i="3"/>
  <c r="I5904" i="3"/>
  <c r="I5905" i="3"/>
  <c r="I5906" i="3"/>
  <c r="I5907" i="3"/>
  <c r="I5908" i="3"/>
  <c r="I5909" i="3"/>
  <c r="I5910" i="3"/>
  <c r="I5911" i="3"/>
  <c r="I5912" i="3"/>
  <c r="I5913" i="3"/>
  <c r="I5914" i="3"/>
  <c r="I5915" i="3"/>
  <c r="I5916" i="3"/>
  <c r="I5917" i="3"/>
  <c r="I5918" i="3"/>
  <c r="I5919" i="3"/>
  <c r="I5920" i="3"/>
  <c r="I5921" i="3"/>
  <c r="I5922" i="3"/>
  <c r="I5923" i="3"/>
  <c r="I5924" i="3"/>
  <c r="I5925" i="3"/>
  <c r="I5926" i="3"/>
  <c r="I5927" i="3"/>
  <c r="I5928" i="3"/>
  <c r="I5929" i="3"/>
  <c r="I5930" i="3"/>
  <c r="I5931" i="3"/>
  <c r="I5932" i="3"/>
  <c r="I5933" i="3"/>
  <c r="I5934" i="3"/>
  <c r="I5935" i="3"/>
  <c r="I5936" i="3"/>
  <c r="I5937" i="3"/>
  <c r="I5938" i="3"/>
  <c r="I5939" i="3"/>
  <c r="I5940" i="3"/>
  <c r="I5941" i="3"/>
  <c r="I5942" i="3"/>
  <c r="I5943" i="3"/>
  <c r="I5944" i="3"/>
  <c r="I5945" i="3"/>
  <c r="I5946" i="3"/>
  <c r="I5947" i="3"/>
  <c r="I5948" i="3"/>
  <c r="I5949" i="3"/>
  <c r="I5950" i="3"/>
  <c r="I5951" i="3"/>
  <c r="I5952" i="3"/>
  <c r="I5953" i="3"/>
  <c r="I5954" i="3"/>
  <c r="I5955" i="3"/>
  <c r="I5956" i="3"/>
  <c r="I5957" i="3"/>
  <c r="I5958" i="3"/>
  <c r="I5959" i="3"/>
  <c r="I5960" i="3"/>
  <c r="I5961" i="3"/>
  <c r="I5962" i="3"/>
  <c r="I5963" i="3"/>
  <c r="I5964" i="3"/>
  <c r="I5965" i="3"/>
  <c r="I5966" i="3"/>
  <c r="I5967" i="3"/>
  <c r="I5968" i="3"/>
  <c r="I5969" i="3"/>
  <c r="I5970" i="3"/>
  <c r="I5971" i="3"/>
  <c r="I5972" i="3"/>
  <c r="I5973" i="3"/>
  <c r="I5974" i="3"/>
  <c r="I5975" i="3"/>
  <c r="I5976" i="3"/>
  <c r="I5977" i="3"/>
  <c r="I5978" i="3"/>
  <c r="I5979" i="3"/>
  <c r="I5980" i="3"/>
  <c r="I5981" i="3"/>
  <c r="I5982" i="3"/>
  <c r="I5983" i="3"/>
  <c r="I5984" i="3"/>
  <c r="I5985" i="3"/>
  <c r="I5986" i="3"/>
  <c r="I5987" i="3"/>
  <c r="I5988" i="3"/>
  <c r="I5989" i="3"/>
  <c r="I5990" i="3"/>
  <c r="I5991" i="3"/>
  <c r="I5992" i="3"/>
  <c r="I5993" i="3"/>
  <c r="I5994" i="3"/>
  <c r="I5995" i="3"/>
  <c r="I5996" i="3"/>
  <c r="I5997" i="3"/>
  <c r="I5998" i="3"/>
  <c r="I5999" i="3"/>
  <c r="I6000" i="3"/>
  <c r="I6001" i="3"/>
  <c r="I6002" i="3"/>
  <c r="I6003" i="3"/>
  <c r="I6004" i="3"/>
  <c r="I6005" i="3"/>
  <c r="I6006" i="3"/>
  <c r="I6007" i="3"/>
  <c r="I6008" i="3"/>
  <c r="I6009" i="3"/>
  <c r="I6010" i="3"/>
  <c r="I6011" i="3"/>
  <c r="I6012" i="3"/>
  <c r="I6013" i="3"/>
  <c r="I6014" i="3"/>
  <c r="I6015" i="3"/>
  <c r="I6016" i="3"/>
  <c r="I6017" i="3"/>
  <c r="I6018" i="3"/>
  <c r="I6019" i="3"/>
  <c r="I6020" i="3"/>
  <c r="I6021" i="3"/>
  <c r="I6022" i="3"/>
  <c r="I6023" i="3"/>
  <c r="I6024" i="3"/>
  <c r="I6025" i="3"/>
  <c r="I6026" i="3"/>
  <c r="I6027" i="3"/>
  <c r="I6028" i="3"/>
  <c r="I6029" i="3"/>
  <c r="I6030" i="3"/>
  <c r="I6031" i="3"/>
  <c r="I6032" i="3"/>
  <c r="I6033" i="3"/>
  <c r="I6034" i="3"/>
  <c r="I6035" i="3"/>
  <c r="I6036" i="3"/>
  <c r="I6037" i="3"/>
  <c r="I6038" i="3"/>
  <c r="I6039" i="3"/>
  <c r="I6040" i="3"/>
  <c r="I6041" i="3"/>
  <c r="I6042" i="3"/>
  <c r="I6043" i="3"/>
  <c r="I6044" i="3"/>
  <c r="I6045" i="3"/>
  <c r="I6046" i="3"/>
  <c r="I6047" i="3"/>
  <c r="I6048" i="3"/>
  <c r="I6049" i="3"/>
  <c r="I6050" i="3"/>
  <c r="I6051" i="3"/>
  <c r="I6052" i="3"/>
  <c r="I6053" i="3"/>
  <c r="I6054" i="3"/>
  <c r="I6055" i="3"/>
  <c r="I6056" i="3"/>
  <c r="I6057" i="3"/>
  <c r="I6058" i="3"/>
  <c r="I6059" i="3"/>
  <c r="I6060" i="3"/>
  <c r="I6061" i="3"/>
  <c r="I6062" i="3"/>
  <c r="I6063" i="3"/>
  <c r="I6064" i="3"/>
  <c r="I6065" i="3"/>
  <c r="I6066" i="3"/>
  <c r="I6067" i="3"/>
  <c r="I6068" i="3"/>
  <c r="I6069" i="3"/>
  <c r="I6070" i="3"/>
  <c r="I6071" i="3"/>
  <c r="I6072" i="3"/>
  <c r="I6073" i="3"/>
  <c r="I6074" i="3"/>
  <c r="I6075" i="3"/>
  <c r="I6076" i="3"/>
  <c r="I6077" i="3"/>
  <c r="I6078" i="3"/>
  <c r="I6079" i="3"/>
  <c r="I6080" i="3"/>
  <c r="I6081" i="3"/>
  <c r="I6082" i="3"/>
  <c r="I6083" i="3"/>
  <c r="I6084" i="3"/>
  <c r="I6085" i="3"/>
  <c r="I6086" i="3"/>
  <c r="I6087" i="3"/>
  <c r="I6088" i="3"/>
  <c r="I6089" i="3"/>
  <c r="I6090" i="3"/>
  <c r="I6091" i="3"/>
  <c r="I6092" i="3"/>
  <c r="I6093" i="3"/>
  <c r="I6094" i="3"/>
  <c r="I6095" i="3"/>
  <c r="I6096" i="3"/>
  <c r="I6097" i="3"/>
  <c r="I6098" i="3"/>
  <c r="I6099" i="3"/>
  <c r="I6100" i="3"/>
  <c r="I6101" i="3"/>
  <c r="I6102" i="3"/>
  <c r="I6103" i="3"/>
  <c r="I6104" i="3"/>
  <c r="I6105" i="3"/>
  <c r="I6106" i="3"/>
  <c r="I6107" i="3"/>
  <c r="I6108" i="3"/>
  <c r="I6109" i="3"/>
  <c r="I6110" i="3"/>
  <c r="I6111" i="3"/>
  <c r="I6112" i="3"/>
  <c r="I6113" i="3"/>
  <c r="I6114" i="3"/>
  <c r="I6115" i="3"/>
  <c r="I6116" i="3"/>
  <c r="I6117" i="3"/>
  <c r="I6118" i="3"/>
  <c r="I6119" i="3"/>
  <c r="I6120" i="3"/>
  <c r="I6121" i="3"/>
  <c r="I6122" i="3"/>
  <c r="I6123" i="3"/>
  <c r="I6124" i="3"/>
  <c r="I6125" i="3"/>
  <c r="I6126" i="3"/>
  <c r="I6127" i="3"/>
  <c r="I6128" i="3"/>
  <c r="I6129" i="3"/>
  <c r="I6130" i="3"/>
  <c r="I6131" i="3"/>
  <c r="I6132" i="3"/>
  <c r="I6133" i="3"/>
  <c r="I6134" i="3"/>
  <c r="I6135" i="3"/>
  <c r="I6136" i="3"/>
  <c r="I6137" i="3"/>
  <c r="I6138" i="3"/>
  <c r="I6139" i="3"/>
  <c r="I6140" i="3"/>
  <c r="I6141" i="3"/>
  <c r="I6142" i="3"/>
  <c r="I6143" i="3"/>
  <c r="I6144" i="3"/>
  <c r="I6145" i="3"/>
  <c r="I6146" i="3"/>
  <c r="I6147" i="3"/>
  <c r="I6148" i="3"/>
  <c r="I6149" i="3"/>
  <c r="I6150" i="3"/>
  <c r="I6151" i="3"/>
  <c r="I6152" i="3"/>
  <c r="I6153" i="3"/>
  <c r="I6154" i="3"/>
  <c r="I6155" i="3"/>
  <c r="I6156" i="3"/>
  <c r="I6157" i="3"/>
  <c r="I6158" i="3"/>
  <c r="I6159" i="3"/>
  <c r="I6160" i="3"/>
  <c r="I6161" i="3"/>
  <c r="I6162" i="3"/>
  <c r="I6163" i="3"/>
  <c r="I6164" i="3"/>
  <c r="I6165" i="3"/>
  <c r="I6166" i="3"/>
  <c r="I6167" i="3"/>
  <c r="I6168" i="3"/>
  <c r="I6169" i="3"/>
  <c r="I6170" i="3"/>
  <c r="I6171" i="3"/>
  <c r="I6172" i="3"/>
  <c r="I6173" i="3"/>
  <c r="I6174" i="3"/>
  <c r="I6175" i="3"/>
  <c r="I6176" i="3"/>
  <c r="I6177" i="3"/>
  <c r="I6178" i="3"/>
  <c r="I6179" i="3"/>
  <c r="I6180" i="3"/>
  <c r="I6181" i="3"/>
  <c r="I6182" i="3"/>
  <c r="I6183" i="3"/>
  <c r="I6184" i="3"/>
  <c r="I6185" i="3"/>
  <c r="I6186" i="3"/>
  <c r="I6187" i="3"/>
  <c r="I6188" i="3"/>
  <c r="I6189" i="3"/>
  <c r="I6190" i="3"/>
  <c r="I6191" i="3"/>
  <c r="I6192" i="3"/>
  <c r="I6193" i="3"/>
  <c r="I6194" i="3"/>
  <c r="I6195" i="3"/>
  <c r="I6196" i="3"/>
  <c r="I6197" i="3"/>
  <c r="I6198" i="3"/>
  <c r="I6199" i="3"/>
  <c r="I6200" i="3"/>
  <c r="I6201" i="3"/>
  <c r="I6202" i="3"/>
  <c r="I6203" i="3"/>
  <c r="I6204" i="3"/>
  <c r="I6205" i="3"/>
  <c r="I6206" i="3"/>
  <c r="I6207" i="3"/>
  <c r="I6208" i="3"/>
  <c r="I6209" i="3"/>
  <c r="I6210" i="3"/>
  <c r="I6211" i="3"/>
  <c r="I6212" i="3"/>
  <c r="I6213" i="3"/>
  <c r="I6214" i="3"/>
  <c r="I6215" i="3"/>
  <c r="I6216" i="3"/>
  <c r="I6217" i="3"/>
  <c r="I6218" i="3"/>
  <c r="I6219" i="3"/>
  <c r="I6220" i="3"/>
  <c r="I6221" i="3"/>
  <c r="I6222" i="3"/>
  <c r="I6223" i="3"/>
  <c r="I6224" i="3"/>
  <c r="I6225" i="3"/>
  <c r="I6226" i="3"/>
  <c r="I6227" i="3"/>
  <c r="I6228" i="3"/>
  <c r="I6229" i="3"/>
  <c r="I6230" i="3"/>
  <c r="I6231" i="3"/>
  <c r="I6232" i="3"/>
  <c r="I6233" i="3"/>
  <c r="I6234" i="3"/>
  <c r="I6235" i="3"/>
  <c r="I6236" i="3"/>
  <c r="I6237" i="3"/>
  <c r="I6238" i="3"/>
  <c r="I6239" i="3"/>
  <c r="I6240" i="3"/>
  <c r="I6241" i="3"/>
  <c r="I6242" i="3"/>
  <c r="I6243" i="3"/>
  <c r="I6244" i="3"/>
  <c r="I6245" i="3"/>
  <c r="I6246" i="3"/>
  <c r="I6247" i="3"/>
  <c r="I6248" i="3"/>
  <c r="I6249" i="3"/>
  <c r="I6250" i="3"/>
  <c r="I6251" i="3"/>
  <c r="I6252" i="3"/>
  <c r="I6253" i="3"/>
  <c r="I6254" i="3"/>
  <c r="I6255" i="3"/>
  <c r="I6256" i="3"/>
  <c r="I6257" i="3"/>
  <c r="I6258" i="3"/>
  <c r="I6259" i="3"/>
  <c r="I6260" i="3"/>
  <c r="I6261" i="3"/>
  <c r="I6262" i="3"/>
  <c r="I6263" i="3"/>
  <c r="I6264" i="3"/>
  <c r="I6265" i="3"/>
  <c r="I6266" i="3"/>
  <c r="I6267" i="3"/>
  <c r="I6268" i="3"/>
  <c r="I6269" i="3"/>
  <c r="I6270" i="3"/>
  <c r="I6271" i="3"/>
  <c r="I6272" i="3"/>
  <c r="I6273" i="3"/>
  <c r="I6274" i="3"/>
  <c r="I6275" i="3"/>
  <c r="I6276" i="3"/>
  <c r="I6277" i="3"/>
  <c r="I6278" i="3"/>
  <c r="I6279" i="3"/>
  <c r="I6280" i="3"/>
  <c r="I6281" i="3"/>
  <c r="I6282" i="3"/>
  <c r="I6283" i="3"/>
  <c r="I6284" i="3"/>
  <c r="I6285" i="3"/>
  <c r="I6286" i="3"/>
  <c r="I6287" i="3"/>
  <c r="I6288" i="3"/>
  <c r="I6289" i="3"/>
  <c r="I6290" i="3"/>
  <c r="I6291" i="3"/>
  <c r="I6292" i="3"/>
  <c r="I6293" i="3"/>
  <c r="I6294" i="3"/>
  <c r="I6295" i="3"/>
  <c r="I6296" i="3"/>
  <c r="I6297" i="3"/>
  <c r="I6298" i="3"/>
  <c r="I6299" i="3"/>
  <c r="I6300" i="3"/>
  <c r="I6301" i="3"/>
  <c r="I6302" i="3"/>
  <c r="I6303" i="3"/>
  <c r="I6304" i="3"/>
  <c r="I6305" i="3"/>
  <c r="I6306" i="3"/>
  <c r="I6307" i="3"/>
  <c r="I6308" i="3"/>
  <c r="I6309" i="3"/>
  <c r="I6310" i="3"/>
  <c r="I6311" i="3"/>
  <c r="I6312" i="3"/>
  <c r="I6313" i="3"/>
  <c r="I6314" i="3"/>
  <c r="I6315" i="3"/>
  <c r="I6316" i="3"/>
  <c r="I6317" i="3"/>
  <c r="I6318" i="3"/>
  <c r="I6319" i="3"/>
  <c r="I6320" i="3"/>
  <c r="I6321" i="3"/>
  <c r="I6322" i="3"/>
  <c r="I6323" i="3"/>
  <c r="I6324" i="3"/>
  <c r="I6325" i="3"/>
  <c r="I6326" i="3"/>
  <c r="I6327" i="3"/>
  <c r="I6328" i="3"/>
  <c r="I6329" i="3"/>
  <c r="I6330" i="3"/>
  <c r="I6331" i="3"/>
  <c r="I6332" i="3"/>
  <c r="I6333" i="3"/>
  <c r="I6334" i="3"/>
  <c r="I6335" i="3"/>
  <c r="I6336" i="3"/>
  <c r="I6337" i="3"/>
  <c r="I6338" i="3"/>
  <c r="I6339" i="3"/>
  <c r="I6340" i="3"/>
  <c r="I6341" i="3"/>
  <c r="I6342" i="3"/>
  <c r="I6343" i="3"/>
  <c r="I6344" i="3"/>
  <c r="I6345" i="3"/>
  <c r="I6346" i="3"/>
  <c r="I6347" i="3"/>
  <c r="I6348" i="3"/>
  <c r="I6349" i="3"/>
  <c r="I6350" i="3"/>
  <c r="I6351" i="3"/>
  <c r="I6352" i="3"/>
  <c r="I6353" i="3"/>
  <c r="I6354" i="3"/>
  <c r="I6355" i="3"/>
  <c r="I6356" i="3"/>
  <c r="I6357" i="3"/>
  <c r="I6358" i="3"/>
  <c r="I6359" i="3"/>
  <c r="I6360" i="3"/>
  <c r="I6361" i="3"/>
  <c r="I6362" i="3"/>
  <c r="I6363" i="3"/>
  <c r="I6364" i="3"/>
  <c r="I6365" i="3"/>
  <c r="I6366" i="3"/>
  <c r="I6367" i="3"/>
  <c r="I6368" i="3"/>
  <c r="I6369" i="3"/>
  <c r="I6370" i="3"/>
  <c r="I6371" i="3"/>
  <c r="I6372" i="3"/>
  <c r="I6373" i="3"/>
  <c r="I6374" i="3"/>
  <c r="I6375" i="3"/>
  <c r="I6376" i="3"/>
  <c r="I6377" i="3"/>
  <c r="I6378" i="3"/>
  <c r="I6379" i="3"/>
  <c r="I6380" i="3"/>
  <c r="I6381" i="3"/>
  <c r="I6382" i="3"/>
  <c r="I6383" i="3"/>
  <c r="I6384" i="3"/>
  <c r="I6385" i="3"/>
  <c r="I6386" i="3"/>
  <c r="I6387" i="3"/>
  <c r="I6388" i="3"/>
  <c r="I6389" i="3"/>
  <c r="I6390" i="3"/>
  <c r="I6391" i="3"/>
  <c r="I6392" i="3"/>
  <c r="I6393" i="3"/>
  <c r="I6394" i="3"/>
  <c r="I6395" i="3"/>
  <c r="I6396" i="3"/>
  <c r="I6397" i="3"/>
  <c r="I6398" i="3"/>
  <c r="I6399" i="3"/>
  <c r="I6400" i="3"/>
  <c r="I6401" i="3"/>
  <c r="I6402" i="3"/>
  <c r="I6403" i="3"/>
  <c r="I6404" i="3"/>
  <c r="I6405" i="3"/>
  <c r="I6406" i="3"/>
  <c r="I6407" i="3"/>
  <c r="I6408" i="3"/>
  <c r="I6409" i="3"/>
  <c r="I6410" i="3"/>
  <c r="I6411" i="3"/>
  <c r="I6412" i="3"/>
  <c r="I6413" i="3"/>
  <c r="I6414" i="3"/>
  <c r="I6415" i="3"/>
  <c r="I6416" i="3"/>
  <c r="I6417" i="3"/>
  <c r="I6418" i="3"/>
  <c r="I6419" i="3"/>
  <c r="I6420" i="3"/>
  <c r="I6421" i="3"/>
  <c r="I6422" i="3"/>
  <c r="I6423" i="3"/>
  <c r="I6424" i="3"/>
  <c r="I6425" i="3"/>
  <c r="I6426" i="3"/>
  <c r="I6427" i="3"/>
  <c r="I6428" i="3"/>
  <c r="I6429" i="3"/>
  <c r="I6430" i="3"/>
  <c r="I6431" i="3"/>
  <c r="I6432" i="3"/>
  <c r="I6433" i="3"/>
  <c r="I6434" i="3"/>
  <c r="I6435" i="3"/>
  <c r="I6436" i="3"/>
  <c r="I6437" i="3"/>
  <c r="I6438" i="3"/>
  <c r="I6439" i="3"/>
  <c r="I6440" i="3"/>
  <c r="I6441" i="3"/>
  <c r="I6442" i="3"/>
  <c r="I6443" i="3"/>
  <c r="I6444" i="3"/>
  <c r="I6445" i="3"/>
  <c r="I6446" i="3"/>
  <c r="I6447" i="3"/>
  <c r="I6448" i="3"/>
  <c r="I6449" i="3"/>
  <c r="I6450" i="3"/>
  <c r="I6451" i="3"/>
  <c r="I6452" i="3"/>
  <c r="I6453" i="3"/>
  <c r="I6454" i="3"/>
  <c r="I6455" i="3"/>
  <c r="I6456" i="3"/>
  <c r="I6457" i="3"/>
  <c r="I6458" i="3"/>
  <c r="I6459" i="3"/>
  <c r="I6460" i="3"/>
  <c r="I6461" i="3"/>
  <c r="I6462" i="3"/>
  <c r="I6463" i="3"/>
  <c r="I6464" i="3"/>
  <c r="I6465" i="3"/>
  <c r="I6466" i="3"/>
  <c r="I6467" i="3"/>
  <c r="I6468" i="3"/>
  <c r="I6469" i="3"/>
  <c r="I6470" i="3"/>
  <c r="I6471" i="3"/>
  <c r="I6472" i="3"/>
  <c r="I6473" i="3"/>
  <c r="I6474" i="3"/>
  <c r="I6475" i="3"/>
  <c r="I6476" i="3"/>
  <c r="I6477" i="3"/>
  <c r="I6478" i="3"/>
  <c r="I6479" i="3"/>
  <c r="I6480" i="3"/>
  <c r="I6481" i="3"/>
  <c r="I6482" i="3"/>
  <c r="I6483" i="3"/>
  <c r="I6484" i="3"/>
  <c r="I6485" i="3"/>
  <c r="I6486" i="3"/>
  <c r="I6487" i="3"/>
  <c r="I6488" i="3"/>
  <c r="I6489" i="3"/>
  <c r="I6490" i="3"/>
  <c r="I6491" i="3"/>
  <c r="I6492" i="3"/>
  <c r="I6493" i="3"/>
  <c r="I6494" i="3"/>
  <c r="I6495" i="3"/>
  <c r="I6496" i="3"/>
  <c r="I6497" i="3"/>
  <c r="I6498" i="3"/>
  <c r="I6499" i="3"/>
  <c r="I6500" i="3"/>
  <c r="I6501" i="3"/>
  <c r="I6502" i="3"/>
  <c r="I6503" i="3"/>
  <c r="I6504" i="3"/>
  <c r="I6505" i="3"/>
  <c r="I6506" i="3"/>
  <c r="I6507" i="3"/>
  <c r="I6508" i="3"/>
  <c r="I6509" i="3"/>
  <c r="I6510" i="3"/>
  <c r="I6511" i="3"/>
  <c r="I6512" i="3"/>
  <c r="I6513" i="3"/>
  <c r="I6514" i="3"/>
  <c r="I6515" i="3"/>
  <c r="I6516" i="3"/>
  <c r="I6517" i="3"/>
  <c r="I6518" i="3"/>
  <c r="I6519" i="3"/>
  <c r="I6520" i="3"/>
  <c r="I6521" i="3"/>
  <c r="I6522" i="3"/>
  <c r="I6523" i="3"/>
  <c r="I6524" i="3"/>
  <c r="I6525" i="3"/>
  <c r="I6526" i="3"/>
  <c r="I6527" i="3"/>
  <c r="I6528" i="3"/>
  <c r="I6529" i="3"/>
  <c r="I6530" i="3"/>
  <c r="I6531" i="3"/>
  <c r="I6532" i="3"/>
  <c r="I6533" i="3"/>
  <c r="I6534" i="3"/>
  <c r="I6535" i="3"/>
  <c r="I6536" i="3"/>
  <c r="I6537" i="3"/>
  <c r="I6538" i="3"/>
  <c r="I6539" i="3"/>
  <c r="I6540" i="3"/>
  <c r="I6541" i="3"/>
  <c r="I6542" i="3"/>
  <c r="I6543" i="3"/>
  <c r="I6544" i="3"/>
  <c r="I6545" i="3"/>
  <c r="I6546" i="3"/>
  <c r="I6547" i="3"/>
  <c r="I6548" i="3"/>
  <c r="I6549" i="3"/>
  <c r="I6550" i="3"/>
  <c r="I6551" i="3"/>
  <c r="I6552" i="3"/>
  <c r="I6553" i="3"/>
  <c r="I6554" i="3"/>
  <c r="I6555" i="3"/>
  <c r="I6556" i="3"/>
  <c r="I6557" i="3"/>
  <c r="I6558" i="3"/>
  <c r="I6559" i="3"/>
  <c r="I6560" i="3"/>
  <c r="I6561" i="3"/>
  <c r="I6562" i="3"/>
  <c r="I6563" i="3"/>
  <c r="I6564" i="3"/>
  <c r="I6565" i="3"/>
  <c r="I6566" i="3"/>
  <c r="I6567" i="3"/>
  <c r="I6568" i="3"/>
  <c r="I6569" i="3"/>
  <c r="I6570" i="3"/>
  <c r="I6571" i="3"/>
  <c r="I6572" i="3"/>
  <c r="I6573" i="3"/>
  <c r="I6574" i="3"/>
  <c r="I6575" i="3"/>
  <c r="I6576" i="3"/>
  <c r="I6577" i="3"/>
  <c r="I6578" i="3"/>
  <c r="I6579" i="3"/>
  <c r="I6580" i="3"/>
  <c r="I6581" i="3"/>
  <c r="I6582" i="3"/>
  <c r="I6583" i="3"/>
  <c r="I6584" i="3"/>
  <c r="I6585" i="3"/>
  <c r="I6586" i="3"/>
  <c r="I6587" i="3"/>
  <c r="I6588" i="3"/>
  <c r="I6589" i="3"/>
  <c r="I6590" i="3"/>
  <c r="I6591" i="3"/>
  <c r="I6592" i="3"/>
  <c r="I6593" i="3"/>
  <c r="I6594" i="3"/>
  <c r="I6595" i="3"/>
  <c r="I6596" i="3"/>
  <c r="I6597" i="3"/>
  <c r="I6598" i="3"/>
  <c r="I6599" i="3"/>
  <c r="I6600" i="3"/>
  <c r="I6601" i="3"/>
  <c r="I6602" i="3"/>
  <c r="I6603" i="3"/>
  <c r="I6604" i="3"/>
  <c r="I6605" i="3"/>
  <c r="I6606" i="3"/>
  <c r="I6607" i="3"/>
  <c r="I6608" i="3"/>
  <c r="I6609" i="3"/>
  <c r="I6610" i="3"/>
  <c r="I6611" i="3"/>
  <c r="I6612" i="3"/>
  <c r="I6613" i="3"/>
  <c r="I6614" i="3"/>
  <c r="I6615" i="3"/>
  <c r="I6616" i="3"/>
  <c r="I6617" i="3"/>
  <c r="I6618" i="3"/>
  <c r="I6619" i="3"/>
  <c r="I6620" i="3"/>
  <c r="I6621" i="3"/>
  <c r="I6622" i="3"/>
  <c r="I6623" i="3"/>
  <c r="I6624" i="3"/>
  <c r="I6625" i="3"/>
  <c r="I6626" i="3"/>
  <c r="I6627" i="3"/>
  <c r="I6628" i="3"/>
  <c r="I6629" i="3"/>
  <c r="I6630" i="3"/>
  <c r="I6631" i="3"/>
  <c r="I6632" i="3"/>
  <c r="I6633" i="3"/>
  <c r="I6634" i="3"/>
  <c r="I6635" i="3"/>
  <c r="I6636" i="3"/>
  <c r="I6637" i="3"/>
  <c r="I6638" i="3"/>
  <c r="I6639" i="3"/>
  <c r="I6640" i="3"/>
  <c r="I6641" i="3"/>
  <c r="I6642" i="3"/>
  <c r="I6643" i="3"/>
  <c r="I6644" i="3"/>
  <c r="I6645" i="3"/>
  <c r="I6646" i="3"/>
  <c r="I6647" i="3"/>
  <c r="I6648" i="3"/>
  <c r="I6649" i="3"/>
  <c r="I6650" i="3"/>
  <c r="I6651" i="3"/>
  <c r="I6652" i="3"/>
  <c r="I6653" i="3"/>
  <c r="I6654" i="3"/>
  <c r="I6655" i="3"/>
  <c r="I6656" i="3"/>
  <c r="I6657" i="3"/>
  <c r="I6658" i="3"/>
  <c r="I6659" i="3"/>
  <c r="I6660" i="3"/>
  <c r="I6661" i="3"/>
  <c r="I6662" i="3"/>
  <c r="I6663" i="3"/>
  <c r="I6664" i="3"/>
  <c r="I6665" i="3"/>
  <c r="I6666" i="3"/>
  <c r="I6667" i="3"/>
  <c r="I6668" i="3"/>
  <c r="I6669" i="3"/>
  <c r="I6670" i="3"/>
  <c r="I6671" i="3"/>
  <c r="I6672" i="3"/>
  <c r="I6673" i="3"/>
  <c r="I6674" i="3"/>
  <c r="I6675" i="3"/>
  <c r="I6676" i="3"/>
  <c r="I6677" i="3"/>
  <c r="I6678" i="3"/>
  <c r="I6679" i="3"/>
  <c r="I6680" i="3"/>
  <c r="I6681" i="3"/>
  <c r="I6682" i="3"/>
  <c r="I6683" i="3"/>
  <c r="I6684" i="3"/>
  <c r="I6685" i="3"/>
  <c r="I6686" i="3"/>
  <c r="I6687" i="3"/>
  <c r="I6688" i="3"/>
  <c r="I6689" i="3"/>
  <c r="I6690" i="3"/>
  <c r="I6691" i="3"/>
  <c r="I6692" i="3"/>
  <c r="I6693" i="3"/>
  <c r="I6694" i="3"/>
  <c r="I6695" i="3"/>
  <c r="I6696" i="3"/>
  <c r="I6697" i="3"/>
  <c r="I6698" i="3"/>
  <c r="I6699" i="3"/>
  <c r="I6700" i="3"/>
  <c r="I6701" i="3"/>
  <c r="I6702" i="3"/>
  <c r="I6703" i="3"/>
  <c r="I6704" i="3"/>
  <c r="I6705" i="3"/>
  <c r="I6706" i="3"/>
  <c r="I6707" i="3"/>
  <c r="I6708" i="3"/>
  <c r="I6709" i="3"/>
  <c r="I6710" i="3"/>
  <c r="I6711" i="3"/>
  <c r="I6712" i="3"/>
  <c r="I6713" i="3"/>
  <c r="I6714" i="3"/>
  <c r="I6715" i="3"/>
  <c r="I6716" i="3"/>
  <c r="I6717" i="3"/>
  <c r="I6718" i="3"/>
  <c r="I6719" i="3"/>
  <c r="I6720" i="3"/>
  <c r="I6721" i="3"/>
  <c r="I6722" i="3"/>
  <c r="I6723" i="3"/>
  <c r="I6724" i="3"/>
  <c r="I6725" i="3"/>
  <c r="I6726" i="3"/>
  <c r="I6727" i="3"/>
  <c r="I6728" i="3"/>
  <c r="I6729" i="3"/>
  <c r="I6730" i="3"/>
  <c r="I6731" i="3"/>
  <c r="I6732" i="3"/>
  <c r="I6733" i="3"/>
  <c r="I6734" i="3"/>
  <c r="I6735" i="3"/>
  <c r="I6736" i="3"/>
  <c r="I6737" i="3"/>
  <c r="I6738" i="3"/>
  <c r="I6739" i="3"/>
  <c r="I6740" i="3"/>
  <c r="I6741" i="3"/>
  <c r="I6742" i="3"/>
  <c r="I6743" i="3"/>
  <c r="I6744" i="3"/>
  <c r="I6745" i="3"/>
  <c r="I6746" i="3"/>
  <c r="I6747" i="3"/>
  <c r="I6748" i="3"/>
  <c r="I6749" i="3"/>
  <c r="I6750" i="3"/>
  <c r="I6751" i="3"/>
  <c r="I6752" i="3"/>
  <c r="I6753" i="3"/>
  <c r="I6754" i="3"/>
  <c r="I6755" i="3"/>
  <c r="I6756" i="3"/>
  <c r="I6757" i="3"/>
  <c r="I6758" i="3"/>
  <c r="I6759" i="3"/>
  <c r="I6760" i="3"/>
  <c r="I6761" i="3"/>
  <c r="I6762" i="3"/>
  <c r="I6763" i="3"/>
  <c r="I6764" i="3"/>
  <c r="I6765" i="3"/>
  <c r="I6766" i="3"/>
  <c r="I6767" i="3"/>
  <c r="I6768" i="3"/>
  <c r="I6769" i="3"/>
  <c r="I6770" i="3"/>
  <c r="I6771" i="3"/>
  <c r="I6772" i="3"/>
  <c r="I6773" i="3"/>
  <c r="I6774" i="3"/>
  <c r="I6775" i="3"/>
  <c r="I6776" i="3"/>
  <c r="I6777" i="3"/>
  <c r="I6778" i="3"/>
  <c r="I6779" i="3"/>
  <c r="I6780" i="3"/>
  <c r="I6781" i="3"/>
  <c r="I6782" i="3"/>
  <c r="I6783" i="3"/>
  <c r="I6784" i="3"/>
  <c r="I6785" i="3"/>
  <c r="I6786" i="3"/>
  <c r="I6787" i="3"/>
  <c r="I6788" i="3"/>
  <c r="I6789" i="3"/>
  <c r="I6790" i="3"/>
  <c r="I6791" i="3"/>
  <c r="I6792" i="3"/>
  <c r="I6793" i="3"/>
  <c r="I6794" i="3"/>
  <c r="I6795" i="3"/>
  <c r="I6796" i="3"/>
  <c r="I6797" i="3"/>
  <c r="I6798" i="3"/>
  <c r="I6799" i="3"/>
  <c r="I6800" i="3"/>
  <c r="I6801" i="3"/>
  <c r="I6802" i="3"/>
  <c r="I6803" i="3"/>
  <c r="I6804" i="3"/>
  <c r="I6805" i="3"/>
  <c r="I6806" i="3"/>
  <c r="I6807" i="3"/>
  <c r="I6808" i="3"/>
  <c r="I6809" i="3"/>
  <c r="I6810" i="3"/>
  <c r="I6811" i="3"/>
  <c r="I6812" i="3"/>
  <c r="I6813" i="3"/>
  <c r="I6814" i="3"/>
  <c r="I6815" i="3"/>
  <c r="I6816" i="3"/>
  <c r="I6817" i="3"/>
  <c r="I6818" i="3"/>
  <c r="I6819" i="3"/>
  <c r="I6820" i="3"/>
  <c r="I6821" i="3"/>
  <c r="I6822" i="3"/>
  <c r="I6823" i="3"/>
  <c r="I6824" i="3"/>
  <c r="I6825" i="3"/>
  <c r="I6826" i="3"/>
  <c r="I6827" i="3"/>
  <c r="I6828" i="3"/>
  <c r="I6829" i="3"/>
  <c r="I6830" i="3"/>
  <c r="I6831" i="3"/>
  <c r="I6832" i="3"/>
  <c r="I6833" i="3"/>
  <c r="I6834" i="3"/>
  <c r="I6835" i="3"/>
  <c r="I6836" i="3"/>
  <c r="I6837" i="3"/>
  <c r="I6838" i="3"/>
  <c r="I6839" i="3"/>
  <c r="I6840" i="3"/>
  <c r="I6841" i="3"/>
  <c r="I6842" i="3"/>
  <c r="I6843" i="3"/>
  <c r="I6844" i="3"/>
  <c r="I6845" i="3"/>
  <c r="I6846" i="3"/>
  <c r="I6847" i="3"/>
  <c r="I6848" i="3"/>
  <c r="I6849" i="3"/>
  <c r="I6850" i="3"/>
  <c r="I6851" i="3"/>
  <c r="I6852" i="3"/>
  <c r="I6853" i="3"/>
  <c r="I6854" i="3"/>
  <c r="I6855" i="3"/>
  <c r="I6856" i="3"/>
  <c r="I6857" i="3"/>
  <c r="I6858" i="3"/>
  <c r="I6859" i="3"/>
  <c r="I6860" i="3"/>
  <c r="I6861" i="3"/>
  <c r="I6862" i="3"/>
  <c r="I6863" i="3"/>
  <c r="I6864" i="3"/>
  <c r="I6865" i="3"/>
  <c r="I6866" i="3"/>
  <c r="I6867" i="3"/>
  <c r="I6868" i="3"/>
  <c r="I6869" i="3"/>
  <c r="I6870" i="3"/>
  <c r="I6871" i="3"/>
  <c r="I6872" i="3"/>
  <c r="I6873" i="3"/>
  <c r="I6874" i="3"/>
  <c r="I6875" i="3"/>
  <c r="I6876" i="3"/>
  <c r="I6877" i="3"/>
  <c r="I6878" i="3"/>
  <c r="I6879" i="3"/>
  <c r="I6880" i="3"/>
  <c r="I6881" i="3"/>
  <c r="I6882" i="3"/>
  <c r="I6883" i="3"/>
  <c r="I6884" i="3"/>
  <c r="I6885" i="3"/>
  <c r="I6886" i="3"/>
  <c r="I6887" i="3"/>
  <c r="I6888" i="3"/>
  <c r="I6889" i="3"/>
  <c r="I6890" i="3"/>
  <c r="I6891" i="3"/>
  <c r="I6892" i="3"/>
  <c r="I6893" i="3"/>
  <c r="I6894" i="3"/>
  <c r="I6895" i="3"/>
  <c r="I6896" i="3"/>
  <c r="I6897" i="3"/>
  <c r="I6898" i="3"/>
  <c r="I6899" i="3"/>
  <c r="I6900" i="3"/>
  <c r="I6901" i="3"/>
  <c r="I6902" i="3"/>
  <c r="I6903" i="3"/>
  <c r="I6904" i="3"/>
  <c r="I6905" i="3"/>
  <c r="I6906" i="3"/>
  <c r="I6907" i="3"/>
  <c r="I6908" i="3"/>
  <c r="I6909" i="3"/>
  <c r="I6910" i="3"/>
  <c r="I6911" i="3"/>
  <c r="I6912" i="3"/>
  <c r="I6913" i="3"/>
  <c r="I6914" i="3"/>
  <c r="I6915" i="3"/>
  <c r="I6916" i="3"/>
  <c r="I6917" i="3"/>
  <c r="I6918" i="3"/>
  <c r="I6919" i="3"/>
  <c r="I6920" i="3"/>
  <c r="I6921" i="3"/>
  <c r="I6922" i="3"/>
  <c r="I6923" i="3"/>
  <c r="I6924" i="3"/>
  <c r="I6925" i="3"/>
  <c r="I6926" i="3"/>
  <c r="I6927" i="3"/>
  <c r="I6928" i="3"/>
  <c r="I6929" i="3"/>
  <c r="I6930" i="3"/>
  <c r="I6931" i="3"/>
  <c r="I6932" i="3"/>
  <c r="I6933" i="3"/>
  <c r="I6934" i="3"/>
  <c r="I6935" i="3"/>
  <c r="I6936" i="3"/>
  <c r="I6937" i="3"/>
  <c r="I6938" i="3"/>
  <c r="I6939" i="3"/>
  <c r="I6940" i="3"/>
  <c r="I6941" i="3"/>
  <c r="I6942" i="3"/>
  <c r="I6943" i="3"/>
  <c r="I6944" i="3"/>
  <c r="I6945" i="3"/>
  <c r="I6946" i="3"/>
  <c r="I6947" i="3"/>
  <c r="I6948" i="3"/>
  <c r="I6949" i="3"/>
  <c r="I6950" i="3"/>
  <c r="I6951" i="3"/>
  <c r="I6952" i="3"/>
  <c r="I6953" i="3"/>
  <c r="I6954" i="3"/>
  <c r="I6955" i="3"/>
  <c r="I6956" i="3"/>
  <c r="I6957" i="3"/>
  <c r="I6958" i="3"/>
  <c r="I6959" i="3"/>
  <c r="I6960" i="3"/>
  <c r="I6961" i="3"/>
  <c r="I6962" i="3"/>
  <c r="I6963" i="3"/>
  <c r="I6964" i="3"/>
  <c r="I6965" i="3"/>
  <c r="I6966" i="3"/>
  <c r="I6967" i="3"/>
  <c r="I6968" i="3"/>
  <c r="I6969" i="3"/>
  <c r="I6970" i="3"/>
  <c r="I6971" i="3"/>
  <c r="I6972" i="3"/>
  <c r="I6973" i="3"/>
  <c r="I6974" i="3"/>
  <c r="I6975" i="3"/>
  <c r="I6976" i="3"/>
  <c r="I6977" i="3"/>
  <c r="I6978" i="3"/>
  <c r="I6979" i="3"/>
  <c r="I6980" i="3"/>
  <c r="I6981" i="3"/>
  <c r="I6982" i="3"/>
  <c r="I6983" i="3"/>
  <c r="I6984" i="3"/>
  <c r="I6985" i="3"/>
  <c r="I6986" i="3"/>
  <c r="I6987" i="3"/>
  <c r="I6988" i="3"/>
  <c r="I6989" i="3"/>
  <c r="I6990" i="3"/>
  <c r="I6991" i="3"/>
  <c r="I6992" i="3"/>
  <c r="I6993" i="3"/>
  <c r="I6994" i="3"/>
  <c r="I6995" i="3"/>
  <c r="I6996" i="3"/>
  <c r="I6997" i="3"/>
  <c r="I6998" i="3"/>
  <c r="I6999" i="3"/>
  <c r="I7000" i="3"/>
  <c r="I7001" i="3"/>
  <c r="I7002" i="3"/>
  <c r="I7003" i="3"/>
  <c r="I7004" i="3"/>
  <c r="I7005" i="3"/>
  <c r="I7006" i="3"/>
  <c r="I7007" i="3"/>
  <c r="I7008" i="3"/>
  <c r="I7009" i="3"/>
  <c r="I7010" i="3"/>
  <c r="I7011" i="3"/>
  <c r="I7012" i="3"/>
  <c r="I7013" i="3"/>
  <c r="I7014" i="3"/>
  <c r="I7015" i="3"/>
  <c r="I7016" i="3"/>
  <c r="I7017" i="3"/>
  <c r="I7018" i="3"/>
  <c r="I7019" i="3"/>
  <c r="I7020" i="3"/>
  <c r="I7021" i="3"/>
  <c r="I7022" i="3"/>
  <c r="I7023" i="3"/>
  <c r="I7024" i="3"/>
  <c r="I7025" i="3"/>
  <c r="I7026" i="3"/>
  <c r="I7027" i="3"/>
  <c r="I7028" i="3"/>
  <c r="I7029" i="3"/>
  <c r="I7030" i="3"/>
  <c r="I7031" i="3"/>
  <c r="I7032" i="3"/>
  <c r="I7033" i="3"/>
  <c r="I7034" i="3"/>
  <c r="I7035" i="3"/>
  <c r="I7036" i="3"/>
  <c r="I7037" i="3"/>
  <c r="I7038" i="3"/>
  <c r="I7039" i="3"/>
  <c r="I7040" i="3"/>
  <c r="I7041" i="3"/>
  <c r="I7042" i="3"/>
  <c r="I7043" i="3"/>
  <c r="I7044" i="3"/>
  <c r="I7045" i="3"/>
  <c r="I7046" i="3"/>
  <c r="I7047" i="3"/>
  <c r="I7048" i="3"/>
  <c r="I7049" i="3"/>
  <c r="I7050" i="3"/>
  <c r="I7051" i="3"/>
  <c r="I7052" i="3"/>
  <c r="I7053" i="3"/>
  <c r="I7054" i="3"/>
  <c r="I7055" i="3"/>
  <c r="I7056" i="3"/>
  <c r="I7057" i="3"/>
  <c r="I7058" i="3"/>
  <c r="I7059" i="3"/>
  <c r="I7060" i="3"/>
  <c r="I7061" i="3"/>
  <c r="I7062" i="3"/>
  <c r="I7063" i="3"/>
  <c r="I7064" i="3"/>
  <c r="I7065" i="3"/>
  <c r="I7066" i="3"/>
  <c r="I7067" i="3"/>
  <c r="I7068" i="3"/>
  <c r="I7069" i="3"/>
  <c r="I7070" i="3"/>
  <c r="I7071" i="3"/>
  <c r="I7072" i="3"/>
  <c r="I7073" i="3"/>
  <c r="I7074" i="3"/>
  <c r="I7075" i="3"/>
  <c r="I7076" i="3"/>
  <c r="I7077" i="3"/>
  <c r="I7078" i="3"/>
  <c r="I7079" i="3"/>
  <c r="I7080" i="3"/>
  <c r="I7081" i="3"/>
  <c r="I7082" i="3"/>
  <c r="I7083" i="3"/>
  <c r="I7084" i="3"/>
  <c r="I7085" i="3"/>
  <c r="I7086" i="3"/>
  <c r="I7087" i="3"/>
  <c r="I7088" i="3"/>
  <c r="I7089" i="3"/>
  <c r="I7090" i="3"/>
  <c r="I7091" i="3"/>
  <c r="I7092" i="3"/>
  <c r="I7093" i="3"/>
  <c r="I7094" i="3"/>
  <c r="I7095" i="3"/>
  <c r="I7096" i="3"/>
  <c r="I7097" i="3"/>
  <c r="I7098" i="3"/>
  <c r="I7099" i="3"/>
  <c r="I7100" i="3"/>
  <c r="I7101" i="3"/>
  <c r="I7102" i="3"/>
  <c r="I7103" i="3"/>
  <c r="I7104" i="3"/>
  <c r="I7105" i="3"/>
  <c r="I7106" i="3"/>
  <c r="I7107" i="3"/>
  <c r="I7108" i="3"/>
  <c r="I7109" i="3"/>
  <c r="I7110" i="3"/>
  <c r="I7111" i="3"/>
  <c r="I7112" i="3"/>
  <c r="I7113" i="3"/>
  <c r="I7114" i="3"/>
  <c r="I7115" i="3"/>
  <c r="I7116" i="3"/>
  <c r="I7117" i="3"/>
  <c r="I7118" i="3"/>
  <c r="I7119" i="3"/>
  <c r="I7120" i="3"/>
  <c r="I7121" i="3"/>
  <c r="I7122" i="3"/>
  <c r="I7123" i="3"/>
  <c r="I7124" i="3"/>
  <c r="I7125" i="3"/>
  <c r="I7126" i="3"/>
  <c r="I7127" i="3"/>
  <c r="I7128" i="3"/>
  <c r="I7129" i="3"/>
  <c r="I7130" i="3"/>
  <c r="I7131" i="3"/>
  <c r="I7132" i="3"/>
  <c r="I7133" i="3"/>
  <c r="I7134" i="3"/>
  <c r="I7135" i="3"/>
  <c r="I7136" i="3"/>
  <c r="I7137" i="3"/>
  <c r="I7138" i="3"/>
  <c r="I7139" i="3"/>
  <c r="I7140" i="3"/>
  <c r="I7141" i="3"/>
  <c r="I7142" i="3"/>
  <c r="I7143" i="3"/>
  <c r="I7144" i="3"/>
  <c r="I7145" i="3"/>
  <c r="I7146" i="3"/>
  <c r="I7147" i="3"/>
  <c r="I7148" i="3"/>
  <c r="I7149" i="3"/>
  <c r="I7150" i="3"/>
  <c r="I7151" i="3"/>
  <c r="I7152" i="3"/>
  <c r="I7153" i="3"/>
  <c r="I7154" i="3"/>
  <c r="I7155" i="3"/>
  <c r="I7156" i="3"/>
  <c r="I7157" i="3"/>
  <c r="I7158" i="3"/>
  <c r="I7159" i="3"/>
  <c r="I7160" i="3"/>
  <c r="I7161" i="3"/>
  <c r="I7162" i="3"/>
  <c r="I7163" i="3"/>
  <c r="I7164" i="3"/>
  <c r="I7165" i="3"/>
  <c r="I7166" i="3"/>
  <c r="I7167" i="3"/>
  <c r="I7168" i="3"/>
  <c r="I7169" i="3"/>
  <c r="I7170" i="3"/>
  <c r="I7171" i="3"/>
  <c r="I7172" i="3"/>
  <c r="I7173" i="3"/>
  <c r="I7174" i="3"/>
  <c r="I7175" i="3"/>
  <c r="I7176" i="3"/>
  <c r="I7177" i="3"/>
  <c r="I7178" i="3"/>
  <c r="I7179" i="3"/>
  <c r="I7180" i="3"/>
  <c r="I7181" i="3"/>
  <c r="I7182" i="3"/>
  <c r="I7183" i="3"/>
  <c r="I7184" i="3"/>
  <c r="I7185" i="3"/>
  <c r="I7186" i="3"/>
  <c r="I7187" i="3"/>
  <c r="I7188" i="3"/>
  <c r="I7189" i="3"/>
  <c r="I7190" i="3"/>
  <c r="I7191" i="3"/>
  <c r="I7192" i="3"/>
  <c r="I7193" i="3"/>
  <c r="I7194" i="3"/>
  <c r="I7195" i="3"/>
  <c r="I7196" i="3"/>
  <c r="I7197" i="3"/>
  <c r="I7198" i="3"/>
  <c r="I7199" i="3"/>
  <c r="I7200" i="3"/>
  <c r="I7201" i="3"/>
  <c r="I7202" i="3"/>
  <c r="I7203" i="3"/>
  <c r="I7204" i="3"/>
  <c r="I7205" i="3"/>
  <c r="I7206" i="3"/>
  <c r="I7207" i="3"/>
  <c r="I7208" i="3"/>
  <c r="I7209" i="3"/>
  <c r="I7210" i="3"/>
  <c r="I7211" i="3"/>
  <c r="I7212" i="3"/>
  <c r="I7213" i="3"/>
  <c r="I7214" i="3"/>
  <c r="I7215" i="3"/>
  <c r="I7216" i="3"/>
  <c r="I7217" i="3"/>
  <c r="I7218" i="3"/>
  <c r="I7219" i="3"/>
  <c r="I7220" i="3"/>
  <c r="I7221" i="3"/>
  <c r="I7222" i="3"/>
  <c r="I7223" i="3"/>
  <c r="I7224" i="3"/>
  <c r="I7225" i="3"/>
  <c r="I7226" i="3"/>
  <c r="I7227" i="3"/>
  <c r="I7228" i="3"/>
  <c r="I7229" i="3"/>
  <c r="I7230" i="3"/>
  <c r="I7231" i="3"/>
  <c r="I7232" i="3"/>
  <c r="I7233" i="3"/>
  <c r="I7234" i="3"/>
  <c r="I7235" i="3"/>
  <c r="I7236" i="3"/>
  <c r="I7237" i="3"/>
  <c r="I7238" i="3"/>
  <c r="I7239" i="3"/>
  <c r="I7240" i="3"/>
  <c r="I7241" i="3"/>
  <c r="I7242" i="3"/>
  <c r="I7243" i="3"/>
  <c r="I7244" i="3"/>
  <c r="I7245" i="3"/>
  <c r="I7246" i="3"/>
  <c r="I7247" i="3"/>
  <c r="I7248" i="3"/>
  <c r="I7249" i="3"/>
  <c r="I7250" i="3"/>
  <c r="I7251" i="3"/>
  <c r="I7252" i="3"/>
  <c r="I7253" i="3"/>
  <c r="I7254" i="3"/>
  <c r="I7255" i="3"/>
  <c r="I7256" i="3"/>
  <c r="I7257" i="3"/>
  <c r="I7258" i="3"/>
  <c r="I7259" i="3"/>
  <c r="I7260" i="3"/>
  <c r="I7261" i="3"/>
  <c r="I7262" i="3"/>
  <c r="I7263" i="3"/>
  <c r="I7264" i="3"/>
  <c r="I7265" i="3"/>
  <c r="I7266" i="3"/>
  <c r="I7267" i="3"/>
  <c r="I7268" i="3"/>
  <c r="I7269" i="3"/>
  <c r="I7270" i="3"/>
  <c r="I7271" i="3"/>
  <c r="I7272" i="3"/>
  <c r="I7273" i="3"/>
  <c r="I7274" i="3"/>
  <c r="I7275" i="3"/>
  <c r="I7276" i="3"/>
  <c r="I7277" i="3"/>
  <c r="I7278" i="3"/>
  <c r="I7279" i="3"/>
  <c r="I7280" i="3"/>
  <c r="I7281" i="3"/>
  <c r="I7282" i="3"/>
  <c r="I7283" i="3"/>
  <c r="I7284" i="3"/>
  <c r="I7285" i="3"/>
  <c r="I7286" i="3"/>
  <c r="I7287" i="3"/>
  <c r="I7288" i="3"/>
  <c r="I7289" i="3"/>
  <c r="I7290" i="3"/>
  <c r="I7291" i="3"/>
  <c r="I7292" i="3"/>
  <c r="I7293" i="3"/>
  <c r="I7294" i="3"/>
  <c r="I7295" i="3"/>
  <c r="I7296" i="3"/>
  <c r="I7297" i="3"/>
  <c r="I7298" i="3"/>
  <c r="I7299" i="3"/>
  <c r="I7300" i="3"/>
  <c r="I7301" i="3"/>
  <c r="I7302" i="3"/>
  <c r="I7303" i="3"/>
  <c r="I7304" i="3"/>
  <c r="I7305" i="3"/>
  <c r="I7306" i="3"/>
  <c r="I7307" i="3"/>
  <c r="I7308" i="3"/>
  <c r="I7309" i="3"/>
  <c r="I7310" i="3"/>
  <c r="I7311" i="3"/>
  <c r="I7312" i="3"/>
  <c r="I7313" i="3"/>
  <c r="I7314" i="3"/>
  <c r="I7315" i="3"/>
  <c r="I7316" i="3"/>
  <c r="I7317" i="3"/>
  <c r="I7318" i="3"/>
  <c r="I7319" i="3"/>
  <c r="I7320" i="3"/>
  <c r="I7321" i="3"/>
  <c r="I7322" i="3"/>
  <c r="I7323" i="3"/>
  <c r="I7324" i="3"/>
  <c r="I7325" i="3"/>
  <c r="I7326" i="3"/>
  <c r="I7327" i="3"/>
  <c r="I7328" i="3"/>
  <c r="I7329" i="3"/>
  <c r="I7330" i="3"/>
  <c r="I7331" i="3"/>
  <c r="I7332" i="3"/>
  <c r="I7333" i="3"/>
  <c r="I7334" i="3"/>
  <c r="I7335" i="3"/>
  <c r="I7336" i="3"/>
  <c r="I7337" i="3"/>
  <c r="I7338" i="3"/>
  <c r="I7339" i="3"/>
  <c r="I7340" i="3"/>
  <c r="I7341" i="3"/>
  <c r="I7342" i="3"/>
  <c r="I7343" i="3"/>
  <c r="I7344" i="3"/>
  <c r="I7345" i="3"/>
  <c r="I7346" i="3"/>
  <c r="I7347" i="3"/>
  <c r="I7348" i="3"/>
  <c r="I7349" i="3"/>
  <c r="I7350" i="3"/>
  <c r="I7351" i="3"/>
  <c r="I7352" i="3"/>
  <c r="I7353" i="3"/>
  <c r="I7354" i="3"/>
  <c r="I7355" i="3"/>
  <c r="I7356" i="3"/>
  <c r="I7357" i="3"/>
  <c r="I7358" i="3"/>
  <c r="I7359" i="3"/>
  <c r="I7360" i="3"/>
  <c r="I7361" i="3"/>
  <c r="I7362" i="3"/>
  <c r="I7363" i="3"/>
  <c r="I7364" i="3"/>
  <c r="I7365" i="3"/>
  <c r="I7366" i="3"/>
  <c r="I7367" i="3"/>
  <c r="I7368" i="3"/>
  <c r="I7369" i="3"/>
  <c r="I7370" i="3"/>
  <c r="I7371" i="3"/>
  <c r="I7372" i="3"/>
  <c r="I7373" i="3"/>
  <c r="I7374" i="3"/>
  <c r="I7375" i="3"/>
  <c r="I7376" i="3"/>
  <c r="I7377" i="3"/>
  <c r="I7378" i="3"/>
  <c r="I7379" i="3"/>
  <c r="I7380" i="3"/>
  <c r="I7381" i="3"/>
  <c r="I7382" i="3"/>
  <c r="I7383" i="3"/>
  <c r="I7384" i="3"/>
  <c r="I7385" i="3"/>
  <c r="I7386" i="3"/>
  <c r="I7387" i="3"/>
  <c r="I7388" i="3"/>
  <c r="I7389" i="3"/>
  <c r="I7390" i="3"/>
  <c r="I7391" i="3"/>
  <c r="I7392" i="3"/>
  <c r="I7393" i="3"/>
  <c r="I7394" i="3"/>
  <c r="I7395" i="3"/>
  <c r="I7396" i="3"/>
  <c r="I7397" i="3"/>
  <c r="I7398" i="3"/>
  <c r="I7399" i="3"/>
  <c r="I7400" i="3"/>
  <c r="I7401" i="3"/>
  <c r="I7402" i="3"/>
  <c r="I7403" i="3"/>
  <c r="I7404" i="3"/>
  <c r="I7405" i="3"/>
  <c r="I7406" i="3"/>
  <c r="I7407" i="3"/>
  <c r="I7408" i="3"/>
  <c r="I7409" i="3"/>
  <c r="I7410" i="3"/>
  <c r="I7411" i="3"/>
  <c r="I7412" i="3"/>
  <c r="I7413" i="3"/>
  <c r="I7414" i="3"/>
  <c r="I7415" i="3"/>
  <c r="I7416" i="3"/>
  <c r="I7417" i="3"/>
  <c r="I7418" i="3"/>
  <c r="I7419" i="3"/>
  <c r="I7420" i="3"/>
  <c r="I7421" i="3"/>
  <c r="I7422" i="3"/>
  <c r="I7423" i="3"/>
  <c r="I7424" i="3"/>
  <c r="I7425" i="3"/>
  <c r="I7426" i="3"/>
  <c r="I7427" i="3"/>
  <c r="I7428" i="3"/>
  <c r="I7429" i="3"/>
  <c r="I7430" i="3"/>
  <c r="I7431" i="3"/>
  <c r="I7432" i="3"/>
  <c r="I7433" i="3"/>
  <c r="I7434" i="3"/>
  <c r="I7435" i="3"/>
  <c r="I7436" i="3"/>
  <c r="I7437" i="3"/>
  <c r="I7438" i="3"/>
  <c r="I7439" i="3"/>
  <c r="I7440" i="3"/>
  <c r="I7441" i="3"/>
  <c r="I7442" i="3"/>
  <c r="I7443" i="3"/>
  <c r="I7444" i="3"/>
  <c r="I7445" i="3"/>
  <c r="I7446" i="3"/>
  <c r="I7447" i="3"/>
  <c r="I7448" i="3"/>
  <c r="I7449" i="3"/>
  <c r="I7450" i="3"/>
  <c r="I7451" i="3"/>
  <c r="I7452" i="3"/>
  <c r="I7453" i="3"/>
  <c r="I7454" i="3"/>
  <c r="I7455" i="3"/>
  <c r="I7456" i="3"/>
  <c r="I7457" i="3"/>
  <c r="I7458" i="3"/>
  <c r="I7459" i="3"/>
  <c r="I7460" i="3"/>
  <c r="I7461" i="3"/>
  <c r="I7462" i="3"/>
  <c r="I7463" i="3"/>
  <c r="I7464" i="3"/>
  <c r="I7465" i="3"/>
  <c r="I7466" i="3"/>
  <c r="I7467" i="3"/>
  <c r="I7468" i="3"/>
  <c r="I7469" i="3"/>
  <c r="I7470" i="3"/>
  <c r="I7471" i="3"/>
  <c r="I7472" i="3"/>
  <c r="I7473" i="3"/>
  <c r="I7474" i="3"/>
  <c r="I7475" i="3"/>
  <c r="I7476" i="3"/>
  <c r="I7477" i="3"/>
  <c r="I7478" i="3"/>
  <c r="I7479" i="3"/>
  <c r="I7480" i="3"/>
  <c r="I7481" i="3"/>
  <c r="I7482" i="3"/>
  <c r="I7483" i="3"/>
  <c r="I7484" i="3"/>
  <c r="I7485" i="3"/>
  <c r="I7486" i="3"/>
  <c r="I7487" i="3"/>
  <c r="I7488" i="3"/>
  <c r="I7489" i="3"/>
  <c r="I7490" i="3"/>
  <c r="I7491" i="3"/>
  <c r="I7492" i="3"/>
  <c r="I7493" i="3"/>
  <c r="I7494" i="3"/>
  <c r="I7495" i="3"/>
  <c r="I7496" i="3"/>
  <c r="I7497" i="3"/>
  <c r="I7498" i="3"/>
  <c r="I7499" i="3"/>
  <c r="I7500" i="3"/>
  <c r="I7501" i="3"/>
  <c r="I7502" i="3"/>
  <c r="I7503" i="3"/>
  <c r="I7504" i="3"/>
  <c r="I7505" i="3"/>
  <c r="I7506" i="3"/>
  <c r="I7507" i="3"/>
  <c r="I7508" i="3"/>
  <c r="I7509" i="3"/>
  <c r="I7510" i="3"/>
  <c r="I7511" i="3"/>
  <c r="I7512" i="3"/>
  <c r="I7513" i="3"/>
  <c r="I7514" i="3"/>
  <c r="I7515" i="3"/>
  <c r="I7516" i="3"/>
  <c r="I7517" i="3"/>
  <c r="I7518" i="3"/>
  <c r="I7519" i="3"/>
  <c r="I7520" i="3"/>
  <c r="I7521" i="3"/>
  <c r="I7522" i="3"/>
  <c r="I7523" i="3"/>
  <c r="I7524" i="3"/>
  <c r="I7525" i="3"/>
  <c r="I7526" i="3"/>
  <c r="I7527" i="3"/>
  <c r="I7528" i="3"/>
  <c r="I7529" i="3"/>
  <c r="I7530" i="3"/>
  <c r="I7531" i="3"/>
  <c r="I7532" i="3"/>
  <c r="I7533" i="3"/>
  <c r="I7534" i="3"/>
  <c r="I7535" i="3"/>
  <c r="I7536" i="3"/>
  <c r="I7537" i="3"/>
  <c r="I7538" i="3"/>
  <c r="I7539" i="3"/>
  <c r="I7540" i="3"/>
  <c r="I7541" i="3"/>
  <c r="I7542" i="3"/>
  <c r="I7543" i="3"/>
  <c r="I7544" i="3"/>
  <c r="I7545" i="3"/>
  <c r="I7546" i="3"/>
  <c r="I7547" i="3"/>
  <c r="I7548" i="3"/>
  <c r="I7549" i="3"/>
  <c r="I7550" i="3"/>
  <c r="I7551" i="3"/>
  <c r="I7552" i="3"/>
  <c r="I7553" i="3"/>
  <c r="I7554" i="3"/>
  <c r="I7555" i="3"/>
  <c r="I7556" i="3"/>
  <c r="I7557" i="3"/>
  <c r="I7558" i="3"/>
  <c r="I7559" i="3"/>
  <c r="I7560" i="3"/>
  <c r="I7561" i="3"/>
  <c r="I7562" i="3"/>
  <c r="I7563" i="3"/>
  <c r="I7564" i="3"/>
  <c r="I7565" i="3"/>
  <c r="I7566" i="3"/>
  <c r="I7567" i="3"/>
  <c r="I7568" i="3"/>
  <c r="I7569" i="3"/>
  <c r="I7570" i="3"/>
  <c r="I7571" i="3"/>
  <c r="I7572" i="3"/>
  <c r="I7573" i="3"/>
  <c r="I7574" i="3"/>
  <c r="I7575" i="3"/>
  <c r="I7576" i="3"/>
  <c r="I7577" i="3"/>
  <c r="I7578" i="3"/>
  <c r="I7579" i="3"/>
  <c r="I7580" i="3"/>
  <c r="I7581" i="3"/>
  <c r="I7582" i="3"/>
  <c r="I7583" i="3"/>
  <c r="I7584" i="3"/>
  <c r="I7585" i="3"/>
  <c r="I7586" i="3"/>
  <c r="I7587" i="3"/>
  <c r="I7588" i="3"/>
  <c r="I7589" i="3"/>
  <c r="I7590" i="3"/>
  <c r="I7591" i="3"/>
  <c r="I7592" i="3"/>
  <c r="I7593" i="3"/>
  <c r="I7594" i="3"/>
  <c r="I7595" i="3"/>
  <c r="I7596" i="3"/>
  <c r="I7597" i="3"/>
  <c r="I7598" i="3"/>
  <c r="I7599" i="3"/>
  <c r="I7600" i="3"/>
  <c r="I7601" i="3"/>
  <c r="I7602" i="3"/>
  <c r="I7603" i="3"/>
  <c r="I7604" i="3"/>
  <c r="I7605" i="3"/>
  <c r="I7606" i="3"/>
  <c r="I7607" i="3"/>
  <c r="I7608" i="3"/>
  <c r="I7609" i="3"/>
  <c r="I7610" i="3"/>
  <c r="I7611" i="3"/>
  <c r="I7612" i="3"/>
  <c r="I7613" i="3"/>
  <c r="I7614" i="3"/>
  <c r="I7615" i="3"/>
  <c r="I7616" i="3"/>
  <c r="I7617" i="3"/>
  <c r="I7618" i="3"/>
  <c r="I7619" i="3"/>
  <c r="I7620" i="3"/>
  <c r="I7621" i="3"/>
  <c r="I7622" i="3"/>
  <c r="I7623" i="3"/>
  <c r="I7624" i="3"/>
  <c r="I7625" i="3"/>
  <c r="I7626" i="3"/>
  <c r="I7627" i="3"/>
  <c r="I7628" i="3"/>
  <c r="I7629" i="3"/>
  <c r="I7630" i="3"/>
  <c r="I7631" i="3"/>
  <c r="I7632" i="3"/>
  <c r="I7633" i="3"/>
  <c r="I7634" i="3"/>
  <c r="I7635" i="3"/>
  <c r="I7636" i="3"/>
  <c r="I7637" i="3"/>
  <c r="I7638" i="3"/>
  <c r="I7639" i="3"/>
  <c r="I7640" i="3"/>
  <c r="I7641" i="3"/>
  <c r="I7642" i="3"/>
  <c r="I7643" i="3"/>
  <c r="I7644" i="3"/>
  <c r="I7645" i="3"/>
  <c r="I7646" i="3"/>
  <c r="I7647" i="3"/>
  <c r="I7648" i="3"/>
  <c r="I7649" i="3"/>
  <c r="I7650" i="3"/>
  <c r="I7651" i="3"/>
  <c r="I7652" i="3"/>
  <c r="I7653" i="3"/>
  <c r="I7654" i="3"/>
  <c r="I7655" i="3"/>
  <c r="I7656" i="3"/>
  <c r="I7657" i="3"/>
  <c r="I7658" i="3"/>
  <c r="I7659" i="3"/>
  <c r="I7660" i="3"/>
  <c r="I7661" i="3"/>
  <c r="I7662" i="3"/>
  <c r="I7663" i="3"/>
  <c r="I7664" i="3"/>
  <c r="I7665" i="3"/>
  <c r="I7666" i="3"/>
  <c r="I7667" i="3"/>
  <c r="I7668" i="3"/>
  <c r="I7669" i="3"/>
  <c r="I7670" i="3"/>
  <c r="I7671" i="3"/>
  <c r="I7672" i="3"/>
  <c r="I7673" i="3"/>
  <c r="I7674" i="3"/>
  <c r="I7675" i="3"/>
  <c r="I7676" i="3"/>
  <c r="I7677" i="3"/>
  <c r="I7678" i="3"/>
  <c r="I7679" i="3"/>
  <c r="I7680" i="3"/>
  <c r="I7681" i="3"/>
  <c r="I7682" i="3"/>
  <c r="I7683" i="3"/>
  <c r="I7684" i="3"/>
  <c r="I7685" i="3"/>
  <c r="I7686" i="3"/>
  <c r="I7687" i="3"/>
  <c r="I7688" i="3"/>
  <c r="I7689" i="3"/>
  <c r="I7690" i="3"/>
  <c r="I7691" i="3"/>
  <c r="I7692" i="3"/>
  <c r="I7693" i="3"/>
  <c r="I7694" i="3"/>
  <c r="I7695" i="3"/>
  <c r="I7696" i="3"/>
  <c r="I7697" i="3"/>
  <c r="I7698" i="3"/>
  <c r="I7699" i="3"/>
  <c r="I7700" i="3"/>
  <c r="I7701" i="3"/>
  <c r="I7702" i="3"/>
  <c r="I7703" i="3"/>
  <c r="I7704" i="3"/>
  <c r="I7705" i="3"/>
  <c r="I7706" i="3"/>
  <c r="I7707" i="3"/>
  <c r="I7708" i="3"/>
  <c r="I7709" i="3"/>
  <c r="I7710" i="3"/>
  <c r="I7711" i="3"/>
  <c r="I7712" i="3"/>
  <c r="I7713" i="3"/>
  <c r="I7714" i="3"/>
  <c r="I7715" i="3"/>
  <c r="I7716" i="3"/>
  <c r="I7717" i="3"/>
  <c r="I7718" i="3"/>
  <c r="I7719" i="3"/>
  <c r="I7720" i="3"/>
  <c r="I7721" i="3"/>
  <c r="I7722" i="3"/>
  <c r="I7723" i="3"/>
  <c r="I7724" i="3"/>
  <c r="I7725" i="3"/>
  <c r="I7726" i="3"/>
  <c r="I7727" i="3"/>
  <c r="I7728" i="3"/>
  <c r="I7729" i="3"/>
  <c r="I7730" i="3"/>
  <c r="I7731" i="3"/>
  <c r="I7732" i="3"/>
  <c r="I7733" i="3"/>
  <c r="I7734" i="3"/>
  <c r="I7735" i="3"/>
  <c r="I7736" i="3"/>
  <c r="I7737" i="3"/>
  <c r="I7738" i="3"/>
  <c r="I7739" i="3"/>
  <c r="I7740" i="3"/>
  <c r="I7741" i="3"/>
  <c r="I7742" i="3"/>
  <c r="I7743" i="3"/>
  <c r="I7744" i="3"/>
  <c r="I7745" i="3"/>
  <c r="I7746" i="3"/>
  <c r="I7747" i="3"/>
  <c r="I7748" i="3"/>
  <c r="I7749" i="3"/>
  <c r="I7750" i="3"/>
  <c r="I7751" i="3"/>
  <c r="I7752" i="3"/>
  <c r="I7753" i="3"/>
  <c r="I7754" i="3"/>
  <c r="I7755" i="3"/>
  <c r="I7756" i="3"/>
  <c r="I7757" i="3"/>
  <c r="I7758" i="3"/>
  <c r="I7759" i="3"/>
  <c r="I7760" i="3"/>
  <c r="I7761" i="3"/>
  <c r="I7762" i="3"/>
  <c r="I7763" i="3"/>
  <c r="I7764" i="3"/>
  <c r="I7765" i="3"/>
  <c r="I7766" i="3"/>
  <c r="I7767" i="3"/>
  <c r="I7768" i="3"/>
  <c r="I7769" i="3"/>
  <c r="I7770" i="3"/>
  <c r="I7771" i="3"/>
  <c r="I7772" i="3"/>
  <c r="I7773" i="3"/>
  <c r="I7774" i="3"/>
  <c r="I7775" i="3"/>
  <c r="I7776" i="3"/>
  <c r="I7777" i="3"/>
  <c r="I7778" i="3"/>
  <c r="I7779" i="3"/>
  <c r="I7780" i="3"/>
  <c r="I7781" i="3"/>
  <c r="I7782" i="3"/>
  <c r="I7783" i="3"/>
  <c r="I7784" i="3"/>
  <c r="I7785" i="3"/>
  <c r="I7786" i="3"/>
  <c r="I7787" i="3"/>
  <c r="I7788" i="3"/>
  <c r="I7789" i="3"/>
  <c r="I7790" i="3"/>
  <c r="I7791" i="3"/>
  <c r="I7792" i="3"/>
  <c r="I7793" i="3"/>
  <c r="I7794" i="3"/>
  <c r="I7795" i="3"/>
  <c r="I7796" i="3"/>
  <c r="I7797" i="3"/>
  <c r="I7798" i="3"/>
  <c r="I7799" i="3"/>
  <c r="I7800" i="3"/>
  <c r="I7801" i="3"/>
  <c r="I7802" i="3"/>
  <c r="I7803" i="3"/>
  <c r="I7804" i="3"/>
  <c r="I7805" i="3"/>
  <c r="I7806" i="3"/>
  <c r="I7807" i="3"/>
  <c r="I7808" i="3"/>
  <c r="I7809" i="3"/>
  <c r="I7810" i="3"/>
  <c r="I7811" i="3"/>
  <c r="I7812" i="3"/>
  <c r="I7813" i="3"/>
  <c r="I7814" i="3"/>
  <c r="I7815" i="3"/>
  <c r="I7816" i="3"/>
  <c r="I7817" i="3"/>
  <c r="I7818" i="3"/>
  <c r="I7819" i="3"/>
  <c r="I7820" i="3"/>
  <c r="I7821" i="3"/>
  <c r="I7822" i="3"/>
  <c r="I7823" i="3"/>
  <c r="I7824" i="3"/>
  <c r="I7825" i="3"/>
  <c r="I7826" i="3"/>
  <c r="I7827" i="3"/>
  <c r="I7828" i="3"/>
  <c r="I7829" i="3"/>
  <c r="I7830" i="3"/>
  <c r="I7831" i="3"/>
  <c r="I7832" i="3"/>
  <c r="I7833" i="3"/>
  <c r="I7834" i="3"/>
  <c r="I7835" i="3"/>
  <c r="I7836" i="3"/>
  <c r="I7837" i="3"/>
  <c r="I7838" i="3"/>
  <c r="I7839" i="3"/>
  <c r="I7840" i="3"/>
  <c r="I7841" i="3"/>
  <c r="I7842" i="3"/>
  <c r="I7843" i="3"/>
  <c r="I7844" i="3"/>
  <c r="I7845" i="3"/>
  <c r="I7846" i="3"/>
  <c r="I7847" i="3"/>
  <c r="I7848" i="3"/>
  <c r="I7849" i="3"/>
  <c r="I7850" i="3"/>
  <c r="I7851" i="3"/>
  <c r="I7852" i="3"/>
  <c r="I7853" i="3"/>
  <c r="I7854" i="3"/>
  <c r="I7855" i="3"/>
  <c r="I7856" i="3"/>
  <c r="I7857" i="3"/>
  <c r="I7858" i="3"/>
  <c r="I7859" i="3"/>
  <c r="I7860" i="3"/>
  <c r="I7861" i="3"/>
  <c r="I7862" i="3"/>
  <c r="I7863" i="3"/>
  <c r="I7864" i="3"/>
  <c r="I7865" i="3"/>
  <c r="I7866" i="3"/>
  <c r="I7867" i="3"/>
  <c r="I7868" i="3"/>
  <c r="I7869" i="3"/>
  <c r="I7870" i="3"/>
  <c r="I7871" i="3"/>
  <c r="I7872" i="3"/>
  <c r="I7873" i="3"/>
  <c r="I7874" i="3"/>
  <c r="I7875" i="3"/>
  <c r="I7876" i="3"/>
  <c r="I7877" i="3"/>
  <c r="I7878" i="3"/>
  <c r="I7879" i="3"/>
  <c r="I7880" i="3"/>
  <c r="I7881" i="3"/>
  <c r="I7882" i="3"/>
  <c r="I7883" i="3"/>
  <c r="I7884" i="3"/>
  <c r="I7885" i="3"/>
  <c r="I7886" i="3"/>
  <c r="I7887" i="3"/>
  <c r="I7888" i="3"/>
  <c r="I7889" i="3"/>
  <c r="I7890" i="3"/>
  <c r="I7891" i="3"/>
  <c r="I7892" i="3"/>
  <c r="I7893" i="3"/>
  <c r="I7894" i="3"/>
  <c r="I7895" i="3"/>
  <c r="I7896" i="3"/>
  <c r="I7897" i="3"/>
  <c r="I7898" i="3"/>
  <c r="I7899" i="3"/>
  <c r="I7900" i="3"/>
  <c r="I7901" i="3"/>
  <c r="I7902" i="3"/>
  <c r="I7903" i="3"/>
  <c r="I7904" i="3"/>
  <c r="I7905" i="3"/>
  <c r="I7906" i="3"/>
  <c r="I7907" i="3"/>
  <c r="I7908" i="3"/>
  <c r="I7909" i="3"/>
  <c r="I7910" i="3"/>
  <c r="I7911" i="3"/>
  <c r="I7912" i="3"/>
  <c r="I7913" i="3"/>
  <c r="I7914" i="3"/>
  <c r="I7915" i="3"/>
  <c r="I7916" i="3"/>
  <c r="I7917" i="3"/>
  <c r="I7918" i="3"/>
  <c r="I7919" i="3"/>
  <c r="I7920" i="3"/>
  <c r="I7921" i="3"/>
  <c r="I7922" i="3"/>
  <c r="I7923" i="3"/>
  <c r="I7924" i="3"/>
  <c r="I7925" i="3"/>
  <c r="I7926" i="3"/>
  <c r="I7927" i="3"/>
  <c r="I7928" i="3"/>
  <c r="I7929" i="3"/>
  <c r="I7930" i="3"/>
  <c r="I7931" i="3"/>
  <c r="I7932" i="3"/>
  <c r="I7933" i="3"/>
  <c r="I7934" i="3"/>
  <c r="I7935" i="3"/>
  <c r="I7936" i="3"/>
  <c r="I7937" i="3"/>
  <c r="I7938" i="3"/>
  <c r="I7939" i="3"/>
  <c r="I7940" i="3"/>
  <c r="I7941" i="3"/>
  <c r="I7942" i="3"/>
  <c r="I7943" i="3"/>
  <c r="I7944" i="3"/>
  <c r="I7945" i="3"/>
  <c r="I7946" i="3"/>
  <c r="I7947" i="3"/>
  <c r="I7948" i="3"/>
  <c r="I7949" i="3"/>
  <c r="I7950" i="3"/>
  <c r="I7951" i="3"/>
  <c r="I7952" i="3"/>
  <c r="I7953" i="3"/>
  <c r="I7954" i="3"/>
  <c r="I7955" i="3"/>
  <c r="I7956" i="3"/>
  <c r="I7957" i="3"/>
  <c r="I7958" i="3"/>
  <c r="I7959" i="3"/>
  <c r="I7960" i="3"/>
  <c r="I7961" i="3"/>
  <c r="I7962" i="3"/>
  <c r="I7963" i="3"/>
  <c r="I7964" i="3"/>
  <c r="I7965" i="3"/>
  <c r="I7966" i="3"/>
  <c r="I7967" i="3"/>
  <c r="I7968" i="3"/>
  <c r="I7969" i="3"/>
  <c r="I7970" i="3"/>
  <c r="I7971" i="3"/>
  <c r="I7972" i="3"/>
  <c r="I7973" i="3"/>
  <c r="I7974" i="3"/>
  <c r="I7975" i="3"/>
  <c r="I7976" i="3"/>
  <c r="I7977" i="3"/>
  <c r="I7978" i="3"/>
  <c r="I7979" i="3"/>
  <c r="I7980" i="3"/>
  <c r="I7981" i="3"/>
  <c r="I7982" i="3"/>
  <c r="I7983" i="3"/>
  <c r="I7984" i="3"/>
  <c r="I7985" i="3"/>
  <c r="I7986" i="3"/>
  <c r="I7987" i="3"/>
  <c r="I7988" i="3"/>
  <c r="I7989" i="3"/>
  <c r="I7990" i="3"/>
  <c r="I7991" i="3"/>
  <c r="I7992" i="3"/>
  <c r="I7993" i="3"/>
  <c r="I7994" i="3"/>
  <c r="I7995" i="3"/>
  <c r="I7996" i="3"/>
  <c r="I7997" i="3"/>
  <c r="I7998" i="3"/>
  <c r="I7999" i="3"/>
  <c r="I8000" i="3"/>
  <c r="I8001" i="3"/>
  <c r="I8002" i="3"/>
  <c r="I8003" i="3"/>
  <c r="I8004" i="3"/>
  <c r="I8005" i="3"/>
  <c r="I8006" i="3"/>
  <c r="I8007" i="3"/>
  <c r="I8008" i="3"/>
  <c r="I8009" i="3"/>
  <c r="I8010" i="3"/>
  <c r="I8011" i="3"/>
  <c r="I8012" i="3"/>
  <c r="I8013" i="3"/>
  <c r="I8014" i="3"/>
  <c r="I8015" i="3"/>
  <c r="I8016" i="3"/>
  <c r="I8017" i="3"/>
  <c r="I8018" i="3"/>
  <c r="I8019" i="3"/>
  <c r="I8020" i="3"/>
  <c r="I8021" i="3"/>
  <c r="I8022" i="3"/>
  <c r="I8023" i="3"/>
  <c r="I8024" i="3"/>
  <c r="I8025" i="3"/>
  <c r="I8026" i="3"/>
  <c r="I8027" i="3"/>
  <c r="I8028" i="3"/>
  <c r="I8029" i="3"/>
  <c r="I8030" i="3"/>
  <c r="I8031" i="3"/>
  <c r="I8032" i="3"/>
  <c r="I8033" i="3"/>
  <c r="I8034" i="3"/>
  <c r="I8035" i="3"/>
  <c r="I8036" i="3"/>
  <c r="I8037" i="3"/>
  <c r="I8038" i="3"/>
  <c r="I8039" i="3"/>
  <c r="I8040" i="3"/>
  <c r="I8041" i="3"/>
  <c r="I8042" i="3"/>
  <c r="I8043" i="3"/>
  <c r="I8044" i="3"/>
  <c r="I8045" i="3"/>
  <c r="I8046" i="3"/>
  <c r="I8047" i="3"/>
  <c r="I8048" i="3"/>
  <c r="I8049" i="3"/>
  <c r="I8050" i="3"/>
  <c r="I8051" i="3"/>
  <c r="I8052" i="3"/>
  <c r="I8053" i="3"/>
  <c r="I8054" i="3"/>
  <c r="I8055" i="3"/>
  <c r="I8056" i="3"/>
  <c r="I8057" i="3"/>
  <c r="I8058" i="3"/>
  <c r="I8059" i="3"/>
  <c r="I8060" i="3"/>
  <c r="I8061" i="3"/>
  <c r="I8062" i="3"/>
  <c r="I8063" i="3"/>
  <c r="I8064" i="3"/>
  <c r="I8065" i="3"/>
  <c r="I8066" i="3"/>
  <c r="I8067" i="3"/>
  <c r="I8068" i="3"/>
  <c r="I8069" i="3"/>
  <c r="I8070" i="3"/>
  <c r="I8071" i="3"/>
  <c r="I8072" i="3"/>
  <c r="I8073" i="3"/>
  <c r="I8074" i="3"/>
  <c r="I8075" i="3"/>
  <c r="I8076" i="3"/>
  <c r="I8077" i="3"/>
  <c r="I8078" i="3"/>
  <c r="I8079" i="3"/>
  <c r="I8080" i="3"/>
  <c r="I8081" i="3"/>
  <c r="I8082" i="3"/>
  <c r="I8083" i="3"/>
  <c r="I8084" i="3"/>
  <c r="I8085" i="3"/>
  <c r="I8086" i="3"/>
  <c r="I8087" i="3"/>
  <c r="I8088" i="3"/>
  <c r="I8089" i="3"/>
  <c r="I8090" i="3"/>
  <c r="I8091" i="3"/>
  <c r="I8092" i="3"/>
  <c r="I8093" i="3"/>
  <c r="I8094" i="3"/>
  <c r="I8095" i="3"/>
  <c r="I8096" i="3"/>
  <c r="I8097" i="3"/>
  <c r="I8098" i="3"/>
  <c r="I8099" i="3"/>
  <c r="I8100" i="3"/>
  <c r="I8101" i="3"/>
  <c r="I8102" i="3"/>
  <c r="I8103" i="3"/>
  <c r="I8104" i="3"/>
  <c r="I8105" i="3"/>
  <c r="I8106" i="3"/>
  <c r="I8107" i="3"/>
  <c r="I8108" i="3"/>
  <c r="I8109" i="3"/>
  <c r="I8110" i="3"/>
  <c r="I8111" i="3"/>
  <c r="I8112" i="3"/>
  <c r="I8113" i="3"/>
  <c r="I8114" i="3"/>
  <c r="I8115" i="3"/>
  <c r="I8116" i="3"/>
  <c r="I8117" i="3"/>
  <c r="I8118" i="3"/>
  <c r="I8119" i="3"/>
  <c r="I8120" i="3"/>
  <c r="I8121" i="3"/>
  <c r="I8122" i="3"/>
  <c r="I8123" i="3"/>
  <c r="I8124" i="3"/>
  <c r="I8125" i="3"/>
  <c r="I8126" i="3"/>
  <c r="I8127" i="3"/>
  <c r="I8128" i="3"/>
  <c r="I8129" i="3"/>
  <c r="I8130" i="3"/>
  <c r="I8131" i="3"/>
  <c r="I8132" i="3"/>
  <c r="I8133" i="3"/>
  <c r="I8134" i="3"/>
  <c r="I8135" i="3"/>
  <c r="I8136" i="3"/>
  <c r="I8137" i="3"/>
  <c r="I8138" i="3"/>
  <c r="I8139" i="3"/>
  <c r="I8140" i="3"/>
  <c r="I8141" i="3"/>
  <c r="I8142" i="3"/>
  <c r="I8143" i="3"/>
  <c r="I8144" i="3"/>
  <c r="I8145" i="3"/>
  <c r="I8146" i="3"/>
  <c r="I8147" i="3"/>
  <c r="I8148" i="3"/>
  <c r="I8149" i="3"/>
  <c r="I8150" i="3"/>
  <c r="I8151" i="3"/>
  <c r="I8152" i="3"/>
  <c r="I8153" i="3"/>
  <c r="I8154" i="3"/>
  <c r="I8155" i="3"/>
  <c r="I8156" i="3"/>
  <c r="I8157" i="3"/>
  <c r="I8158" i="3"/>
  <c r="I8159" i="3"/>
  <c r="I8160" i="3"/>
  <c r="I8161" i="3"/>
  <c r="I8162" i="3"/>
  <c r="I8163" i="3"/>
  <c r="I8164" i="3"/>
  <c r="I8165" i="3"/>
  <c r="I8166" i="3"/>
  <c r="I8167" i="3"/>
  <c r="I8168" i="3"/>
  <c r="I8169" i="3"/>
  <c r="I8170" i="3"/>
  <c r="I8171" i="3"/>
  <c r="I8172" i="3"/>
  <c r="I8173" i="3"/>
  <c r="I8174" i="3"/>
  <c r="I8175" i="3"/>
  <c r="I8176" i="3"/>
  <c r="I8177" i="3"/>
  <c r="I8178" i="3"/>
  <c r="I8179" i="3"/>
  <c r="I8180" i="3"/>
  <c r="I8181" i="3"/>
  <c r="I8182" i="3"/>
  <c r="I8183" i="3"/>
  <c r="I8184" i="3"/>
  <c r="I8185" i="3"/>
  <c r="I8186" i="3"/>
  <c r="I8187" i="3"/>
  <c r="I8188" i="3"/>
  <c r="I8189" i="3"/>
  <c r="I8190" i="3"/>
  <c r="I8191" i="3"/>
  <c r="I8192" i="3"/>
  <c r="I8193" i="3"/>
  <c r="I8194" i="3"/>
  <c r="I8195" i="3"/>
  <c r="I8196" i="3"/>
  <c r="I8197" i="3"/>
  <c r="I8198" i="3"/>
  <c r="I8199" i="3"/>
  <c r="I8200" i="3"/>
  <c r="I8201" i="3"/>
  <c r="I8202" i="3"/>
  <c r="I8203" i="3"/>
  <c r="I8204" i="3"/>
  <c r="I8205" i="3"/>
  <c r="I8206" i="3"/>
  <c r="I8207" i="3"/>
  <c r="I8208" i="3"/>
  <c r="I8209" i="3"/>
  <c r="I8210" i="3"/>
  <c r="I8211" i="3"/>
  <c r="I8212" i="3"/>
  <c r="I8213" i="3"/>
  <c r="I8214" i="3"/>
  <c r="I8215" i="3"/>
  <c r="I8216" i="3"/>
  <c r="I8217" i="3"/>
  <c r="I8218" i="3"/>
  <c r="I8219" i="3"/>
  <c r="I8220" i="3"/>
  <c r="I8221" i="3"/>
  <c r="I8222" i="3"/>
  <c r="I8223" i="3"/>
  <c r="I8224" i="3"/>
  <c r="I8225" i="3"/>
  <c r="I8226" i="3"/>
  <c r="I8227" i="3"/>
  <c r="I8228" i="3"/>
  <c r="I8229" i="3"/>
  <c r="I8230" i="3"/>
  <c r="I8231" i="3"/>
  <c r="I8232" i="3"/>
  <c r="I8233" i="3"/>
  <c r="I8234" i="3"/>
  <c r="I8235" i="3"/>
  <c r="I8236" i="3"/>
  <c r="I8237" i="3"/>
  <c r="I8238" i="3"/>
  <c r="I8239" i="3"/>
  <c r="I8240" i="3"/>
  <c r="I8241" i="3"/>
  <c r="I8242" i="3"/>
  <c r="I8243" i="3"/>
  <c r="I8244" i="3"/>
  <c r="I8245" i="3"/>
  <c r="I8246" i="3"/>
  <c r="I8247" i="3"/>
  <c r="I8248" i="3"/>
  <c r="I8249" i="3"/>
  <c r="I8250" i="3"/>
  <c r="I8251" i="3"/>
  <c r="I8252" i="3"/>
  <c r="I8253" i="3"/>
  <c r="I8254" i="3"/>
  <c r="I8255" i="3"/>
  <c r="I8256" i="3"/>
  <c r="I8257" i="3"/>
  <c r="I8258" i="3"/>
  <c r="I8259" i="3"/>
  <c r="I8260" i="3"/>
  <c r="I8261" i="3"/>
  <c r="I8262" i="3"/>
  <c r="I8263" i="3"/>
  <c r="I8264" i="3"/>
  <c r="I8265" i="3"/>
  <c r="I8266" i="3"/>
  <c r="I8267" i="3"/>
  <c r="I8268" i="3"/>
  <c r="I8269" i="3"/>
  <c r="I8270" i="3"/>
  <c r="I8271" i="3"/>
  <c r="I8272" i="3"/>
  <c r="I8273" i="3"/>
  <c r="I8274" i="3"/>
  <c r="I8275" i="3"/>
  <c r="I8276" i="3"/>
  <c r="I8277" i="3"/>
  <c r="I8278" i="3"/>
  <c r="I8279" i="3"/>
  <c r="I8280" i="3"/>
  <c r="I8281" i="3"/>
  <c r="I8282" i="3"/>
  <c r="I8283" i="3"/>
  <c r="I8284" i="3"/>
  <c r="I8285" i="3"/>
  <c r="I8286" i="3"/>
  <c r="I8287" i="3"/>
  <c r="I8288" i="3"/>
  <c r="I8289" i="3"/>
  <c r="I8290" i="3"/>
  <c r="I8291" i="3"/>
  <c r="I8292" i="3"/>
  <c r="I8293" i="3"/>
  <c r="I8294" i="3"/>
  <c r="I8295" i="3"/>
  <c r="I8296" i="3"/>
  <c r="I8297" i="3"/>
  <c r="I8298" i="3"/>
  <c r="I8299" i="3"/>
  <c r="I8300" i="3"/>
  <c r="I8301" i="3"/>
  <c r="I8302" i="3"/>
  <c r="I8303" i="3"/>
  <c r="I8304" i="3"/>
  <c r="I8305" i="3"/>
  <c r="I8306" i="3"/>
  <c r="I8307" i="3"/>
  <c r="I8308" i="3"/>
  <c r="I8309" i="3"/>
  <c r="I8310" i="3"/>
  <c r="I8311" i="3"/>
  <c r="I8312" i="3"/>
  <c r="I8313" i="3"/>
  <c r="I8314" i="3"/>
  <c r="I8315" i="3"/>
  <c r="I8316" i="3"/>
  <c r="I8317" i="3"/>
  <c r="I8318" i="3"/>
  <c r="I8319" i="3"/>
  <c r="I8320" i="3"/>
  <c r="I8321" i="3"/>
  <c r="I8322" i="3"/>
  <c r="I8323" i="3"/>
  <c r="I8324" i="3"/>
  <c r="I8325" i="3"/>
  <c r="I8326" i="3"/>
  <c r="I8327" i="3"/>
  <c r="I8328" i="3"/>
  <c r="I8329" i="3"/>
  <c r="I8330" i="3"/>
  <c r="I8331" i="3"/>
  <c r="I8332" i="3"/>
  <c r="I8333" i="3"/>
  <c r="I8334" i="3"/>
  <c r="I8335" i="3"/>
  <c r="I8336" i="3"/>
  <c r="I8337" i="3"/>
  <c r="I8338" i="3"/>
  <c r="I8339" i="3"/>
  <c r="I8340" i="3"/>
  <c r="I8341" i="3"/>
  <c r="I8342" i="3"/>
  <c r="I8343" i="3"/>
  <c r="I8344" i="3"/>
  <c r="I8345" i="3"/>
  <c r="I8346" i="3"/>
  <c r="I8347" i="3"/>
  <c r="I8348" i="3"/>
  <c r="I8349" i="3"/>
  <c r="I8350" i="3"/>
  <c r="I8351" i="3"/>
  <c r="I8352" i="3"/>
  <c r="I8353" i="3"/>
  <c r="I8354" i="3"/>
  <c r="I8355" i="3"/>
  <c r="I8356" i="3"/>
  <c r="I8357" i="3"/>
  <c r="I8358" i="3"/>
  <c r="I8359" i="3"/>
  <c r="I8360" i="3"/>
  <c r="I8361" i="3"/>
  <c r="I8362" i="3"/>
  <c r="I8363" i="3"/>
  <c r="I8364" i="3"/>
  <c r="I8365" i="3"/>
  <c r="I8366" i="3"/>
  <c r="I8367" i="3"/>
  <c r="I8368" i="3"/>
  <c r="I8369" i="3"/>
  <c r="I8370" i="3"/>
  <c r="I8371" i="3"/>
  <c r="I8372" i="3"/>
  <c r="I8373" i="3"/>
  <c r="I8374" i="3"/>
  <c r="I8375" i="3"/>
  <c r="I8376" i="3"/>
  <c r="I8377" i="3"/>
  <c r="I8378" i="3"/>
  <c r="I8379" i="3"/>
  <c r="I8380" i="3"/>
  <c r="I8381" i="3"/>
  <c r="I8382" i="3"/>
  <c r="I8383" i="3"/>
  <c r="I8384" i="3"/>
  <c r="I8385" i="3"/>
  <c r="I8386" i="3"/>
  <c r="I8387" i="3"/>
  <c r="I8388" i="3"/>
  <c r="I8389" i="3"/>
  <c r="I8390" i="3"/>
  <c r="I8391" i="3"/>
  <c r="I8392" i="3"/>
  <c r="I8393" i="3"/>
  <c r="I8394" i="3"/>
  <c r="I8395" i="3"/>
  <c r="I8396" i="3"/>
  <c r="I8397" i="3"/>
  <c r="I8398" i="3"/>
  <c r="I8399" i="3"/>
  <c r="I8400" i="3"/>
  <c r="I8401" i="3"/>
  <c r="I8402" i="3"/>
  <c r="I8403" i="3"/>
  <c r="I8404" i="3"/>
  <c r="I8405" i="3"/>
  <c r="I8406" i="3"/>
  <c r="I8407" i="3"/>
  <c r="I8408" i="3"/>
  <c r="I8409" i="3"/>
  <c r="I8410" i="3"/>
  <c r="I8411" i="3"/>
  <c r="I8412" i="3"/>
  <c r="I8413" i="3"/>
  <c r="I8414" i="3"/>
  <c r="I8415" i="3"/>
  <c r="I8416" i="3"/>
  <c r="I8417" i="3"/>
  <c r="I8418" i="3"/>
  <c r="I8419" i="3"/>
  <c r="I8420" i="3"/>
  <c r="I8421" i="3"/>
  <c r="I8422" i="3"/>
  <c r="I8423" i="3"/>
  <c r="I8424" i="3"/>
  <c r="I8425" i="3"/>
  <c r="I8426" i="3"/>
  <c r="I8427" i="3"/>
  <c r="I8428" i="3"/>
  <c r="I8429" i="3"/>
  <c r="I8430" i="3"/>
  <c r="I8431" i="3"/>
  <c r="I8432" i="3"/>
  <c r="I8433" i="3"/>
  <c r="I8434" i="3"/>
  <c r="I8435" i="3"/>
  <c r="I8436" i="3"/>
  <c r="I8437" i="3"/>
  <c r="I8438" i="3"/>
  <c r="I8439" i="3"/>
  <c r="I8440" i="3"/>
  <c r="I8441" i="3"/>
  <c r="I8442" i="3"/>
  <c r="I8443" i="3"/>
  <c r="I8444" i="3"/>
  <c r="I8445" i="3"/>
  <c r="I8446" i="3"/>
  <c r="I8447" i="3"/>
  <c r="I8448" i="3"/>
  <c r="I8449" i="3"/>
  <c r="I8450" i="3"/>
  <c r="I8451" i="3"/>
  <c r="I8452" i="3"/>
  <c r="I8453" i="3"/>
  <c r="I8454" i="3"/>
  <c r="I8455" i="3"/>
  <c r="I8456" i="3"/>
  <c r="I8457" i="3"/>
  <c r="I8458" i="3"/>
  <c r="I8459" i="3"/>
  <c r="I8460" i="3"/>
  <c r="I8461" i="3"/>
  <c r="I8462" i="3"/>
  <c r="I8463" i="3"/>
  <c r="I8464" i="3"/>
  <c r="I8465" i="3"/>
  <c r="I8466" i="3"/>
  <c r="I8467" i="3"/>
  <c r="I8468" i="3"/>
  <c r="I8469" i="3"/>
  <c r="I8470" i="3"/>
  <c r="I8471" i="3"/>
  <c r="I8472" i="3"/>
  <c r="I8473" i="3"/>
  <c r="I8474" i="3"/>
  <c r="I8475" i="3"/>
  <c r="I8476" i="3"/>
  <c r="I8477" i="3"/>
  <c r="I8478" i="3"/>
  <c r="I8479" i="3"/>
  <c r="I8480" i="3"/>
  <c r="I8481" i="3"/>
  <c r="I8482" i="3"/>
  <c r="I8483" i="3"/>
  <c r="I8484" i="3"/>
  <c r="I8485" i="3"/>
  <c r="I8486" i="3"/>
  <c r="I8487" i="3"/>
  <c r="I8488" i="3"/>
  <c r="I8489" i="3"/>
  <c r="I8490" i="3"/>
  <c r="I8491" i="3"/>
  <c r="I8492" i="3"/>
  <c r="I8493" i="3"/>
  <c r="I8494" i="3"/>
  <c r="I8495" i="3"/>
  <c r="I8496" i="3"/>
  <c r="I8497" i="3"/>
  <c r="I8498" i="3"/>
  <c r="I8499" i="3"/>
  <c r="I8500" i="3"/>
  <c r="I8501" i="3"/>
  <c r="I8502" i="3"/>
  <c r="I8503" i="3"/>
  <c r="I8504" i="3"/>
  <c r="I8505" i="3"/>
  <c r="I8506" i="3"/>
  <c r="I8507" i="3"/>
  <c r="I8508" i="3"/>
  <c r="I8509" i="3"/>
  <c r="I8510" i="3"/>
  <c r="I8511" i="3"/>
  <c r="I8512" i="3"/>
  <c r="I8513" i="3"/>
  <c r="I8514" i="3"/>
  <c r="I8515" i="3"/>
  <c r="I8516" i="3"/>
  <c r="I8517" i="3"/>
  <c r="I8518" i="3"/>
  <c r="I8519" i="3"/>
  <c r="I8520" i="3"/>
  <c r="I8521" i="3"/>
  <c r="I8522" i="3"/>
  <c r="I8523" i="3"/>
  <c r="I8524" i="3"/>
  <c r="I8525" i="3"/>
  <c r="I8526" i="3"/>
  <c r="I8527" i="3"/>
  <c r="I8528" i="3"/>
  <c r="I8529" i="3"/>
  <c r="I8530" i="3"/>
  <c r="I8531" i="3"/>
  <c r="I8532" i="3"/>
  <c r="I8533" i="3"/>
  <c r="I8534" i="3"/>
  <c r="I8535" i="3"/>
  <c r="I8536" i="3"/>
  <c r="I8537" i="3"/>
  <c r="I8538" i="3"/>
  <c r="I8539" i="3"/>
  <c r="I8540" i="3"/>
  <c r="I8541" i="3"/>
  <c r="I8542" i="3"/>
  <c r="I8543" i="3"/>
  <c r="I8544" i="3"/>
  <c r="I8545" i="3"/>
  <c r="I8546" i="3"/>
  <c r="I8547" i="3"/>
  <c r="I8548" i="3"/>
  <c r="I8549" i="3"/>
  <c r="I8550" i="3"/>
  <c r="I8551" i="3"/>
  <c r="I8552" i="3"/>
  <c r="I8553" i="3"/>
  <c r="I8554" i="3"/>
  <c r="I8555" i="3"/>
  <c r="I8556" i="3"/>
  <c r="I8557" i="3"/>
  <c r="I8558" i="3"/>
  <c r="I8559" i="3"/>
  <c r="I8560" i="3"/>
  <c r="I8561" i="3"/>
  <c r="I8562" i="3"/>
  <c r="I8563" i="3"/>
  <c r="I8564" i="3"/>
  <c r="I8565" i="3"/>
  <c r="I8566" i="3"/>
  <c r="I8567" i="3"/>
  <c r="I8568" i="3"/>
  <c r="I8569" i="3"/>
  <c r="I8570" i="3"/>
  <c r="I8571" i="3"/>
  <c r="I8572" i="3"/>
  <c r="I8573" i="3"/>
  <c r="I8574" i="3"/>
  <c r="I8575" i="3"/>
  <c r="I8576" i="3"/>
  <c r="I8577" i="3"/>
  <c r="I8578" i="3"/>
  <c r="I8579" i="3"/>
  <c r="I8580" i="3"/>
  <c r="I8581" i="3"/>
  <c r="I8582" i="3"/>
  <c r="I8583" i="3"/>
  <c r="I8584" i="3"/>
  <c r="I8585" i="3"/>
  <c r="I8586" i="3"/>
  <c r="I8587" i="3"/>
  <c r="I8588" i="3"/>
  <c r="I8589" i="3"/>
  <c r="I8590" i="3"/>
  <c r="I8591" i="3"/>
  <c r="I8592" i="3"/>
  <c r="I8593" i="3"/>
  <c r="I8594" i="3"/>
  <c r="I8595" i="3"/>
  <c r="I8596" i="3"/>
  <c r="I8597" i="3"/>
  <c r="I8598" i="3"/>
  <c r="I8599" i="3"/>
  <c r="I8600" i="3"/>
  <c r="I8601" i="3"/>
  <c r="I8602" i="3"/>
  <c r="I8603" i="3"/>
  <c r="I8604" i="3"/>
  <c r="I8605" i="3"/>
  <c r="I8606" i="3"/>
  <c r="I8607" i="3"/>
  <c r="I8608" i="3"/>
  <c r="I8609" i="3"/>
  <c r="I8610" i="3"/>
  <c r="I8611" i="3"/>
  <c r="I8612" i="3"/>
  <c r="I8613" i="3"/>
  <c r="I8614" i="3"/>
  <c r="I8615" i="3"/>
  <c r="I8616" i="3"/>
  <c r="I8617" i="3"/>
  <c r="I8618" i="3"/>
  <c r="I8619" i="3"/>
  <c r="I8620" i="3"/>
  <c r="I8621" i="3"/>
  <c r="I8622" i="3"/>
  <c r="I8623" i="3"/>
  <c r="I8624" i="3"/>
  <c r="I8625" i="3"/>
  <c r="I8626" i="3"/>
  <c r="I8627" i="3"/>
  <c r="I8628" i="3"/>
  <c r="I8629" i="3"/>
  <c r="I8630" i="3"/>
  <c r="I8631" i="3"/>
  <c r="I8632" i="3"/>
  <c r="I8633" i="3"/>
  <c r="I8634" i="3"/>
  <c r="I8635" i="3"/>
  <c r="I8636" i="3"/>
  <c r="I8637" i="3"/>
  <c r="I8638" i="3"/>
  <c r="I8639" i="3"/>
  <c r="I8640" i="3"/>
  <c r="I8641" i="3"/>
  <c r="I8642" i="3"/>
  <c r="I8643" i="3"/>
  <c r="I8644" i="3"/>
  <c r="I8645" i="3"/>
  <c r="I8646" i="3"/>
  <c r="I8647" i="3"/>
  <c r="I8648" i="3"/>
  <c r="I8649" i="3"/>
  <c r="I8650" i="3"/>
  <c r="I8651" i="3"/>
  <c r="I8652" i="3"/>
  <c r="I8653" i="3"/>
  <c r="I8654" i="3"/>
  <c r="I8655" i="3"/>
  <c r="I8656" i="3"/>
  <c r="I8657" i="3"/>
  <c r="I8658" i="3"/>
  <c r="I8659" i="3"/>
  <c r="I8660" i="3"/>
  <c r="I8661" i="3"/>
  <c r="I8662" i="3"/>
  <c r="I8663" i="3"/>
  <c r="I8664" i="3"/>
  <c r="I8665" i="3"/>
  <c r="I8666" i="3"/>
  <c r="I8667" i="3"/>
  <c r="I8668" i="3"/>
  <c r="I8669" i="3"/>
  <c r="I8670" i="3"/>
  <c r="I8671" i="3"/>
  <c r="I8672" i="3"/>
  <c r="I8673" i="3"/>
  <c r="I8674" i="3"/>
  <c r="I8675" i="3"/>
  <c r="I8676" i="3"/>
  <c r="I8677" i="3"/>
  <c r="I8678" i="3"/>
  <c r="I8679" i="3"/>
  <c r="I8680" i="3"/>
  <c r="I8681" i="3"/>
  <c r="I8682" i="3"/>
  <c r="I8683" i="3"/>
  <c r="I8684" i="3"/>
  <c r="I8685" i="3"/>
  <c r="I8686" i="3"/>
  <c r="I8687" i="3"/>
  <c r="I8688" i="3"/>
  <c r="I8689" i="3"/>
  <c r="I8690" i="3"/>
  <c r="I8691" i="3"/>
  <c r="I8692" i="3"/>
  <c r="I8693" i="3"/>
  <c r="I8694" i="3"/>
  <c r="I8695" i="3"/>
  <c r="I8696" i="3"/>
  <c r="I8697" i="3"/>
  <c r="I8698" i="3"/>
  <c r="I8699" i="3"/>
  <c r="I8700" i="3"/>
  <c r="I8701" i="3"/>
  <c r="I8702" i="3"/>
  <c r="I8703" i="3"/>
  <c r="I8704" i="3"/>
  <c r="I8705" i="3"/>
  <c r="I8706" i="3"/>
  <c r="I8707" i="3"/>
  <c r="I8708" i="3"/>
  <c r="I8709" i="3"/>
  <c r="I8710" i="3"/>
  <c r="I8711" i="3"/>
  <c r="I8712" i="3"/>
  <c r="I8713" i="3"/>
  <c r="I8714" i="3"/>
  <c r="I8715" i="3"/>
  <c r="I8716" i="3"/>
  <c r="I8717" i="3"/>
  <c r="I8718" i="3"/>
  <c r="I8719" i="3"/>
  <c r="I8720" i="3"/>
  <c r="I8721" i="3"/>
  <c r="I8722" i="3"/>
  <c r="I8723" i="3"/>
  <c r="I8724" i="3"/>
  <c r="I8725" i="3"/>
  <c r="I8726" i="3"/>
  <c r="I8727" i="3"/>
  <c r="I8728" i="3"/>
  <c r="I8729" i="3"/>
  <c r="I8730" i="3"/>
  <c r="I8731" i="3"/>
  <c r="I8732" i="3"/>
  <c r="I8733" i="3"/>
  <c r="I8734" i="3"/>
  <c r="I8735" i="3"/>
  <c r="I8736" i="3"/>
  <c r="I8737" i="3"/>
  <c r="I8738" i="3"/>
  <c r="I8739" i="3"/>
  <c r="I8740" i="3"/>
  <c r="I8741" i="3"/>
  <c r="I8742" i="3"/>
  <c r="I8743" i="3"/>
  <c r="I8744" i="3"/>
  <c r="I8745" i="3"/>
  <c r="I8746" i="3"/>
  <c r="I8747" i="3"/>
  <c r="I8748" i="3"/>
  <c r="I8749" i="3"/>
  <c r="I8750" i="3"/>
  <c r="I8751" i="3"/>
  <c r="I8752" i="3"/>
  <c r="I8753" i="3"/>
  <c r="I8754" i="3"/>
  <c r="I8755" i="3"/>
  <c r="I8756" i="3"/>
  <c r="I8757" i="3"/>
  <c r="I8758" i="3"/>
  <c r="I8759" i="3"/>
  <c r="I8760" i="3"/>
  <c r="I8761" i="3"/>
  <c r="I8762" i="3"/>
  <c r="I8763" i="3"/>
  <c r="I8764" i="3"/>
  <c r="I8765" i="3"/>
  <c r="I8766" i="3"/>
  <c r="I8767" i="3"/>
  <c r="I8768" i="3"/>
  <c r="I8769" i="3"/>
  <c r="I8770" i="3"/>
  <c r="I8771" i="3"/>
  <c r="I8772" i="3"/>
  <c r="I8773" i="3"/>
  <c r="I8774" i="3"/>
  <c r="I8775" i="3"/>
  <c r="I8776" i="3"/>
  <c r="I8777" i="3"/>
  <c r="I8778" i="3"/>
  <c r="I8779" i="3"/>
  <c r="I8780" i="3"/>
  <c r="I8781" i="3"/>
  <c r="I8782" i="3"/>
  <c r="I8783" i="3"/>
  <c r="I8784" i="3"/>
  <c r="I8785" i="3"/>
  <c r="I8786" i="3"/>
  <c r="I8787" i="3"/>
  <c r="I8788" i="3"/>
  <c r="I8789" i="3"/>
  <c r="I8790" i="3"/>
  <c r="I8791" i="3"/>
  <c r="I8792" i="3"/>
  <c r="I8793" i="3"/>
  <c r="I8794" i="3"/>
  <c r="I8795" i="3"/>
  <c r="I8796" i="3"/>
  <c r="I8797" i="3"/>
  <c r="I8798" i="3"/>
  <c r="I8799" i="3"/>
  <c r="I8800" i="3"/>
  <c r="I8801" i="3"/>
  <c r="F58" i="5" l="1"/>
  <c r="F50" i="5"/>
  <c r="F46" i="5"/>
  <c r="F38" i="5"/>
  <c r="F34" i="5"/>
  <c r="F88" i="5"/>
  <c r="E21" i="5"/>
  <c r="E24" i="5"/>
  <c r="E62" i="5"/>
  <c r="E58" i="5"/>
  <c r="F90" i="5"/>
  <c r="F13" i="5"/>
  <c r="E13" i="5" s="1"/>
  <c r="F91" i="5"/>
  <c r="F26" i="5"/>
  <c r="E88" i="5"/>
  <c r="F11" i="5"/>
  <c r="E11" i="5" s="1"/>
  <c r="F15" i="5"/>
  <c r="E15" i="5" s="1"/>
  <c r="E91" i="5"/>
  <c r="F89" i="5"/>
  <c r="E90" i="5"/>
  <c r="F12" i="5"/>
  <c r="E12" i="5" s="1"/>
  <c r="F14" i="5"/>
  <c r="E14" i="5" s="1"/>
  <c r="F16" i="5"/>
  <c r="E16" i="5" s="1"/>
  <c r="F23" i="5"/>
  <c r="C14" i="5"/>
  <c r="D78" i="5"/>
  <c r="C12" i="5"/>
  <c r="F27" i="5"/>
  <c r="E26" i="5"/>
  <c r="E22" i="5"/>
  <c r="E27" i="5"/>
  <c r="F65" i="5"/>
  <c r="F61" i="5"/>
  <c r="F57" i="5"/>
  <c r="F53" i="5"/>
  <c r="F49" i="5"/>
  <c r="F45" i="5"/>
  <c r="F41" i="5"/>
  <c r="F37" i="5"/>
  <c r="F33" i="5"/>
  <c r="E64" i="5"/>
  <c r="E56" i="5"/>
  <c r="E52" i="5"/>
  <c r="E44" i="5"/>
  <c r="E40" i="5"/>
  <c r="E36" i="5"/>
  <c r="D79" i="5"/>
  <c r="D72" i="5"/>
  <c r="C13" i="5"/>
  <c r="F25" i="5"/>
  <c r="E23" i="5"/>
  <c r="F64" i="5"/>
  <c r="F56" i="5"/>
  <c r="F52" i="5"/>
  <c r="F44" i="5"/>
  <c r="F40" i="5"/>
  <c r="F36" i="5"/>
  <c r="C72" i="5"/>
  <c r="E72" i="5" s="1"/>
  <c r="E50" i="5"/>
  <c r="E46" i="5"/>
  <c r="E38" i="5"/>
  <c r="E34" i="5"/>
  <c r="D81" i="5"/>
  <c r="F22" i="5"/>
  <c r="B71" i="5"/>
  <c r="F62" i="5"/>
  <c r="E65" i="5"/>
  <c r="E61" i="5"/>
  <c r="E57" i="5"/>
  <c r="E53" i="5"/>
  <c r="E49" i="5"/>
  <c r="E45" i="5"/>
  <c r="E41" i="5"/>
  <c r="E37" i="5"/>
  <c r="E33" i="5"/>
  <c r="D73" i="5"/>
  <c r="C11" i="5"/>
  <c r="E25" i="5"/>
  <c r="F21" i="5"/>
  <c r="F24" i="5"/>
  <c r="B73" i="5"/>
  <c r="B82" i="5"/>
  <c r="C78" i="5"/>
  <c r="C80" i="5"/>
  <c r="D82" i="5"/>
  <c r="B72" i="5"/>
  <c r="D71" i="5"/>
  <c r="B81" i="5"/>
  <c r="C83" i="5"/>
  <c r="C79" i="5"/>
  <c r="F32" i="5"/>
  <c r="F63" i="5"/>
  <c r="F59" i="5"/>
  <c r="F55" i="5"/>
  <c r="F51" i="5"/>
  <c r="F47" i="5"/>
  <c r="F43" i="5"/>
  <c r="F39" i="5"/>
  <c r="F35" i="5"/>
  <c r="C71" i="5"/>
  <c r="B78" i="5"/>
  <c r="B80" i="5"/>
  <c r="C82" i="5"/>
  <c r="D80" i="5"/>
  <c r="E80" i="5" s="1"/>
  <c r="C73" i="5"/>
  <c r="B83" i="5"/>
  <c r="B79" i="5"/>
  <c r="C81" i="5"/>
  <c r="F81" i="5" s="1"/>
  <c r="D83" i="5"/>
  <c r="E83" i="5" s="1"/>
  <c r="F72" i="5" l="1"/>
  <c r="F79" i="5"/>
  <c r="F71" i="5"/>
  <c r="E71" i="5"/>
  <c r="F82" i="5"/>
  <c r="F78" i="5"/>
  <c r="E73" i="5"/>
  <c r="F73" i="5"/>
  <c r="F83" i="5"/>
  <c r="E82" i="5"/>
  <c r="E78" i="5"/>
  <c r="F80" i="5"/>
  <c r="E81" i="5"/>
  <c r="E7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7F14F0-CAFE-422E-AC67-C7FCA049CF24}" name="accounts" type="6" refreshedVersion="7" background="1" saveData="1">
    <textPr codePage="437" sourceFile="C:\Users\Dell\OneDrive\Desktop\CRM_Sales_Project\accounts.csv" comma="1">
      <textFields count="7">
        <textField/>
        <textField/>
        <textField/>
        <textField/>
        <textField/>
        <textField/>
        <textField/>
      </textFields>
    </textPr>
  </connection>
  <connection id="2" xr16:uid="{A4731B86-902D-48CF-B9E5-030ED0ACE480}" name="products" type="6" refreshedVersion="7" background="1" saveData="1">
    <textPr codePage="437" sourceFile="C:\Users\Dell\OneDrive\Desktop\CRM_Sales_Project\products.csv" comma="1">
      <textFields count="3">
        <textField/>
        <textField/>
        <textField/>
      </textFields>
    </textPr>
  </connection>
  <connection id="3" xr16:uid="{9240FCA7-03A8-4F02-A21F-3B81B5206E03}" name="sales_pipeline" type="6" refreshedVersion="7" background="1" saveData="1">
    <textPr codePage="437" sourceFile="C:\Users\Dell\OneDrive\Desktop\CRM_Sales_Project\sales_pipeline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2788F79C-E1B0-4F07-8C51-3DEA9B73B15A}" name="sales_teams" type="6" refreshedVersion="7" background="1" saveData="1">
    <textPr codePage="437" sourceFile="C:\Users\Dell\OneDrive\Desktop\CRM_Sales_Project\sales_teams.csv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<sst xmlns="http://schemas.openxmlformats.org/spreadsheetml/2006/main" count="43102" uniqueCount="9025">
  <si>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</si>
  <si>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</si>
  <si>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</si>
  <si>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</si>
  <si>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</si>
  <si>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</si>
  <si>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</si>
  <si>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</si>
  <si>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</si>
  <si>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</si>
  <si>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</si>
  <si>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</si>
  <si>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</si>
  <si>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</si>
  <si>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</si>
  <si>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</si>
  <si>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</si>
  <si>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</si>
  <si>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</si>
  <si>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</si>
  <si>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</si>
  <si>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</si>
  <si>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</si>
  <si>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</si>
  <si>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</si>
  <si>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</si>
  <si>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</si>
  <si>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</si>
  <si>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</si>
  <si>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</si>
  <si>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</si>
  <si>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</si>
  <si>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</si>
  <si>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</si>
  <si>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</si>
  <si>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</si>
  <si>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</si>
  <si>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</si>
  <si>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</si>
  <si>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</si>
  <si>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</si>
  <si>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</si>
  <si>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</si>
  <si>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</si>
  <si>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</si>
  <si>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</si>
  <si>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</si>
  <si>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</si>
  <si>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</si>
  <si>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</si>
  <si>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</si>
  <si>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</si>
  <si>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</si>
  <si>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</si>
  <si>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</si>
  <si>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</si>
  <si>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</si>
  <si>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</si>
  <si>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</si>
  <si>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</si>
  <si>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</si>
  <si>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</si>
  <si>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</si>
  <si>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</si>
  <si>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</si>
  <si>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</si>
  <si>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</si>
  <si>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</si>
  <si>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</si>
  <si>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</si>
  <si>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</si>
  <si>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</si>
  <si>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</si>
  <si>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</si>
  <si>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</si>
  <si>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</si>
  <si>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</si>
  <si>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</si>
  <si>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</si>
  <si>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</si>
  <si>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</si>
  <si>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</si>
  <si>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</si>
  <si>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</si>
  <si>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</si>
  <si>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</si>
  <si>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</si>
  <si>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</si>
  <si>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</si>
  <si>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</si>
  <si>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</si>
  <si>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</si>
  <si>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</si>
  <si>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</si>
  <si>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</si>
  <si>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</si>
  <si>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</si>
  <si>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</si>
  <si>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</si>
  <si>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</si>
  <si>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</si>
  <si>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</si>
  <si>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</si>
  <si>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</si>
  <si>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</si>
  <si>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</si>
  <si>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</si>
  <si>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</si>
  <si>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</si>
  <si>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</si>
  <si>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</si>
  <si>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</si>
  <si>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</si>
  <si>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</si>
  <si>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</si>
  <si>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</si>
  <si>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</si>
  <si>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</si>
  <si>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</si>
  <si>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</si>
  <si>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</si>
  <si>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</si>
  <si>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</si>
  <si>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</si>
  <si>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</si>
  <si>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</si>
  <si>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</si>
  <si>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</si>
  <si>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</si>
  <si>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</si>
  <si>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opportunity_id</t>
  </si>
  <si>
    <t>sales_agent</t>
  </si>
  <si>
    <t>deal_stage</t>
  </si>
  <si>
    <t>engage_date</t>
  </si>
  <si>
    <t>close_date</t>
  </si>
  <si>
    <t>close_value</t>
  </si>
  <si>
    <t>1C1I7A6R</t>
  </si>
  <si>
    <t>Moses Frase</t>
  </si>
  <si>
    <t>Won</t>
  </si>
  <si>
    <t>Z063OYW0</t>
  </si>
  <si>
    <t>Darcel Schlecht</t>
  </si>
  <si>
    <t>EC4QE1BX</t>
  </si>
  <si>
    <t>MV1LWRNH</t>
  </si>
  <si>
    <t>PE84CX4O</t>
  </si>
  <si>
    <t>Zane Levy</t>
  </si>
  <si>
    <t>ZNBS69V1</t>
  </si>
  <si>
    <t>Anna Snelling</t>
  </si>
  <si>
    <t>9ME3374G</t>
  </si>
  <si>
    <t>Vicki Laflamme</t>
  </si>
  <si>
    <t>7GN8Q4LL</t>
  </si>
  <si>
    <t>Markita Hansen</t>
  </si>
  <si>
    <t>OLK9LKZB</t>
  </si>
  <si>
    <t>Niesha Huffines</t>
  </si>
  <si>
    <t>HAXMC4IX</t>
  </si>
  <si>
    <t>James Ascencio</t>
  </si>
  <si>
    <t>Engaging</t>
  </si>
  <si>
    <t>NL3JZH1Z</t>
  </si>
  <si>
    <t>KWVA7VR1</t>
  </si>
  <si>
    <t>Gladys Colclough</t>
  </si>
  <si>
    <t>Lost</t>
  </si>
  <si>
    <t>S8DX3XOU</t>
  </si>
  <si>
    <t>ENB2XD8G</t>
  </si>
  <si>
    <t>Maureen Marcano</t>
  </si>
  <si>
    <t>09YE9QOV</t>
  </si>
  <si>
    <t>Hayden Neloms</t>
  </si>
  <si>
    <t>3F5MZNEH</t>
  </si>
  <si>
    <t>Rosalina Dieter</t>
  </si>
  <si>
    <t>M6WEJXC0</t>
  </si>
  <si>
    <t>6PTR7VBR</t>
  </si>
  <si>
    <t>Versie Hillebrand</t>
  </si>
  <si>
    <t>902REDPA</t>
  </si>
  <si>
    <t>Daniell Hammack</t>
  </si>
  <si>
    <t>5J9CMGDV</t>
  </si>
  <si>
    <t>Elease Gluck</t>
  </si>
  <si>
    <t>JJXRR8R6</t>
  </si>
  <si>
    <t>WF4HA5NW</t>
  </si>
  <si>
    <t>C5K2JP1H</t>
  </si>
  <si>
    <t>Violet Mclelland</t>
  </si>
  <si>
    <t>ADRB8OMB</t>
  </si>
  <si>
    <t>SBCR987L</t>
  </si>
  <si>
    <t>Kami Bicknell</t>
  </si>
  <si>
    <t>UP409DSB</t>
  </si>
  <si>
    <t>JSD4APT2</t>
  </si>
  <si>
    <t>AO9Z2D17</t>
  </si>
  <si>
    <t>5M58DTJK</t>
  </si>
  <si>
    <t>KNY1OSAB</t>
  </si>
  <si>
    <t>EAZDUUM9</t>
  </si>
  <si>
    <t>Rosie Papadopoulos</t>
  </si>
  <si>
    <t>2STUSOFE</t>
  </si>
  <si>
    <t>JYKM0B00</t>
  </si>
  <si>
    <t>KU28360J</t>
  </si>
  <si>
    <t>Kary Hendrixson</t>
  </si>
  <si>
    <t>N4SD17JR</t>
  </si>
  <si>
    <t>Reed Clapper</t>
  </si>
  <si>
    <t>E67P9Y3Q</t>
  </si>
  <si>
    <t>AT3MMVIS</t>
  </si>
  <si>
    <t>Wilburn Farren</t>
  </si>
  <si>
    <t>REJ11LRY</t>
  </si>
  <si>
    <t>Garret Kinder</t>
  </si>
  <si>
    <t>ERV0CAZ7</t>
  </si>
  <si>
    <t>8SOQADK7</t>
  </si>
  <si>
    <t>TCHFT25B</t>
  </si>
  <si>
    <t>CZVN09WN</t>
  </si>
  <si>
    <t>EG7OFLFR</t>
  </si>
  <si>
    <t>30UQWUKB</t>
  </si>
  <si>
    <t>Marty Freudenburg</t>
  </si>
  <si>
    <t>OLVI7L8M</t>
  </si>
  <si>
    <t>Cassey Cress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</si>
  <si>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</si>
  <si>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</si>
  <si>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</si>
  <si>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</si>
  <si>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</si>
  <si>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</si>
  <si>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</si>
  <si>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</si>
  <si>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</si>
  <si>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Lajuana Vencill</t>
  </si>
  <si>
    <t>ONYNTUCG</t>
  </si>
  <si>
    <t>HIOHX80Y</t>
  </si>
  <si>
    <t>F5U1ACDD</t>
  </si>
  <si>
    <t>LPKT07PV</t>
  </si>
  <si>
    <t>Boris Faz</t>
  </si>
  <si>
    <t>WPB2SLIG</t>
  </si>
  <si>
    <t>Donn Cantrell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</si>
  <si>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</si>
  <si>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</si>
  <si>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</si>
  <si>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</si>
  <si>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</si>
  <si>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</si>
  <si>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</si>
  <si>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</si>
  <si>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</si>
  <si>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</si>
  <si>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</si>
  <si>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</si>
  <si>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</si>
  <si>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</si>
  <si>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Corliss Cosme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</si>
  <si>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</si>
  <si>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</si>
  <si>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</si>
  <si>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</si>
  <si>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</si>
  <si>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</si>
  <si>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</si>
  <si>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</si>
  <si>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</si>
  <si>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</si>
  <si>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</si>
  <si>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</si>
  <si>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</si>
  <si>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</si>
  <si>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</si>
  <si>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</si>
  <si>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</si>
  <si>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</si>
  <si>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</si>
  <si>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</si>
  <si>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</si>
  <si>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</si>
  <si>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</si>
  <si>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</si>
  <si>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Cecily Lampkin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</si>
  <si>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</si>
  <si>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</si>
  <si>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</si>
  <si>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</si>
  <si>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</si>
  <si>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</si>
  <si>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</si>
  <si>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</si>
  <si>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</si>
  <si>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</si>
  <si>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</si>
  <si>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</si>
  <si>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</si>
  <si>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</si>
  <si>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</si>
  <si>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</si>
  <si>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</si>
  <si>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</si>
  <si>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</si>
  <si>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</si>
  <si>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</si>
  <si>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</si>
  <si>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</si>
  <si>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</si>
  <si>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</si>
  <si>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</si>
  <si>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</si>
  <si>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</si>
  <si>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</si>
  <si>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</si>
  <si>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</si>
  <si>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</si>
  <si>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</si>
  <si>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</si>
  <si>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</si>
  <si>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</si>
  <si>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</si>
  <si>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</si>
  <si>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</si>
  <si>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</si>
  <si>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</si>
  <si>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</si>
  <si>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</si>
  <si>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</si>
  <si>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</si>
  <si>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</si>
  <si>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</si>
  <si>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</si>
  <si>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</si>
  <si>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</si>
  <si>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</si>
  <si>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</si>
  <si>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</si>
  <si>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</si>
  <si>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</si>
  <si>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</si>
  <si>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</si>
  <si>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</si>
  <si>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</si>
  <si>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</si>
  <si>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</si>
  <si>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</si>
  <si>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</si>
  <si>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</si>
  <si>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</si>
  <si>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</si>
  <si>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</si>
  <si>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</si>
  <si>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</si>
  <si>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</si>
  <si>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</si>
  <si>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</si>
  <si>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</si>
  <si>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</si>
  <si>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</si>
  <si>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</si>
  <si>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</si>
  <si>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</si>
  <si>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</si>
  <si>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</si>
  <si>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</si>
  <si>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</si>
  <si>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</si>
  <si>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</si>
  <si>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</si>
  <si>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</si>
  <si>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</si>
  <si>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</si>
  <si>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</si>
  <si>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</si>
  <si>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</si>
  <si>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</si>
  <si>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</si>
  <si>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</si>
  <si>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</si>
  <si>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</si>
  <si>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</si>
  <si>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</si>
  <si>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</si>
  <si>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</si>
  <si>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</si>
  <si>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</si>
  <si>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</si>
  <si>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</si>
  <si>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</si>
  <si>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</si>
  <si>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</si>
  <si>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</si>
  <si>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</si>
  <si>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</si>
  <si>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</si>
  <si>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</si>
  <si>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</si>
  <si>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</si>
  <si>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</si>
  <si>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</si>
  <si>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</si>
  <si>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</si>
  <si>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</si>
  <si>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</si>
  <si>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</si>
  <si>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</si>
  <si>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</si>
  <si>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</si>
  <si>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</si>
  <si>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</si>
  <si>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</si>
  <si>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</si>
  <si>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</si>
  <si>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</si>
  <si>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</si>
  <si>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</si>
  <si>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</si>
  <si>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</si>
  <si>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</si>
  <si>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</si>
  <si>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</si>
  <si>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</si>
  <si>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</si>
  <si>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</si>
  <si>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</si>
  <si>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</si>
  <si>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</si>
  <si>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</si>
  <si>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</si>
  <si>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</si>
  <si>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</si>
  <si>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</si>
  <si>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</si>
  <si>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</si>
  <si>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</si>
  <si>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</si>
  <si>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</si>
  <si>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</si>
  <si>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</si>
  <si>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</si>
  <si>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</si>
  <si>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</si>
  <si>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</si>
  <si>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</si>
  <si>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</si>
  <si>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</si>
  <si>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</si>
  <si>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</si>
  <si>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</si>
  <si>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</si>
  <si>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</si>
  <si>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</si>
  <si>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</si>
  <si>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</si>
  <si>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</si>
  <si>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</si>
  <si>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</si>
  <si>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</si>
  <si>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</si>
  <si>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</si>
  <si>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</si>
  <si>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</si>
  <si>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</si>
  <si>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</si>
  <si>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</si>
  <si>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</si>
  <si>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</si>
  <si>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</si>
  <si>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</si>
  <si>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</si>
  <si>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</si>
  <si>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</si>
  <si>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</si>
  <si>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</si>
  <si>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</si>
  <si>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</si>
  <si>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</si>
  <si>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</si>
  <si>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</si>
  <si>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</si>
  <si>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</si>
  <si>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</si>
  <si>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</si>
  <si>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</si>
  <si>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</si>
  <si>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</si>
  <si>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</si>
  <si>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</si>
  <si>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</si>
  <si>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</si>
  <si>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</si>
  <si>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</si>
  <si>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</si>
  <si>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</si>
  <si>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</si>
  <si>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</si>
  <si>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</si>
  <si>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</si>
  <si>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</si>
  <si>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</si>
  <si>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</si>
  <si>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</si>
  <si>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</si>
  <si>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</si>
  <si>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</si>
  <si>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</si>
  <si>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</si>
  <si>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</si>
  <si>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</si>
  <si>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</si>
  <si>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</si>
  <si>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</si>
  <si>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</si>
  <si>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</si>
  <si>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</si>
  <si>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</si>
  <si>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</si>
  <si>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</si>
  <si>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</si>
  <si>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</si>
  <si>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</si>
  <si>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</si>
  <si>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</si>
  <si>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</si>
  <si>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</si>
  <si>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</si>
  <si>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</si>
  <si>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</si>
  <si>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</si>
  <si>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</si>
  <si>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</si>
  <si>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</si>
  <si>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</si>
  <si>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</si>
  <si>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</si>
  <si>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</si>
  <si>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</si>
  <si>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</si>
  <si>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</si>
  <si>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</si>
  <si>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</si>
  <si>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</si>
  <si>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</si>
  <si>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</si>
  <si>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</si>
  <si>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</si>
  <si>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</si>
  <si>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</si>
  <si>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</si>
  <si>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</si>
  <si>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</si>
  <si>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</si>
  <si>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</si>
  <si>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</si>
  <si>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</si>
  <si>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</si>
  <si>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</si>
  <si>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</si>
  <si>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</si>
  <si>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</si>
  <si>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</si>
  <si>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</si>
  <si>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</si>
  <si>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</si>
  <si>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</si>
  <si>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</si>
  <si>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</si>
  <si>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</si>
  <si>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</si>
  <si>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</si>
  <si>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</si>
  <si>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</si>
  <si>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</si>
  <si>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</si>
  <si>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</si>
  <si>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</si>
  <si>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</si>
  <si>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</si>
  <si>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</si>
  <si>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</si>
  <si>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</si>
  <si>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</si>
  <si>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</si>
  <si>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</si>
  <si>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</si>
  <si>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</si>
  <si>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</si>
  <si>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</si>
  <si>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</si>
  <si>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</si>
  <si>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</si>
  <si>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</si>
  <si>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</si>
  <si>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</si>
  <si>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</si>
  <si>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</si>
  <si>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</si>
  <si>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</si>
  <si>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</si>
  <si>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</si>
  <si>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</si>
  <si>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</si>
  <si>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</si>
  <si>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</si>
  <si>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</si>
  <si>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</si>
  <si>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</si>
  <si>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</si>
  <si>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</si>
  <si>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</si>
  <si>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</si>
  <si>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</si>
  <si>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</si>
  <si>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</si>
  <si>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</si>
  <si>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</si>
  <si>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</si>
  <si>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</si>
  <si>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</si>
  <si>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</si>
  <si>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</si>
  <si>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</si>
  <si>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</si>
  <si>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</si>
  <si>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</si>
  <si>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</si>
  <si>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</si>
  <si>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</si>
  <si>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</si>
  <si>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</si>
  <si>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</si>
  <si>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</si>
  <si>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</si>
  <si>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</si>
  <si>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</si>
  <si>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</si>
  <si>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</si>
  <si>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</si>
  <si>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</si>
  <si>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</si>
  <si>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</si>
  <si>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</si>
  <si>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</si>
  <si>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</si>
  <si>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</si>
  <si>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</si>
  <si>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</si>
  <si>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</si>
  <si>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</si>
  <si>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</si>
  <si>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</si>
  <si>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</si>
  <si>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</si>
  <si>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</si>
  <si>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</si>
  <si>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</si>
  <si>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</si>
  <si>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</si>
  <si>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</si>
  <si>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</si>
  <si>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</si>
  <si>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</si>
  <si>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</si>
  <si>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</si>
  <si>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</si>
  <si>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</si>
  <si>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</si>
  <si>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</si>
  <si>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</si>
  <si>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</si>
  <si>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</si>
  <si>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</si>
  <si>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</si>
  <si>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</si>
  <si>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</si>
  <si>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</si>
  <si>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</si>
  <si>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</si>
  <si>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</si>
  <si>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</si>
  <si>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</si>
  <si>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</si>
  <si>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</si>
  <si>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</si>
  <si>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</si>
  <si>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</si>
  <si>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</si>
  <si>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</si>
  <si>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</si>
  <si>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</si>
  <si>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</si>
  <si>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</si>
  <si>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</si>
  <si>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</si>
  <si>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</si>
  <si>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</si>
  <si>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</si>
  <si>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</si>
  <si>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</si>
  <si>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</si>
  <si>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</si>
  <si>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</si>
  <si>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</si>
  <si>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</si>
  <si>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</si>
  <si>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</si>
  <si>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</si>
  <si>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</si>
  <si>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</si>
  <si>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</si>
  <si>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</si>
  <si>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</si>
  <si>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</si>
  <si>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</si>
  <si>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</si>
  <si>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</si>
  <si>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</si>
  <si>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</si>
  <si>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</si>
  <si>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</si>
  <si>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</si>
  <si>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</si>
  <si>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</si>
  <si>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</si>
  <si>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</si>
  <si>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</si>
  <si>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</si>
  <si>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</si>
  <si>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</si>
  <si>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</si>
  <si>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</si>
  <si>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</si>
  <si>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</si>
  <si>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</si>
  <si>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</si>
  <si>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</si>
  <si>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</si>
  <si>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</si>
  <si>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</si>
  <si>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</si>
  <si>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</si>
  <si>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</si>
  <si>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</si>
  <si>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</si>
  <si>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</si>
  <si>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</si>
  <si>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</si>
  <si>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</si>
  <si>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</si>
  <si>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</si>
  <si>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</si>
  <si>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</si>
  <si>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</si>
  <si>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</si>
  <si>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</si>
  <si>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</si>
  <si>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</si>
  <si>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</si>
  <si>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</si>
  <si>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</si>
  <si>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</si>
  <si>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</si>
  <si>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</si>
  <si>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</si>
  <si>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</si>
  <si>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</si>
  <si>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</si>
  <si>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</si>
  <si>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</si>
  <si>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</si>
  <si>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</si>
  <si>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</si>
  <si>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</si>
  <si>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</si>
  <si>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</si>
  <si>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</si>
  <si>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</si>
  <si>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</si>
  <si>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</si>
  <si>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</si>
  <si>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</si>
  <si>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</si>
  <si>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</si>
  <si>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</si>
  <si>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</si>
  <si>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</si>
  <si>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</si>
  <si>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</si>
  <si>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</si>
  <si>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</si>
  <si>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</si>
  <si>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</si>
  <si>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</si>
  <si>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</si>
  <si>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</si>
  <si>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</si>
  <si>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</si>
  <si>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</si>
  <si>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</si>
  <si>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</si>
  <si>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</si>
  <si>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</si>
  <si>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</si>
  <si>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</si>
  <si>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</si>
  <si>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</si>
  <si>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</si>
  <si>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</si>
  <si>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</si>
  <si>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</si>
  <si>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</si>
  <si>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</si>
  <si>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</si>
  <si>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</si>
  <si>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</si>
  <si>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</si>
  <si>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</si>
  <si>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</si>
  <si>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</si>
  <si>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</si>
  <si>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</si>
  <si>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</si>
  <si>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</si>
  <si>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</si>
  <si>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</si>
  <si>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</si>
  <si>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</si>
  <si>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</si>
  <si>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</si>
  <si>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</si>
  <si>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</si>
  <si>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</si>
  <si>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</si>
  <si>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</si>
  <si>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</si>
  <si>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</si>
  <si>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</si>
  <si>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</si>
  <si>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</si>
  <si>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</si>
  <si>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</si>
  <si>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</si>
  <si>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</si>
  <si>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</si>
  <si>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</si>
  <si>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</si>
  <si>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</si>
  <si>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</si>
  <si>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</si>
  <si>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</si>
  <si>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</si>
  <si>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</si>
  <si>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</si>
  <si>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</si>
  <si>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</si>
  <si>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</si>
  <si>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</si>
  <si>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</si>
  <si>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</si>
  <si>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</si>
  <si>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</si>
  <si>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</si>
  <si>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</si>
  <si>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</si>
  <si>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</si>
  <si>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</si>
  <si>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</si>
  <si>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</si>
  <si>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</si>
  <si>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</si>
  <si>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</si>
  <si>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</si>
  <si>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</si>
  <si>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</si>
  <si>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</si>
  <si>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</si>
  <si>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</si>
  <si>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</si>
  <si>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</si>
  <si>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</si>
  <si>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</si>
  <si>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</si>
  <si>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</si>
  <si>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</si>
  <si>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</si>
  <si>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</si>
  <si>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</si>
  <si>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</si>
  <si>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</si>
  <si>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</si>
  <si>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</si>
  <si>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</si>
  <si>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</si>
  <si>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</si>
  <si>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</si>
  <si>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</si>
  <si>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</si>
  <si>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</si>
  <si>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</si>
  <si>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</si>
  <si>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</si>
  <si>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</si>
  <si>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</si>
  <si>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</si>
  <si>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</si>
  <si>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</si>
  <si>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</si>
  <si>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</si>
  <si>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</si>
  <si>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</si>
  <si>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</si>
  <si>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</si>
  <si>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</si>
  <si>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</si>
  <si>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</si>
  <si>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</si>
  <si>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</si>
  <si>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</si>
  <si>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</si>
  <si>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</si>
  <si>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</si>
  <si>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</si>
  <si>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</si>
  <si>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</si>
  <si>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</si>
  <si>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</si>
  <si>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</si>
  <si>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</si>
  <si>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</si>
  <si>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</si>
  <si>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</si>
  <si>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</si>
  <si>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</si>
  <si>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</si>
  <si>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</si>
  <si>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</si>
  <si>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</si>
  <si>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</si>
  <si>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</si>
  <si>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</si>
  <si>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</si>
  <si>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</si>
  <si>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</si>
  <si>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</si>
  <si>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</si>
  <si>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</si>
  <si>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</si>
  <si>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</si>
  <si>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</si>
  <si>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</si>
  <si>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</si>
  <si>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</si>
  <si>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</si>
  <si>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</si>
  <si>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</si>
  <si>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</si>
  <si>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</si>
  <si>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</si>
  <si>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</si>
  <si>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</si>
  <si>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</si>
  <si>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</si>
  <si>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</si>
  <si>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</si>
  <si>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</si>
  <si>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</si>
  <si>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</si>
  <si>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</si>
  <si>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</si>
  <si>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</si>
  <si>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</si>
  <si>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</si>
  <si>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</si>
  <si>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</si>
  <si>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</si>
  <si>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</si>
  <si>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</si>
  <si>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</si>
  <si>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</si>
  <si>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</si>
  <si>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</si>
  <si>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</si>
  <si>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</si>
  <si>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</si>
  <si>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</si>
  <si>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</si>
  <si>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</si>
  <si>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</si>
  <si>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</si>
  <si>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</si>
  <si>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</si>
  <si>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</si>
  <si>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</si>
  <si>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</si>
  <si>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</si>
  <si>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</si>
  <si>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</si>
  <si>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</si>
  <si>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</si>
  <si>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</si>
  <si>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</si>
  <si>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</si>
  <si>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</si>
  <si>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</si>
  <si>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</si>
  <si>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</si>
  <si>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</si>
  <si>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</si>
  <si>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</si>
  <si>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</si>
  <si>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</si>
  <si>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</si>
  <si>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</si>
  <si>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</si>
  <si>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</si>
  <si>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</si>
  <si>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</si>
  <si>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</si>
  <si>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</si>
  <si>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</si>
  <si>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</si>
  <si>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</si>
  <si>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</si>
  <si>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</si>
  <si>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</si>
  <si>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</si>
  <si>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</si>
  <si>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</si>
  <si>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</si>
  <si>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</si>
  <si>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</si>
  <si>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</si>
  <si>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</si>
  <si>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</si>
  <si>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</si>
  <si>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</si>
  <si>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</si>
  <si>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</si>
  <si>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</si>
  <si>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</si>
  <si>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</si>
  <si>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</si>
  <si>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</si>
  <si>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</si>
  <si>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</si>
  <si>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</si>
  <si>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</si>
  <si>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</si>
  <si>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</si>
  <si>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</si>
  <si>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</si>
  <si>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</si>
  <si>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</si>
  <si>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</si>
  <si>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</si>
  <si>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</si>
  <si>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</si>
  <si>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</si>
  <si>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</si>
  <si>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</si>
  <si>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</si>
  <si>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</si>
  <si>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</si>
  <si>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</si>
  <si>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</si>
  <si>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</si>
  <si>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</si>
  <si>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</si>
  <si>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</si>
  <si>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</si>
  <si>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</si>
  <si>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</si>
  <si>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</si>
  <si>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</si>
  <si>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</si>
  <si>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</si>
  <si>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</si>
  <si>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</si>
  <si>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</si>
  <si>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</si>
  <si>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</si>
  <si>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</si>
  <si>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</si>
  <si>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</si>
  <si>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</si>
  <si>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</si>
  <si>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</si>
  <si>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</si>
  <si>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</si>
  <si>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</si>
  <si>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</si>
  <si>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</si>
  <si>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</si>
  <si>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</si>
  <si>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</si>
  <si>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</si>
  <si>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</si>
  <si>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</si>
  <si>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</si>
  <si>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</si>
  <si>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</si>
  <si>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</si>
  <si>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</si>
  <si>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</si>
  <si>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</si>
  <si>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</si>
  <si>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</si>
  <si>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</si>
  <si>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</si>
  <si>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</si>
  <si>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</si>
  <si>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</si>
  <si>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</si>
  <si>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</si>
  <si>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</si>
  <si>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</si>
  <si>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</si>
  <si>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</si>
  <si>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</si>
  <si>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</si>
  <si>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</si>
  <si>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</si>
  <si>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</si>
  <si>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</si>
  <si>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</si>
  <si>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</si>
  <si>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</si>
  <si>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</si>
  <si>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</si>
  <si>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</si>
  <si>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</si>
  <si>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</si>
  <si>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</si>
  <si>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</si>
  <si>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</si>
  <si>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</si>
  <si>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</si>
  <si>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</si>
  <si>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</si>
  <si>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</si>
  <si>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</si>
  <si>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</si>
  <si>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</si>
  <si>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</si>
  <si>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</si>
  <si>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</si>
  <si>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</si>
  <si>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</si>
  <si>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</si>
  <si>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</si>
  <si>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</si>
  <si>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</si>
  <si>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</si>
  <si>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</si>
  <si>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</si>
  <si>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</si>
  <si>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</si>
  <si>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</si>
  <si>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</si>
  <si>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</si>
  <si>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</si>
  <si>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</si>
  <si>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</si>
  <si>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</si>
  <si>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</si>
  <si>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</si>
  <si>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</si>
  <si>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</si>
  <si>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</si>
  <si>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</si>
  <si>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</si>
  <si>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</si>
  <si>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</si>
  <si>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</si>
  <si>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</si>
  <si>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</si>
  <si>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</si>
  <si>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</si>
  <si>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</si>
  <si>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</si>
  <si>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</si>
  <si>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</si>
  <si>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</si>
  <si>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</si>
  <si>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</si>
  <si>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</si>
  <si>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</si>
  <si>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</si>
  <si>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</si>
  <si>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</si>
  <si>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</si>
  <si>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</si>
  <si>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</si>
  <si>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</si>
  <si>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</si>
  <si>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</si>
  <si>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</si>
  <si>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</si>
  <si>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</si>
  <si>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</si>
  <si>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</si>
  <si>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</si>
  <si>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</si>
  <si>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</si>
  <si>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</si>
  <si>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</si>
  <si>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</si>
  <si>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</si>
  <si>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</si>
  <si>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</si>
  <si>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</si>
  <si>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</si>
  <si>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</si>
  <si>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</si>
  <si>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</si>
  <si>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</si>
  <si>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</si>
  <si>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</si>
  <si>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</si>
  <si>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</si>
  <si>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</si>
  <si>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</si>
  <si>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</si>
  <si>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</si>
  <si>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</si>
  <si>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</si>
  <si>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</si>
  <si>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</si>
  <si>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</si>
  <si>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</si>
  <si>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</si>
  <si>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</si>
  <si>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</si>
  <si>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</si>
  <si>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</si>
  <si>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</si>
  <si>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</si>
  <si>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</si>
  <si>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</si>
  <si>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</si>
  <si>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</si>
  <si>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</si>
  <si>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</si>
  <si>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</si>
  <si>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</si>
  <si>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</si>
  <si>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</si>
  <si>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</si>
  <si>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</si>
  <si>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</si>
  <si>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</si>
  <si>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</si>
  <si>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</si>
  <si>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</si>
  <si>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</si>
  <si>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</si>
  <si>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</si>
  <si>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</si>
  <si>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</si>
  <si>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</si>
  <si>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</si>
  <si>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</si>
  <si>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</si>
  <si>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</si>
  <si>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</si>
  <si>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</si>
  <si>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</si>
  <si>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</si>
  <si>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</si>
  <si>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</si>
  <si>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</si>
  <si>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</si>
  <si>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</si>
  <si>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</si>
  <si>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</si>
  <si>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</si>
  <si>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</si>
  <si>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</si>
  <si>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</si>
  <si>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</si>
  <si>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</si>
  <si>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</si>
  <si>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</si>
  <si>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</si>
  <si>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</si>
  <si>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</si>
  <si>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</si>
  <si>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</si>
  <si>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</si>
  <si>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</si>
  <si>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</si>
  <si>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</si>
  <si>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</si>
  <si>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</si>
  <si>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</si>
  <si>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</si>
  <si>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</si>
  <si>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</si>
  <si>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</si>
  <si>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</si>
  <si>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</si>
  <si>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</si>
  <si>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</si>
  <si>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</si>
  <si>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</si>
  <si>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</si>
  <si>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</si>
  <si>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</si>
  <si>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</si>
  <si>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</si>
  <si>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</si>
  <si>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</si>
  <si>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</si>
  <si>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</si>
  <si>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</si>
  <si>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</si>
  <si>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</si>
  <si>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</si>
  <si>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</si>
  <si>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</si>
  <si>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</si>
  <si>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</si>
  <si>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</si>
  <si>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</si>
  <si>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</si>
  <si>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</si>
  <si>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</si>
  <si>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</si>
  <si>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</si>
  <si>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</si>
  <si>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</si>
  <si>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</si>
  <si>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</si>
  <si>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</si>
  <si>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</si>
  <si>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</si>
  <si>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</si>
  <si>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</si>
  <si>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</si>
  <si>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</si>
  <si>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</si>
  <si>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</si>
  <si>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</si>
  <si>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</si>
  <si>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</si>
  <si>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</si>
  <si>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</si>
  <si>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</si>
  <si>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</si>
  <si>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</si>
  <si>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</si>
  <si>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</si>
  <si>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</si>
  <si>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</si>
  <si>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</si>
  <si>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</si>
  <si>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</si>
  <si>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</si>
  <si>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</si>
  <si>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</si>
  <si>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</si>
  <si>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</si>
  <si>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</si>
  <si>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</si>
  <si>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</si>
  <si>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</si>
  <si>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</si>
  <si>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</si>
  <si>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</si>
  <si>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</si>
  <si>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</si>
  <si>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</si>
  <si>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</si>
  <si>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</si>
  <si>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</si>
  <si>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</si>
  <si>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</si>
  <si>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</si>
  <si>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</si>
  <si>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</si>
  <si>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</si>
  <si>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</si>
  <si>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</si>
  <si>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</si>
  <si>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</si>
  <si>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</si>
  <si>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</si>
  <si>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</si>
  <si>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</si>
  <si>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</si>
  <si>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</si>
  <si>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</si>
  <si>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</si>
  <si>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</si>
  <si>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</si>
  <si>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</si>
  <si>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</si>
  <si>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</si>
  <si>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</si>
  <si>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</si>
  <si>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</si>
  <si>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</si>
  <si>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</si>
  <si>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</si>
  <si>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</si>
  <si>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</si>
  <si>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</si>
  <si>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</si>
  <si>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</si>
  <si>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</si>
  <si>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</si>
  <si>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</si>
  <si>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</si>
  <si>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</si>
  <si>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</si>
  <si>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</si>
  <si>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</si>
  <si>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</si>
  <si>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</si>
  <si>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</si>
  <si>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</si>
  <si>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</si>
  <si>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</si>
  <si>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</si>
  <si>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</si>
  <si>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</si>
  <si>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</si>
  <si>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</si>
  <si>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</si>
  <si>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</si>
  <si>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</si>
  <si>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</si>
  <si>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</si>
  <si>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</si>
  <si>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</si>
  <si>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</si>
  <si>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</si>
  <si>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</si>
  <si>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</si>
  <si>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</si>
  <si>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</si>
  <si>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</si>
  <si>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</si>
  <si>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</si>
  <si>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</si>
  <si>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</si>
  <si>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</si>
  <si>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</si>
  <si>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</si>
  <si>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</si>
  <si>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</si>
  <si>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</si>
  <si>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</si>
  <si>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</si>
  <si>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</si>
  <si>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</si>
  <si>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</si>
  <si>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</si>
  <si>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</si>
  <si>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</si>
  <si>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</si>
  <si>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</si>
  <si>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</si>
  <si>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</si>
  <si>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</si>
  <si>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</si>
  <si>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</si>
  <si>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</si>
  <si>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</si>
  <si>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</si>
  <si>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</si>
  <si>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</si>
  <si>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</si>
  <si>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</si>
  <si>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</si>
  <si>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</si>
  <si>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</si>
  <si>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</si>
  <si>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</si>
  <si>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</si>
  <si>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</si>
  <si>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</si>
  <si>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</si>
  <si>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</si>
  <si>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</si>
  <si>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</si>
  <si>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</si>
  <si>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</si>
  <si>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</si>
  <si>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</si>
  <si>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</si>
  <si>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</si>
  <si>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</si>
  <si>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</si>
  <si>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</si>
  <si>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</si>
  <si>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</si>
  <si>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</si>
  <si>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</si>
  <si>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</si>
  <si>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</si>
  <si>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</si>
  <si>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</si>
  <si>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</si>
  <si>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</si>
  <si>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</si>
  <si>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</si>
  <si>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</si>
  <si>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</si>
  <si>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</si>
  <si>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</si>
  <si>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</si>
  <si>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</si>
  <si>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</si>
  <si>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</si>
  <si>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</si>
  <si>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</si>
  <si>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</si>
  <si>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</si>
  <si>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</si>
  <si>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</si>
  <si>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</si>
  <si>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</si>
  <si>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</si>
  <si>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</si>
  <si>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</si>
  <si>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</si>
  <si>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</si>
  <si>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</si>
  <si>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</si>
  <si>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</si>
  <si>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</si>
  <si>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</si>
  <si>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</si>
  <si>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</si>
  <si>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</si>
  <si>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</si>
  <si>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</si>
  <si>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</si>
  <si>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</si>
  <si>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</si>
  <si>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</si>
  <si>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</si>
  <si>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</si>
  <si>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</si>
  <si>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</si>
  <si>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</si>
  <si>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</si>
  <si>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</si>
  <si>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</si>
  <si>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</si>
  <si>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</si>
  <si>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</si>
  <si>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</si>
  <si>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</si>
  <si>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</si>
  <si>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</si>
  <si>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</si>
  <si>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</si>
  <si>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</si>
  <si>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</si>
  <si>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</si>
  <si>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</si>
  <si>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</si>
  <si>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</si>
  <si>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</si>
  <si>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</si>
  <si>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</si>
  <si>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</si>
  <si>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</si>
  <si>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</si>
  <si>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</si>
  <si>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</si>
  <si>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</si>
  <si>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</si>
  <si>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</si>
  <si>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</si>
  <si>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</si>
  <si>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</si>
  <si>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</si>
  <si>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</si>
  <si>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</si>
  <si>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</si>
  <si>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</si>
  <si>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</si>
  <si>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</si>
  <si>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</si>
  <si>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</si>
  <si>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</si>
  <si>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</si>
  <si>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</si>
  <si>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</si>
  <si>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</si>
  <si>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</si>
  <si>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</si>
  <si>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</si>
  <si>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</si>
  <si>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</si>
  <si>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</si>
  <si>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</si>
  <si>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</si>
  <si>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</si>
  <si>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</si>
  <si>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</si>
  <si>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</si>
  <si>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</si>
  <si>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</si>
  <si>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</si>
  <si>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</si>
  <si>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</si>
  <si>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</si>
  <si>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</si>
  <si>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</si>
  <si>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</si>
  <si>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</si>
  <si>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</si>
  <si>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</si>
  <si>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</si>
  <si>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</si>
  <si>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</si>
  <si>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</si>
  <si>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</si>
  <si>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</si>
  <si>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</si>
  <si>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</si>
  <si>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</si>
  <si>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</si>
  <si>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</si>
  <si>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</si>
  <si>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</si>
  <si>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</si>
  <si>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</si>
  <si>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</si>
  <si>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</si>
  <si>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</si>
  <si>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</si>
  <si>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</si>
  <si>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</si>
  <si>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</si>
  <si>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</si>
  <si>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</si>
  <si>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</si>
  <si>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</si>
  <si>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</si>
  <si>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</si>
  <si>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</si>
  <si>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</si>
  <si>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</si>
  <si>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</si>
  <si>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</si>
  <si>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</si>
  <si>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</si>
  <si>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</si>
  <si>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</si>
  <si>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</si>
  <si>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</si>
  <si>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</si>
  <si>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</si>
  <si>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</si>
  <si>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</si>
  <si>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</si>
  <si>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</si>
  <si>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</si>
  <si>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</si>
  <si>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</si>
  <si>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</si>
  <si>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</si>
  <si>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</si>
  <si>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</si>
  <si>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</si>
  <si>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</si>
  <si>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</si>
  <si>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</si>
  <si>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</si>
  <si>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</si>
  <si>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</si>
  <si>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</si>
  <si>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</si>
  <si>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</si>
  <si>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</si>
  <si>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</si>
  <si>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</si>
  <si>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</si>
  <si>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</si>
  <si>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</si>
  <si>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</si>
  <si>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</si>
  <si>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</si>
  <si>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</si>
  <si>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</si>
  <si>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</si>
  <si>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</si>
  <si>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</si>
  <si>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</si>
  <si>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</si>
  <si>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</si>
  <si>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</si>
  <si>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</si>
  <si>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</si>
  <si>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</si>
  <si>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</si>
  <si>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</si>
  <si>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</si>
  <si>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</si>
  <si>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</si>
  <si>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</si>
  <si>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</si>
  <si>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</si>
  <si>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</si>
  <si>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</si>
  <si>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</si>
  <si>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</si>
  <si>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</si>
  <si>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</si>
  <si>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</si>
  <si>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</si>
  <si>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</si>
  <si>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</si>
  <si>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</si>
  <si>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</si>
  <si>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</si>
  <si>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</si>
  <si>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</si>
  <si>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</si>
  <si>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</si>
  <si>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</si>
  <si>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</si>
  <si>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</si>
  <si>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</si>
  <si>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</si>
  <si>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</si>
  <si>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</si>
  <si>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</si>
  <si>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</si>
  <si>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</si>
  <si>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</si>
  <si>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</si>
  <si>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</si>
  <si>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</si>
  <si>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</si>
  <si>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</si>
  <si>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</si>
  <si>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</si>
  <si>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</si>
  <si>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</si>
  <si>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</si>
  <si>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</si>
  <si>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</si>
  <si>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</si>
  <si>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</si>
  <si>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</si>
  <si>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</si>
  <si>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</si>
  <si>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</si>
  <si>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</si>
  <si>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</si>
  <si>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</si>
  <si>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</si>
  <si>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</si>
  <si>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</si>
  <si>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</si>
  <si>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</si>
  <si>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</si>
  <si>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</si>
  <si>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</si>
  <si>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</si>
  <si>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</si>
  <si>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</si>
  <si>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</si>
  <si>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</si>
  <si>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</si>
  <si>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</si>
  <si>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</si>
  <si>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</si>
  <si>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</si>
  <si>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</si>
  <si>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</si>
  <si>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</si>
  <si>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</si>
  <si>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</si>
  <si>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</si>
  <si>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</si>
  <si>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</si>
  <si>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</si>
  <si>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</si>
  <si>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</si>
  <si>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</si>
  <si>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</si>
  <si>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</si>
  <si>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</si>
  <si>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</si>
  <si>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</si>
  <si>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</si>
  <si>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</si>
  <si>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</si>
  <si>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</si>
  <si>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</si>
  <si>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</si>
  <si>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</si>
  <si>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</si>
  <si>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</si>
  <si>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</si>
  <si>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</si>
  <si>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</si>
  <si>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</si>
  <si>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</si>
  <si>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</si>
  <si>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</si>
  <si>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</si>
  <si>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</si>
  <si>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</si>
  <si>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</si>
  <si>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</si>
  <si>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</si>
  <si>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</si>
  <si>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</si>
  <si>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</si>
  <si>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</si>
  <si>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</si>
  <si>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</si>
  <si>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</si>
  <si>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</si>
  <si>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</si>
  <si>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</si>
  <si>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</si>
  <si>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</si>
  <si>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</si>
  <si>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</si>
  <si>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</si>
  <si>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</si>
  <si>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</si>
  <si>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</si>
  <si>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</si>
  <si>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</si>
  <si>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</si>
  <si>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</si>
  <si>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</si>
  <si>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</si>
  <si>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</si>
  <si>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</si>
  <si>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</si>
  <si>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</si>
  <si>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</si>
  <si>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</si>
  <si>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</si>
  <si>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</si>
  <si>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</si>
  <si>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</si>
  <si>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</si>
  <si>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</si>
  <si>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</si>
  <si>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</si>
  <si>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</si>
  <si>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</si>
  <si>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</si>
  <si>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</si>
  <si>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</si>
  <si>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</si>
  <si>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</si>
  <si>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</si>
  <si>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</si>
  <si>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</si>
  <si>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</si>
  <si>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</si>
  <si>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</si>
  <si>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</si>
  <si>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</si>
  <si>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</si>
  <si>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</si>
  <si>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</si>
  <si>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</si>
  <si>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</si>
  <si>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</si>
  <si>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</si>
  <si>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</si>
  <si>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</si>
  <si>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</si>
  <si>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</si>
  <si>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</si>
  <si>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</si>
  <si>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</si>
  <si>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</si>
  <si>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</si>
  <si>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</si>
  <si>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</si>
  <si>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</si>
  <si>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</si>
  <si>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</si>
  <si>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</si>
  <si>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</si>
  <si>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</si>
  <si>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</si>
  <si>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</si>
  <si>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</si>
  <si>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</si>
  <si>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</si>
  <si>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</si>
  <si>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</si>
  <si>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</si>
  <si>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</si>
  <si>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</si>
  <si>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</si>
  <si>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</si>
  <si>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</si>
  <si>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</si>
  <si>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</si>
  <si>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</si>
  <si>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</si>
  <si>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</si>
  <si>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</si>
  <si>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</si>
  <si>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</si>
  <si>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</si>
  <si>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</si>
  <si>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</si>
  <si>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</si>
  <si>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</si>
  <si>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</si>
  <si>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</si>
  <si>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</si>
  <si>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</si>
  <si>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</si>
  <si>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</si>
  <si>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</si>
  <si>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</si>
  <si>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</si>
  <si>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</si>
  <si>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</si>
  <si>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</si>
  <si>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</si>
  <si>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</si>
  <si>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</si>
  <si>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</si>
  <si>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</si>
  <si>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</si>
  <si>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</si>
  <si>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</si>
  <si>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</si>
  <si>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</si>
  <si>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</si>
  <si>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</si>
  <si>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</si>
  <si>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</si>
  <si>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</si>
  <si>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</si>
  <si>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</si>
  <si>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</si>
  <si>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</si>
  <si>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</si>
  <si>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</si>
  <si>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</si>
  <si>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</si>
  <si>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</si>
  <si>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</si>
  <si>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</si>
  <si>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</si>
  <si>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</si>
  <si>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</si>
  <si>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</si>
  <si>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</si>
  <si>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</si>
  <si>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</si>
  <si>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</si>
  <si>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</si>
  <si>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</si>
  <si>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</si>
  <si>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</si>
  <si>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</si>
  <si>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</si>
  <si>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</si>
  <si>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</si>
  <si>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</si>
  <si>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</si>
  <si>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</si>
  <si>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</si>
  <si>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</si>
  <si>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</si>
  <si>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</si>
  <si>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</si>
  <si>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</si>
  <si>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</si>
  <si>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</si>
  <si>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</si>
  <si>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</si>
  <si>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</si>
  <si>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</si>
  <si>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</si>
  <si>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</si>
  <si>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</si>
  <si>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</si>
  <si>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</si>
  <si>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</si>
  <si>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</si>
  <si>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</si>
  <si>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</si>
  <si>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</si>
  <si>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</si>
  <si>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</si>
  <si>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</si>
  <si>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</si>
  <si>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</si>
  <si>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</si>
  <si>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</si>
  <si>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</si>
  <si>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</si>
  <si>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</si>
  <si>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</si>
  <si>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</si>
  <si>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</si>
  <si>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</si>
  <si>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</si>
  <si>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</si>
  <si>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</si>
  <si>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</si>
  <si>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</si>
  <si>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</si>
  <si>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</si>
  <si>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</si>
  <si>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</si>
  <si>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</si>
  <si>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</si>
  <si>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</si>
  <si>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</si>
  <si>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</si>
  <si>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</si>
  <si>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</si>
  <si>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</si>
  <si>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</si>
  <si>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</si>
  <si>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</si>
  <si>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</si>
  <si>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</si>
  <si>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</si>
  <si>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</si>
  <si>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</si>
  <si>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</si>
  <si>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</si>
  <si>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</si>
  <si>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</si>
  <si>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</si>
  <si>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</si>
  <si>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</si>
  <si>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</si>
  <si>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</si>
  <si>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</si>
  <si>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</si>
  <si>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</si>
  <si>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</si>
  <si>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</si>
  <si>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</si>
  <si>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</si>
  <si>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</si>
  <si>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</si>
  <si>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</si>
  <si>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</si>
  <si>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</si>
  <si>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</si>
  <si>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</si>
  <si>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</si>
  <si>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</si>
  <si>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</si>
  <si>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</si>
  <si>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</si>
  <si>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</si>
  <si>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</si>
  <si>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</si>
  <si>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</si>
  <si>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</si>
  <si>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</si>
  <si>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</si>
  <si>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</si>
  <si>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</si>
  <si>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</si>
  <si>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</si>
  <si>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</si>
  <si>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</si>
  <si>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</si>
  <si>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</si>
  <si>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</si>
  <si>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</si>
  <si>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</si>
  <si>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</si>
  <si>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</si>
  <si>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</si>
  <si>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</si>
  <si>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</si>
  <si>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</si>
  <si>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</si>
  <si>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</si>
  <si>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</si>
  <si>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</si>
  <si>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</si>
  <si>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</si>
  <si>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</si>
  <si>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</si>
  <si>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</si>
  <si>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</si>
  <si>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</si>
  <si>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</si>
  <si>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</si>
  <si>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</si>
  <si>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</si>
  <si>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</si>
  <si>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</si>
  <si>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</si>
  <si>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</si>
  <si>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</si>
  <si>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</si>
  <si>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</si>
  <si>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</si>
  <si>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</si>
  <si>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</si>
  <si>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</si>
  <si>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</si>
  <si>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</si>
  <si>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</si>
  <si>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</si>
  <si>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</si>
  <si>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</si>
  <si>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</si>
  <si>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</si>
  <si>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</si>
  <si>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</si>
  <si>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</si>
  <si>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</si>
  <si>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</si>
  <si>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</si>
  <si>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</si>
  <si>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</si>
  <si>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</si>
  <si>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</si>
  <si>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</si>
  <si>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</si>
  <si>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</si>
  <si>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</si>
  <si>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</si>
  <si>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</si>
  <si>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</si>
  <si>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</si>
  <si>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</si>
  <si>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</si>
  <si>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</si>
  <si>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</si>
  <si>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</si>
  <si>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</si>
  <si>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</si>
  <si>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</si>
  <si>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</si>
  <si>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</si>
  <si>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</si>
  <si>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</si>
  <si>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</si>
  <si>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</si>
  <si>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</si>
  <si>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</si>
  <si>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</si>
  <si>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</si>
  <si>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</si>
  <si>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</si>
  <si>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</si>
  <si>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</si>
  <si>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</si>
  <si>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</si>
  <si>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</si>
  <si>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</si>
  <si>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</si>
  <si>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</si>
  <si>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</si>
  <si>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</si>
  <si>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</si>
  <si>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</si>
  <si>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</si>
  <si>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</si>
  <si>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</si>
  <si>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</si>
  <si>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</si>
  <si>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</si>
  <si>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</si>
  <si>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</si>
  <si>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</si>
  <si>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</si>
  <si>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</si>
  <si>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</si>
  <si>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</si>
  <si>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</si>
  <si>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</si>
  <si>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</si>
  <si>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</si>
  <si>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</si>
  <si>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</si>
  <si>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</si>
  <si>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</si>
  <si>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</si>
  <si>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</si>
  <si>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</si>
  <si>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</si>
  <si>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</si>
  <si>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</si>
  <si>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</si>
  <si>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</si>
  <si>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</si>
  <si>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</si>
  <si>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</si>
  <si>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</si>
  <si>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</si>
  <si>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</si>
  <si>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</si>
  <si>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</si>
  <si>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</si>
  <si>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</si>
  <si>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</si>
  <si>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</si>
  <si>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</si>
  <si>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</si>
  <si>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</si>
  <si>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</si>
  <si>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</si>
  <si>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</si>
  <si>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</si>
  <si>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</si>
  <si>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</si>
  <si>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</si>
  <si>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</si>
  <si>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</si>
  <si>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</si>
  <si>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</si>
  <si>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</si>
  <si>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</si>
  <si>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</si>
  <si>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</si>
  <si>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</si>
  <si>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</si>
  <si>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</si>
  <si>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</si>
  <si>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</si>
  <si>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</si>
  <si>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</si>
  <si>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</si>
  <si>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</si>
  <si>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</si>
  <si>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</si>
  <si>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</si>
  <si>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</si>
  <si>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</si>
  <si>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</si>
  <si>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</si>
  <si>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</si>
  <si>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</si>
  <si>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</si>
  <si>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</si>
  <si>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</si>
  <si>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</si>
  <si>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</si>
  <si>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</si>
  <si>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</si>
  <si>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</si>
  <si>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</si>
  <si>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</si>
  <si>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</si>
  <si>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</si>
  <si>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</si>
  <si>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</si>
  <si>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</si>
  <si>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</si>
  <si>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</si>
  <si>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</si>
  <si>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</si>
  <si>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</si>
  <si>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</si>
  <si>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</si>
  <si>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</si>
  <si>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</si>
  <si>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</si>
  <si>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</si>
  <si>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</si>
  <si>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</si>
  <si>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</si>
  <si>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</si>
  <si>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</si>
  <si>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</si>
  <si>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</si>
  <si>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</si>
  <si>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</si>
  <si>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</si>
  <si>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</si>
  <si>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</si>
  <si>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</si>
  <si>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</si>
  <si>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</si>
  <si>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</si>
  <si>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</si>
  <si>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</si>
  <si>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</si>
  <si>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</si>
  <si>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</si>
  <si>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</si>
  <si>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</si>
  <si>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</si>
  <si>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</si>
  <si>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</si>
  <si>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</si>
  <si>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</si>
  <si>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</si>
  <si>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</si>
  <si>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</si>
  <si>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</si>
  <si>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</si>
  <si>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</si>
  <si>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</si>
  <si>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</si>
  <si>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</si>
  <si>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</si>
  <si>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</si>
  <si>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</si>
  <si>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</si>
  <si>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</si>
  <si>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</si>
  <si>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</si>
  <si>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</si>
  <si>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</si>
  <si>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</si>
  <si>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</si>
  <si>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</si>
  <si>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</si>
  <si>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</si>
  <si>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</si>
  <si>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</si>
  <si>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</si>
  <si>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</si>
  <si>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</si>
  <si>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</si>
  <si>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</si>
  <si>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</si>
  <si>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</si>
  <si>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</si>
  <si>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</si>
  <si>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</si>
  <si>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</si>
  <si>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</si>
  <si>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</si>
  <si>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</si>
  <si>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</si>
  <si>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</si>
  <si>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</si>
  <si>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</si>
  <si>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</si>
  <si>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</si>
  <si>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</si>
  <si>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</si>
  <si>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</si>
  <si>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</si>
  <si>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</si>
  <si>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</si>
  <si>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</si>
  <si>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</si>
  <si>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</si>
  <si>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</si>
  <si>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</si>
  <si>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</si>
  <si>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</si>
  <si>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</si>
  <si>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</si>
  <si>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</si>
  <si>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</si>
  <si>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</si>
  <si>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</si>
  <si>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</si>
  <si>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</si>
  <si>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</si>
  <si>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</si>
  <si>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</si>
  <si>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</si>
  <si>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</si>
  <si>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</si>
  <si>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</si>
  <si>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</si>
  <si>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</si>
  <si>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</si>
  <si>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</si>
  <si>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</si>
  <si>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</si>
  <si>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</si>
  <si>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</si>
  <si>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</si>
  <si>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</si>
  <si>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</si>
  <si>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</si>
  <si>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</si>
  <si>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</si>
  <si>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</si>
  <si>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</si>
  <si>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</si>
  <si>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</si>
  <si>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</si>
  <si>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</si>
  <si>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</si>
  <si>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</si>
  <si>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</si>
  <si>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</si>
  <si>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</si>
  <si>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</si>
  <si>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</si>
  <si>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</si>
  <si>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</si>
  <si>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</si>
  <si>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</si>
  <si>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</si>
  <si>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</si>
  <si>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</si>
  <si>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</si>
  <si>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</si>
  <si>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</si>
  <si>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</si>
  <si>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</si>
  <si>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</si>
  <si>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</si>
  <si>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</si>
  <si>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</si>
  <si>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</si>
  <si>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</si>
  <si>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</si>
  <si>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</si>
  <si>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</si>
  <si>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</si>
  <si>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</si>
  <si>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</si>
  <si>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</si>
  <si>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</si>
  <si>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</si>
  <si>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</si>
  <si>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</si>
  <si>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</si>
  <si>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</si>
  <si>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</si>
  <si>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</si>
  <si>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</si>
  <si>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</si>
  <si>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</si>
  <si>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</si>
  <si>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</si>
  <si>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</si>
  <si>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</si>
  <si>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</si>
  <si>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</si>
  <si>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</si>
  <si>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</si>
  <si>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</si>
  <si>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</si>
  <si>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</si>
  <si>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</si>
  <si>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</si>
  <si>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</si>
  <si>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</si>
  <si>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</si>
  <si>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</si>
  <si>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</si>
  <si>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</si>
  <si>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</si>
  <si>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</si>
  <si>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</si>
  <si>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</si>
  <si>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</si>
  <si>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</si>
  <si>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</si>
  <si>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</si>
  <si>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</si>
  <si>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</si>
  <si>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</si>
  <si>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</si>
  <si>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</si>
  <si>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</si>
  <si>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</si>
  <si>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</si>
  <si>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</si>
  <si>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</si>
  <si>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</si>
  <si>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</si>
  <si>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</si>
  <si>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</si>
  <si>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</si>
  <si>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</si>
  <si>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</si>
  <si>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</si>
  <si>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</si>
  <si>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</si>
  <si>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</si>
  <si>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</si>
  <si>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</si>
  <si>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</si>
  <si>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</si>
  <si>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</si>
  <si>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</si>
  <si>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</si>
  <si>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</si>
  <si>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</si>
  <si>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</si>
  <si>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</si>
  <si>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</si>
  <si>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</si>
  <si>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</si>
  <si>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</si>
  <si>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</si>
  <si>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</si>
  <si>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</si>
  <si>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</si>
  <si>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</si>
  <si>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</si>
  <si>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</si>
  <si>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</si>
  <si>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</si>
  <si>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</si>
  <si>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</si>
  <si>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</si>
  <si>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</si>
  <si>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</si>
  <si>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</si>
  <si>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</si>
  <si>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</si>
  <si>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</si>
  <si>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</si>
  <si>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</si>
  <si>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</si>
  <si>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</si>
  <si>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</si>
  <si>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</si>
  <si>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</si>
  <si>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</si>
  <si>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</si>
  <si>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</si>
  <si>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</si>
  <si>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</si>
  <si>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</si>
  <si>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</si>
  <si>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</si>
  <si>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</si>
  <si>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</si>
  <si>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</si>
  <si>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</si>
  <si>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</si>
  <si>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</si>
  <si>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</si>
  <si>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</si>
  <si>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</si>
  <si>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</si>
  <si>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</si>
  <si>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</si>
  <si>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</si>
  <si>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</si>
  <si>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</si>
  <si>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</si>
  <si>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</si>
  <si>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</si>
  <si>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</si>
  <si>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</si>
  <si>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</si>
  <si>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</si>
  <si>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</si>
  <si>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</si>
  <si>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</si>
  <si>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</si>
  <si>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</si>
  <si>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</si>
  <si>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</si>
  <si>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</si>
  <si>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</si>
  <si>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</si>
  <si>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</si>
  <si>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</si>
  <si>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</si>
  <si>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</si>
  <si>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</si>
  <si>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</si>
  <si>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</si>
  <si>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</si>
  <si>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</si>
  <si>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</si>
  <si>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</si>
  <si>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</si>
  <si>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</si>
  <si>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</si>
  <si>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</si>
  <si>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</si>
  <si>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</si>
  <si>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</si>
  <si>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</si>
  <si>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</si>
  <si>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</si>
  <si>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</si>
  <si>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</si>
  <si>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</si>
  <si>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</si>
  <si>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</si>
  <si>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</si>
  <si>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</si>
  <si>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</si>
  <si>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</si>
  <si>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</si>
  <si>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</si>
  <si>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</si>
  <si>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</si>
  <si>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</si>
  <si>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</si>
  <si>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</si>
  <si>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</si>
  <si>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</si>
  <si>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</si>
  <si>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</si>
  <si>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</si>
  <si>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</si>
  <si>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</si>
  <si>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</si>
  <si>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</si>
  <si>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</si>
  <si>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</si>
  <si>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</si>
  <si>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</si>
  <si>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</si>
  <si>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</si>
  <si>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</si>
  <si>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</si>
  <si>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</si>
  <si>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</si>
  <si>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</si>
  <si>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</si>
  <si>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</si>
  <si>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</si>
  <si>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</si>
  <si>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</si>
  <si>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</si>
  <si>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</si>
  <si>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</si>
  <si>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</si>
  <si>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</si>
  <si>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</si>
  <si>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</si>
  <si>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</si>
  <si>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</si>
  <si>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</si>
  <si>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</si>
  <si>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</si>
  <si>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</si>
  <si>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</si>
  <si>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</si>
  <si>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</si>
  <si>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</si>
  <si>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</si>
  <si>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</si>
  <si>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</si>
  <si>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</si>
  <si>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</si>
  <si>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</si>
  <si>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</si>
  <si>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</si>
  <si>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</si>
  <si>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</si>
  <si>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</si>
  <si>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</si>
  <si>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</si>
  <si>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</si>
  <si>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</si>
  <si>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</si>
  <si>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</si>
  <si>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</si>
  <si>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</si>
  <si>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</si>
  <si>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</si>
  <si>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</si>
  <si>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</si>
  <si>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</si>
  <si>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</si>
  <si>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</si>
  <si>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</si>
  <si>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</si>
  <si>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</si>
  <si>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</si>
  <si>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</si>
  <si>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</si>
  <si>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</si>
  <si>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</si>
  <si>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</si>
  <si>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</si>
  <si>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</si>
  <si>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</si>
  <si>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</si>
  <si>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</si>
  <si>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</si>
  <si>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</si>
  <si>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</si>
  <si>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</si>
  <si>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</si>
  <si>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</si>
  <si>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</si>
  <si>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</si>
  <si>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</si>
  <si>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</si>
  <si>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</si>
  <si>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</si>
  <si>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</si>
  <si>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</si>
  <si>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</si>
  <si>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</si>
  <si>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</si>
  <si>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</si>
  <si>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</si>
  <si>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</si>
  <si>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</si>
  <si>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</si>
  <si>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</si>
  <si>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</si>
  <si>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</si>
  <si>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</si>
  <si>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</si>
  <si>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</si>
  <si>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</si>
  <si>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</si>
  <si>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</si>
  <si>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</si>
  <si>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</si>
  <si>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</si>
  <si>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</si>
  <si>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</si>
  <si>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</si>
  <si>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</si>
  <si>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</si>
  <si>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</si>
  <si>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</si>
  <si>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</si>
  <si>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</si>
  <si>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</si>
  <si>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</si>
  <si>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</si>
  <si>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</si>
  <si>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</si>
  <si>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</si>
  <si>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</si>
  <si>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</si>
  <si>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</si>
  <si>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</si>
  <si>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</si>
  <si>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</si>
  <si>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</si>
  <si>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</si>
  <si>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</si>
  <si>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</si>
  <si>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</si>
  <si>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</si>
  <si>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</si>
  <si>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</si>
  <si>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</si>
  <si>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</si>
  <si>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</si>
  <si>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</si>
  <si>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</si>
  <si>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</si>
  <si>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</si>
  <si>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</si>
  <si>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</si>
  <si>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</si>
  <si>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</si>
  <si>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</si>
  <si>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</si>
  <si>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</si>
  <si>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</si>
  <si>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</si>
  <si>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</si>
  <si>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</si>
  <si>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</si>
  <si>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</si>
  <si>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</si>
  <si>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</si>
  <si>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</si>
  <si>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</si>
  <si>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</si>
  <si>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</si>
  <si>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</si>
  <si>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</si>
  <si>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</si>
  <si>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</si>
  <si>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</si>
  <si>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</si>
  <si>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</si>
  <si>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</si>
  <si>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</si>
  <si>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</si>
  <si>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</si>
  <si>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</si>
  <si>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</si>
  <si>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</si>
  <si>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</si>
  <si>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</si>
  <si>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</si>
  <si>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</si>
  <si>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</si>
  <si>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</si>
  <si>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</si>
  <si>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</si>
  <si>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</si>
  <si>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</si>
  <si>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</si>
  <si>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</si>
  <si>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</si>
  <si>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</si>
  <si>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</si>
  <si>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</si>
  <si>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</si>
  <si>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</si>
  <si>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</si>
  <si>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</si>
  <si>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</si>
  <si>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</si>
  <si>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</si>
  <si>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</si>
  <si>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</si>
  <si>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</si>
  <si>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</si>
  <si>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</si>
  <si>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</si>
  <si>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</si>
  <si>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</si>
  <si>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</si>
  <si>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</si>
  <si>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</si>
  <si>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</si>
  <si>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</si>
  <si>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</si>
  <si>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</si>
  <si>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</si>
  <si>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</si>
  <si>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</si>
  <si>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</si>
  <si>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</si>
  <si>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</si>
  <si>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</si>
  <si>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</si>
  <si>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</si>
  <si>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</si>
  <si>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</si>
  <si>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</si>
  <si>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</si>
  <si>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</si>
  <si>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</si>
  <si>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</si>
  <si>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</si>
  <si>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</si>
  <si>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</si>
  <si>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</si>
  <si>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</si>
  <si>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</si>
  <si>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</si>
  <si>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</si>
  <si>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</si>
  <si>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</si>
  <si>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</si>
  <si>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</si>
  <si>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</si>
  <si>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</si>
  <si>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</si>
  <si>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</si>
  <si>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</si>
  <si>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</si>
  <si>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</si>
  <si>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</si>
  <si>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</si>
  <si>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</si>
  <si>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</si>
  <si>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</si>
  <si>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</si>
  <si>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</si>
  <si>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</si>
  <si>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</si>
  <si>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</si>
  <si>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</si>
  <si>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</si>
  <si>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</si>
  <si>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</si>
  <si>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</si>
  <si>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</si>
  <si>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</si>
  <si>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</si>
  <si>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</si>
  <si>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</si>
  <si>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</si>
  <si>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</si>
  <si>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</si>
  <si>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</si>
  <si>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</si>
  <si>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</si>
  <si>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</si>
  <si>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</si>
  <si>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</si>
  <si>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</si>
  <si>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</si>
  <si>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</si>
  <si>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</si>
  <si>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</si>
  <si>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</si>
  <si>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</si>
  <si>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</si>
  <si>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</si>
  <si>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</si>
  <si>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</si>
  <si>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</si>
  <si>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</si>
  <si>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</si>
  <si>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</si>
  <si>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</si>
  <si>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</si>
  <si>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</si>
  <si>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</si>
  <si>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</si>
  <si>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</si>
  <si>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</si>
  <si>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</si>
  <si>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</si>
  <si>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</si>
  <si>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</si>
  <si>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</si>
  <si>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</si>
  <si>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</si>
  <si>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</si>
  <si>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</si>
  <si>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</si>
  <si>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</si>
  <si>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</si>
  <si>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</si>
  <si>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</si>
  <si>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</si>
  <si>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</si>
  <si>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</si>
  <si>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</si>
  <si>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</si>
  <si>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</si>
  <si>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</si>
  <si>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</si>
  <si>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</si>
  <si>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</si>
  <si>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</si>
  <si>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</si>
  <si>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</si>
  <si>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</si>
  <si>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</si>
  <si>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</si>
  <si>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</si>
  <si>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</si>
  <si>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</si>
  <si>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</si>
  <si>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</si>
  <si>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</si>
  <si>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</si>
  <si>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</si>
  <si>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</si>
  <si>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</si>
  <si>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</si>
  <si>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</si>
  <si>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</si>
  <si>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</si>
  <si>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</si>
  <si>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</si>
  <si>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</si>
  <si>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</si>
  <si>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</si>
  <si>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</si>
  <si>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</si>
  <si>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</si>
  <si>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</si>
  <si>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</si>
  <si>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</si>
  <si>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</si>
  <si>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</si>
  <si>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</si>
  <si>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</si>
  <si>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</si>
  <si>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</si>
  <si>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</si>
  <si>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</si>
  <si>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</si>
  <si>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</si>
  <si>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</si>
  <si>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</si>
  <si>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</si>
  <si>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</si>
  <si>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</si>
  <si>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</si>
  <si>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</si>
  <si>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</si>
  <si>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</si>
  <si>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</si>
  <si>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</si>
  <si>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</si>
  <si>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</si>
  <si>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</si>
  <si>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</si>
  <si>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</si>
  <si>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</si>
  <si>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</si>
  <si>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</si>
  <si>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</si>
  <si>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</si>
  <si>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</si>
  <si>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</si>
  <si>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</si>
  <si>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</si>
  <si>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</si>
  <si>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</si>
  <si>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</si>
  <si>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</si>
  <si>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</si>
  <si>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</si>
  <si>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</si>
  <si>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</si>
  <si>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</si>
  <si>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</si>
  <si>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</si>
  <si>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</si>
  <si>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</si>
  <si>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</si>
  <si>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</si>
  <si>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</si>
  <si>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</si>
  <si>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</si>
  <si>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</si>
  <si>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</si>
  <si>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</si>
  <si>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</si>
  <si>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</si>
  <si>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</si>
  <si>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</si>
  <si>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</si>
  <si>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</si>
  <si>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</si>
  <si>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</si>
  <si>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</si>
  <si>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</si>
  <si>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</si>
  <si>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</si>
  <si>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</si>
  <si>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</si>
  <si>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</si>
  <si>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</si>
  <si>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</si>
  <si>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</si>
  <si>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</si>
  <si>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</si>
  <si>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</si>
  <si>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</si>
  <si>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</si>
  <si>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</si>
  <si>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</si>
  <si>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</si>
  <si>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</si>
  <si>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</si>
  <si>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</si>
  <si>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</si>
  <si>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</si>
  <si>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</si>
  <si>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</si>
  <si>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</si>
  <si>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</si>
  <si>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</si>
  <si>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</si>
  <si>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</si>
  <si>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</si>
  <si>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</si>
  <si>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</si>
  <si>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</si>
  <si>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</si>
  <si>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</si>
  <si>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</si>
  <si>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</si>
  <si>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</si>
  <si>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</si>
  <si>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</si>
  <si>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</si>
  <si>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</si>
  <si>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</si>
  <si>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</si>
  <si>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</si>
  <si>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</si>
  <si>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</si>
  <si>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</si>
  <si>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</si>
  <si>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</si>
  <si>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</si>
  <si>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</si>
  <si>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</si>
  <si>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</si>
  <si>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</si>
  <si>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</si>
  <si>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</si>
  <si>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</si>
  <si>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</si>
  <si>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</si>
  <si>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</si>
  <si>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</si>
  <si>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</si>
  <si>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</si>
  <si>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</si>
  <si>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</si>
  <si>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</si>
  <si>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</si>
  <si>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</si>
  <si>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</si>
  <si>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</si>
  <si>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</si>
  <si>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</si>
  <si>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</si>
  <si>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</si>
  <si>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</si>
  <si>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</si>
  <si>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</si>
  <si>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</si>
  <si>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</si>
  <si>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</si>
  <si>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</si>
  <si>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</si>
  <si>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</si>
  <si>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</si>
  <si>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</si>
  <si>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</si>
  <si>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</si>
  <si>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</si>
  <si>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</si>
  <si>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</si>
  <si>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</si>
  <si>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</si>
  <si>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</si>
  <si>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</si>
  <si>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</si>
  <si>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</si>
  <si>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</si>
  <si>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</si>
  <si>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</si>
  <si>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</si>
  <si>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</si>
  <si>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</si>
  <si>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</si>
  <si>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</si>
  <si>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</si>
  <si>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</si>
  <si>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</si>
  <si>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</si>
  <si>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</si>
  <si>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</si>
  <si>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</si>
  <si>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</si>
  <si>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</si>
  <si>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</si>
  <si>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</si>
  <si>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</si>
  <si>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</si>
  <si>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</si>
  <si>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</si>
  <si>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</si>
  <si>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</si>
  <si>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</si>
  <si>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</si>
  <si>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</si>
  <si>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</si>
  <si>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</si>
  <si>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</si>
  <si>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</si>
  <si>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</si>
  <si>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</si>
  <si>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</si>
  <si>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</si>
  <si>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</si>
  <si>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</si>
  <si>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</si>
  <si>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</si>
  <si>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</si>
  <si>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</si>
  <si>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</si>
  <si>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</si>
  <si>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</si>
  <si>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</si>
  <si>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</si>
  <si>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</si>
  <si>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</si>
  <si>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</si>
  <si>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</si>
  <si>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</si>
  <si>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</si>
  <si>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</si>
  <si>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</si>
  <si>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</si>
  <si>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</si>
  <si>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</si>
  <si>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</si>
  <si>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</si>
  <si>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</si>
  <si>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</si>
  <si>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</si>
  <si>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</si>
  <si>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</si>
  <si>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</si>
  <si>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</si>
  <si>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</si>
  <si>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</si>
  <si>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</si>
  <si>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</si>
  <si>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</si>
  <si>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</si>
  <si>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</si>
  <si>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</si>
  <si>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</si>
  <si>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</si>
  <si>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</si>
  <si>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</si>
  <si>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</si>
  <si>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</si>
  <si>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</si>
  <si>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</si>
  <si>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</si>
  <si>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</si>
  <si>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</si>
  <si>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</si>
  <si>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</si>
  <si>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</si>
  <si>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</si>
  <si>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</si>
  <si>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</si>
  <si>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</si>
  <si>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</si>
  <si>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</si>
  <si>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</si>
  <si>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</si>
  <si>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</si>
  <si>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</si>
  <si>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</si>
  <si>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</si>
  <si>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</si>
  <si>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</si>
  <si>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</si>
  <si>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</si>
  <si>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</si>
  <si>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</si>
  <si>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</si>
  <si>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</si>
  <si>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</si>
  <si>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</si>
  <si>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</si>
  <si>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</si>
  <si>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</si>
  <si>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</si>
  <si>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</si>
  <si>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</si>
  <si>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</si>
  <si>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</si>
  <si>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</si>
  <si>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</si>
  <si>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</si>
  <si>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</si>
  <si>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</si>
  <si>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</si>
  <si>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</si>
  <si>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</si>
  <si>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</si>
  <si>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</si>
  <si>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</si>
  <si>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</si>
  <si>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</si>
  <si>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</si>
  <si>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</si>
  <si>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</si>
  <si>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</si>
  <si>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</si>
  <si>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</si>
  <si>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</si>
  <si>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</si>
  <si>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</si>
  <si>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</si>
  <si>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</si>
  <si>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</si>
  <si>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</si>
  <si>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</si>
  <si>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</si>
  <si>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</si>
  <si>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</si>
  <si>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</si>
  <si>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</si>
  <si>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</si>
  <si>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</si>
  <si>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</si>
  <si>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</si>
  <si>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</si>
  <si>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</si>
  <si>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</si>
  <si>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</si>
  <si>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</si>
  <si>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</si>
  <si>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</si>
  <si>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</si>
  <si>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</si>
  <si>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</si>
  <si>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</si>
  <si>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</si>
  <si>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</si>
  <si>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</si>
  <si>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</si>
  <si>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</si>
  <si>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</si>
  <si>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</si>
  <si>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</si>
  <si>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</si>
  <si>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</si>
  <si>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</si>
  <si>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</si>
  <si>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</si>
  <si>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</si>
  <si>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</si>
  <si>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</si>
  <si>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</si>
  <si>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</si>
  <si>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</si>
  <si>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</si>
  <si>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</si>
  <si>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</si>
  <si>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</si>
  <si>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</si>
  <si>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</si>
  <si>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</si>
  <si>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</si>
  <si>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</si>
  <si>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</si>
  <si>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</si>
  <si>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</si>
  <si>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</si>
  <si>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</si>
  <si>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</si>
  <si>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</si>
  <si>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</si>
  <si>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</si>
  <si>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</si>
  <si>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</si>
  <si>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</si>
  <si>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</si>
  <si>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</si>
  <si>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</si>
  <si>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</si>
  <si>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</si>
  <si>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</si>
  <si>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</si>
  <si>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</si>
  <si>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</si>
  <si>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</si>
  <si>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</si>
  <si>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</si>
  <si>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</si>
  <si>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</si>
  <si>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</si>
  <si>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</si>
  <si>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</si>
  <si>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</si>
  <si>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</si>
  <si>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</si>
  <si>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</si>
  <si>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</si>
  <si>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</si>
  <si>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</si>
  <si>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</si>
  <si>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</si>
  <si>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</si>
  <si>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</si>
  <si>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</si>
  <si>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</si>
  <si>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</si>
  <si>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</si>
  <si>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</si>
  <si>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</si>
  <si>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</si>
  <si>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</si>
  <si>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</si>
  <si>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</si>
  <si>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</si>
  <si>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</si>
  <si>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</si>
  <si>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</si>
  <si>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</si>
  <si>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</si>
  <si>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</si>
  <si>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</si>
  <si>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</si>
  <si>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</si>
  <si>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</si>
  <si>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</si>
  <si>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</si>
  <si>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</si>
  <si>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</si>
  <si>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</si>
  <si>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</si>
  <si>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</si>
  <si>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</si>
  <si>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</si>
  <si>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</si>
  <si>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</si>
  <si>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</si>
  <si>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</si>
  <si>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</si>
  <si>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</si>
  <si>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</si>
  <si>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</si>
  <si>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</si>
  <si>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</si>
  <si>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</si>
  <si>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</si>
  <si>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</si>
  <si>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</si>
  <si>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</si>
  <si>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</si>
  <si>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</si>
  <si>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</si>
  <si>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</si>
  <si>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</si>
  <si>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</si>
  <si>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</si>
  <si>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</si>
  <si>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</si>
  <si>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</si>
  <si>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</si>
  <si>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</si>
  <si>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</si>
  <si>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</si>
  <si>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</si>
  <si>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</si>
  <si>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</si>
  <si>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</si>
  <si>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</si>
  <si>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</si>
  <si>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</si>
  <si>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</si>
  <si>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</si>
  <si>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</si>
  <si>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</si>
  <si>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</si>
  <si>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</si>
  <si>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</si>
  <si>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</si>
  <si>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</si>
  <si>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</si>
  <si>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</si>
  <si>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</si>
  <si>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</si>
  <si>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</si>
  <si>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</si>
  <si>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</si>
  <si>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</si>
  <si>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</si>
  <si>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</si>
  <si>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</si>
  <si>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</si>
  <si>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</si>
  <si>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</si>
  <si>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</si>
  <si>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</si>
  <si>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</si>
  <si>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</si>
  <si>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</si>
  <si>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</si>
  <si>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</si>
  <si>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</si>
  <si>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</si>
  <si>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</si>
  <si>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</si>
  <si>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</si>
  <si>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</si>
  <si>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</si>
  <si>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</si>
  <si>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</si>
  <si>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</si>
  <si>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</si>
  <si>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</si>
  <si>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</si>
  <si>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</si>
  <si>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</si>
  <si>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</si>
  <si>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</si>
  <si>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</si>
  <si>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</si>
  <si>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</si>
  <si>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</si>
  <si>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</si>
  <si>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</si>
  <si>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</si>
  <si>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</si>
  <si>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</si>
  <si>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</si>
  <si>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</si>
  <si>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</si>
  <si>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</si>
  <si>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</si>
  <si>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</si>
  <si>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</si>
  <si>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</si>
  <si>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</si>
  <si>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</si>
  <si>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</si>
  <si>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</si>
  <si>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</si>
  <si>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</si>
  <si>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</si>
  <si>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</si>
  <si>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</si>
  <si>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</si>
  <si>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</si>
  <si>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</si>
  <si>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</si>
  <si>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</si>
  <si>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</si>
  <si>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</si>
  <si>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</si>
  <si>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</si>
  <si>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</si>
  <si>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</si>
  <si>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</si>
  <si>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</si>
  <si>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</si>
  <si>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</si>
  <si>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</si>
  <si>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</si>
  <si>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</si>
  <si>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</si>
  <si>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</si>
  <si>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</si>
  <si>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</si>
  <si>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</si>
  <si>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</si>
  <si>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</si>
  <si>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</si>
  <si>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</si>
  <si>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</si>
  <si>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</si>
  <si>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</si>
  <si>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</si>
  <si>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</si>
  <si>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</si>
  <si>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</si>
  <si>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</si>
  <si>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</si>
  <si>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</si>
  <si>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</si>
  <si>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</si>
  <si>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</si>
  <si>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</si>
  <si>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</si>
  <si>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</si>
  <si>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</si>
  <si>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</si>
  <si>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</si>
  <si>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</si>
  <si>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</si>
  <si>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</si>
  <si>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</si>
  <si>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</si>
  <si>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</si>
  <si>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</si>
  <si>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</si>
  <si>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</si>
  <si>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</si>
  <si>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</si>
  <si>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</si>
  <si>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</si>
  <si>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</si>
  <si>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</si>
  <si>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</si>
  <si>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</si>
  <si>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</si>
  <si>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</si>
  <si>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</si>
  <si>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</si>
  <si>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</si>
  <si>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</si>
  <si>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</si>
  <si>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</si>
  <si>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</si>
  <si>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</si>
  <si>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</si>
  <si>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</si>
  <si>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</si>
  <si>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</si>
  <si>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</si>
  <si>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</si>
  <si>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</si>
  <si>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</si>
  <si>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</si>
  <si>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</si>
  <si>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</si>
  <si>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</si>
  <si>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</si>
  <si>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</si>
  <si>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</si>
  <si>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</si>
  <si>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</si>
  <si>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</si>
  <si>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</si>
  <si>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</si>
  <si>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</si>
  <si>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</si>
  <si>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</si>
  <si>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</si>
  <si>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</si>
  <si>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</si>
  <si>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</si>
  <si>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</si>
  <si>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</si>
  <si>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</si>
  <si>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</si>
  <si>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</si>
  <si>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</si>
  <si>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</si>
  <si>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</si>
  <si>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</si>
  <si>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</si>
  <si>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</si>
  <si>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</si>
  <si>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</si>
  <si>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</si>
  <si>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</si>
  <si>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</si>
  <si>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</si>
  <si>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</si>
  <si>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</si>
  <si>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</si>
  <si>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</si>
  <si>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</si>
  <si>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</si>
  <si>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</si>
  <si>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</si>
  <si>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</si>
  <si>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</si>
  <si>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</si>
  <si>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</si>
  <si>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</si>
  <si>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</si>
  <si>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</si>
  <si>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</si>
  <si>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</si>
  <si>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</si>
  <si>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</si>
  <si>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</si>
  <si>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</si>
  <si>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</si>
  <si>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</si>
  <si>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</si>
  <si>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</si>
  <si>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</si>
  <si>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</si>
  <si>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</si>
  <si>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</si>
  <si>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</si>
  <si>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</si>
  <si>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</si>
  <si>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</si>
  <si>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</si>
  <si>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</si>
  <si>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</si>
  <si>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</si>
  <si>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</si>
  <si>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</si>
  <si>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</si>
  <si>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</si>
  <si>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</si>
  <si>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</si>
  <si>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</si>
  <si>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</si>
  <si>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</si>
  <si>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</si>
  <si>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</si>
  <si>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</si>
  <si>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</si>
  <si>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</si>
  <si>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</si>
  <si>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</si>
  <si>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</si>
  <si>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</si>
  <si>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</si>
  <si>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</si>
  <si>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</si>
  <si>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</si>
  <si>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</si>
  <si>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</si>
  <si>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</si>
  <si>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</si>
  <si>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</si>
  <si>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</si>
  <si>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</si>
  <si>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</si>
  <si>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</si>
  <si>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</si>
  <si>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</si>
  <si>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</si>
  <si>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</si>
  <si>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</si>
  <si>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</si>
  <si>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</si>
  <si>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</si>
  <si>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</si>
  <si>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</si>
  <si>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</si>
  <si>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</si>
  <si>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</si>
  <si>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</si>
  <si>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</si>
  <si>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</si>
  <si>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</si>
  <si>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</si>
  <si>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</si>
  <si>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</si>
  <si>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</si>
  <si>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</si>
  <si>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</si>
  <si>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</si>
  <si>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</si>
  <si>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</si>
  <si>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</si>
  <si>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</si>
  <si>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</si>
  <si>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</si>
  <si>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</si>
  <si>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</si>
  <si>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</si>
  <si>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</si>
  <si>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</si>
  <si>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</si>
  <si>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</si>
  <si>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</si>
  <si>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</si>
  <si>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</si>
  <si>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</si>
  <si>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</si>
  <si>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</si>
  <si>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</si>
  <si>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</si>
  <si>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</si>
  <si>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</si>
  <si>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</si>
  <si>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</si>
  <si>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</si>
  <si>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</si>
  <si>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</si>
  <si>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</si>
  <si>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</si>
  <si>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</si>
  <si>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</si>
  <si>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</si>
  <si>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</si>
  <si>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</si>
  <si>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</si>
  <si>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</si>
  <si>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</si>
  <si>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</si>
  <si>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</si>
  <si>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</si>
  <si>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</si>
  <si>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</si>
  <si>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</si>
  <si>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</si>
  <si>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</si>
  <si>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</si>
  <si>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</si>
  <si>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</si>
  <si>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</si>
  <si>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</si>
  <si>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</si>
  <si>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</si>
  <si>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</si>
  <si>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</si>
  <si>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</si>
  <si>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</si>
  <si>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</si>
  <si>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</si>
  <si>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</si>
  <si>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</si>
  <si>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</si>
  <si>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</si>
  <si>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</si>
  <si>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</si>
  <si>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</si>
  <si>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</si>
  <si>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</si>
  <si>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</si>
  <si>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</si>
  <si>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</si>
  <si>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</si>
  <si>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</si>
  <si>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</si>
  <si>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</si>
  <si>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</si>
  <si>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</si>
  <si>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</si>
  <si>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</si>
  <si>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</si>
  <si>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</si>
  <si>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</si>
  <si>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</si>
  <si>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</si>
  <si>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</si>
  <si>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</si>
  <si>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</si>
  <si>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</si>
  <si>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</si>
  <si>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</si>
  <si>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</si>
  <si>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</si>
  <si>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</si>
  <si>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</si>
  <si>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</si>
  <si>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</si>
  <si>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</si>
  <si>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</si>
  <si>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</si>
  <si>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</si>
  <si>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</si>
  <si>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</si>
  <si>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</si>
  <si>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</si>
  <si>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</si>
  <si>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</si>
  <si>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</si>
  <si>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</si>
  <si>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</si>
  <si>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</si>
  <si>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</si>
  <si>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</si>
  <si>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</si>
  <si>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</si>
  <si>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</si>
  <si>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</si>
  <si>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</si>
  <si>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</si>
  <si>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</si>
  <si>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</si>
  <si>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</si>
  <si>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</si>
  <si>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</si>
  <si>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</si>
  <si>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</si>
  <si>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</si>
  <si>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</si>
  <si>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</si>
  <si>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</si>
  <si>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</si>
  <si>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</si>
  <si>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</si>
  <si>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</si>
  <si>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</si>
  <si>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</si>
  <si>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</si>
  <si>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</si>
  <si>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</si>
  <si>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</si>
  <si>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</si>
  <si>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</si>
  <si>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</si>
  <si>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</si>
  <si>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</si>
  <si>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</si>
  <si>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</si>
  <si>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</si>
  <si>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</si>
  <si>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</si>
  <si>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</si>
  <si>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</si>
  <si>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</si>
  <si>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</si>
  <si>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</si>
  <si>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</si>
  <si>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</si>
  <si>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</si>
  <si>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</si>
  <si>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</si>
  <si>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</si>
  <si>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</si>
  <si>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</si>
  <si>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</si>
  <si>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</si>
  <si>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</si>
  <si>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</si>
  <si>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</si>
  <si>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</si>
  <si>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</si>
  <si>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</si>
  <si>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</si>
  <si>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</si>
  <si>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</si>
  <si>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</si>
  <si>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</si>
  <si>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</si>
  <si>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</si>
  <si>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</si>
  <si>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</si>
  <si>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</si>
  <si>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</si>
  <si>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</si>
  <si>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</si>
  <si>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</si>
  <si>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</si>
  <si>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</si>
  <si>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</si>
  <si>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</si>
  <si>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</si>
  <si>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</si>
  <si>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</si>
  <si>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</si>
  <si>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</si>
  <si>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</si>
  <si>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</si>
  <si>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</si>
  <si>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</si>
  <si>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</si>
  <si>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</si>
  <si>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</si>
  <si>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</si>
  <si>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</si>
  <si>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</si>
  <si>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</si>
  <si>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</si>
  <si>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</si>
  <si>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</si>
  <si>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</si>
  <si>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</si>
  <si>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</si>
  <si>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</si>
  <si>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</si>
  <si>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</si>
  <si>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</si>
  <si>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</si>
  <si>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</si>
  <si>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</si>
  <si>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</si>
  <si>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</si>
  <si>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</si>
  <si>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</si>
  <si>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</si>
  <si>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</si>
  <si>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</si>
  <si>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</si>
  <si>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</si>
  <si>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</si>
  <si>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</si>
  <si>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</si>
  <si>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</si>
  <si>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</si>
  <si>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</si>
  <si>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</si>
  <si>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</si>
  <si>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</si>
  <si>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</si>
  <si>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</si>
  <si>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</si>
  <si>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</si>
  <si>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</si>
  <si>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</si>
  <si>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</si>
  <si>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</si>
  <si>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</si>
  <si>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</si>
  <si>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</si>
  <si>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</si>
  <si>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</si>
  <si>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</si>
  <si>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</si>
  <si>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</si>
  <si>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</si>
  <si>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</si>
  <si>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</si>
  <si>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</si>
  <si>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</si>
  <si>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</si>
  <si>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</si>
  <si>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</si>
  <si>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</si>
  <si>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</si>
  <si>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</si>
  <si>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</si>
  <si>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</si>
  <si>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</si>
  <si>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</si>
  <si>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</si>
  <si>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</si>
  <si>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</si>
  <si>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</si>
  <si>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</si>
  <si>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</si>
  <si>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</si>
  <si>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</si>
  <si>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</si>
  <si>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</si>
  <si>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</si>
  <si>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</si>
  <si>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</si>
  <si>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</si>
  <si>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</si>
  <si>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</si>
  <si>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</si>
  <si>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</si>
  <si>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</si>
  <si>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</si>
  <si>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</si>
  <si>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</si>
  <si>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</si>
  <si>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</si>
  <si>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</si>
  <si>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</si>
  <si>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</si>
  <si>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</si>
  <si>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</si>
  <si>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</si>
  <si>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</si>
  <si>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</si>
  <si>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</si>
  <si>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</si>
  <si>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</si>
  <si>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</si>
  <si>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</si>
  <si>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</si>
  <si>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</si>
  <si>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</si>
  <si>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</si>
  <si>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</si>
  <si>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</si>
  <si>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</si>
  <si>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</si>
  <si>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</si>
  <si>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</si>
  <si>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</si>
  <si>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</si>
  <si>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</si>
  <si>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</si>
  <si>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</si>
  <si>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</si>
  <si>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</si>
  <si>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</si>
  <si>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</si>
  <si>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</si>
  <si>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</si>
  <si>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</si>
  <si>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</si>
  <si>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</si>
  <si>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</si>
  <si>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</si>
  <si>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</si>
  <si>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</si>
  <si>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</si>
  <si>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</si>
  <si>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</si>
  <si>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</si>
  <si>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</si>
  <si>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</si>
  <si>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</si>
  <si>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</si>
  <si>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</si>
  <si>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</si>
  <si>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</si>
  <si>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</si>
  <si>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</si>
  <si>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</si>
  <si>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</si>
  <si>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</si>
  <si>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</si>
  <si>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</si>
  <si>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</si>
  <si>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</si>
  <si>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</si>
  <si>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</si>
  <si>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</si>
  <si>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</si>
  <si>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</si>
  <si>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</si>
  <si>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</si>
  <si>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</si>
  <si>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</si>
  <si>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</si>
  <si>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</si>
  <si>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</si>
  <si>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</si>
  <si>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</si>
  <si>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</si>
  <si>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</si>
  <si>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</si>
  <si>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</si>
  <si>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</si>
  <si>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</si>
  <si>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</si>
  <si>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</si>
  <si>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</si>
  <si>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</si>
  <si>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</si>
  <si>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</si>
  <si>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</si>
  <si>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</si>
  <si>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</si>
  <si>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</si>
  <si>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</si>
  <si>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</si>
  <si>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</si>
  <si>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</si>
  <si>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</si>
  <si>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</si>
  <si>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</si>
  <si>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</si>
  <si>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</si>
  <si>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</si>
  <si>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</si>
  <si>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</si>
  <si>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</si>
  <si>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</si>
  <si>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</si>
  <si>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</si>
  <si>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</si>
  <si>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</si>
  <si>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</si>
  <si>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</si>
  <si>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</si>
  <si>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</si>
  <si>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</si>
  <si>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</si>
  <si>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</si>
  <si>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</si>
  <si>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</si>
  <si>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</si>
  <si>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</si>
  <si>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</si>
  <si>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</si>
  <si>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</si>
  <si>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</si>
  <si>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</si>
  <si>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</si>
  <si>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</si>
  <si>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</si>
  <si>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</si>
  <si>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</si>
  <si>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</si>
  <si>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</si>
  <si>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</si>
  <si>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</si>
  <si>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</si>
  <si>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</si>
  <si>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</si>
  <si>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</si>
  <si>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</si>
  <si>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</si>
  <si>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</si>
  <si>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</si>
  <si>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</si>
  <si>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</si>
  <si>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</si>
  <si>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</si>
  <si>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</si>
  <si>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</si>
  <si>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</si>
  <si>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</si>
  <si>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</si>
  <si>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</si>
  <si>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</si>
  <si>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</si>
  <si>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</si>
  <si>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</si>
  <si>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</si>
  <si>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</si>
  <si>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</si>
  <si>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</si>
  <si>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</si>
  <si>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</si>
  <si>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</si>
  <si>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</si>
  <si>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</si>
  <si>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</si>
  <si>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</si>
  <si>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</si>
  <si>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</si>
  <si>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</si>
  <si>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</si>
  <si>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</si>
  <si>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</si>
  <si>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</si>
  <si>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</si>
  <si>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</si>
  <si>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</si>
  <si>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</si>
  <si>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</si>
  <si>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</si>
  <si>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</si>
  <si>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</si>
  <si>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</si>
  <si>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</si>
  <si>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</si>
  <si>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</si>
  <si>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</si>
  <si>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</si>
  <si>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</si>
  <si>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</si>
  <si>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</si>
  <si>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</si>
  <si>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</si>
  <si>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</si>
  <si>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</si>
  <si>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</si>
  <si>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</si>
  <si>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</si>
  <si>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</si>
  <si>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</si>
  <si>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</si>
  <si>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</si>
  <si>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</si>
  <si>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</si>
  <si>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</si>
  <si>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</si>
  <si>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</si>
  <si>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</si>
  <si>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</si>
  <si>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</si>
  <si>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</si>
  <si>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</si>
  <si>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</si>
  <si>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</si>
  <si>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</si>
  <si>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</si>
  <si>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</si>
  <si>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</si>
  <si>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</si>
  <si>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</si>
  <si>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</si>
  <si>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</si>
  <si>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</si>
  <si>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</si>
  <si>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</si>
  <si>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</si>
  <si>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</si>
  <si>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</si>
  <si>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</si>
  <si>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</si>
  <si>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</si>
  <si>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</si>
  <si>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</si>
  <si>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</si>
  <si>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</si>
  <si>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</si>
  <si>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</si>
  <si>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</si>
  <si>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</si>
  <si>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</si>
  <si>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</si>
  <si>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</si>
  <si>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</si>
  <si>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</si>
  <si>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</si>
  <si>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</si>
  <si>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</si>
  <si>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</si>
  <si>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</si>
  <si>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</si>
  <si>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</si>
  <si>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</si>
  <si>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</si>
  <si>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</si>
  <si>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</si>
  <si>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</si>
  <si>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</si>
  <si>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</si>
  <si>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</si>
  <si>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</si>
  <si>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</si>
  <si>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</si>
  <si>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</si>
  <si>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</si>
  <si>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</si>
  <si>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</si>
  <si>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</si>
  <si>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</si>
  <si>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</si>
  <si>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</si>
  <si>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</si>
  <si>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</si>
  <si>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</si>
  <si>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</si>
  <si>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</si>
  <si>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</si>
  <si>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</si>
  <si>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</si>
  <si>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</si>
  <si>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</si>
  <si>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</si>
  <si>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</si>
  <si>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</si>
  <si>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</si>
  <si>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</si>
  <si>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</si>
  <si>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</si>
  <si>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</si>
  <si>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</si>
  <si>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</si>
  <si>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</si>
  <si>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</si>
  <si>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</si>
  <si>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</si>
  <si>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</si>
  <si>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</si>
  <si>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</si>
  <si>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</si>
  <si>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</si>
  <si>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</si>
  <si>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</si>
  <si>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</si>
  <si>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</si>
  <si>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</si>
  <si>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</si>
  <si>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</si>
  <si>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</si>
  <si>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</si>
  <si>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</si>
  <si>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</si>
  <si>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</si>
  <si>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</si>
  <si>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</si>
  <si>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</si>
  <si>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</si>
  <si>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</si>
  <si>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</si>
  <si>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</si>
  <si>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</si>
  <si>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</si>
  <si>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</si>
  <si>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</si>
  <si>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</si>
  <si>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</si>
  <si>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</si>
  <si>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</si>
  <si>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</si>
  <si>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</si>
  <si>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</si>
  <si>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</si>
  <si>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</si>
  <si>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</si>
  <si>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</si>
  <si>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</si>
  <si>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</si>
  <si>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</si>
  <si>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</si>
  <si>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</si>
  <si>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</si>
  <si>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</si>
  <si>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</si>
  <si>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</si>
  <si>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</si>
  <si>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</si>
  <si>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</si>
  <si>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</si>
  <si>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</si>
  <si>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</si>
  <si>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</si>
  <si>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</si>
  <si>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</si>
  <si>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</si>
  <si>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</si>
  <si>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</si>
  <si>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</si>
  <si>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</si>
  <si>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</si>
  <si>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</si>
  <si>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</si>
  <si>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</si>
  <si>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</si>
  <si>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</si>
  <si>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</si>
  <si>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</si>
  <si>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</si>
  <si>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</si>
  <si>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</si>
  <si>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</si>
  <si>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</si>
  <si>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</si>
  <si>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</si>
  <si>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</si>
  <si>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</si>
  <si>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</si>
  <si>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</si>
  <si>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</si>
  <si>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</si>
  <si>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</si>
  <si>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</si>
  <si>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</si>
  <si>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</si>
  <si>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</si>
  <si>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</si>
  <si>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</si>
  <si>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</si>
  <si>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</si>
  <si>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</si>
  <si>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</si>
  <si>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</si>
  <si>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</si>
  <si>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</si>
  <si>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</si>
  <si>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</si>
  <si>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</si>
  <si>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</si>
  <si>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</si>
  <si>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</si>
  <si>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</si>
  <si>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</si>
  <si>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</si>
  <si>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</si>
  <si>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</si>
  <si>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</si>
  <si>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</si>
  <si>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</si>
  <si>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</si>
  <si>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</si>
  <si>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</si>
  <si>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</si>
  <si>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</si>
  <si>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</si>
  <si>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</si>
  <si>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</si>
  <si>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</si>
  <si>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</si>
  <si>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</si>
  <si>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</si>
  <si>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</si>
  <si>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</si>
  <si>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</si>
  <si>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</si>
  <si>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</si>
  <si>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</si>
  <si>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</si>
  <si>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</si>
  <si>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</si>
  <si>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</si>
  <si>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</si>
  <si>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</si>
  <si>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</si>
  <si>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</si>
  <si>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</si>
  <si>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</si>
  <si>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</si>
  <si>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</si>
  <si>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</si>
  <si>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</si>
  <si>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</si>
  <si>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</si>
  <si>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</si>
  <si>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</si>
  <si>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</si>
  <si>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</si>
  <si>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</si>
  <si>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</si>
  <si>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</si>
  <si>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</si>
  <si>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</si>
  <si>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</si>
  <si>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</si>
  <si>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</si>
  <si>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</si>
  <si>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</si>
  <si>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</si>
  <si>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</si>
  <si>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</si>
  <si>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</si>
  <si>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</si>
  <si>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</si>
  <si>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</si>
  <si>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</si>
  <si>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</si>
  <si>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</si>
  <si>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</si>
  <si>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</si>
  <si>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</si>
  <si>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</si>
  <si>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</si>
  <si>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</si>
  <si>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</si>
  <si>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</si>
  <si>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</si>
  <si>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</si>
  <si>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</si>
  <si>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</si>
  <si>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</si>
  <si>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</si>
  <si>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</si>
  <si>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</si>
  <si>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</si>
  <si>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</si>
  <si>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</si>
  <si>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</si>
  <si>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</si>
  <si>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</si>
  <si>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</si>
  <si>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</si>
  <si>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</si>
  <si>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</si>
  <si>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</si>
  <si>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</si>
  <si>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</si>
  <si>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</si>
  <si>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</si>
  <si>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</si>
  <si>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</si>
  <si>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</si>
  <si>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</si>
  <si>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</si>
  <si>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</si>
  <si>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</si>
  <si>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</si>
  <si>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</si>
  <si>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</si>
  <si>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</si>
  <si>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</si>
  <si>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</si>
  <si>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</si>
  <si>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</si>
  <si>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</si>
  <si>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</si>
  <si>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</si>
  <si>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</si>
  <si>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</si>
  <si>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</si>
  <si>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</si>
  <si>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</si>
  <si>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</si>
  <si>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</si>
  <si>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</si>
  <si>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</si>
  <si>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</si>
  <si>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</si>
  <si>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</si>
  <si>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</si>
  <si>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</si>
  <si>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</si>
  <si>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</si>
  <si>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</si>
  <si>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</si>
  <si>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</si>
  <si>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</si>
  <si>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</si>
  <si>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</si>
  <si>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</si>
  <si>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</si>
  <si>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</si>
  <si>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</si>
  <si>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</si>
  <si>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</si>
  <si>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</si>
  <si>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</si>
  <si>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</si>
  <si>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</si>
  <si>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</si>
  <si>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</si>
  <si>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</si>
  <si>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</si>
  <si>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</si>
  <si>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</si>
  <si>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</si>
  <si>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</si>
  <si>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</si>
  <si>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</si>
  <si>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</si>
  <si>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</si>
  <si>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</si>
  <si>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</si>
  <si>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</si>
  <si>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</si>
  <si>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</si>
  <si>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</si>
  <si>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</si>
  <si>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</si>
  <si>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</si>
  <si>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</si>
  <si>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</si>
  <si>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</si>
  <si>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</si>
  <si>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</si>
  <si>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</si>
  <si>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</si>
  <si>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</si>
  <si>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</si>
  <si>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</si>
  <si>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</si>
  <si>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</si>
  <si>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</si>
  <si>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</si>
  <si>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</si>
  <si>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</si>
  <si>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</si>
  <si>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</si>
  <si>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</si>
  <si>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</si>
  <si>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</si>
  <si>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</si>
  <si>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</si>
  <si>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</si>
  <si>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</si>
  <si>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</si>
  <si>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</si>
  <si>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</si>
  <si>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</si>
  <si>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</si>
  <si>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</si>
  <si>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</si>
  <si>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</si>
  <si>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</si>
  <si>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</si>
  <si>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</si>
  <si>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</si>
  <si>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</si>
  <si>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</si>
  <si>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</si>
  <si>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</si>
  <si>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</si>
  <si>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</si>
  <si>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</si>
  <si>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</si>
  <si>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</si>
  <si>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</si>
  <si>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</si>
  <si>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</si>
  <si>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</si>
  <si>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</si>
  <si>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</si>
  <si>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</si>
  <si>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</si>
  <si>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</si>
  <si>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</si>
  <si>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</si>
  <si>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</si>
  <si>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</si>
  <si>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</si>
  <si>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</si>
  <si>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</si>
  <si>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</si>
  <si>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</si>
  <si>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</si>
  <si>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</si>
  <si>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</si>
  <si>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</si>
  <si>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</si>
  <si>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</si>
  <si>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</si>
  <si>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</si>
  <si>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</si>
  <si>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</si>
  <si>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</si>
  <si>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</si>
  <si>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</si>
  <si>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</si>
  <si>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</si>
  <si>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</si>
  <si>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</si>
  <si>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</si>
  <si>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</si>
  <si>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</si>
  <si>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</si>
  <si>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</si>
  <si>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</si>
  <si>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</si>
  <si>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</si>
  <si>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</si>
  <si>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</si>
  <si>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</si>
  <si>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</si>
  <si>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</si>
  <si>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</si>
  <si>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</si>
  <si>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</si>
  <si>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</si>
  <si>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</si>
  <si>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</si>
  <si>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</si>
  <si>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</si>
  <si>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</si>
  <si>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</si>
  <si>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</si>
  <si>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</si>
  <si>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</si>
  <si>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</si>
  <si>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</si>
  <si>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</si>
  <si>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</si>
  <si>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</si>
  <si>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</si>
  <si>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</si>
  <si>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</si>
  <si>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</si>
  <si>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</si>
  <si>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</si>
  <si>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</si>
  <si>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</si>
  <si>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</si>
  <si>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</si>
  <si>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</si>
  <si>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</si>
  <si>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</si>
  <si>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</si>
  <si>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</si>
  <si>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</si>
  <si>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</si>
  <si>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</si>
  <si>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</si>
  <si>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</si>
  <si>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</si>
  <si>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</si>
  <si>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</si>
  <si>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</si>
  <si>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</si>
  <si>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</si>
  <si>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</si>
  <si>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</si>
  <si>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</si>
  <si>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</si>
  <si>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</si>
  <si>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</si>
  <si>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</si>
  <si>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</si>
  <si>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</si>
  <si>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</si>
  <si>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</si>
  <si>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</si>
  <si>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</si>
  <si>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</si>
  <si>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</si>
  <si>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</si>
  <si>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</si>
  <si>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</si>
  <si>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</si>
  <si>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</si>
  <si>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</si>
  <si>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</si>
  <si>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</si>
  <si>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</si>
  <si>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</si>
  <si>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</si>
  <si>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</si>
  <si>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</si>
  <si>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</si>
  <si>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</si>
  <si>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</si>
  <si>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</si>
  <si>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</si>
  <si>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</si>
  <si>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</si>
  <si>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</si>
  <si>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</si>
  <si>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</si>
  <si>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</si>
  <si>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</si>
  <si>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</si>
  <si>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</si>
  <si>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</si>
  <si>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</si>
  <si>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</si>
  <si>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</si>
  <si>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</si>
  <si>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</si>
  <si>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</si>
  <si>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</si>
  <si>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</si>
  <si>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</si>
  <si>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</si>
  <si>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</si>
  <si>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</si>
  <si>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</si>
  <si>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</si>
  <si>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</si>
  <si>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</si>
  <si>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</si>
  <si>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</si>
  <si>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</si>
  <si>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</si>
  <si>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</si>
  <si>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</si>
  <si>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</si>
  <si>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</si>
  <si>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</si>
  <si>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</si>
  <si>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</si>
  <si>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</si>
  <si>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</si>
  <si>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</si>
  <si>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</si>
  <si>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</si>
  <si>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</si>
  <si>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</si>
  <si>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</si>
  <si>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</si>
  <si>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</si>
  <si>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</si>
  <si>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</si>
  <si>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</si>
  <si>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</si>
  <si>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</si>
  <si>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</si>
  <si>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</si>
  <si>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</si>
  <si>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</si>
  <si>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</si>
  <si>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</si>
  <si>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</si>
  <si>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</si>
  <si>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</si>
  <si>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</si>
  <si>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</si>
  <si>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</si>
  <si>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</si>
  <si>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</si>
  <si>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</si>
  <si>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</si>
  <si>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</si>
  <si>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</si>
  <si>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</si>
  <si>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</si>
  <si>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</si>
  <si>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</si>
  <si>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</si>
  <si>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</si>
  <si>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</si>
  <si>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</si>
  <si>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</si>
  <si>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</si>
  <si>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</si>
  <si>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</si>
  <si>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</si>
  <si>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</si>
  <si>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</si>
  <si>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</si>
  <si>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</si>
  <si>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</si>
  <si>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</si>
  <si>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</si>
  <si>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</si>
  <si>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</si>
  <si>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</si>
  <si>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</si>
  <si>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</si>
  <si>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</si>
  <si>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</si>
  <si>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</si>
  <si>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</si>
  <si>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</si>
  <si>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</si>
  <si>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</si>
  <si>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</si>
  <si>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</si>
  <si>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</si>
  <si>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</si>
  <si>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</si>
  <si>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</si>
  <si>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</si>
  <si>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</si>
  <si>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</si>
  <si>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</si>
  <si>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</si>
  <si>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</si>
  <si>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</si>
  <si>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</si>
  <si>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</si>
  <si>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</si>
  <si>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</si>
  <si>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</si>
  <si>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</si>
  <si>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</si>
  <si>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</si>
  <si>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</si>
  <si>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</si>
  <si>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</si>
  <si>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</si>
  <si>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</si>
  <si>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</si>
  <si>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</si>
  <si>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</si>
  <si>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</si>
  <si>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</si>
  <si>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</si>
  <si>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</si>
  <si>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</si>
  <si>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</si>
  <si>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</si>
  <si>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</si>
  <si>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</si>
  <si>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</si>
  <si>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</si>
  <si>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</si>
  <si>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</si>
  <si>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</si>
  <si>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</si>
  <si>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</si>
  <si>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</si>
  <si>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</si>
  <si>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</si>
  <si>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</si>
  <si>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</si>
  <si>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</si>
  <si>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</si>
  <si>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</si>
  <si>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</si>
  <si>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</si>
  <si>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</si>
  <si>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</si>
  <si>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</si>
  <si>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</si>
  <si>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</si>
  <si>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</si>
  <si>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</si>
  <si>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</si>
  <si>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</si>
  <si>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</si>
  <si>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</si>
  <si>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</si>
  <si>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</si>
  <si>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</si>
  <si>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</si>
  <si>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</si>
  <si>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</si>
  <si>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</si>
  <si>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</si>
  <si>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</si>
  <si>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</si>
  <si>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</si>
  <si>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</si>
  <si>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</si>
  <si>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</si>
  <si>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</si>
  <si>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</si>
  <si>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</si>
  <si>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</si>
  <si>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</si>
  <si>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</si>
  <si>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</si>
  <si>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</si>
  <si>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</si>
  <si>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</si>
  <si>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</si>
  <si>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</si>
  <si>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</si>
  <si>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</si>
  <si>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</si>
  <si>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</si>
  <si>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</si>
  <si>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</si>
  <si>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</si>
  <si>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</si>
  <si>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</si>
  <si>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</si>
  <si>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</si>
  <si>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</si>
  <si>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</si>
  <si>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</si>
  <si>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</si>
  <si>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</si>
  <si>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</si>
  <si>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</si>
  <si>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</si>
  <si>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</si>
  <si>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</si>
  <si>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</si>
  <si>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</si>
  <si>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</si>
  <si>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</si>
  <si>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</si>
  <si>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</si>
  <si>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</si>
  <si>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</si>
  <si>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</si>
  <si>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</si>
  <si>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</si>
  <si>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</si>
  <si>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</si>
  <si>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</si>
  <si>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</si>
  <si>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</si>
  <si>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</si>
  <si>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</si>
  <si>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</si>
  <si>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</si>
  <si>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</si>
  <si>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</si>
  <si>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</si>
  <si>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</si>
  <si>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</si>
  <si>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</si>
  <si>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</si>
  <si>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</si>
  <si>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</si>
  <si>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</si>
  <si>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</si>
  <si>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</si>
  <si>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</si>
  <si>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</si>
  <si>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</si>
  <si>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</si>
  <si>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</si>
  <si>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</si>
  <si>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</si>
  <si>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</si>
  <si>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</si>
  <si>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</si>
  <si>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</si>
  <si>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</si>
  <si>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</si>
  <si>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</si>
  <si>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</si>
  <si>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</si>
  <si>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</si>
  <si>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</si>
  <si>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</si>
  <si>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</si>
  <si>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</si>
  <si>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</si>
  <si>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</si>
  <si>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</si>
  <si>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</si>
  <si>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</si>
  <si>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</si>
  <si>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</si>
  <si>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</si>
  <si>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</si>
  <si>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</si>
  <si>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</si>
  <si>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</si>
  <si>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</si>
  <si>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</si>
  <si>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</si>
  <si>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</si>
  <si>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</si>
  <si>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</si>
  <si>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</si>
  <si>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</si>
  <si>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</si>
  <si>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</si>
  <si>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</si>
  <si>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</si>
  <si>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</si>
  <si>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</si>
  <si>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</si>
  <si>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</si>
  <si>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</si>
  <si>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</si>
  <si>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</si>
  <si>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</si>
  <si>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</si>
  <si>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</si>
  <si>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</si>
  <si>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</si>
  <si>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</si>
  <si>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</si>
  <si>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</si>
  <si>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</si>
  <si>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</si>
  <si>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</si>
  <si>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</si>
  <si>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</si>
  <si>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</si>
  <si>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</si>
  <si>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</si>
  <si>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</si>
  <si>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</si>
  <si>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</si>
  <si>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</si>
  <si>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</si>
  <si>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</si>
  <si>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</si>
  <si>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</si>
  <si>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</si>
  <si>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</si>
  <si>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</si>
  <si>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</si>
  <si>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</si>
  <si>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</si>
  <si>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</si>
  <si>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</si>
  <si>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</si>
  <si>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</si>
  <si>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</si>
  <si>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</si>
  <si>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</si>
  <si>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</si>
  <si>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</si>
  <si>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</si>
  <si>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</si>
  <si>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</si>
  <si>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</si>
  <si>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</si>
  <si>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</si>
  <si>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</si>
  <si>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</si>
  <si>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</si>
  <si>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</si>
  <si>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</si>
  <si>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</si>
  <si>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</si>
  <si>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</si>
  <si>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</si>
  <si>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</si>
  <si>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</si>
  <si>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</si>
  <si>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</si>
  <si>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</si>
  <si>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</si>
  <si>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</si>
  <si>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</si>
  <si>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</si>
  <si>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</si>
  <si>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</si>
  <si>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</si>
  <si>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</si>
  <si>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</si>
  <si>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</si>
  <si>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</si>
  <si>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</si>
  <si>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</si>
  <si>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</si>
  <si>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</si>
  <si>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</si>
  <si>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</si>
  <si>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</si>
  <si>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</si>
  <si>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</si>
  <si>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</si>
  <si>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</si>
  <si>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</si>
  <si>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</si>
  <si>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</si>
  <si>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</si>
  <si>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</si>
  <si>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</si>
  <si>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</si>
  <si>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</si>
  <si>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</si>
  <si>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</si>
  <si>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</si>
  <si>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</si>
  <si>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</si>
  <si>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</si>
  <si>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</si>
  <si>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</si>
  <si>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</si>
  <si>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</si>
  <si>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</si>
  <si>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</si>
  <si>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</si>
  <si>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</si>
  <si>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</si>
  <si>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</si>
  <si>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</si>
  <si>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</si>
  <si>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</si>
  <si>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</si>
  <si>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</si>
  <si>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</si>
  <si>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</si>
  <si>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</si>
  <si>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</si>
  <si>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</si>
  <si>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</si>
  <si>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</si>
  <si>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</si>
  <si>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</si>
  <si>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</si>
  <si>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</si>
  <si>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</si>
  <si>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</si>
  <si>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</si>
  <si>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</si>
  <si>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</si>
  <si>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</si>
  <si>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</si>
  <si>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</si>
  <si>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</si>
  <si>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</si>
  <si>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</si>
  <si>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</si>
  <si>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</si>
  <si>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</si>
  <si>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</si>
  <si>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</si>
  <si>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</si>
  <si>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</si>
  <si>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</si>
  <si>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</si>
  <si>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</si>
  <si>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</si>
  <si>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</si>
  <si>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</si>
  <si>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</si>
  <si>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</si>
  <si>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</si>
  <si>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</si>
  <si>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</si>
  <si>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</si>
  <si>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</si>
  <si>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</si>
  <si>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</si>
  <si>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</si>
  <si>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</si>
  <si>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</si>
  <si>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</si>
  <si>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</si>
  <si>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</si>
  <si>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</si>
  <si>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</si>
  <si>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</si>
  <si>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</si>
  <si>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</si>
  <si>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</si>
  <si>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</si>
  <si>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</si>
  <si>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</si>
  <si>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</si>
  <si>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</si>
  <si>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</si>
  <si>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</si>
  <si>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</si>
  <si>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</si>
  <si>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</si>
  <si>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</si>
  <si>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</si>
  <si>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</si>
  <si>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</si>
  <si>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</si>
  <si>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</si>
  <si>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</si>
  <si>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</si>
  <si>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</si>
  <si>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</si>
  <si>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</si>
  <si>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</si>
  <si>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</si>
  <si>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</si>
  <si>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</si>
  <si>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</si>
  <si>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</si>
  <si>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</si>
  <si>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</si>
  <si>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</si>
  <si>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</si>
  <si>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</si>
  <si>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</si>
  <si>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</si>
  <si>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</si>
  <si>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</si>
  <si>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</si>
  <si>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</si>
  <si>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</si>
  <si>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</si>
  <si>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</si>
  <si>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</si>
  <si>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</si>
  <si>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</si>
  <si>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</si>
  <si>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</si>
  <si>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</si>
  <si>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</si>
  <si>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</si>
  <si>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</si>
  <si>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</si>
  <si>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</si>
  <si>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</si>
  <si>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</si>
  <si>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</si>
  <si>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</si>
  <si>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</si>
  <si>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</si>
  <si>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</si>
  <si>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</si>
  <si>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</si>
  <si>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</si>
  <si>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</si>
  <si>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</si>
  <si>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</si>
  <si>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</si>
  <si>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</si>
  <si>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</si>
  <si>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</si>
  <si>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</si>
  <si>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</si>
  <si>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</si>
  <si>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</si>
  <si>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</si>
  <si>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</si>
  <si>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</si>
  <si>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</si>
  <si>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</si>
  <si>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</si>
  <si>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</si>
  <si>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</si>
  <si>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</si>
  <si>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</si>
  <si>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</si>
  <si>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</si>
  <si>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</si>
  <si>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</si>
  <si>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</si>
  <si>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</si>
  <si>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</si>
  <si>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</si>
  <si>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</si>
  <si>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</si>
  <si>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</si>
  <si>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</si>
  <si>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</si>
  <si>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</si>
  <si>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</si>
  <si>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</si>
  <si>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</si>
  <si>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</si>
  <si>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</si>
  <si>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</si>
  <si>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</si>
  <si>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</si>
  <si>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</si>
  <si>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</si>
  <si>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</si>
  <si>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</si>
  <si>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</si>
  <si>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</si>
  <si>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</si>
  <si>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</si>
  <si>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</si>
  <si>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</si>
  <si>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</si>
  <si>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</si>
  <si>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</si>
  <si>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</si>
  <si>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</si>
  <si>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</si>
  <si>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</si>
  <si>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</si>
  <si>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</si>
  <si>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</si>
  <si>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</si>
  <si>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</si>
  <si>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</si>
  <si>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</si>
  <si>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</si>
  <si>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</si>
  <si>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</si>
  <si>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</si>
  <si>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</si>
  <si>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</si>
  <si>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</si>
  <si>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</si>
  <si>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</si>
  <si>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</si>
  <si>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</si>
  <si>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</si>
  <si>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</si>
  <si>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</si>
  <si>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</si>
  <si>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</si>
  <si>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</si>
  <si>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</si>
  <si>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</si>
  <si>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</si>
  <si>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</si>
  <si>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</si>
  <si>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</si>
  <si>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</si>
  <si>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</si>
  <si>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</si>
  <si>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</si>
  <si>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</si>
  <si>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</si>
  <si>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</si>
  <si>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</si>
  <si>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</si>
  <si>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</si>
  <si>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</si>
  <si>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</si>
  <si>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</si>
  <si>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</si>
  <si>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</si>
  <si>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</si>
  <si>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</si>
  <si>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</si>
  <si>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</si>
  <si>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</si>
  <si>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</si>
  <si>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</si>
  <si>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</si>
  <si>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</si>
  <si>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</si>
  <si>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</si>
  <si>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</si>
  <si>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</si>
  <si>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</si>
  <si>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</si>
  <si>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</si>
  <si>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</si>
  <si>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</si>
  <si>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</si>
  <si>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</si>
  <si>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</si>
  <si>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</si>
  <si>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</si>
  <si>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</si>
  <si>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</si>
  <si>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</si>
  <si>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</si>
  <si>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</si>
  <si>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</si>
  <si>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</si>
  <si>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</si>
  <si>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</si>
  <si>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</si>
  <si>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</si>
  <si>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</si>
  <si>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</si>
  <si>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</si>
  <si>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</si>
  <si>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</si>
  <si>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</si>
  <si>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</si>
  <si>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</si>
  <si>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</si>
  <si>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</si>
  <si>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</si>
  <si>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</si>
  <si>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</si>
  <si>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</si>
  <si>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</si>
  <si>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</si>
  <si>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</si>
  <si>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</si>
  <si>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</si>
  <si>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</si>
  <si>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</si>
  <si>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</si>
  <si>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</si>
  <si>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</si>
  <si>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</si>
  <si>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</si>
  <si>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</si>
  <si>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</si>
  <si>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</si>
  <si>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</si>
  <si>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</si>
  <si>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</si>
  <si>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</si>
  <si>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</si>
  <si>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</si>
  <si>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</si>
  <si>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</si>
  <si>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</si>
  <si>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</si>
  <si>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</si>
  <si>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</si>
  <si>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</si>
  <si>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</si>
  <si>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</si>
  <si>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</si>
  <si>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</si>
  <si>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</si>
  <si>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</si>
  <si>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</si>
  <si>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</si>
  <si>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</si>
  <si>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</si>
  <si>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</si>
  <si>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</si>
  <si>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</si>
  <si>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</si>
  <si>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</si>
  <si>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</si>
  <si>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</si>
  <si>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</si>
  <si>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</si>
  <si>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</si>
  <si>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</si>
  <si>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</si>
  <si>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</si>
  <si>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</si>
  <si>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</si>
  <si>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</si>
  <si>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</si>
  <si>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</si>
  <si>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</si>
  <si>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</si>
  <si>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</si>
  <si>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</si>
  <si>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</si>
  <si>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</si>
  <si>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</si>
  <si>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</si>
  <si>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</si>
  <si>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</si>
  <si>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</si>
  <si>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</si>
  <si>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</si>
  <si>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</si>
  <si>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</si>
  <si>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</si>
  <si>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</si>
  <si>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</si>
  <si>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</si>
  <si>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</si>
  <si>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</si>
  <si>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</si>
  <si>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</si>
  <si>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</si>
  <si>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</si>
  <si>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</si>
  <si>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</si>
  <si>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</si>
  <si>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</si>
  <si>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</si>
  <si>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</si>
  <si>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</si>
  <si>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</si>
  <si>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</si>
  <si>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</si>
  <si>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</si>
  <si>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</si>
  <si>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</si>
  <si>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</si>
  <si>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</si>
  <si>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</si>
  <si>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</si>
  <si>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</si>
  <si>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</si>
  <si>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</si>
  <si>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</si>
  <si>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</si>
  <si>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</si>
  <si>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</si>
  <si>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</si>
  <si>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</si>
  <si>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</si>
  <si>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</si>
  <si>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</si>
  <si>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</si>
  <si>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</si>
  <si>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</si>
  <si>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</si>
  <si>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</si>
  <si>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</si>
  <si>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</si>
  <si>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</si>
  <si>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</si>
  <si>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</si>
  <si>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</si>
  <si>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</si>
  <si>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</si>
  <si>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</si>
  <si>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</si>
  <si>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</si>
  <si>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</si>
  <si>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</si>
  <si>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</si>
  <si>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</si>
  <si>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</si>
  <si>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</si>
  <si>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</si>
  <si>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</si>
  <si>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</si>
  <si>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</si>
  <si>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</si>
  <si>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</si>
  <si>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</si>
  <si>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</si>
  <si>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</si>
  <si>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</si>
  <si>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</si>
  <si>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</si>
  <si>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</si>
  <si>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</si>
  <si>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</si>
  <si>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</si>
  <si>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</si>
  <si>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</si>
  <si>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</si>
  <si>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</si>
  <si>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</si>
  <si>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</si>
  <si>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</si>
  <si>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</si>
  <si>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</si>
  <si>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</si>
  <si>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</si>
  <si>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</si>
  <si>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</si>
  <si>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</si>
  <si>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</si>
  <si>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</si>
  <si>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</si>
  <si>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</si>
  <si>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</si>
  <si>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</si>
  <si>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</si>
  <si>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</si>
  <si>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</si>
  <si>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</si>
  <si>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</si>
  <si>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</si>
  <si>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</si>
  <si>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</si>
  <si>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</si>
  <si>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</si>
  <si>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</si>
  <si>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</si>
  <si>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</si>
  <si>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</si>
  <si>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</si>
  <si>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</si>
  <si>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</si>
  <si>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</si>
  <si>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</si>
  <si>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</si>
  <si>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</si>
  <si>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</si>
  <si>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</si>
  <si>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</si>
  <si>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</si>
  <si>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</si>
  <si>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</si>
  <si>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</si>
  <si>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</si>
  <si>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</si>
  <si>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</si>
  <si>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</si>
  <si>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</si>
  <si>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</si>
  <si>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</si>
  <si>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</si>
  <si>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</si>
  <si>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</si>
  <si>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</si>
  <si>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</si>
  <si>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</si>
  <si>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</si>
  <si>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</si>
  <si>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</si>
  <si>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</si>
  <si>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</si>
  <si>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</si>
  <si>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</si>
  <si>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</si>
  <si>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</si>
  <si>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</si>
  <si>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</si>
  <si>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</si>
  <si>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</si>
  <si>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</si>
  <si>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</si>
  <si>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</si>
  <si>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</si>
  <si>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</si>
  <si>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</si>
  <si>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</si>
  <si>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</si>
  <si>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</si>
  <si>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</si>
  <si>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</si>
  <si>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</si>
  <si>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</si>
  <si>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</si>
  <si>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</si>
  <si>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</si>
  <si>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</si>
  <si>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</si>
  <si>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</si>
  <si>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</si>
  <si>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</si>
  <si>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</si>
  <si>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</si>
  <si>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</si>
  <si>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</si>
  <si>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</si>
  <si>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</si>
  <si>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</si>
  <si>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</si>
  <si>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</si>
  <si>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</si>
  <si>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</si>
  <si>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</si>
  <si>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</si>
  <si>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</si>
  <si>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</si>
  <si>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</si>
  <si>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</si>
  <si>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</si>
  <si>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</si>
  <si>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</si>
  <si>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</si>
  <si>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</si>
  <si>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</si>
  <si>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</si>
  <si>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</si>
  <si>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</si>
  <si>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</si>
  <si>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</si>
  <si>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</si>
  <si>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</si>
  <si>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</si>
  <si>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</si>
  <si>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</si>
  <si>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</si>
  <si>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</si>
  <si>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</si>
  <si>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</si>
  <si>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</si>
  <si>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</si>
  <si>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</si>
  <si>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</si>
  <si>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</si>
  <si>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</si>
  <si>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</si>
  <si>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</si>
  <si>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</si>
  <si>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</si>
  <si>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</si>
  <si>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</si>
  <si>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</si>
  <si>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</si>
  <si>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</si>
  <si>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</si>
  <si>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</si>
  <si>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</si>
  <si>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</si>
  <si>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</si>
  <si>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</si>
  <si>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</si>
  <si>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</si>
  <si>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</si>
  <si>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</si>
  <si>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</si>
  <si>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</si>
  <si>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</si>
  <si>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</si>
  <si>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</si>
  <si>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</si>
  <si>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</si>
  <si>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</si>
  <si>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</si>
  <si>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</si>
  <si>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</si>
  <si>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</si>
  <si>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</si>
  <si>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</si>
  <si>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</si>
  <si>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</si>
  <si>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</si>
  <si>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</si>
  <si>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</si>
  <si>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</si>
  <si>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</si>
  <si>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</si>
  <si>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</si>
  <si>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</si>
  <si>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</si>
  <si>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</si>
  <si>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</si>
  <si>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</si>
  <si>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</si>
  <si>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</si>
  <si>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</si>
  <si>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</si>
  <si>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</si>
  <si>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</si>
  <si>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</si>
  <si>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</si>
  <si>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</si>
  <si>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</si>
  <si>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</si>
  <si>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</si>
  <si>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</si>
  <si>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</si>
  <si>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</si>
  <si>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</si>
  <si>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</si>
  <si>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</si>
  <si>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</si>
  <si>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</si>
  <si>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</si>
  <si>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</si>
  <si>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</si>
  <si>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</si>
  <si>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</si>
  <si>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</si>
  <si>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</si>
  <si>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</si>
  <si>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</si>
  <si>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</si>
  <si>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</si>
  <si>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</si>
  <si>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</si>
  <si>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</si>
  <si>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</si>
  <si>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</si>
  <si>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</si>
  <si>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</si>
  <si>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</si>
  <si>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</si>
  <si>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</si>
  <si>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</si>
  <si>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</si>
  <si>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</si>
  <si>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</si>
  <si>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</si>
  <si>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</si>
  <si>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</si>
  <si>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</si>
  <si>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</si>
  <si>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</si>
  <si>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</si>
  <si>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</si>
  <si>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</si>
  <si>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</si>
  <si>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</si>
  <si>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</si>
  <si>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</si>
  <si>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</si>
  <si>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</si>
  <si>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</si>
  <si>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</si>
  <si>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</si>
  <si>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</si>
  <si>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</si>
  <si>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</si>
  <si>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</si>
  <si>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</si>
  <si>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</si>
  <si>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</si>
  <si>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</si>
  <si>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</si>
  <si>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</si>
  <si>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</si>
  <si>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</si>
  <si>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</si>
  <si>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</si>
  <si>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</si>
  <si>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</si>
  <si>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</si>
  <si>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</si>
  <si>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</si>
  <si>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</si>
  <si>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</si>
  <si>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</si>
  <si>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</si>
  <si>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</si>
  <si>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</si>
  <si>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</si>
  <si>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</si>
  <si>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</si>
  <si>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</si>
  <si>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</si>
  <si>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</si>
  <si>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</si>
  <si>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</si>
  <si>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</si>
  <si>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</si>
  <si>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</si>
  <si>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</si>
  <si>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</si>
  <si>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</si>
  <si>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</si>
  <si>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</si>
  <si>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</si>
  <si>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</si>
  <si>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</si>
  <si>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</si>
  <si>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</si>
  <si>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</si>
  <si>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</si>
  <si>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</si>
  <si>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</si>
  <si>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</si>
  <si>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</si>
  <si>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</si>
  <si>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</si>
  <si>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</si>
  <si>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</si>
  <si>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</si>
  <si>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</si>
  <si>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</si>
  <si>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</si>
  <si>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</si>
  <si>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</si>
  <si>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</si>
  <si>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</si>
  <si>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</si>
  <si>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</si>
  <si>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</si>
  <si>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</si>
  <si>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</si>
  <si>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</si>
  <si>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</si>
  <si>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</si>
  <si>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</si>
  <si>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</si>
  <si>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</si>
  <si>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</si>
  <si>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</si>
  <si>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</si>
  <si>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</si>
  <si>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</si>
  <si>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</si>
  <si>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</si>
  <si>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</si>
  <si>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</si>
  <si>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</si>
  <si>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</si>
  <si>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</si>
  <si>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</si>
  <si>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</si>
  <si>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</si>
  <si>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</si>
  <si>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</si>
  <si>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</si>
  <si>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</si>
  <si>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</si>
  <si>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</si>
  <si>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</si>
  <si>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</si>
  <si>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</si>
  <si>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</si>
  <si>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</si>
  <si>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</si>
  <si>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</si>
  <si>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</si>
  <si>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</si>
  <si>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</si>
  <si>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</si>
  <si>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</si>
  <si>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</si>
  <si>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</si>
  <si>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</si>
  <si>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</si>
  <si>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</si>
  <si>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</si>
  <si>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</si>
  <si>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</si>
  <si>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</si>
  <si>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</si>
  <si>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</si>
  <si>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</si>
  <si>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</si>
  <si>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</si>
  <si>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</si>
  <si>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</si>
  <si>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</si>
  <si>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</si>
  <si>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</si>
  <si>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</si>
  <si>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</si>
  <si>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</si>
  <si>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</si>
  <si>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</si>
  <si>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</si>
  <si>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</si>
  <si>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</si>
  <si>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</si>
  <si>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</si>
  <si>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</si>
  <si>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</si>
  <si>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</si>
  <si>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</si>
  <si>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</si>
  <si>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</si>
  <si>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</si>
  <si>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</si>
  <si>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</si>
  <si>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</si>
  <si>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</si>
  <si>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</si>
  <si>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</si>
  <si>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</si>
  <si>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</si>
  <si>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</si>
  <si>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</si>
  <si>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</si>
  <si>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</si>
  <si>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</si>
  <si>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</si>
  <si>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</si>
  <si>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</si>
  <si>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</si>
  <si>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</si>
  <si>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</si>
  <si>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</si>
  <si>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</si>
  <si>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</si>
  <si>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</si>
  <si>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</si>
  <si>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</si>
  <si>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</si>
  <si>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</si>
  <si>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</si>
  <si>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</si>
  <si>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</si>
  <si>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</si>
  <si>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</si>
  <si>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</si>
  <si>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</si>
  <si>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</si>
  <si>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</si>
  <si>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</si>
  <si>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</si>
  <si>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</si>
  <si>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</si>
  <si>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</si>
  <si>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</si>
  <si>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</si>
  <si>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</si>
  <si>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</si>
  <si>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</si>
  <si>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</si>
  <si>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</si>
  <si>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</si>
  <si>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</si>
  <si>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</si>
  <si>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</si>
  <si>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</si>
  <si>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</si>
  <si>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</si>
  <si>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</si>
  <si>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</si>
  <si>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</si>
  <si>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</si>
  <si>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</si>
  <si>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</si>
  <si>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</si>
  <si>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</si>
  <si>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</si>
  <si>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</si>
  <si>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</si>
  <si>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</si>
  <si>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</si>
  <si>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</si>
  <si>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</si>
  <si>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</si>
  <si>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</si>
  <si>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</si>
  <si>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</si>
  <si>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</si>
  <si>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</si>
  <si>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</si>
  <si>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</si>
  <si>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</si>
  <si>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</si>
  <si>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</si>
  <si>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</si>
  <si>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</si>
  <si>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</si>
  <si>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</si>
  <si>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</si>
  <si>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</si>
  <si>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</si>
  <si>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</si>
  <si>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</si>
  <si>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</si>
  <si>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</si>
  <si>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</si>
  <si>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</si>
  <si>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</si>
  <si>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</si>
  <si>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</si>
  <si>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</si>
  <si>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</si>
  <si>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</si>
  <si>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</si>
  <si>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</si>
  <si>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</si>
  <si>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</si>
  <si>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</si>
  <si>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</si>
  <si>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</si>
  <si>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</si>
  <si>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</si>
  <si>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</si>
  <si>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</si>
  <si>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</si>
  <si>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</si>
  <si>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</si>
  <si>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</si>
  <si>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</si>
  <si>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</si>
  <si>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</si>
  <si>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</si>
  <si>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</si>
  <si>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</si>
  <si>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</si>
  <si>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</si>
  <si>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</si>
  <si>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</si>
  <si>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</si>
  <si>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</si>
  <si>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</si>
  <si>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</si>
  <si>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</si>
  <si>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</si>
  <si>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</si>
  <si>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</si>
  <si>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</si>
  <si>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</si>
  <si>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</si>
  <si>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</si>
  <si>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</si>
  <si>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</si>
  <si>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</si>
  <si>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</si>
  <si>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</si>
  <si>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</si>
  <si>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</si>
  <si>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</si>
  <si>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</si>
  <si>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</si>
  <si>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</si>
  <si>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</si>
  <si>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</si>
  <si>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</si>
  <si>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</si>
  <si>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</si>
  <si>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</si>
  <si>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</si>
  <si>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</si>
  <si>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</si>
  <si>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</si>
  <si>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</si>
  <si>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</si>
  <si>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</si>
  <si>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</si>
  <si>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</si>
  <si>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</si>
  <si>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</si>
  <si>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</si>
  <si>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</si>
  <si>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</si>
  <si>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</si>
  <si>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</si>
  <si>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</si>
  <si>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</si>
  <si>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</si>
  <si>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</si>
  <si>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</si>
  <si>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</si>
  <si>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</si>
  <si>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</si>
  <si>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</si>
  <si>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</si>
  <si>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</si>
  <si>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</si>
  <si>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</si>
  <si>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</si>
  <si>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</si>
  <si>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</si>
  <si>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</si>
  <si>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</si>
  <si>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</si>
  <si>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</si>
  <si>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</si>
  <si>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</si>
  <si>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</si>
  <si>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</si>
  <si>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</si>
  <si>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</si>
  <si>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</si>
  <si>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</si>
  <si>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</si>
  <si>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</si>
  <si>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</si>
  <si>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</si>
  <si>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</si>
  <si>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</si>
  <si>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</si>
  <si>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</si>
  <si>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</si>
  <si>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</si>
  <si>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</si>
  <si>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</si>
  <si>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</si>
  <si>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</si>
  <si>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</si>
  <si>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</si>
  <si>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</si>
  <si>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</si>
  <si>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</si>
  <si>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</si>
  <si>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</si>
  <si>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</si>
  <si>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</si>
  <si>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</si>
  <si>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</si>
  <si>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</si>
  <si>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</si>
  <si>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</si>
  <si>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</si>
  <si>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</si>
  <si>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</si>
  <si>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</si>
  <si>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</si>
  <si>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</si>
  <si>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</si>
  <si>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</si>
  <si>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</si>
  <si>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</si>
  <si>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</si>
  <si>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</si>
  <si>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</si>
  <si>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</si>
  <si>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</si>
  <si>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</si>
  <si>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</si>
  <si>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</si>
  <si>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</si>
  <si>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</si>
  <si>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</si>
  <si>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</si>
  <si>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</si>
  <si>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</si>
  <si>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</si>
  <si>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</si>
  <si>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</si>
  <si>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</si>
  <si>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</si>
  <si>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</si>
  <si>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</si>
  <si>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</si>
  <si>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</si>
  <si>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</si>
  <si>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</si>
  <si>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</si>
  <si>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</si>
  <si>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</si>
  <si>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</si>
  <si>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</si>
  <si>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</si>
  <si>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</si>
  <si>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</si>
  <si>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</si>
  <si>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</si>
  <si>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</si>
  <si>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</si>
  <si>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</si>
  <si>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</si>
  <si>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</si>
  <si>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</si>
  <si>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</si>
  <si>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</si>
  <si>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</si>
  <si>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</si>
  <si>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</si>
  <si>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</si>
  <si>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</si>
  <si>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</si>
  <si>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</si>
  <si>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</si>
  <si>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</si>
  <si>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</si>
  <si>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</si>
  <si>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</si>
  <si>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</si>
  <si>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</si>
  <si>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</si>
  <si>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</si>
  <si>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</si>
  <si>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</si>
  <si>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</si>
  <si>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</si>
  <si>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</si>
  <si>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</si>
  <si>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</si>
  <si>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</si>
  <si>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</si>
  <si>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</si>
  <si>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</si>
  <si>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</si>
  <si>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</si>
  <si>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</si>
  <si>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</si>
  <si>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</si>
  <si>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</si>
  <si>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</si>
  <si>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</si>
  <si>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</si>
  <si>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</si>
  <si>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</si>
  <si>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</si>
  <si>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</si>
  <si>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</si>
  <si>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</si>
  <si>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</si>
  <si>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</si>
  <si>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</si>
  <si>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</si>
  <si>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</si>
  <si>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</si>
  <si>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</si>
  <si>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</si>
  <si>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</si>
  <si>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</si>
  <si>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</si>
  <si>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</si>
  <si>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</si>
  <si>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</si>
  <si>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</si>
  <si>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</si>
  <si>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</si>
  <si>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</si>
  <si>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</si>
  <si>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</si>
  <si>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</si>
  <si>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</si>
  <si>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</si>
  <si>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</si>
  <si>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</si>
  <si>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</si>
  <si>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</si>
  <si>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</si>
  <si>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</si>
  <si>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</si>
  <si>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</si>
  <si>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</si>
  <si>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</si>
  <si>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</si>
  <si>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</si>
  <si>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</si>
  <si>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</si>
  <si>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</si>
  <si>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</si>
  <si>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</si>
  <si>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</si>
  <si>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</si>
  <si>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</si>
  <si>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</si>
  <si>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</si>
  <si>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</si>
  <si>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</si>
  <si>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</si>
  <si>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</si>
  <si>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</si>
  <si>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</si>
  <si>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</si>
  <si>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</si>
  <si>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</si>
  <si>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</si>
  <si>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</si>
  <si>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</si>
  <si>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</si>
  <si>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</si>
  <si>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</si>
  <si>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</si>
  <si>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</si>
  <si>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</si>
  <si>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</si>
  <si>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</si>
  <si>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</si>
  <si>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</si>
  <si>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</si>
  <si>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</si>
  <si>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</si>
  <si>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</si>
  <si>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</si>
  <si>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</si>
  <si>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</si>
  <si>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</si>
  <si>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</si>
  <si>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</si>
  <si>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</si>
  <si>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</si>
  <si>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</si>
  <si>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</si>
  <si>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</si>
  <si>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</si>
  <si>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</si>
  <si>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</si>
  <si>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</si>
  <si>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</si>
  <si>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</si>
  <si>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</si>
  <si>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</si>
  <si>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</si>
  <si>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</si>
  <si>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</si>
  <si>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</si>
  <si>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</si>
  <si>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</si>
  <si>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</si>
  <si>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</si>
  <si>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</si>
  <si>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</si>
  <si>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</si>
  <si>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</si>
  <si>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</si>
  <si>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</si>
  <si>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</si>
  <si>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</si>
  <si>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</si>
  <si>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</si>
  <si>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</si>
  <si>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</si>
  <si>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</si>
  <si>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</si>
  <si>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</si>
  <si>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</si>
  <si>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</si>
  <si>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</si>
  <si>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</si>
  <si>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</si>
  <si>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</si>
  <si>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</si>
  <si>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</si>
  <si>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</si>
  <si>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</si>
  <si>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</si>
  <si>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</si>
  <si>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</si>
  <si>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</si>
  <si>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</si>
  <si>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</si>
  <si>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</si>
  <si>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</si>
  <si>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</si>
  <si>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</si>
  <si>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</si>
  <si>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</si>
  <si>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</si>
  <si>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</si>
  <si>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</si>
  <si>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</si>
  <si>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</si>
  <si>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</si>
  <si>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</si>
  <si>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</si>
  <si>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</si>
  <si>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</si>
  <si>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</si>
  <si>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</si>
  <si>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</si>
  <si>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</si>
  <si>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</si>
  <si>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</si>
  <si>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</si>
  <si>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</si>
  <si>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</si>
  <si>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</si>
  <si>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</si>
  <si>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</si>
  <si>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</si>
  <si>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</si>
  <si>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</si>
  <si>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</si>
  <si>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</si>
  <si>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</si>
  <si>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</si>
  <si>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</si>
  <si>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</si>
  <si>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</si>
  <si>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</si>
  <si>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</si>
  <si>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</si>
  <si>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</si>
  <si>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</si>
  <si>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</si>
  <si>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</si>
  <si>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</si>
  <si>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</si>
  <si>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</si>
  <si>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</si>
  <si>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</si>
  <si>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</si>
  <si>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</si>
  <si>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</si>
  <si>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</si>
  <si>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</si>
  <si>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</si>
  <si>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</si>
  <si>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</si>
  <si>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</si>
  <si>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</si>
  <si>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</si>
  <si>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</si>
  <si>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</si>
  <si>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</si>
  <si>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</si>
  <si>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</si>
  <si>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</si>
  <si>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</si>
  <si>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</si>
  <si>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</si>
  <si>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</si>
  <si>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</si>
  <si>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</si>
  <si>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</si>
  <si>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</si>
  <si>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</si>
  <si>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</si>
  <si>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</si>
  <si>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</si>
  <si>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</si>
  <si>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</si>
  <si>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</si>
  <si>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</si>
  <si>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</si>
  <si>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</si>
  <si>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</si>
  <si>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</si>
  <si>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</si>
  <si>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</si>
  <si>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</si>
  <si>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</si>
  <si>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</si>
  <si>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</si>
  <si>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</si>
  <si>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</si>
  <si>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</si>
  <si>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</si>
  <si>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</si>
  <si>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</si>
  <si>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</si>
  <si>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</si>
  <si>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</si>
  <si>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</si>
  <si>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</si>
  <si>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</si>
  <si>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</si>
  <si>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</si>
  <si>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</si>
  <si>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</si>
  <si>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</si>
  <si>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</si>
  <si>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</si>
  <si>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</si>
  <si>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</si>
  <si>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</si>
  <si>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</si>
  <si>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</si>
  <si>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</si>
  <si>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</si>
  <si>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</si>
  <si>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</si>
  <si>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</si>
  <si>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</si>
  <si>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</si>
  <si>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</si>
  <si>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</si>
  <si>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</si>
  <si>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</si>
  <si>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</si>
  <si>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</si>
  <si>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</si>
  <si>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</si>
  <si>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</si>
  <si>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</si>
  <si>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</si>
  <si>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</si>
  <si>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</si>
  <si>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</si>
  <si>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</si>
  <si>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</si>
  <si>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</si>
  <si>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</si>
  <si>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</si>
  <si>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</si>
  <si>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</si>
  <si>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</si>
  <si>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</si>
  <si>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</si>
  <si>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</si>
  <si>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</si>
  <si>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</si>
  <si>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</si>
  <si>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</si>
  <si>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</si>
  <si>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</si>
  <si>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</si>
  <si>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</si>
  <si>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</si>
  <si>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</si>
  <si>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</si>
  <si>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</si>
  <si>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</si>
  <si>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</si>
  <si>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</si>
  <si>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</si>
  <si>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</si>
  <si>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</si>
  <si>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</si>
  <si>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</si>
  <si>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</si>
  <si>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</si>
  <si>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</si>
  <si>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</si>
  <si>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</si>
  <si>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</si>
  <si>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</si>
  <si>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</si>
  <si>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</si>
  <si>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</si>
  <si>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</si>
  <si>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</si>
  <si>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</si>
  <si>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</si>
  <si>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</si>
  <si>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</si>
  <si>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</si>
  <si>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</si>
  <si>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</si>
  <si>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</si>
  <si>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</si>
  <si>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</si>
  <si>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</si>
  <si>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</si>
  <si>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</si>
  <si>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</si>
  <si>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</si>
  <si>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</si>
  <si>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</si>
  <si>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</si>
  <si>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</si>
  <si>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</si>
  <si>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</si>
  <si>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</si>
  <si>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</si>
  <si>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</si>
  <si>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</si>
  <si>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</si>
  <si>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</si>
  <si>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</si>
  <si>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</si>
  <si>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</si>
  <si>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</si>
  <si>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</si>
  <si>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</si>
  <si>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</si>
  <si>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</si>
  <si>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</si>
  <si>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</si>
  <si>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</si>
  <si>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</si>
  <si>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</si>
  <si>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</si>
  <si>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</si>
  <si>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</si>
  <si>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</si>
  <si>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</si>
  <si>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</si>
  <si>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</si>
  <si>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</si>
  <si>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</si>
  <si>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</si>
  <si>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</si>
  <si>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</si>
  <si>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</si>
  <si>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</si>
  <si>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</si>
  <si>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</si>
  <si>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</si>
  <si>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</si>
  <si>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</si>
  <si>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</si>
  <si>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</si>
  <si>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</si>
  <si>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</si>
  <si>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</si>
  <si>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</si>
  <si>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</si>
  <si>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</si>
  <si>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</si>
  <si>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</si>
  <si>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</si>
  <si>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</si>
  <si>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</si>
  <si>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</si>
  <si>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</si>
  <si>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</si>
  <si>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</si>
  <si>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</si>
  <si>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</si>
  <si>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</si>
  <si>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</si>
  <si>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</si>
  <si>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</si>
  <si>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</si>
  <si>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</si>
  <si>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</si>
  <si>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</si>
  <si>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</si>
  <si>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</si>
  <si>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</si>
  <si>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</si>
  <si>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</si>
  <si>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</si>
  <si>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</si>
  <si>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</si>
  <si>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</si>
  <si>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</si>
  <si>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</si>
  <si>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</si>
  <si>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</si>
  <si>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</si>
  <si>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</si>
  <si>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</si>
  <si>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</si>
  <si>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</si>
  <si>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</si>
  <si>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</si>
  <si>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</si>
  <si>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</si>
  <si>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</si>
  <si>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</si>
  <si>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</si>
  <si>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</si>
  <si>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</si>
  <si>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</si>
  <si>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</si>
  <si>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</si>
  <si>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</si>
  <si>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</si>
  <si>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</si>
  <si>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</si>
  <si>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</si>
  <si>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</si>
  <si>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</si>
  <si>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</si>
  <si>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</si>
  <si>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</si>
  <si>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</si>
  <si>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</si>
  <si>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</si>
  <si>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</si>
  <si>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</si>
  <si>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</si>
  <si>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</si>
  <si>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</si>
  <si>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</si>
  <si>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</si>
  <si>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</si>
  <si>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</si>
  <si>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</si>
  <si>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</si>
  <si>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</si>
  <si>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</si>
  <si>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</si>
  <si>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</si>
  <si>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</si>
  <si>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</si>
  <si>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</si>
  <si>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</si>
  <si>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</si>
  <si>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</si>
  <si>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</si>
  <si>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</si>
  <si>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</si>
  <si>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</si>
  <si>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</si>
  <si>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</si>
  <si>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</si>
  <si>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</si>
  <si>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</si>
  <si>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</si>
  <si>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</si>
  <si>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</si>
  <si>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</si>
  <si>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</si>
  <si>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</si>
  <si>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</si>
  <si>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</si>
  <si>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</si>
  <si>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</si>
  <si>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</si>
  <si>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</si>
  <si>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</si>
  <si>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</si>
  <si>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</si>
  <si>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</si>
  <si>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</si>
  <si>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</si>
  <si>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</si>
  <si>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</si>
  <si>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</si>
  <si>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</si>
  <si>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</si>
  <si>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</si>
  <si>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</si>
  <si>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</si>
  <si>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</si>
  <si>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</si>
  <si>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</si>
  <si>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</si>
  <si>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</si>
  <si>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</si>
  <si>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</si>
  <si>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</si>
  <si>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</si>
  <si>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</si>
  <si>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</si>
  <si>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</si>
  <si>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</si>
  <si>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</si>
  <si>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</si>
  <si>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</si>
  <si>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</si>
  <si>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</si>
  <si>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</si>
  <si>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</si>
  <si>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</si>
  <si>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</si>
  <si>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</si>
  <si>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</si>
  <si>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</si>
  <si>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</si>
  <si>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</si>
  <si>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</si>
  <si>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</si>
  <si>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</si>
  <si>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</si>
  <si>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</si>
  <si>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</si>
  <si>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</si>
  <si>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</si>
  <si>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</si>
  <si>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</si>
  <si>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</si>
  <si>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</si>
  <si>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</si>
  <si>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</si>
  <si>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</si>
  <si>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</si>
  <si>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</si>
  <si>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</si>
  <si>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</si>
  <si>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</si>
  <si>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</si>
  <si>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</si>
  <si>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</si>
  <si>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</si>
  <si>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</si>
  <si>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</si>
  <si>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</si>
  <si>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</si>
  <si>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</si>
  <si>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</si>
  <si>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</si>
  <si>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</si>
  <si>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</si>
  <si>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</si>
  <si>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</si>
  <si>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</si>
  <si>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</si>
  <si>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</si>
  <si>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</si>
  <si>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</si>
  <si>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</si>
  <si>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</si>
  <si>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</si>
  <si>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</si>
  <si>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</si>
  <si>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</si>
  <si>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</si>
  <si>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</si>
  <si>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</si>
  <si>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</si>
  <si>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</si>
  <si>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</si>
  <si>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</si>
  <si>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</si>
  <si>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</si>
  <si>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</si>
  <si>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</si>
  <si>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</si>
  <si>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</si>
  <si>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</si>
  <si>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</si>
  <si>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</si>
  <si>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</si>
  <si>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</si>
  <si>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</si>
  <si>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</si>
  <si>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</si>
  <si>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</si>
  <si>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</si>
  <si>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</si>
  <si>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</si>
  <si>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</si>
  <si>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</si>
  <si>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</si>
  <si>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</si>
  <si>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</si>
  <si>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</si>
  <si>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</si>
  <si>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</si>
  <si>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</si>
  <si>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</si>
  <si>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</si>
  <si>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</si>
  <si>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</si>
  <si>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</si>
  <si>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</si>
  <si>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</si>
  <si>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</si>
  <si>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</si>
  <si>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</si>
  <si>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</si>
  <si>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</si>
  <si>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</si>
  <si>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</si>
  <si>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</si>
  <si>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</si>
  <si>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</si>
  <si>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</si>
  <si>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</si>
  <si>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</si>
  <si>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</si>
  <si>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</si>
  <si>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</si>
  <si>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</si>
  <si>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</si>
  <si>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</si>
  <si>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</si>
  <si>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</si>
  <si>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</si>
  <si>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</si>
  <si>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</si>
  <si>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</si>
  <si>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</si>
  <si>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</si>
  <si>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</si>
  <si>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</si>
  <si>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</si>
  <si>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</si>
  <si>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</si>
  <si>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</si>
  <si>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</si>
  <si>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</si>
  <si>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</si>
  <si>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</si>
  <si>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</si>
  <si>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</si>
  <si>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</si>
  <si>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</si>
  <si>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</si>
  <si>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</si>
  <si>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</si>
  <si>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</si>
  <si>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</si>
  <si>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</si>
  <si>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</si>
  <si>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</si>
  <si>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</si>
  <si>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</si>
  <si>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</si>
  <si>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</si>
  <si>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</si>
  <si>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</si>
  <si>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</si>
  <si>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</si>
  <si>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</si>
  <si>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</si>
  <si>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</si>
  <si>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</si>
  <si>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</si>
  <si>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</si>
  <si>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</si>
  <si>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</si>
  <si>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</si>
  <si>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</si>
  <si>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</si>
  <si>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</si>
  <si>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</si>
  <si>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</si>
  <si>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</si>
  <si>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</si>
  <si>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</si>
  <si>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</si>
  <si>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</si>
  <si>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</si>
  <si>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</si>
  <si>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</si>
  <si>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</si>
  <si>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</si>
  <si>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</si>
  <si>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</si>
  <si>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</si>
  <si>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</si>
  <si>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</si>
  <si>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</si>
  <si>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</si>
  <si>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</si>
  <si>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</si>
  <si>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</si>
  <si>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</si>
  <si>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</si>
  <si>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</si>
  <si>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</si>
  <si>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</si>
  <si>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</si>
  <si>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</si>
  <si>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</si>
  <si>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</si>
  <si>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</si>
  <si>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</si>
  <si>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</si>
  <si>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</si>
  <si>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</si>
  <si>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</si>
  <si>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</si>
  <si>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</si>
  <si>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</si>
  <si>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</si>
  <si>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</si>
  <si>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</si>
  <si>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</si>
  <si>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</si>
  <si>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</si>
  <si>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</si>
  <si>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</si>
  <si>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</si>
  <si>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</si>
  <si>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</si>
  <si>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</si>
  <si>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</si>
  <si>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</si>
  <si>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</si>
  <si>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</si>
  <si>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</si>
  <si>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</si>
  <si>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</si>
  <si>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</si>
  <si>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</si>
  <si>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</si>
  <si>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</si>
  <si>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</si>
  <si>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</si>
  <si>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</si>
  <si>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</si>
  <si>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</si>
  <si>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</si>
  <si>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</si>
  <si>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</si>
  <si>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</si>
  <si>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</si>
  <si>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</si>
  <si>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</si>
  <si>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</si>
  <si>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</si>
  <si>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</si>
  <si>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</si>
  <si>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</si>
  <si>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</si>
  <si>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</si>
  <si>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</si>
  <si>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</si>
  <si>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</si>
  <si>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</si>
  <si>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</si>
  <si>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</si>
  <si>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</si>
  <si>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</si>
  <si>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</si>
  <si>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</si>
  <si>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</si>
  <si>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</si>
  <si>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</si>
  <si>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</si>
  <si>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</si>
  <si>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</si>
  <si>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</si>
  <si>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</si>
  <si>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</si>
  <si>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</si>
  <si>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</si>
  <si>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</si>
  <si>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</si>
  <si>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</si>
  <si>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</si>
  <si>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</si>
  <si>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</si>
  <si>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</si>
  <si>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</si>
  <si>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</si>
  <si>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</si>
  <si>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</si>
  <si>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</si>
  <si>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</si>
  <si>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</si>
  <si>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</si>
  <si>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</si>
  <si>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</si>
  <si>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</si>
  <si>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</si>
  <si>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</si>
  <si>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</si>
  <si>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</si>
  <si>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</si>
  <si>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</si>
  <si>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</si>
  <si>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</si>
  <si>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</si>
  <si>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</si>
  <si>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</si>
  <si>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</si>
  <si>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</si>
  <si>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</si>
  <si>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</si>
  <si>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</si>
  <si>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</si>
  <si>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</si>
  <si>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</si>
  <si>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</si>
  <si>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</si>
  <si>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</si>
  <si>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</si>
  <si>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</si>
  <si>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</si>
  <si>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</si>
  <si>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</si>
  <si>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</si>
  <si>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</si>
  <si>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</si>
  <si>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</si>
  <si>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</si>
  <si>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</si>
  <si>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</si>
  <si>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</si>
  <si>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</si>
  <si>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</si>
  <si>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</si>
  <si>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</si>
  <si>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</si>
  <si>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</si>
  <si>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</si>
  <si>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</si>
  <si>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</si>
  <si>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</si>
  <si>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</si>
  <si>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</si>
  <si>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</si>
  <si>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</si>
  <si>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</si>
  <si>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</si>
  <si>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</si>
  <si>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</si>
  <si>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</si>
  <si>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</si>
  <si>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</si>
  <si>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</si>
  <si>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</si>
  <si>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</si>
  <si>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</si>
  <si>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</si>
  <si>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</si>
  <si>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</si>
  <si>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</si>
  <si>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</si>
  <si>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</si>
  <si>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</si>
  <si>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</si>
  <si>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</si>
  <si>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</si>
  <si>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</si>
  <si>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</si>
  <si>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</si>
  <si>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</si>
  <si>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</si>
  <si>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</si>
  <si>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</si>
  <si>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</si>
  <si>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</si>
  <si>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</si>
  <si>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</si>
  <si>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</si>
  <si>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</si>
  <si>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</si>
  <si>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</si>
  <si>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</si>
  <si>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</si>
  <si>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</si>
  <si>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</si>
  <si>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</si>
  <si>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</si>
  <si>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</si>
  <si>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</si>
  <si>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</si>
  <si>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</si>
  <si>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</si>
  <si>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</si>
  <si>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</si>
  <si>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</si>
  <si>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</si>
  <si>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</si>
  <si>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</si>
  <si>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</si>
  <si>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</si>
  <si>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</si>
  <si>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</si>
  <si>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</si>
  <si>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</si>
  <si>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</si>
  <si>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</si>
  <si>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</si>
  <si>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</si>
  <si>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</si>
  <si>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</si>
  <si>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</si>
  <si>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</si>
  <si>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</si>
  <si>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</si>
  <si>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</si>
  <si>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</si>
  <si>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</si>
  <si>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</si>
  <si>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</si>
  <si>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</si>
  <si>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</si>
  <si>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</si>
  <si>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</si>
  <si>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</si>
  <si>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</si>
  <si>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</si>
  <si>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</si>
  <si>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</si>
  <si>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</si>
  <si>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</si>
  <si>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</si>
  <si>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</si>
  <si>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</si>
  <si>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</si>
  <si>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</si>
  <si>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</si>
  <si>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</si>
  <si>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</si>
  <si>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</si>
  <si>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</si>
  <si>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</si>
  <si>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</si>
  <si>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</si>
  <si>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</si>
  <si>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</si>
  <si>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</si>
  <si>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</si>
  <si>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</si>
  <si>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</si>
  <si>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</si>
  <si>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</si>
  <si>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</si>
  <si>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</si>
  <si>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</si>
  <si>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</si>
  <si>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</si>
  <si>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</si>
  <si>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</si>
  <si>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</si>
  <si>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</si>
  <si>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</si>
  <si>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</si>
  <si>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</si>
  <si>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</si>
  <si>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</si>
  <si>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</si>
  <si>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</si>
  <si>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</si>
  <si>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</si>
  <si>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</si>
  <si>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</si>
  <si>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</si>
  <si>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</si>
  <si>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</si>
  <si>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</si>
  <si>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</si>
  <si>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</si>
  <si>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</si>
  <si>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</si>
  <si>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</si>
  <si>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</si>
  <si>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</si>
  <si>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</si>
  <si>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</si>
  <si>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</si>
  <si>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</si>
  <si>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</si>
  <si>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</si>
  <si>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</si>
  <si>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</si>
  <si>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</si>
  <si>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</si>
  <si>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</si>
  <si>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</si>
  <si>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</si>
  <si>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</si>
  <si>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</si>
  <si>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</si>
  <si>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</si>
  <si>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</si>
  <si>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</si>
  <si>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</si>
  <si>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</si>
  <si>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</si>
  <si>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</si>
  <si>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</si>
  <si>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</si>
  <si>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</si>
  <si>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</si>
  <si>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</si>
  <si>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</si>
  <si>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</si>
  <si>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</si>
  <si>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</si>
  <si>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</si>
  <si>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</si>
  <si>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</si>
  <si>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</si>
  <si>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</si>
  <si>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</si>
  <si>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</si>
  <si>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</si>
  <si>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</si>
  <si>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</si>
  <si>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</si>
  <si>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</si>
  <si>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</si>
  <si>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</si>
  <si>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</si>
  <si>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</si>
  <si>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</si>
  <si>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</si>
  <si>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</si>
  <si>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</si>
  <si>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</si>
  <si>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</si>
  <si>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</si>
  <si>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</si>
  <si>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</si>
  <si>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</si>
  <si>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</si>
  <si>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</si>
  <si>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</si>
  <si>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</si>
  <si>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</si>
  <si>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</si>
  <si>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</si>
  <si>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</si>
  <si>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</si>
  <si>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</si>
  <si>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</si>
  <si>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</si>
  <si>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</si>
  <si>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</si>
  <si>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</si>
  <si>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</si>
  <si>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</si>
  <si>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</si>
  <si>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</si>
  <si>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</si>
  <si>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</si>
  <si>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</si>
  <si>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</si>
  <si>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</si>
  <si>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</si>
  <si>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</si>
  <si>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</si>
  <si>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</si>
  <si>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</si>
  <si>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</si>
  <si>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</si>
  <si>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</si>
  <si>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</si>
  <si>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</si>
  <si>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</si>
  <si>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</si>
  <si>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</si>
  <si>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</si>
  <si>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</si>
  <si>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</si>
  <si>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</si>
  <si>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</si>
  <si>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</si>
  <si>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</si>
  <si>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</si>
  <si>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</si>
  <si>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</si>
  <si>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</si>
  <si>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</si>
  <si>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</si>
  <si>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</si>
  <si>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</si>
  <si>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</si>
  <si>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</si>
  <si>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</si>
  <si>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</si>
  <si>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</si>
  <si>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</si>
  <si>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</si>
  <si>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</si>
  <si>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</si>
  <si>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</si>
  <si>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</si>
  <si>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</si>
  <si>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</si>
  <si>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</si>
  <si>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</si>
  <si>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</si>
  <si>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</si>
  <si>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</si>
  <si>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</si>
  <si>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</si>
  <si>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</si>
  <si>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</si>
  <si>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</si>
  <si>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</si>
  <si>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</si>
  <si>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</si>
  <si>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</si>
  <si>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</si>
  <si>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</si>
  <si>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</si>
  <si>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</si>
  <si>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</si>
  <si>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</si>
  <si>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</si>
  <si>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</si>
  <si>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</si>
  <si>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</si>
  <si>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</si>
  <si>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</si>
  <si>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</si>
  <si>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</si>
  <si>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</si>
  <si>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</si>
  <si>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</si>
  <si>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</si>
  <si>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</si>
  <si>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</si>
  <si>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</si>
  <si>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</si>
  <si>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</si>
  <si>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</si>
  <si>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</si>
  <si>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</si>
  <si>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</si>
  <si>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</si>
  <si>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</si>
  <si>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</si>
  <si>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</si>
  <si>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</si>
  <si>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</si>
  <si>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</si>
  <si>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</si>
  <si>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</si>
  <si>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</si>
  <si>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</si>
  <si>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</si>
  <si>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</si>
  <si>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</si>
  <si>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</si>
  <si>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</si>
  <si>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</si>
  <si>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</si>
  <si>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</si>
  <si>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</si>
  <si>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</si>
  <si>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</si>
  <si>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</si>
  <si>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</si>
  <si>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</si>
  <si>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</si>
  <si>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</si>
  <si>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</si>
  <si>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</si>
  <si>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</si>
  <si>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</si>
  <si>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</si>
  <si>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</si>
  <si>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</si>
  <si>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</si>
  <si>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</si>
  <si>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</si>
  <si>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</si>
  <si>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</si>
  <si>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</si>
  <si>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</si>
  <si>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</si>
  <si>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</si>
  <si>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</si>
  <si>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</si>
  <si>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</si>
  <si>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</si>
  <si>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</si>
  <si>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</si>
  <si>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</si>
  <si>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</si>
  <si>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</si>
  <si>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</si>
  <si>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</si>
  <si>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</si>
  <si>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</si>
  <si>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</si>
  <si>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</si>
  <si>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</si>
  <si>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</si>
  <si>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</si>
  <si>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</si>
  <si>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</si>
  <si>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</si>
  <si>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</si>
  <si>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</si>
  <si>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</si>
  <si>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</si>
  <si>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</si>
  <si>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</si>
  <si>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</si>
  <si>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</si>
  <si>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</si>
  <si>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</si>
  <si>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</si>
  <si>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</si>
  <si>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</si>
  <si>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</si>
  <si>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</si>
  <si>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</si>
  <si>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</si>
  <si>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</si>
  <si>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</si>
  <si>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</si>
  <si>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</si>
  <si>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</si>
  <si>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</si>
  <si>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</si>
  <si>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</si>
  <si>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</si>
  <si>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</si>
  <si>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</si>
  <si>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</si>
  <si>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</si>
  <si>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</si>
  <si>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</si>
  <si>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</si>
  <si>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</si>
  <si>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</si>
  <si>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</si>
  <si>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</si>
  <si>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</si>
  <si>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</si>
  <si>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</si>
  <si>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</si>
  <si>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</si>
  <si>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</si>
  <si>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</si>
  <si>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</si>
  <si>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</si>
  <si>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</si>
  <si>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</si>
  <si>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</si>
  <si>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</si>
  <si>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</si>
  <si>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</si>
  <si>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</si>
  <si>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</si>
  <si>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</si>
  <si>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</si>
  <si>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</si>
  <si>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</si>
  <si>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</si>
  <si>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</si>
  <si>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</si>
  <si>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</si>
  <si>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</si>
  <si>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</si>
  <si>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</si>
  <si>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</si>
  <si>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</si>
  <si>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</si>
  <si>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</si>
  <si>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</si>
  <si>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</si>
  <si>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</si>
  <si>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</si>
  <si>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</si>
  <si>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</si>
  <si>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</si>
  <si>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</si>
  <si>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</si>
  <si>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</si>
  <si>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</si>
  <si>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</si>
  <si>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</si>
  <si>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</si>
  <si>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</si>
  <si>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</si>
  <si>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</si>
  <si>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</si>
  <si>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</si>
  <si>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</si>
  <si>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</si>
  <si>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</si>
  <si>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</si>
  <si>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</si>
  <si>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</si>
  <si>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</si>
  <si>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</si>
  <si>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</si>
  <si>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</si>
  <si>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</si>
  <si>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</si>
  <si>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</si>
  <si>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</si>
  <si>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</si>
  <si>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</si>
  <si>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</si>
  <si>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</si>
  <si>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</si>
  <si>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</si>
  <si>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</si>
  <si>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</si>
  <si>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</si>
  <si>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</si>
  <si>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</si>
  <si>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</si>
  <si>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</si>
  <si>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</si>
  <si>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</si>
  <si>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</si>
  <si>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</si>
  <si>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</si>
  <si>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</si>
  <si>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</si>
  <si>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</si>
  <si>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</si>
  <si>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</si>
  <si>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</si>
  <si>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</si>
  <si>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</si>
  <si>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</si>
  <si>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</si>
  <si>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</si>
  <si>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</si>
  <si>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</si>
  <si>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</si>
  <si>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</si>
  <si>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</si>
  <si>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</si>
  <si>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</si>
  <si>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</si>
  <si>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</si>
  <si>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</si>
  <si>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</si>
  <si>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</si>
  <si>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</si>
  <si>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</si>
  <si>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</si>
  <si>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</si>
  <si>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</si>
  <si>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</si>
  <si>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</si>
  <si>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</si>
  <si>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</si>
  <si>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</si>
  <si>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</si>
  <si>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</si>
  <si>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</si>
  <si>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</si>
  <si>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</si>
  <si>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</si>
  <si>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</si>
  <si>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</si>
  <si>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</si>
  <si>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</si>
  <si>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</si>
  <si>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</si>
  <si>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</si>
  <si>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</si>
  <si>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</si>
  <si>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</si>
  <si>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</si>
  <si>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</si>
  <si>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</si>
  <si>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</si>
  <si>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</si>
  <si>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</si>
  <si>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</si>
  <si>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</si>
  <si>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</si>
  <si>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</si>
  <si>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</si>
  <si>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</si>
  <si>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</si>
  <si>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</si>
  <si>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</si>
  <si>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</si>
  <si>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</si>
  <si>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</si>
  <si>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</si>
  <si>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</si>
  <si>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</si>
  <si>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</si>
  <si>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</si>
  <si>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</si>
  <si>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</si>
  <si>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</si>
  <si>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</si>
  <si>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</si>
  <si>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</si>
  <si>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</si>
  <si>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</si>
  <si>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</si>
  <si>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</si>
  <si>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</si>
  <si>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</si>
  <si>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</si>
  <si>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</si>
  <si>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</si>
  <si>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</si>
  <si>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</si>
  <si>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</si>
  <si>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</si>
  <si>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</si>
  <si>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</si>
  <si>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</si>
  <si>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</si>
  <si>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</si>
  <si>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</si>
  <si>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</si>
  <si>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</si>
  <si>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</si>
  <si>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</si>
  <si>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</si>
  <si>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</si>
  <si>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</si>
  <si>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</si>
  <si>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</si>
  <si>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</si>
  <si>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</si>
  <si>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</si>
  <si>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</si>
  <si>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</si>
  <si>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</si>
  <si>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</si>
  <si>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</si>
  <si>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</si>
  <si>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</si>
  <si>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</si>
  <si>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</si>
  <si>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</si>
  <si>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</si>
  <si>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</si>
  <si>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</si>
  <si>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</si>
  <si>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</si>
  <si>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</si>
  <si>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</si>
  <si>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</si>
  <si>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</si>
  <si>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</si>
  <si>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</si>
  <si>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</si>
  <si>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</si>
  <si>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</si>
  <si>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</si>
  <si>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</si>
  <si>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</si>
  <si>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</si>
  <si>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</si>
  <si>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</si>
  <si>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</si>
  <si>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</si>
  <si>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</si>
  <si>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</si>
  <si>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</si>
  <si>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</si>
  <si>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</si>
  <si>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</si>
  <si>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</si>
  <si>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</si>
  <si>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</si>
  <si>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</si>
  <si>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</si>
  <si>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</si>
  <si>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</si>
  <si>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</si>
  <si>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</si>
  <si>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</si>
  <si>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</si>
  <si>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</si>
  <si>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</si>
  <si>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</si>
  <si>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</si>
  <si>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</si>
  <si>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</si>
  <si>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</si>
  <si>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</si>
  <si>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</si>
  <si>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</si>
  <si>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</si>
  <si>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</si>
  <si>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</si>
  <si>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</si>
  <si>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</si>
  <si>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</si>
  <si>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</si>
  <si>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</si>
  <si>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</si>
  <si>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</si>
  <si>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</si>
  <si>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</si>
  <si>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</si>
  <si>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</si>
  <si>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</si>
  <si>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</si>
  <si>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</si>
  <si>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</si>
  <si>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</si>
  <si>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</si>
  <si>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</si>
  <si>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</si>
  <si>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</si>
  <si>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</si>
  <si>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</si>
  <si>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</si>
  <si>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</si>
  <si>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</si>
  <si>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</si>
  <si>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</si>
  <si>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</si>
  <si>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</si>
  <si>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</si>
  <si>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</si>
  <si>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</si>
  <si>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</si>
  <si>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</si>
  <si>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</si>
  <si>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</si>
  <si>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</si>
  <si>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</si>
  <si>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</si>
  <si>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</si>
  <si>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</si>
  <si>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</si>
  <si>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</si>
  <si>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</si>
  <si>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</si>
  <si>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</si>
  <si>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</si>
  <si>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</si>
  <si>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</si>
  <si>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</si>
  <si>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</si>
  <si>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</si>
  <si>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</si>
  <si>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</si>
  <si>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</si>
  <si>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</si>
  <si>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</si>
  <si>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</si>
  <si>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</si>
  <si>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</si>
  <si>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</si>
  <si>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</si>
  <si>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</si>
  <si>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</si>
  <si>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</si>
  <si>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</si>
  <si>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</si>
  <si>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</si>
  <si>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</si>
  <si>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</si>
  <si>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</si>
  <si>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</si>
  <si>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</si>
  <si>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</si>
  <si>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</si>
  <si>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</si>
  <si>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</si>
  <si>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</si>
  <si>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</si>
  <si>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</si>
  <si>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</si>
  <si>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</si>
  <si>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</si>
  <si>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</si>
  <si>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</si>
  <si>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</si>
  <si>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</si>
  <si>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</si>
  <si>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</si>
  <si>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</si>
  <si>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</si>
  <si>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</si>
  <si>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</si>
  <si>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</si>
  <si>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</si>
  <si>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</si>
  <si>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</si>
  <si>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</si>
  <si>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</si>
  <si>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</si>
  <si>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</si>
  <si>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</si>
  <si>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</si>
  <si>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</si>
  <si>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</si>
  <si>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</si>
  <si>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</si>
  <si>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</si>
  <si>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</si>
  <si>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</si>
  <si>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</si>
  <si>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</si>
  <si>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</si>
  <si>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</si>
  <si>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</si>
  <si>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</si>
  <si>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</si>
  <si>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</si>
  <si>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</si>
  <si>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</si>
  <si>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</si>
  <si>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</si>
  <si>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</si>
  <si>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</si>
  <si>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</si>
  <si>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</si>
  <si>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</si>
  <si>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</si>
  <si>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</si>
  <si>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</si>
  <si>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</si>
  <si>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</si>
  <si>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</si>
  <si>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</si>
  <si>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</si>
  <si>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</si>
  <si>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</si>
  <si>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</si>
  <si>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</si>
  <si>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</si>
  <si>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</si>
  <si>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</si>
  <si>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</si>
  <si>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</si>
  <si>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</si>
  <si>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</si>
  <si>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</si>
  <si>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</si>
  <si>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</si>
  <si>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</si>
  <si>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</si>
  <si>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</si>
  <si>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</si>
  <si>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</si>
  <si>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</si>
  <si>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</si>
  <si>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</si>
  <si>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</si>
  <si>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</si>
  <si>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</si>
  <si>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</si>
  <si>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</si>
  <si>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</si>
  <si>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</si>
  <si>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</si>
  <si>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</si>
  <si>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</si>
  <si>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</si>
  <si>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</si>
  <si>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</si>
  <si>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</si>
  <si>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</si>
  <si>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</si>
  <si>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</si>
  <si>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</si>
  <si>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</si>
  <si>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</si>
  <si>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</si>
  <si>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</si>
  <si>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</si>
  <si>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</si>
  <si>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</si>
  <si>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</si>
  <si>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</si>
  <si>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</si>
  <si>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</si>
  <si>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</si>
  <si>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</si>
  <si>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</si>
  <si>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</si>
  <si>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</si>
  <si>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</si>
  <si>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</si>
  <si>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</si>
  <si>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</si>
  <si>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</si>
  <si>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</si>
  <si>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</si>
  <si>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</si>
  <si>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</si>
  <si>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</si>
  <si>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</si>
  <si>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</si>
  <si>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</si>
  <si>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</si>
  <si>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</si>
  <si>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</si>
  <si>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</si>
  <si>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</si>
  <si>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</si>
  <si>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</si>
  <si>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</si>
  <si>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</si>
  <si>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</si>
  <si>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</si>
  <si>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</si>
  <si>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</si>
  <si>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</si>
  <si>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</si>
  <si>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</si>
  <si>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</si>
  <si>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</si>
  <si>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</si>
  <si>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</si>
  <si>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</si>
  <si>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</si>
  <si>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</si>
  <si>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</si>
  <si>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</si>
  <si>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</si>
  <si>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</si>
  <si>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</si>
  <si>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</si>
  <si>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</si>
  <si>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</si>
  <si>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</si>
  <si>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</si>
  <si>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</si>
  <si>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</si>
  <si>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</si>
  <si>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</si>
  <si>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</si>
  <si>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</si>
  <si>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</si>
  <si>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</si>
  <si>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</si>
  <si>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</si>
  <si>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</si>
  <si>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</si>
  <si>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</si>
  <si>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</si>
  <si>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</si>
  <si>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</si>
  <si>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</si>
  <si>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</si>
  <si>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</si>
  <si>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</si>
  <si>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</si>
  <si>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</si>
  <si>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</si>
  <si>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</si>
  <si>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</si>
  <si>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</si>
  <si>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</si>
  <si>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</si>
  <si>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</si>
  <si>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</si>
  <si>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</si>
  <si>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</si>
  <si>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</si>
  <si>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</si>
  <si>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</si>
  <si>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</si>
  <si>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</si>
  <si>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</si>
  <si>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</si>
  <si>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</si>
  <si>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</si>
  <si>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</si>
  <si>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</si>
  <si>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</si>
  <si>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</si>
  <si>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</si>
  <si>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</si>
  <si>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</si>
  <si>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</si>
  <si>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</si>
  <si>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</si>
  <si>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</si>
  <si>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</si>
  <si>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</si>
  <si>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</si>
  <si>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</si>
  <si>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</si>
  <si>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</si>
  <si>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</si>
  <si>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</si>
  <si>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</si>
  <si>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</si>
  <si>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</si>
  <si>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</si>
  <si>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</si>
  <si>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</si>
  <si>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</si>
  <si>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</si>
  <si>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</si>
  <si>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</si>
  <si>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</si>
  <si>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</si>
  <si>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</si>
  <si>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</si>
  <si>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</si>
  <si>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</si>
  <si>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</si>
  <si>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</si>
  <si>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</si>
  <si>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</si>
  <si>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</si>
  <si>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</si>
  <si>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</si>
  <si>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</si>
  <si>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</si>
  <si>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</si>
  <si>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</si>
  <si>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</si>
  <si>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</si>
  <si>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</si>
  <si>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</si>
  <si>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</si>
  <si>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</si>
  <si>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</si>
  <si>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</si>
  <si>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</si>
  <si>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</si>
  <si>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</si>
  <si>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</si>
  <si>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</si>
  <si>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</si>
  <si>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</si>
  <si>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</si>
  <si>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</si>
  <si>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</si>
  <si>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</si>
  <si>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</si>
  <si>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</si>
  <si>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</si>
  <si>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</si>
  <si>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</si>
  <si>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</si>
  <si>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</si>
  <si>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</si>
  <si>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</si>
  <si>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</si>
  <si>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</si>
  <si>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</si>
  <si>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</si>
  <si>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</si>
  <si>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</si>
  <si>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</si>
  <si>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</si>
  <si>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</si>
  <si>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</si>
  <si>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</si>
  <si>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</si>
  <si>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</si>
  <si>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</si>
  <si>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</si>
  <si>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</si>
  <si>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</si>
  <si>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</si>
  <si>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</si>
  <si>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</si>
  <si>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</si>
  <si>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</si>
  <si>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</si>
  <si>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</si>
  <si>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</si>
  <si>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</si>
  <si>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</si>
  <si>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</si>
  <si>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</si>
  <si>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</si>
  <si>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</si>
  <si>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</si>
  <si>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</si>
  <si>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</si>
  <si>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</si>
  <si>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</si>
  <si>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</si>
  <si>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</si>
  <si>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</si>
  <si>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</si>
  <si>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</si>
  <si>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</si>
  <si>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</si>
  <si>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</si>
  <si>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</si>
  <si>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</si>
  <si>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</si>
  <si>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</si>
  <si>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</si>
  <si>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</si>
  <si>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</si>
  <si>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</si>
  <si>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</si>
  <si>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</si>
  <si>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</si>
  <si>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</si>
  <si>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</si>
  <si>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</si>
  <si>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</si>
  <si>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</si>
  <si>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</si>
  <si>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</si>
  <si>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</si>
  <si>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</si>
  <si>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</si>
  <si>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</si>
  <si>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</si>
  <si>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</si>
  <si>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</si>
  <si>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</si>
  <si>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</si>
  <si>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</si>
  <si>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</si>
  <si>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</si>
  <si>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</si>
  <si>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</si>
  <si>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</si>
  <si>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</si>
  <si>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</si>
  <si>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</si>
  <si>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</si>
  <si>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</si>
  <si>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</si>
  <si>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</si>
  <si>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</si>
  <si>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</si>
  <si>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</si>
  <si>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</si>
  <si>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</si>
  <si>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</si>
  <si>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</si>
  <si>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</si>
  <si>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</si>
  <si>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</si>
  <si>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</si>
  <si>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</si>
  <si>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</si>
  <si>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</si>
  <si>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</si>
  <si>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</si>
  <si>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</si>
  <si>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</si>
  <si>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</si>
  <si>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</si>
  <si>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</si>
  <si>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</si>
  <si>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</si>
  <si>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</si>
  <si>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</si>
  <si>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</si>
  <si>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</si>
  <si>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</si>
  <si>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</si>
  <si>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</si>
  <si>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</si>
  <si>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</si>
  <si>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</si>
  <si>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</si>
  <si>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</si>
  <si>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</si>
  <si>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</si>
  <si>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</si>
  <si>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</si>
  <si>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</si>
  <si>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</si>
  <si>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</si>
  <si>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</si>
  <si>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</si>
  <si>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</si>
  <si>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</si>
  <si>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</si>
  <si>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</si>
  <si>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</si>
  <si>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</si>
  <si>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</si>
  <si>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</si>
  <si>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</si>
  <si>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</si>
  <si>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</si>
  <si>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</si>
  <si>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</si>
  <si>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</si>
  <si>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</si>
  <si>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</si>
  <si>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</si>
  <si>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</si>
  <si>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</si>
  <si>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</si>
  <si>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</si>
  <si>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</si>
  <si>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</si>
  <si>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</si>
  <si>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</si>
  <si>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</si>
  <si>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</si>
  <si>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</si>
  <si>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</si>
  <si>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</si>
  <si>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</si>
  <si>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</si>
  <si>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</si>
  <si>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</si>
  <si>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</si>
  <si>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</si>
  <si>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</si>
  <si>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</si>
  <si>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</si>
  <si>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</si>
  <si>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</si>
  <si>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</si>
  <si>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</si>
  <si>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</si>
  <si>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</si>
  <si>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</si>
  <si>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</si>
  <si>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</si>
  <si>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</si>
  <si>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</si>
  <si>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</si>
  <si>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</si>
  <si>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</si>
  <si>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</si>
  <si>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</si>
  <si>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</si>
  <si>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</si>
  <si>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</si>
  <si>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</si>
  <si>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</si>
  <si>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</si>
  <si>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</si>
  <si>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</si>
  <si>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</si>
  <si>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</si>
  <si>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</si>
  <si>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</si>
  <si>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</si>
  <si>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</si>
  <si>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</si>
  <si>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</si>
  <si>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</si>
  <si>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</si>
  <si>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</si>
  <si>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</si>
  <si>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</si>
  <si>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</si>
  <si>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</si>
  <si>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</si>
  <si>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</si>
  <si>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</si>
  <si>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</si>
  <si>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</si>
  <si>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</si>
  <si>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</si>
  <si>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</si>
  <si>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</si>
  <si>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</si>
  <si>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</si>
  <si>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</si>
  <si>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</si>
  <si>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</si>
  <si>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</si>
  <si>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</si>
  <si>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</si>
  <si>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</si>
  <si>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</si>
  <si>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</si>
  <si>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</si>
  <si>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</si>
  <si>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</si>
  <si>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</si>
  <si>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</si>
  <si>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</si>
  <si>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</si>
  <si>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</si>
  <si>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</si>
  <si>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</si>
  <si>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</si>
  <si>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</si>
  <si>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</si>
  <si>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</si>
  <si>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</si>
  <si>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</si>
  <si>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</si>
  <si>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</si>
  <si>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</si>
  <si>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</si>
  <si>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</si>
  <si>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</si>
  <si>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</si>
  <si>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</si>
  <si>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</si>
  <si>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</si>
  <si>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</si>
  <si>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</si>
  <si>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</si>
  <si>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</si>
  <si>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</si>
  <si>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</si>
  <si>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</si>
  <si>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</si>
  <si>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</si>
  <si>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</si>
  <si>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</si>
  <si>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</si>
  <si>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</si>
  <si>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</si>
  <si>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</si>
  <si>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</si>
  <si>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</si>
  <si>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</si>
  <si>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</si>
  <si>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</si>
  <si>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</si>
  <si>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</si>
  <si>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</si>
  <si>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</si>
  <si>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</si>
  <si>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</si>
  <si>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</si>
  <si>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</si>
  <si>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</si>
  <si>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</si>
  <si>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</si>
  <si>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</si>
  <si>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</si>
  <si>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</si>
  <si>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</si>
  <si>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</si>
  <si>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</si>
  <si>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</si>
  <si>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</si>
  <si>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</si>
  <si>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</si>
  <si>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</si>
  <si>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</si>
  <si>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</si>
  <si>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</si>
  <si>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</si>
  <si>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</si>
  <si>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</si>
  <si>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</si>
  <si>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</si>
  <si>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</si>
  <si>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</si>
  <si>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</si>
  <si>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</si>
  <si>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</si>
  <si>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</si>
  <si>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</si>
  <si>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</si>
  <si>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</si>
  <si>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</si>
  <si>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</si>
  <si>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</si>
  <si>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</si>
  <si>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</si>
  <si>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</si>
  <si>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</si>
  <si>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</si>
  <si>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</si>
  <si>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</si>
  <si>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</si>
  <si>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</si>
  <si>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</si>
  <si>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</si>
  <si>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</si>
  <si>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</si>
  <si>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</si>
  <si>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</si>
  <si>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</si>
  <si>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</si>
  <si>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</si>
  <si>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</si>
  <si>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</si>
  <si>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</si>
  <si>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</si>
  <si>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</si>
  <si>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</si>
  <si>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</si>
  <si>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</si>
  <si>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</si>
  <si>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</si>
  <si>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</si>
  <si>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</si>
  <si>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</si>
  <si>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</si>
  <si>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</si>
  <si>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</si>
  <si>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</si>
  <si>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</si>
  <si>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</si>
  <si>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</si>
  <si>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</si>
  <si>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</si>
  <si>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</si>
  <si>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</si>
  <si>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</si>
  <si>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</si>
  <si>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</si>
  <si>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</si>
  <si>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</si>
  <si>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</si>
  <si>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</si>
  <si>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</si>
  <si>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</si>
  <si>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</si>
  <si>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</si>
  <si>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</si>
  <si>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</si>
  <si>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</si>
  <si>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</si>
  <si>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</si>
  <si>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</si>
  <si>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</si>
  <si>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</si>
  <si>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</si>
  <si>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</si>
  <si>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</si>
  <si>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</si>
  <si>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</si>
  <si>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</si>
  <si>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</si>
  <si>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</si>
  <si>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</si>
  <si>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</si>
  <si>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</si>
  <si>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</si>
  <si>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</si>
  <si>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</si>
  <si>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</si>
  <si>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</si>
  <si>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</si>
  <si>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</si>
  <si>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</si>
  <si>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</si>
  <si>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</si>
  <si>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</si>
  <si>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</si>
  <si>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</si>
  <si>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</si>
  <si>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</si>
  <si>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</si>
  <si>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</si>
  <si>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</si>
  <si>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</si>
  <si>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</si>
  <si>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</si>
  <si>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</si>
  <si>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</si>
  <si>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</si>
  <si>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</si>
  <si>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</si>
  <si>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</si>
  <si>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</si>
  <si>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</si>
  <si>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</si>
  <si>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</si>
  <si>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</si>
  <si>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</si>
  <si>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</si>
  <si>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</si>
  <si>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</si>
  <si>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</si>
  <si>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</si>
  <si>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</si>
  <si>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</si>
  <si>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</si>
  <si>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</si>
  <si>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</si>
  <si>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</si>
  <si>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</si>
  <si>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</si>
  <si>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</si>
  <si>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</si>
  <si>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</si>
  <si>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</si>
  <si>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</si>
  <si>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</si>
  <si>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</si>
  <si>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</si>
  <si>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</si>
  <si>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</si>
  <si>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</si>
  <si>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</si>
  <si>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</si>
  <si>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</si>
  <si>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</si>
  <si>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</si>
  <si>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</si>
  <si>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</si>
  <si>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</si>
  <si>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</si>
  <si>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</si>
  <si>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</si>
  <si>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</si>
  <si>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</si>
  <si>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</si>
  <si>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</si>
  <si>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</si>
  <si>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</si>
  <si>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</si>
  <si>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</si>
  <si>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</si>
  <si>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</si>
  <si>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</si>
  <si>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</si>
  <si>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</si>
  <si>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</si>
  <si>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</si>
  <si>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</si>
  <si>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</si>
  <si>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</si>
  <si>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</si>
  <si>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</si>
  <si>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</si>
  <si>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</si>
  <si>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</si>
  <si>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</si>
  <si>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</si>
  <si>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</si>
  <si>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</si>
  <si>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</si>
  <si>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</si>
  <si>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</si>
  <si>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</si>
  <si>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</si>
  <si>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</si>
  <si>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</si>
  <si>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</si>
  <si>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</si>
  <si>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</si>
  <si>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</si>
  <si>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</si>
  <si>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</si>
  <si>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</si>
  <si>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</si>
  <si>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</si>
  <si>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</si>
  <si>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</si>
  <si>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</si>
  <si>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</si>
  <si>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</si>
  <si>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</si>
  <si>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</si>
  <si>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</si>
  <si>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</si>
  <si>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</si>
  <si>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</si>
  <si>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</si>
  <si>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</si>
  <si>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</si>
  <si>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</si>
  <si>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</si>
  <si>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</si>
  <si>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</si>
  <si>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</si>
  <si>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</si>
  <si>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</si>
  <si>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</si>
  <si>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</si>
  <si>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</si>
  <si>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</si>
  <si>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</si>
  <si>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</si>
  <si>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</si>
  <si>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</si>
  <si>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</si>
  <si>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</si>
  <si>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</si>
  <si>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</si>
  <si>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</si>
  <si>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</si>
  <si>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</si>
  <si>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</si>
  <si>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</si>
  <si>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</si>
  <si>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</si>
  <si>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</si>
  <si>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</si>
  <si>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</si>
  <si>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</si>
  <si>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</si>
  <si>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</si>
  <si>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</si>
  <si>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</si>
  <si>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</si>
  <si>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</si>
  <si>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</si>
  <si>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</si>
  <si>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</si>
  <si>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</si>
  <si>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</si>
  <si>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</si>
  <si>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</si>
  <si>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</si>
  <si>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</si>
  <si>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</si>
  <si>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</si>
  <si>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</si>
  <si>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</si>
  <si>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</si>
  <si>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</si>
  <si>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</si>
  <si>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</si>
  <si>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</si>
  <si>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</si>
  <si>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</si>
  <si>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</si>
  <si>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</si>
  <si>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</si>
  <si>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</si>
  <si>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</si>
  <si>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</si>
  <si>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</si>
  <si>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</si>
  <si>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</si>
  <si>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</si>
  <si>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</si>
  <si>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</si>
  <si>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</si>
  <si>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</si>
  <si>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</si>
  <si>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</si>
  <si>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</si>
  <si>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</si>
  <si>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</si>
  <si>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</si>
  <si>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</si>
  <si>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</si>
  <si>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</si>
  <si>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</si>
  <si>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</si>
  <si>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</si>
  <si>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</si>
  <si>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</si>
  <si>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</si>
  <si>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</si>
  <si>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</si>
  <si>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</si>
  <si>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</si>
  <si>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</si>
  <si>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</si>
  <si>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</si>
  <si>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</si>
  <si>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</si>
  <si>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</si>
  <si>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</si>
  <si>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</si>
  <si>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</si>
  <si>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</si>
  <si>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</si>
  <si>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</si>
  <si>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</si>
  <si>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</si>
  <si>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</si>
  <si>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</si>
  <si>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</si>
  <si>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</si>
  <si>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</si>
  <si>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</si>
  <si>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</si>
  <si>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</si>
  <si>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</si>
  <si>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</si>
  <si>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</si>
  <si>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</si>
  <si>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</si>
  <si>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</si>
  <si>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</si>
  <si>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</si>
  <si>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</si>
  <si>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</si>
  <si>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</si>
  <si>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</si>
  <si>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</si>
  <si>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</si>
  <si>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</si>
  <si>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</si>
  <si>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</si>
  <si>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</si>
  <si>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</si>
  <si>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</si>
  <si>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</si>
  <si>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</si>
  <si>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</si>
  <si>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</si>
  <si>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</si>
  <si>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</si>
  <si>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</si>
  <si>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</si>
  <si>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</si>
  <si>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</si>
  <si>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</si>
  <si>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</si>
  <si>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</si>
  <si>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</si>
  <si>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</si>
  <si>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</si>
  <si>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</si>
  <si>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</si>
  <si>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</si>
  <si>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</si>
  <si>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</si>
  <si>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</si>
  <si>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</si>
  <si>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</si>
  <si>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</si>
  <si>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</si>
  <si>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</si>
  <si>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</si>
  <si>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</si>
  <si>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</si>
  <si>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</si>
  <si>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</si>
  <si>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</si>
  <si>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</si>
  <si>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</si>
  <si>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</si>
  <si>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</si>
  <si>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</si>
  <si>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</si>
  <si>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</si>
  <si>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</si>
  <si>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</si>
  <si>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</si>
  <si>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</si>
  <si>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</si>
  <si>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</si>
  <si>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</si>
  <si>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</si>
  <si>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</si>
  <si>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</si>
  <si>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</si>
  <si>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</si>
  <si>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</si>
  <si>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</si>
  <si>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</si>
  <si>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</si>
  <si>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</si>
  <si>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</si>
  <si>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</si>
  <si>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</si>
  <si>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</si>
  <si>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</si>
  <si>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</si>
  <si>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</si>
  <si>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</si>
  <si>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</si>
  <si>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</si>
  <si>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</si>
  <si>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</si>
  <si>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</si>
  <si>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</si>
  <si>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</si>
  <si>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</si>
  <si>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</si>
  <si>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</si>
  <si>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</si>
  <si>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</si>
  <si>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</si>
  <si>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</si>
  <si>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</si>
  <si>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</si>
  <si>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</si>
  <si>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</si>
  <si>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</si>
  <si>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</si>
  <si>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</si>
  <si>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</si>
  <si>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</si>
  <si>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</si>
  <si>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</si>
  <si>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</si>
  <si>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</si>
  <si>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</si>
  <si>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</si>
  <si>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</si>
  <si>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</si>
  <si>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</si>
  <si>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</si>
  <si>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</si>
  <si>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</si>
  <si>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</si>
  <si>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</si>
  <si>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</si>
  <si>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</si>
  <si>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</si>
  <si>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</si>
  <si>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</si>
  <si>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</si>
  <si>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</si>
  <si>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</si>
  <si>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</si>
  <si>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</si>
  <si>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</si>
  <si>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</si>
  <si>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</si>
  <si>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</si>
  <si>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</si>
  <si>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</si>
  <si>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</si>
  <si>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</si>
  <si>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</si>
  <si>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</si>
  <si>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</si>
  <si>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</si>
  <si>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</si>
  <si>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</si>
  <si>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</si>
  <si>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</si>
  <si>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</si>
  <si>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</si>
  <si>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</si>
  <si>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</si>
  <si>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</si>
  <si>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</si>
  <si>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</si>
  <si>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</si>
  <si>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</si>
  <si>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</si>
  <si>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</si>
  <si>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</si>
  <si>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</si>
  <si>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</si>
  <si>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</si>
  <si>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</si>
  <si>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</si>
  <si>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</si>
  <si>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</si>
  <si>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</si>
  <si>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</si>
  <si>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</si>
  <si>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</si>
  <si>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</si>
  <si>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</si>
  <si>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</si>
  <si>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</si>
  <si>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</si>
  <si>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</si>
  <si>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</si>
  <si>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</si>
  <si>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</si>
  <si>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</si>
  <si>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</si>
  <si>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</si>
  <si>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</si>
  <si>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</si>
  <si>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</si>
  <si>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</si>
  <si>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</si>
  <si>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</si>
  <si>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</si>
  <si>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</si>
  <si>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</si>
  <si>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</si>
  <si>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</si>
  <si>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</si>
  <si>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</si>
  <si>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</si>
  <si>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</si>
  <si>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</si>
  <si>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</si>
  <si>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</si>
  <si>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</si>
  <si>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</si>
  <si>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</si>
  <si>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</si>
  <si>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</si>
  <si>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</si>
  <si>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</si>
  <si>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</si>
  <si>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</si>
  <si>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</si>
  <si>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</si>
  <si>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</si>
  <si>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</si>
  <si>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</si>
  <si>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</si>
  <si>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</si>
  <si>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</si>
  <si>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</si>
  <si>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</si>
  <si>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</si>
  <si>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</si>
  <si>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</si>
  <si>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</si>
  <si>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</si>
  <si>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</si>
  <si>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</si>
  <si>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</si>
  <si>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</si>
  <si>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</si>
  <si>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</si>
  <si>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</si>
  <si>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</si>
  <si>
    <t>manager</t>
  </si>
  <si>
    <t>regional_office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</si>
  <si>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</si>
  <si>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</si>
  <si>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</si>
  <si>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</si>
  <si>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</si>
  <si>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</si>
  <si>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</si>
  <si>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</si>
  <si>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</si>
  <si>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</si>
  <si>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</si>
  <si>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</si>
  <si>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</si>
  <si>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</si>
  <si>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>Unmatched_Product</t>
  </si>
  <si>
    <t>Won Revenue</t>
  </si>
  <si>
    <t>Expected_Value</t>
  </si>
  <si>
    <t>Open Opportunities</t>
  </si>
  <si>
    <t>Avg. Open Opportunity Value</t>
  </si>
  <si>
    <t>Deal Stage</t>
  </si>
  <si>
    <t>Opportunities</t>
  </si>
  <si>
    <t xml:space="preserve">Won </t>
  </si>
  <si>
    <t>Percentage</t>
  </si>
  <si>
    <t>Closed Win Rate</t>
  </si>
  <si>
    <t>Average Won Deal Value</t>
  </si>
  <si>
    <t>Product</t>
  </si>
  <si>
    <t>Won Opportunities</t>
  </si>
  <si>
    <t>Total Opportunities</t>
  </si>
  <si>
    <t>Win Rate</t>
  </si>
  <si>
    <t>Estimated Lost Value</t>
  </si>
  <si>
    <t>Sales Agent</t>
  </si>
  <si>
    <t>Won Deal Value</t>
  </si>
  <si>
    <t>Manager</t>
  </si>
  <si>
    <t>Regional Office</t>
  </si>
  <si>
    <t>Avg. Won Deal Value</t>
  </si>
  <si>
    <t>Manager Performance</t>
  </si>
  <si>
    <t>Regional Performance</t>
  </si>
  <si>
    <t>Quarterly Performance</t>
  </si>
  <si>
    <t xml:space="preserve">Quarter </t>
  </si>
  <si>
    <t>Product Performance</t>
  </si>
  <si>
    <t>Q1 2017</t>
  </si>
  <si>
    <t>Q2 2017</t>
  </si>
  <si>
    <t>Q3 2017</t>
  </si>
  <si>
    <t>Q4 2017</t>
  </si>
  <si>
    <t>Lost Opportunities</t>
  </si>
  <si>
    <t>Estimated Lost Value (Proxy)</t>
  </si>
  <si>
    <t>Sales Agent Performance</t>
  </si>
  <si>
    <t>CRM Sales Performance Analysis</t>
  </si>
  <si>
    <t>B2B Sales Pipeline &amp; Performance Overview | 2017</t>
  </si>
  <si>
    <t>Deal Stage Performance</t>
  </si>
  <si>
    <t>Top Sales Agents</t>
  </si>
  <si>
    <t>Open Pipeline</t>
  </si>
  <si>
    <t>Avg. Opportunity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</si>
</sst>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%"/>
    <numFmt numFmtId="165" formatCode="&quot;₹&quot;\ #,##0"/>
    <numFmt numFmtId="166" formatCode="&quot;₹&quot;\ #,##0.00"/>
    <numFmt numFmtId="167" formatCode="_ * #,##0_ ;_ * \-#,##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applyNumberFormat="1"/>
    <xf numFmtId="0" fontId="2" fillId="0" borderId="0" xfId="0" applyFont="1"/>
    <xf numFmtId="164" fontId="0" fillId="0" borderId="0" xfId="1" applyNumberFormat="1" applyFont="1"/>
    <xf numFmtId="2" fontId="0" fillId="0" borderId="0" xfId="1" applyNumberFormat="1" applyFont="1"/>
    <xf numFmtId="0" fontId="2" fillId="0" borderId="1" xfId="0" applyFont="1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0" fillId="0" borderId="1" xfId="0" applyBorder="1"/>
    <xf numFmtId="164" fontId="0" fillId="0" borderId="1" xfId="1" applyNumberFormat="1" applyFont="1" applyBorder="1"/>
    <xf numFmtId="167" fontId="0" fillId="0" borderId="1" xfId="2" applyNumberFormat="1" applyFont="1" applyBorder="1"/>
    <xf numFmtId="164" fontId="2" fillId="0" borderId="1" xfId="1" applyNumberFormat="1" applyFont="1" applyBorder="1"/>
    <xf numFmtId="166" fontId="2" fillId="0" borderId="1" xfId="1" applyNumberFormat="1" applyFont="1" applyBorder="1"/>
    <xf numFmtId="10" fontId="0" fillId="0" borderId="1" xfId="1" applyNumberFormat="1" applyFont="1" applyBorder="1"/>
    <xf numFmtId="165" fontId="0" fillId="0" borderId="1" xfId="0" applyNumberFormat="1" applyFont="1" applyBorder="1"/>
    <xf numFmtId="0" fontId="0" fillId="0" borderId="1" xfId="0" applyBorder="1" applyAlignment="1">
      <alignment wrapText="1"/>
    </xf>
    <xf numFmtId="165" fontId="0" fillId="0" borderId="1" xfId="2" applyNumberFormat="1" applyFont="1" applyBorder="1"/>
    <xf numFmtId="0" fontId="2" fillId="0" borderId="0" xfId="0" applyFont="1" applyBorder="1"/>
    <xf numFmtId="165" fontId="0" fillId="0" borderId="0" xfId="0" applyNumberFormat="1" applyBorder="1"/>
    <xf numFmtId="0" fontId="2" fillId="2" borderId="0" xfId="0" applyFont="1" applyFill="1" applyBorder="1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7" fillId="0" borderId="0" xfId="0" applyNumberFormat="1" applyFont="1" applyBorder="1"/>
    <xf numFmtId="166" fontId="7" fillId="0" borderId="0" xfId="0" applyNumberFormat="1" applyFont="1" applyBorder="1"/>
    <xf numFmtId="0" fontId="7" fillId="0" borderId="0" xfId="0" applyFont="1" applyBorder="1"/>
    <xf numFmtId="0" fontId="7" fillId="0" borderId="0" xfId="0" applyFont="1" applyBorder="1" applyAlignment="1">
      <alignment horizontal="center" vertical="center"/>
    </xf>
    <xf numFmtId="165" fontId="7" fillId="0" borderId="0" xfId="0" applyNumberFormat="1" applyFont="1" applyBorder="1"/>
    <xf numFmtId="165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Won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Analysis!$A$21:$A$27</c:f>
              <c:strCache>
                <c:ptCount val="7"/>
                <c:pt idx="0">
                  <c:v>GTX Basic</c:v>
                </c:pt>
                <c:pt idx="1">
                  <c:v>GTX Pro</c:v>
                </c:pt>
                <c:pt idx="2">
                  <c:v>MG Special</c:v>
                </c:pt>
                <c:pt idx="3">
                  <c:v>MG Advanced</c:v>
                </c:pt>
                <c:pt idx="4">
                  <c:v>GTX Plus Pro</c:v>
                </c:pt>
                <c:pt idx="5">
                  <c:v>GTX Plus Basic</c:v>
                </c:pt>
                <c:pt idx="6">
                  <c:v>GTK 500</c:v>
                </c:pt>
              </c:strCache>
            </c:strRef>
          </c:cat>
          <c:val>
            <c:numRef>
              <c:f>Analysis!$B$21:$B$27</c:f>
              <c:numCache>
                <c:formatCode>"₹"\ #,##0</c:formatCode>
                <c:ptCount val="7"/>
                <c:pt idx="0">
                  <c:v>499263</c:v>
                </c:pt>
                <c:pt idx="1">
                  <c:v>3510578</c:v>
                </c:pt>
                <c:pt idx="2">
                  <c:v>43768</c:v>
                </c:pt>
                <c:pt idx="3">
                  <c:v>2216387</c:v>
                </c:pt>
                <c:pt idx="4">
                  <c:v>2629651</c:v>
                </c:pt>
                <c:pt idx="5">
                  <c:v>705275</c:v>
                </c:pt>
                <c:pt idx="6">
                  <c:v>400612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4-4505-A123-F9D697A908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96411455"/>
        <c:axId val="896411039"/>
      </c:barChart>
      <c:catAx>
        <c:axId val="89641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11039"/>
        <c:crosses val="autoZero"/>
        <c:auto val="1"/>
        <c:lblAlgn val="ctr"/>
        <c:lblOffset val="100"/>
        <c:noMultiLvlLbl val="0"/>
      </c:catAx>
      <c:valAx>
        <c:axId val="89641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1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Won</a:t>
            </a:r>
            <a:r>
              <a:rPr lang="en-US" baseline="0"/>
              <a:t> Revenue by Top 6 Sales Agent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87441265941329"/>
          <c:y val="0.11978888888888889"/>
          <c:w val="0.77382361111111109"/>
          <c:h val="0.7999618055555555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Analysis!$E$11:$E$16</c:f>
              <c:strCache>
                <c:ptCount val="6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Analysis!$E$11:$E$16</c:f>
              <c:strCache>
                <c:ptCount val="6"/>
                <c:pt idx="0">
                  <c:v>Darcel Schlecht</c:v>
                </c:pt>
                <c:pt idx="1">
                  <c:v>Vicki Laflamme</c:v>
                </c:pt>
                <c:pt idx="2">
                  <c:v>Kary Hendrixson</c:v>
                </c:pt>
                <c:pt idx="3">
                  <c:v>Cassey Cress</c:v>
                </c:pt>
                <c:pt idx="4">
                  <c:v>Donn Cantrell</c:v>
                </c:pt>
                <c:pt idx="5">
                  <c:v>Reed Clapper</c:v>
                </c:pt>
              </c:strCache>
            </c:strRef>
          </c:cat>
          <c:val>
            <c:numRef>
              <c:f>Analysis!$F$11:$F$16</c:f>
              <c:numCache>
                <c:formatCode>"₹"\ #,##0</c:formatCode>
                <c:ptCount val="6"/>
                <c:pt idx="0">
                  <c:v>1153214</c:v>
                </c:pt>
                <c:pt idx="1">
                  <c:v>478396</c:v>
                </c:pt>
                <c:pt idx="2">
                  <c:v>454298</c:v>
                </c:pt>
                <c:pt idx="3">
                  <c:v>450489</c:v>
                </c:pt>
                <c:pt idx="4">
                  <c:v>445860</c:v>
                </c:pt>
                <c:pt idx="5">
                  <c:v>438336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8A-4C89-99A8-5D53A7D56B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86557520"/>
        <c:axId val="1186591216"/>
      </c:barChart>
      <c:catAx>
        <c:axId val="1186557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91216"/>
        <c:crosses val="autoZero"/>
        <c:auto val="1"/>
        <c:lblAlgn val="ctr"/>
        <c:lblOffset val="100"/>
        <c:noMultiLvlLbl val="0"/>
      </c:catAx>
      <c:valAx>
        <c:axId val="118659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5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Won</a:t>
            </a:r>
            <a:r>
              <a:rPr lang="en-US" baseline="0"/>
              <a:t> Revenue by Manager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Analysis!$A$78:$A$83</c:f>
              <c:strCache>
                <c:ptCount val="6"/>
                <c:pt idx="0">
                  <c:v>Dustin Brinkmann</c:v>
                </c:pt>
                <c:pt idx="1">
                  <c:v>Melvin Marxen</c:v>
                </c:pt>
                <c:pt idx="2">
                  <c:v>Cara Losch</c:v>
                </c:pt>
                <c:pt idx="3">
                  <c:v>Rocco Neubert</c:v>
                </c:pt>
                <c:pt idx="4">
                  <c:v>Celia Rouche</c:v>
                </c:pt>
                <c:pt idx="5">
                  <c:v>Summer Sewald</c:v>
                </c:pt>
              </c:strCache>
            </c:strRef>
          </c:cat>
          <c:val>
            <c:numRef>
              <c:f>Analysis!$B$78:$B$83</c:f>
              <c:numCache>
                <c:formatCode>"₹"\ #,##0</c:formatCode>
                <c:ptCount val="6"/>
                <c:pt idx="0">
                  <c:v>1094363</c:v>
                </c:pt>
                <c:pt idx="1">
                  <c:v>2251930</c:v>
                </c:pt>
                <c:pt idx="2">
                  <c:v>1130049</c:v>
                </c:pt>
                <c:pt idx="3">
                  <c:v>1960545</c:v>
                </c:pt>
                <c:pt idx="4">
                  <c:v>1603897</c:v>
                </c:pt>
                <c:pt idx="5">
                  <c:v>1964750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A-4778-A51B-37D290EDAA5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5627024"/>
        <c:axId val="1185613712"/>
      </c:barChart>
      <c:catAx>
        <c:axId val="118562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613712"/>
        <c:crosses val="autoZero"/>
        <c:auto val="1"/>
        <c:lblAlgn val="ctr"/>
        <c:lblOffset val="100"/>
        <c:noMultiLvlLbl val="0"/>
      </c:catAx>
      <c:valAx>
        <c:axId val="118561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62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Won</a:t>
            </a:r>
            <a:r>
              <a:rPr lang="en-US" baseline="0"/>
              <a:t> Revenue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Analysis!$A$71:$A$73</c:f>
              <c:strCache>
                <c:ptCount val="3"/>
                <c:pt idx="0">
                  <c:v>Central</c:v>
                </c:pt>
                <c:pt idx="1">
                  <c:v>East</c:v>
                </c:pt>
                <c:pt idx="2">
                  <c:v>West</c:v>
                </c:pt>
              </c:strCache>
            </c:strRef>
          </c:cat>
          <c:val>
            <c:numRef>
              <c:f>Analysis!$B$71:$B$73</c:f>
              <c:numCache>
                <c:formatCode>"₹"\ #,##0</c:formatCode>
                <c:ptCount val="3"/>
                <c:pt idx="0">
                  <c:v>3346293</c:v>
                </c:pt>
                <c:pt idx="1">
                  <c:v>3090594</c:v>
                </c:pt>
                <c:pt idx="2">
                  <c:v>3568647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9-4B52-945B-9CD0AAE0E2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9411647"/>
        <c:axId val="399412063"/>
      </c:barChart>
      <c:catAx>
        <c:axId val="39941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12063"/>
        <c:crosses val="autoZero"/>
        <c:auto val="1"/>
        <c:lblAlgn val="ctr"/>
        <c:lblOffset val="100"/>
        <c:noMultiLvlLbl val="0"/>
      </c:catAx>
      <c:valAx>
        <c:axId val="39941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41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</a:t>
            </a:r>
            <a:r>
              <a:rPr lang="en-US" baseline="0"/>
              <a:t> Won Revenue - 2017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Analysis!$B$87</c:f>
              <c:strCache>
                <c:ptCount val="1"/>
                <c:pt idx="0">
                  <c:v>Won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Analysis!$A$88:$A$91</c:f>
              <c:strCache>
                <c:ptCount val="4"/>
                <c:pt idx="0">
                  <c:v>Q1 2017</c:v>
                </c:pt>
                <c:pt idx="1">
                  <c:v>Q2 2017</c:v>
                </c:pt>
                <c:pt idx="2">
                  <c:v>Q3 2017</c:v>
                </c:pt>
                <c:pt idx="3">
                  <c:v>Q4 2017</c:v>
                </c:pt>
              </c:strCache>
            </c:strRef>
          </c:cat>
          <c:val>
            <c:numRef>
              <c:f>Analysis!$B$88:$B$91</c:f>
              <c:numCache>
                <c:formatCode>"₹"\ #,##0</c:formatCode>
                <c:ptCount val="4"/>
                <c:pt idx="0">
                  <c:v>1134672</c:v>
                </c:pt>
                <c:pt idx="1">
                  <c:v>3086111</c:v>
                </c:pt>
                <c:pt idx="2">
                  <c:v>2982255</c:v>
                </c:pt>
                <c:pt idx="3">
                  <c:v>2802496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DD-4943-9073-36BDBF39629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26330288"/>
        <c:axId val="526323216"/>
      </c:lineChart>
      <c:catAx>
        <c:axId val="52633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23216"/>
        <c:crosses val="autoZero"/>
        <c:auto val="1"/>
        <c:lblAlgn val="ctr"/>
        <c:lblOffset val="100"/>
        <c:noMultiLvlLbl val="0"/>
      </c:catAx>
      <c:valAx>
        <c:axId val="5263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3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Quarterly</a:t>
            </a:r>
            <a:r>
              <a:rPr lang="en-US" baseline="0"/>
              <a:t> Win Rate - 2017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Analysis!$A$88:$A$91</c:f>
              <c:strCache>
                <c:ptCount val="4"/>
                <c:pt idx="0">
                  <c:v>Q1 2017</c:v>
                </c:pt>
                <c:pt idx="1">
                  <c:v>Q2 2017</c:v>
                </c:pt>
                <c:pt idx="2">
                  <c:v>Q3 2017</c:v>
                </c:pt>
                <c:pt idx="3">
                  <c:v>Q4 2017</c:v>
                </c:pt>
              </c:strCache>
            </c:strRef>
          </c:cat>
          <c:val>
            <c:numRef>
              <c:f>Analysis!$E$88:$E$91</c:f>
              <c:numCache>
                <c:formatCode>0.0%</c:formatCode>
                <c:ptCount val="4"/>
                <c:pt idx="0">
                  <c:v>0.82071097372488411</c:v>
                </c:pt>
                <c:pt idx="1">
                  <c:v>0.61712598425196852</c:v>
                </c:pt>
                <c:pt idx="2">
                  <c:v>0.61406936980947724</c:v>
                </c:pt>
                <c:pt idx="3">
                  <c:v>0.60251889168765738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2-498A-B9BB-C4CF661C41C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01682592"/>
        <c:axId val="645677936"/>
      </c:lineChart>
      <c:catAx>
        <c:axId val="110168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5677936"/>
        <c:crosses val="autoZero"/>
        <c:auto val="1"/>
        <c:lblAlgn val="ctr"/>
        <c:lblOffset val="100"/>
        <c:noMultiLvlLbl val="0"/>
      </c:catAx>
      <c:valAx>
        <c:axId val="64567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682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-1</xdr:colOff>
      <xdr:row>3</xdr:row>
      <xdr:rowOff>0</xdr:rowOff>
    </xdr:from>
    <xdr:to>
      <xdr:col>16</xdr:col>
      <xdr:colOff>10799</xdr:colOff>
      <xdr:row>17</xdr:row>
      <xdr:rowOff>3450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E5C70D2-51EE-42AC-A6E2-AD9DEBD82A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0</xdr:rowOff>
    </xdr:from>
    <xdr:to>
      <xdr:col>25</xdr:col>
      <xdr:colOff>167963</xdr:colOff>
      <xdr:row>17</xdr:row>
      <xdr:rowOff>15356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11BA14D-D30E-4F5F-9A1C-AEBF7B496C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16</xdr:col>
      <xdr:colOff>15563</xdr:colOff>
      <xdr:row>32</xdr:row>
      <xdr:rowOff>22500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298E549-0539-4B7F-B560-F3EC69D3DA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18</xdr:row>
      <xdr:rowOff>0</xdr:rowOff>
    </xdr:from>
    <xdr:to>
      <xdr:col>25</xdr:col>
      <xdr:colOff>167963</xdr:colOff>
      <xdr:row>32</xdr:row>
      <xdr:rowOff>22500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524FAD39-6342-4E61-A575-A5A4C2FA0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34</xdr:row>
      <xdr:rowOff>0</xdr:rowOff>
    </xdr:from>
    <xdr:to>
      <xdr:col>16</xdr:col>
      <xdr:colOff>35406</xdr:colOff>
      <xdr:row>49</xdr:row>
      <xdr:rowOff>22500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CEA613A-C44A-42F8-A9AB-6A501E52C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34</xdr:row>
      <xdr:rowOff>0</xdr:rowOff>
    </xdr:from>
    <xdr:to>
      <xdr:col>25</xdr:col>
      <xdr:colOff>163994</xdr:colOff>
      <xdr:row>49</xdr:row>
      <xdr:rowOff>22500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31EDCFF-DB82-4951-93CF-BBA3AACFD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es_pipeline" connectionId="3" xr16:uid="{3D761406-8D07-476A-8CF1-171B334A00BA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counts" connectionId="1" xr16:uid="{FCEC01F0-99BD-4238-A3D5-F12F9046A882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les_teams" connectionId="4" xr16:uid="{F7B49660-DC9B-47B6-B5A6-F88295DC62FB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oducts" connectionId="2" xr16:uid="{04C0EB36-98C2-4B60-8C50-9658A9C2B2E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850941-121F-494C-ADA7-32388EA52D67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516D-66BF-40F5-9622-E62653A3C420}">
  <dimension ref="A1:J91"/>
  <sheetViews>
    <sheetView showGridLines="0" tabSelected="1" zoomScale="50" zoomScaleNormal="50" workbookViewId="0">
      <pane ySplit="1" topLeftCell="A2" activePane="bottomLeft" state="frozen"/>
      <selection pane="bottomLeft" activeCell="H12" sqref="H12"/>
    </sheetView>
  </sheetViews>
  <sheetFormatPr defaultRowHeight="15" x14ac:dyDescent="0.25"/>
  <cols>
    <col min="1" max="1" width="38.5703125" bestFit="1" customWidth="1"/>
    <col min="2" max="2" width="18.85546875" bestFit="1" customWidth="1"/>
    <col min="3" max="3" width="25.140625" bestFit="1" customWidth="1"/>
    <col min="4" max="4" width="26" bestFit="1" customWidth="1"/>
    <col min="5" max="5" width="20.85546875" bestFit="1" customWidth="1"/>
    <col min="6" max="6" width="32.7109375" bestFit="1" customWidth="1"/>
    <col min="7" max="7" width="30.7109375" bestFit="1" customWidth="1"/>
    <col min="8" max="8" width="21.140625" bestFit="1" customWidth="1"/>
    <col min="9" max="9" width="15.7109375" customWidth="1"/>
    <col min="10" max="10" width="16" bestFit="1" customWidth="1"/>
    <col min="11" max="11" width="13.7109375" bestFit="1" customWidth="1"/>
  </cols>
  <sheetData>
    <row r="1" spans="1:8" ht="30" customHeight="1" x14ac:dyDescent="0.25">
      <c r="A1" s="34" t="s">
        <v>9019</v>
      </c>
      <c r="B1" s="34"/>
      <c r="C1" s="34"/>
      <c r="D1" s="34"/>
      <c r="E1" s="34"/>
      <c r="F1" s="34"/>
      <c r="G1" s="34"/>
      <c r="H1" s="34"/>
    </row>
    <row r="2" spans="1:8" ht="20.100000000000001" customHeight="1" x14ac:dyDescent="0.25">
      <c r="A2" s="25" t="s">
        <v>9020</v>
      </c>
      <c r="B2" s="25"/>
      <c r="C2" s="25"/>
      <c r="D2" s="25"/>
      <c r="E2" s="25"/>
      <c r="F2" s="25"/>
      <c r="G2" s="25"/>
      <c r="H2" s="25"/>
    </row>
    <row r="3" spans="1:8" ht="15" customHeight="1" x14ac:dyDescent="0.25">
      <c r="A3" s="20"/>
      <c r="B3" s="21"/>
      <c r="C3" s="20"/>
      <c r="D3" s="21"/>
    </row>
    <row r="4" spans="1:8" ht="27.95" customHeight="1" x14ac:dyDescent="0.25">
      <c r="A4" s="23" t="s">
        <v>8987</v>
      </c>
      <c r="B4" s="31">
        <f>SUM(Sales_Pipelines!H3:H8802)</f>
        <v>10004480</v>
      </c>
      <c r="C4" s="23" t="s">
        <v>9023</v>
      </c>
      <c r="D4" s="31">
        <f>SUM(Sales_Pipelines!L2:L8801)</f>
        <v>85895</v>
      </c>
      <c r="E4" s="23" t="s">
        <v>8989</v>
      </c>
      <c r="F4" s="32">
        <f>B5</f>
        <v>2089</v>
      </c>
      <c r="G4" s="23" t="s">
        <v>9024</v>
      </c>
      <c r="H4" s="33">
        <f>B6</f>
        <v>2377.3168980373384</v>
      </c>
    </row>
    <row r="5" spans="1:8" x14ac:dyDescent="0.25">
      <c r="A5" s="28" t="s">
        <v>8989</v>
      </c>
      <c r="B5" s="26">
        <f>COUNTIFS(Sales_Pipelines!E2:E8801,"Prospecting")+COUNTIFS(Sales_Pipelines!E2:E8801,"Engaging")</f>
        <v>2089</v>
      </c>
    </row>
    <row r="6" spans="1:8" x14ac:dyDescent="0.25">
      <c r="A6" s="28" t="s">
        <v>8990</v>
      </c>
      <c r="B6" s="27">
        <f>AVERAGEIFS(Sales_Pipelines!J2:J8801,Sales_Pipelines!E2:E8801,"&lt;&gt;Won",Sales_Pipelines!E2:E8801,"&lt;&gt;Lost")</f>
        <v>2377.3168980373384</v>
      </c>
    </row>
    <row r="7" spans="1:8" x14ac:dyDescent="0.25">
      <c r="A7" s="29" t="s">
        <v>9017</v>
      </c>
      <c r="B7" s="30">
        <f>SUMPRODUCT((Sales_Pipelines!E2:E8801="Lost")*VLOOKUP(Sales_Pipelines!C2:C8801,Products!$A$2:$C$8,3,FALSE))</f>
        <v>136015</v>
      </c>
    </row>
    <row r="9" spans="1:8" ht="21.95" customHeight="1" x14ac:dyDescent="0.25">
      <c r="A9" s="24" t="s">
        <v>9021</v>
      </c>
      <c r="B9" s="24"/>
      <c r="C9" s="24"/>
      <c r="E9" s="24" t="s">
        <v>9022</v>
      </c>
      <c r="F9" s="24"/>
    </row>
    <row r="10" spans="1:8" ht="20.100000000000001" customHeight="1" x14ac:dyDescent="0.25">
      <c r="A10" s="35" t="s">
        <v>8991</v>
      </c>
      <c r="B10" s="35" t="s">
        <v>8992</v>
      </c>
      <c r="C10" s="35" t="s">
        <v>8994</v>
      </c>
      <c r="E10" s="35" t="s">
        <v>9002</v>
      </c>
      <c r="F10" s="35" t="s">
        <v>8987</v>
      </c>
    </row>
    <row r="11" spans="1:8" x14ac:dyDescent="0.25">
      <c r="A11" s="11" t="s">
        <v>8470</v>
      </c>
      <c r="B11" s="13">
        <f>COUNTIF(Sales_Pipelines!$E$2:$E$8801,A11)</f>
        <v>500</v>
      </c>
      <c r="C11" s="12">
        <f>B11/SUM($B$11:$B$14)</f>
        <v>5.6818181818181816E-2</v>
      </c>
      <c r="E11" s="11" t="str">
        <f>INDEX(A29:A63,MATCH(F11,B29:B63,0))</f>
        <v>Darcel Schlecht</v>
      </c>
      <c r="F11" s="8">
        <f>MAX(B32:B66)</f>
        <v>1153214</v>
      </c>
    </row>
    <row r="12" spans="1:8" x14ac:dyDescent="0.25">
      <c r="A12" s="11" t="s">
        <v>155</v>
      </c>
      <c r="B12" s="13">
        <f>COUNTIF(Sales_Pipelines!$E$2:$E$8801,A12)</f>
        <v>1589</v>
      </c>
      <c r="C12" s="12">
        <f>B12/SUM($B$11:$B$14)</f>
        <v>0.18056818181818182</v>
      </c>
      <c r="E12" s="11" t="str">
        <f>INDEX(A32:A66,MATCH(F12,B32:B66,0))</f>
        <v>Vicki Laflamme</v>
      </c>
      <c r="F12" s="8">
        <f>LARGE(B32:B66,2)</f>
        <v>478396</v>
      </c>
    </row>
    <row r="13" spans="1:8" x14ac:dyDescent="0.25">
      <c r="A13" s="11" t="s">
        <v>8993</v>
      </c>
      <c r="B13" s="13">
        <f>COUNTIF(Sales_Pipelines!$E$2:$E$8801,"Won")</f>
        <v>4238</v>
      </c>
      <c r="C13" s="12">
        <f>B13/SUM($B$11:$B$14)</f>
        <v>0.48159090909090907</v>
      </c>
      <c r="E13" s="11" t="str">
        <f>INDEX(A32:A66,MATCH(F13,B32:B66,0))</f>
        <v>Kary Hendrixson</v>
      </c>
      <c r="F13" s="8">
        <f>LARGE(B32:B66,3)</f>
        <v>454298</v>
      </c>
    </row>
    <row r="14" spans="1:8" x14ac:dyDescent="0.25">
      <c r="A14" s="11" t="s">
        <v>159</v>
      </c>
      <c r="B14" s="13">
        <f>COUNTIF(Sales_Pipelines!$E$2:$E$8801,A14)</f>
        <v>2473</v>
      </c>
      <c r="C14" s="12">
        <f>B14/SUM($B$11:$B$14)</f>
        <v>0.28102272727272726</v>
      </c>
      <c r="E14" s="11" t="str">
        <f>INDEX(A32:A66,MATCH(F14,B32:B66,0))</f>
        <v>Cassey Cress</v>
      </c>
      <c r="F14" s="8">
        <f>LARGE(B32:B66,4)</f>
        <v>450489</v>
      </c>
    </row>
    <row r="15" spans="1:8" x14ac:dyDescent="0.25">
      <c r="A15" s="7" t="s">
        <v>8995</v>
      </c>
      <c r="B15" s="14">
        <f>COUNTIF(Sales_Pipelines!E2:E8801,"Won")/(COUNTIF(Sales_Pipelines!E2:E8801,"Won")+COUNTIF(Sales_Pipelines!E2:E8801,"Lost"))</f>
        <v>0.63150052153181346</v>
      </c>
      <c r="E15" s="11" t="str">
        <f>INDEX(A32:A66,MATCH(F15,B32:B66,0))</f>
        <v>Donn Cantrell</v>
      </c>
      <c r="F15" s="8">
        <f>LARGE(B32:B66,5)</f>
        <v>445860</v>
      </c>
    </row>
    <row r="16" spans="1:8" x14ac:dyDescent="0.25">
      <c r="A16" s="7" t="s">
        <v>8996</v>
      </c>
      <c r="B16" s="15">
        <f>AVERAGEIFS(Sales_Pipelines!H2:H8801,Sales_Pipelines!E2:E8801,"Won")</f>
        <v>2360.9093912222747</v>
      </c>
      <c r="E16" s="11" t="str">
        <f>INDEX(A32:A66,MATCH(F16,B32:B66,0))</f>
        <v>Reed Clapper</v>
      </c>
      <c r="F16" s="8">
        <f>LARGE(B32:B66,6)</f>
        <v>438336</v>
      </c>
    </row>
    <row r="17" spans="1:10" x14ac:dyDescent="0.25">
      <c r="B17" s="6"/>
    </row>
    <row r="18" spans="1:10" x14ac:dyDescent="0.25">
      <c r="B18" s="6"/>
    </row>
    <row r="19" spans="1:10" ht="21.95" customHeight="1" x14ac:dyDescent="0.25">
      <c r="A19" s="24" t="s">
        <v>9011</v>
      </c>
      <c r="B19" s="24"/>
      <c r="C19" s="24"/>
      <c r="D19" s="24"/>
      <c r="E19" s="24"/>
      <c r="F19" s="24"/>
      <c r="G19" s="24"/>
    </row>
    <row r="20" spans="1:10" ht="20.100000000000001" customHeight="1" x14ac:dyDescent="0.25">
      <c r="A20" s="35" t="s">
        <v>8997</v>
      </c>
      <c r="B20" s="35" t="s">
        <v>8987</v>
      </c>
      <c r="C20" s="35" t="s">
        <v>8998</v>
      </c>
      <c r="D20" s="35" t="s">
        <v>8999</v>
      </c>
      <c r="E20" s="35" t="s">
        <v>9000</v>
      </c>
      <c r="F20" s="35" t="s">
        <v>8996</v>
      </c>
      <c r="G20" s="35" t="s">
        <v>9001</v>
      </c>
    </row>
    <row r="21" spans="1:10" x14ac:dyDescent="0.25">
      <c r="A21" s="11" t="s">
        <v>120</v>
      </c>
      <c r="B21" s="8">
        <f>SUMIFS(Sales_Pipelines!$H$2:$H$8801,Sales_Pipelines!$C$2:$C$8801,A21,Sales_Pipelines!$E$2:$E$8801,"Won")</f>
        <v>499263</v>
      </c>
      <c r="C21" s="9">
        <f>COUNTIFS(Sales_Pipelines!$C$2:$C$8801,A21,Sales_Pipelines!$E$2:$E$8801,"Won")</f>
        <v>915</v>
      </c>
      <c r="D21" s="9">
        <f>COUNTIF(Sales_Pipelines!$C$2:$C$8801,A21)</f>
        <v>1866</v>
      </c>
      <c r="E21" s="12">
        <f>C21/D21</f>
        <v>0.49035369774919613</v>
      </c>
      <c r="F21" s="10">
        <f>IF(C21=0,0,B21/C21)</f>
        <v>545.64262295081971</v>
      </c>
      <c r="G21" s="8">
        <f>COUNTIFS(Sales_Pipelines!$C$2:$C$8801,A21,Sales_Pipelines!$E$2:$E$8801,"Lost")*VLOOKUP(A21,Products!$A$2:$C$8,3,FALSE)</f>
        <v>286550</v>
      </c>
    </row>
    <row r="22" spans="1:10" x14ac:dyDescent="0.25">
      <c r="A22" s="11" t="s">
        <v>122</v>
      </c>
      <c r="B22" s="8">
        <f>SUMIFS(Sales_Pipelines!$H$2:$H$8801,Sales_Pipelines!$C$2:$C$8801,A22,Sales_Pipelines!$E$2:$E$8801,"Won")</f>
        <v>3510578</v>
      </c>
      <c r="C22" s="9">
        <f>COUNTIFS(Sales_Pipelines!$C$2:$C$8801,A22,Sales_Pipelines!$E$2:$E$8801,"Won")</f>
        <v>729</v>
      </c>
      <c r="D22" s="9">
        <f>COUNTIF(Sales_Pipelines!$C$2:$C$8801,A22)</f>
        <v>1480</v>
      </c>
      <c r="E22" s="12">
        <f t="shared" ref="E22:E27" si="0">C22/D22</f>
        <v>0.49256756756756759</v>
      </c>
      <c r="F22" s="10">
        <f t="shared" ref="F22:F27" si="1">IF(C22=0,0,B22/C22)</f>
        <v>4815.6076817558296</v>
      </c>
      <c r="G22" s="8">
        <f>COUNTIFS(Sales_Pipelines!$C$2:$C$8801,A22,Sales_Pipelines!$E$2:$E$8801,"Lost")*VLOOKUP(A22,Products!$A$2:$C$8,3,FALSE)</f>
        <v>2015178</v>
      </c>
    </row>
    <row r="23" spans="1:10" x14ac:dyDescent="0.25">
      <c r="A23" s="11" t="s">
        <v>123</v>
      </c>
      <c r="B23" s="8">
        <f>SUMIFS(Sales_Pipelines!$H$2:$H$8801,Sales_Pipelines!$C$2:$C$8801,A23,Sales_Pipelines!$E$2:$E$8801,"Won")</f>
        <v>43768</v>
      </c>
      <c r="C23" s="9">
        <f>COUNTIFS(Sales_Pipelines!$C$2:$C$8801,A23,Sales_Pipelines!$E$2:$E$8801,"Won")</f>
        <v>793</v>
      </c>
      <c r="D23" s="9">
        <f>COUNTIF(Sales_Pipelines!$C$2:$C$8801,A23)</f>
        <v>1651</v>
      </c>
      <c r="E23" s="12">
        <f t="shared" si="0"/>
        <v>0.48031496062992124</v>
      </c>
      <c r="F23" s="10">
        <f t="shared" si="1"/>
        <v>55.192938209331651</v>
      </c>
      <c r="G23" s="8">
        <f>COUNTIFS(Sales_Pipelines!$C$2:$C$8801,A23,Sales_Pipelines!$E$2:$E$8801,"Lost")*VLOOKUP(A23,Products!$A$2:$C$8,3,FALSE)</f>
        <v>23650</v>
      </c>
    </row>
    <row r="24" spans="1:10" x14ac:dyDescent="0.25">
      <c r="A24" s="11" t="s">
        <v>125</v>
      </c>
      <c r="B24" s="8">
        <f>SUMIFS(Sales_Pipelines!$H$2:$H$8801,Sales_Pipelines!$C$2:$C$8801,A24,Sales_Pipelines!$E$2:$E$8801,"Won")</f>
        <v>2216387</v>
      </c>
      <c r="C24" s="9">
        <f>COUNTIFS(Sales_Pipelines!$C$2:$C$8801,A24,Sales_Pipelines!$E$2:$E$8801,"Won")</f>
        <v>654</v>
      </c>
      <c r="D24" s="9">
        <f>COUNTIF(Sales_Pipelines!$C$2:$C$8801,A24)</f>
        <v>1412</v>
      </c>
      <c r="E24" s="12">
        <f t="shared" si="0"/>
        <v>0.46317280453257792</v>
      </c>
      <c r="F24" s="10">
        <f t="shared" si="1"/>
        <v>3388.9709480122324</v>
      </c>
      <c r="G24" s="8">
        <f>COUNTIFS(Sales_Pipelines!$C$2:$C$8801,A24,Sales_Pipelines!$E$2:$E$8801,"Lost")*VLOOKUP(A24,Products!$A$2:$C$8,3,FALSE)</f>
        <v>1458990</v>
      </c>
    </row>
    <row r="25" spans="1:10" x14ac:dyDescent="0.25">
      <c r="A25" s="11" t="s">
        <v>126</v>
      </c>
      <c r="B25" s="8">
        <f>SUMIFS(Sales_Pipelines!$H$2:$H$8801,Sales_Pipelines!$C$2:$C$8801,A25,Sales_Pipelines!$E$2:$E$8801,"Won")</f>
        <v>2629651</v>
      </c>
      <c r="C25" s="9">
        <f>COUNTIFS(Sales_Pipelines!$C$2:$C$8801,A25,Sales_Pipelines!$E$2:$E$8801,"Won")</f>
        <v>479</v>
      </c>
      <c r="D25" s="9">
        <f>COUNTIF(Sales_Pipelines!$C$2:$C$8801,A25)</f>
        <v>968</v>
      </c>
      <c r="E25" s="12">
        <f t="shared" si="0"/>
        <v>0.49483471074380164</v>
      </c>
      <c r="F25" s="10">
        <f t="shared" si="1"/>
        <v>5489.8768267223386</v>
      </c>
      <c r="G25" s="8">
        <f>COUNTIFS(Sales_Pipelines!$C$2:$C$8801,A25,Sales_Pipelines!$E$2:$E$8801,"Lost")*VLOOKUP(A25,Products!$A$2:$C$8,3,FALSE)</f>
        <v>1458212</v>
      </c>
    </row>
    <row r="26" spans="1:10" x14ac:dyDescent="0.25">
      <c r="A26" s="11" t="s">
        <v>127</v>
      </c>
      <c r="B26" s="8">
        <f>SUMIFS(Sales_Pipelines!$H$2:$H$8801,Sales_Pipelines!$C$2:$C$8801,A26,Sales_Pipelines!$E$2:$E$8801,"Won")</f>
        <v>705275</v>
      </c>
      <c r="C26" s="9">
        <f>COUNTIFS(Sales_Pipelines!$C$2:$C$8801,A26,Sales_Pipelines!$E$2:$E$8801,"Won")</f>
        <v>653</v>
      </c>
      <c r="D26" s="9">
        <f>COUNTIF(Sales_Pipelines!$C$2:$C$8801,A26)</f>
        <v>1383</v>
      </c>
      <c r="E26" s="12">
        <f t="shared" si="0"/>
        <v>0.47216196673897326</v>
      </c>
      <c r="F26" s="10">
        <f t="shared" si="1"/>
        <v>1080.0535987748851</v>
      </c>
      <c r="G26" s="8">
        <f>COUNTIFS(Sales_Pipelines!$C$2:$C$8801,A26,Sales_Pipelines!$E$2:$E$8801,"Lost")*VLOOKUP(A26,Products!$A$2:$C$8,3,FALSE)</f>
        <v>436208</v>
      </c>
    </row>
    <row r="27" spans="1:10" x14ac:dyDescent="0.25">
      <c r="A27" s="11" t="s">
        <v>128</v>
      </c>
      <c r="B27" s="8">
        <f>SUMIFS(Sales_Pipelines!$H$2:$H$8801,Sales_Pipelines!$C$2:$C$8801,A27,Sales_Pipelines!$E$2:$E$8801,"Won")</f>
        <v>400612</v>
      </c>
      <c r="C27" s="9">
        <f>COUNTIFS(Sales_Pipelines!$C$2:$C$8801,A27,Sales_Pipelines!$E$2:$E$8801,"Won")</f>
        <v>15</v>
      </c>
      <c r="D27" s="9">
        <f>COUNTIF(Sales_Pipelines!$C$2:$C$8801,A27)</f>
        <v>40</v>
      </c>
      <c r="E27" s="12">
        <f t="shared" si="0"/>
        <v>0.375</v>
      </c>
      <c r="F27" s="10">
        <f t="shared" si="1"/>
        <v>26707.466666666667</v>
      </c>
      <c r="G27" s="8">
        <f>COUNTIFS(Sales_Pipelines!$C$2:$C$8801,A27,Sales_Pipelines!$E$2:$E$8801,"Lost")*VLOOKUP(A27,Products!$A$2:$C$8,3,FALSE)</f>
        <v>267680</v>
      </c>
    </row>
    <row r="28" spans="1:10" x14ac:dyDescent="0.25">
      <c r="E28" s="5"/>
      <c r="J28" s="22"/>
    </row>
    <row r="30" spans="1:10" ht="21.95" customHeight="1" x14ac:dyDescent="0.25">
      <c r="A30" s="24" t="s">
        <v>9018</v>
      </c>
      <c r="B30" s="24"/>
      <c r="C30" s="24"/>
      <c r="D30" s="24"/>
      <c r="E30" s="24"/>
      <c r="F30" s="24"/>
      <c r="G30" s="24"/>
      <c r="H30" s="24"/>
    </row>
    <row r="31" spans="1:10" ht="20.100000000000001" customHeight="1" x14ac:dyDescent="0.25">
      <c r="A31" s="35" t="s">
        <v>9002</v>
      </c>
      <c r="B31" s="35" t="s">
        <v>8987</v>
      </c>
      <c r="C31" s="35" t="s">
        <v>8998</v>
      </c>
      <c r="D31" s="35" t="s">
        <v>8999</v>
      </c>
      <c r="E31" s="35" t="s">
        <v>9000</v>
      </c>
      <c r="F31" s="35" t="s">
        <v>9003</v>
      </c>
      <c r="G31" s="35" t="s">
        <v>9004</v>
      </c>
      <c r="H31" s="35" t="s">
        <v>9005</v>
      </c>
    </row>
    <row r="32" spans="1:10" x14ac:dyDescent="0.25">
      <c r="A32" s="11" t="s">
        <v>146</v>
      </c>
      <c r="B32" s="8">
        <f>SUMIFS(Sales_Pipelines!$H$2:$H$8801,Sales_Pipelines!$B$2:$B$8801,A32,Sales_Pipelines!$E$2:$E$8801,"Won")</f>
        <v>275056</v>
      </c>
      <c r="C32" s="9">
        <f>COUNTIFS(Sales_Pipelines!$B$2:$B$8801,A32,Sales_Pipelines!$E$2:$E$8801,"Won")</f>
        <v>208</v>
      </c>
      <c r="D32" s="9">
        <f>COUNTIF(Sales_Pipelines!$B$2:$B$8801,A32)</f>
        <v>448</v>
      </c>
      <c r="E32" s="12">
        <f>IF(D32=0,0,C32/D32)</f>
        <v>0.4642857142857143</v>
      </c>
      <c r="F32" s="10">
        <f>IF(C32=0,0,B32/C32)</f>
        <v>1322.3846153846155</v>
      </c>
      <c r="G32" s="11" t="str">
        <f>VLOOKUP(A32,Sales_teams!$A$2:$C$36,2,FALSE)</f>
        <v>Dustin Brinkmann</v>
      </c>
      <c r="H32" s="11" t="str">
        <f>VLOOKUP(A32,Sales_teams!$A$2:$C$36,3,FALSE)</f>
        <v>Central</v>
      </c>
    </row>
    <row r="33" spans="1:8" x14ac:dyDescent="0.25">
      <c r="A33" s="11" t="s">
        <v>264</v>
      </c>
      <c r="B33" s="8">
        <f>SUMIFS(Sales_Pipelines!$H$2:$H$8801,Sales_Pipelines!$B$2:$B$8801,A33,Sales_Pipelines!$E$2:$E$8801,"Won")</f>
        <v>229800</v>
      </c>
      <c r="C33" s="9">
        <f>COUNTIFS(Sales_Pipelines!$B$2:$B$8801,A33,Sales_Pipelines!$E$2:$E$8801,"Won")</f>
        <v>107</v>
      </c>
      <c r="D33" s="9">
        <f>COUNTIF(Sales_Pipelines!$B$2:$B$8801,A33)</f>
        <v>203</v>
      </c>
      <c r="E33" s="12">
        <f t="shared" ref="E33:E66" si="2">IF(D33=0,0,C33/D33)</f>
        <v>0.52709359605911332</v>
      </c>
      <c r="F33" s="10">
        <f t="shared" ref="F33:F66" si="3">IF(C33=0,0,B33/C33)</f>
        <v>2147.663551401869</v>
      </c>
      <c r="G33" s="11" t="str">
        <f>VLOOKUP(A33,Sales_teams!$A$2:$C$36,2,FALSE)</f>
        <v>Dustin Brinkmann</v>
      </c>
      <c r="H33" s="11" t="str">
        <f>VLOOKUP(A33,Sales_teams!$A$2:$C$36,3,FALSE)</f>
        <v>Central</v>
      </c>
    </row>
    <row r="34" spans="1:8" x14ac:dyDescent="0.25">
      <c r="A34" s="11" t="s">
        <v>169</v>
      </c>
      <c r="B34" s="8">
        <f>SUMIFS(Sales_Pipelines!$H$2:$H$8801,Sales_Pipelines!$B$2:$B$8801,A34,Sales_Pipelines!$E$2:$E$8801,"Won")</f>
        <v>187693</v>
      </c>
      <c r="C34" s="9">
        <f>COUNTIFS(Sales_Pipelines!$B$2:$B$8801,A34,Sales_Pipelines!$E$2:$E$8801,"Won")</f>
        <v>176</v>
      </c>
      <c r="D34" s="9">
        <f>COUNTIF(Sales_Pipelines!$B$2:$B$8801,A34)</f>
        <v>361</v>
      </c>
      <c r="E34" s="12">
        <f t="shared" si="2"/>
        <v>0.48753462603878117</v>
      </c>
      <c r="F34" s="10">
        <f t="shared" si="3"/>
        <v>1066.4375</v>
      </c>
      <c r="G34" s="11" t="str">
        <f>VLOOKUP(A34,Sales_teams!$A$2:$C$36,2,FALSE)</f>
        <v>Dustin Brinkmann</v>
      </c>
      <c r="H34" s="11" t="str">
        <f>VLOOKUP(A34,Sales_teams!$A$2:$C$36,3,FALSE)</f>
        <v>Central</v>
      </c>
    </row>
    <row r="35" spans="1:8" x14ac:dyDescent="0.25">
      <c r="A35" s="11" t="s">
        <v>217</v>
      </c>
      <c r="B35" s="8">
        <f>SUMIFS(Sales_Pipelines!$H$2:$H$8801,Sales_Pipelines!$B$2:$B$8801,A35,Sales_Pipelines!$E$2:$E$8801,"Won")</f>
        <v>194632</v>
      </c>
      <c r="C35" s="9">
        <f>COUNTIFS(Sales_Pipelines!$B$2:$B$8801,A35,Sales_Pipelines!$E$2:$E$8801,"Won")</f>
        <v>127</v>
      </c>
      <c r="D35" s="9">
        <f>COUNTIF(Sales_Pipelines!$B$2:$B$8801,A35)</f>
        <v>311</v>
      </c>
      <c r="E35" s="12">
        <f t="shared" si="2"/>
        <v>0.40836012861736337</v>
      </c>
      <c r="F35" s="10">
        <f t="shared" si="3"/>
        <v>1532.5354330708662</v>
      </c>
      <c r="G35" s="11" t="str">
        <f>VLOOKUP(A35,Sales_teams!$A$2:$C$36,2,FALSE)</f>
        <v>Dustin Brinkmann</v>
      </c>
      <c r="H35" s="11" t="str">
        <f>VLOOKUP(A35,Sales_teams!$A$2:$C$36,3,FALSE)</f>
        <v>Central</v>
      </c>
    </row>
    <row r="36" spans="1:8" x14ac:dyDescent="0.25">
      <c r="A36" s="11" t="s">
        <v>137</v>
      </c>
      <c r="B36" s="8">
        <f>SUMIFS(Sales_Pipelines!$H$2:$H$8801,Sales_Pipelines!$B$2:$B$8801,A36,Sales_Pipelines!$E$2:$E$8801,"Won")</f>
        <v>207182</v>
      </c>
      <c r="C36" s="9">
        <f>COUNTIFS(Sales_Pipelines!$B$2:$B$8801,A36,Sales_Pipelines!$E$2:$E$8801,"Won")</f>
        <v>129</v>
      </c>
      <c r="D36" s="9">
        <f>COUNTIF(Sales_Pipelines!$B$2:$B$8801,A36)</f>
        <v>260</v>
      </c>
      <c r="E36" s="12">
        <f t="shared" si="2"/>
        <v>0.49615384615384617</v>
      </c>
      <c r="F36" s="10">
        <f t="shared" si="3"/>
        <v>1606.062015503876</v>
      </c>
      <c r="G36" s="11" t="str">
        <f>VLOOKUP(A36,Sales_teams!$A$2:$C$36,2,FALSE)</f>
        <v>Dustin Brinkmann</v>
      </c>
      <c r="H36" s="11" t="str">
        <f>VLOOKUP(A36,Sales_teams!$A$2:$C$36,3,FALSE)</f>
        <v>Central</v>
      </c>
    </row>
    <row r="37" spans="1:8" x14ac:dyDescent="0.25">
      <c r="A37" s="11" t="s">
        <v>303</v>
      </c>
      <c r="B37" s="8">
        <f>SUMIFS(Sales_Pipelines!$H$2:$H$8801,Sales_Pipelines!$B$2:$B$8801,A37,Sales_Pipelines!$E$2:$E$8801,"Won")</f>
        <v>284886</v>
      </c>
      <c r="C37" s="9">
        <f>COUNTIFS(Sales_Pipelines!$B$2:$B$8801,A37,Sales_Pipelines!$E$2:$E$8801,"Won")</f>
        <v>171</v>
      </c>
      <c r="D37" s="9">
        <f>COUNTIF(Sales_Pipelines!$B$2:$B$8801,A37)</f>
        <v>345</v>
      </c>
      <c r="E37" s="12">
        <f t="shared" si="2"/>
        <v>0.4956521739130435</v>
      </c>
      <c r="F37" s="10">
        <f t="shared" si="3"/>
        <v>1666</v>
      </c>
      <c r="G37" s="11" t="str">
        <f>VLOOKUP(A37,Sales_teams!$A$2:$C$36,2,FALSE)</f>
        <v>Melvin Marxen</v>
      </c>
      <c r="H37" s="11" t="str">
        <f>VLOOKUP(A37,Sales_teams!$A$2:$C$36,3,FALSE)</f>
        <v>Central</v>
      </c>
    </row>
    <row r="38" spans="1:8" x14ac:dyDescent="0.25">
      <c r="A38" s="11" t="s">
        <v>205</v>
      </c>
      <c r="B38" s="8">
        <f>SUMIFS(Sales_Pipelines!$H$2:$H$8801,Sales_Pipelines!$B$2:$B$8801,A38,Sales_Pipelines!$E$2:$E$8801,"Won")</f>
        <v>291195</v>
      </c>
      <c r="C38" s="9">
        <f>COUNTIFS(Sales_Pipelines!$B$2:$B$8801,A38,Sales_Pipelines!$E$2:$E$8801,"Won")</f>
        <v>122</v>
      </c>
      <c r="D38" s="9">
        <f>COUNTIF(Sales_Pipelines!$B$2:$B$8801,A38)</f>
        <v>281</v>
      </c>
      <c r="E38" s="12">
        <f t="shared" si="2"/>
        <v>0.43416370106761565</v>
      </c>
      <c r="F38" s="10">
        <f t="shared" si="3"/>
        <v>2386.844262295082</v>
      </c>
      <c r="G38" s="11" t="str">
        <f>VLOOKUP(A38,Sales_teams!$A$2:$C$36,2,FALSE)</f>
        <v>Melvin Marxen</v>
      </c>
      <c r="H38" s="11" t="str">
        <f>VLOOKUP(A38,Sales_teams!$A$2:$C$36,3,FALSE)</f>
        <v>Central</v>
      </c>
    </row>
    <row r="39" spans="1:8" x14ac:dyDescent="0.25">
      <c r="A39" s="11" t="s">
        <v>158</v>
      </c>
      <c r="B39" s="8">
        <f>SUMIFS(Sales_Pipelines!$H$2:$H$8801,Sales_Pipelines!$B$2:$B$8801,A39,Sales_Pipelines!$E$2:$E$8801,"Won")</f>
        <v>345674</v>
      </c>
      <c r="C39" s="9">
        <f>COUNTIFS(Sales_Pipelines!$B$2:$B$8801,A39,Sales_Pipelines!$E$2:$E$8801,"Won")</f>
        <v>135</v>
      </c>
      <c r="D39" s="9">
        <f>COUNTIF(Sales_Pipelines!$B$2:$B$8801,A39)</f>
        <v>317</v>
      </c>
      <c r="E39" s="12">
        <f t="shared" si="2"/>
        <v>0.42586750788643535</v>
      </c>
      <c r="F39" s="10">
        <f t="shared" si="3"/>
        <v>2560.5481481481484</v>
      </c>
      <c r="G39" s="11" t="str">
        <f>VLOOKUP(A39,Sales_teams!$A$2:$C$36,2,FALSE)</f>
        <v>Melvin Marxen</v>
      </c>
      <c r="H39" s="11" t="str">
        <f>VLOOKUP(A39,Sales_teams!$A$2:$C$36,3,FALSE)</f>
        <v>Central</v>
      </c>
    </row>
    <row r="40" spans="1:8" x14ac:dyDescent="0.25">
      <c r="A40" s="11" t="s">
        <v>152</v>
      </c>
      <c r="B40" s="8">
        <f>SUMIFS(Sales_Pipelines!$H$2:$H$8801,Sales_Pipelines!$B$2:$B$8801,A40,Sales_Pipelines!$E$2:$E$8801,"Won")</f>
        <v>176961</v>
      </c>
      <c r="C40" s="9">
        <f>COUNTIFS(Sales_Pipelines!$B$2:$B$8801,A40,Sales_Pipelines!$E$2:$E$8801,"Won")</f>
        <v>105</v>
      </c>
      <c r="D40" s="9">
        <f>COUNTIF(Sales_Pipelines!$B$2:$B$8801,A40)</f>
        <v>239</v>
      </c>
      <c r="E40" s="12">
        <f t="shared" si="2"/>
        <v>0.43933054393305437</v>
      </c>
      <c r="F40" s="10">
        <f t="shared" si="3"/>
        <v>1685.3428571428572</v>
      </c>
      <c r="G40" s="11" t="str">
        <f>VLOOKUP(A40,Sales_teams!$A$2:$C$36,2,FALSE)</f>
        <v>Melvin Marxen</v>
      </c>
      <c r="H40" s="11" t="str">
        <f>VLOOKUP(A40,Sales_teams!$A$2:$C$36,3,FALSE)</f>
        <v>Central</v>
      </c>
    </row>
    <row r="41" spans="1:8" x14ac:dyDescent="0.25">
      <c r="A41" s="11" t="s">
        <v>140</v>
      </c>
      <c r="B41" s="8">
        <f>SUMIFS(Sales_Pipelines!$H$2:$H$8801,Sales_Pipelines!$B$2:$B$8801,A41,Sales_Pipelines!$E$2:$E$8801,"Won")</f>
        <v>1153214</v>
      </c>
      <c r="C41" s="9">
        <f>COUNTIFS(Sales_Pipelines!$B$2:$B$8801,A41,Sales_Pipelines!$E$2:$E$8801,"Won")</f>
        <v>349</v>
      </c>
      <c r="D41" s="9">
        <f>COUNTIF(Sales_Pipelines!$B$2:$B$8801,A41)</f>
        <v>747</v>
      </c>
      <c r="E41" s="12">
        <f t="shared" si="2"/>
        <v>0.46720214190093706</v>
      </c>
      <c r="F41" s="10">
        <f t="shared" si="3"/>
        <v>3304.3381088825213</v>
      </c>
      <c r="G41" s="11" t="str">
        <f>VLOOKUP(A41,Sales_teams!$A$2:$C$36,2,FALSE)</f>
        <v>Melvin Marxen</v>
      </c>
      <c r="H41" s="11" t="str">
        <f>VLOOKUP(A41,Sales_teams!$A$2:$C$36,3,FALSE)</f>
        <v>Central</v>
      </c>
    </row>
    <row r="42" spans="1:8" x14ac:dyDescent="0.25">
      <c r="A42" s="11" t="s">
        <v>8975</v>
      </c>
      <c r="B42" s="8">
        <f>SUMIFS(Sales_Pipelines!$H$2:$H$8801,Sales_Pipelines!$B$2:$B$8801,A42,Sales_Pipelines!$E$2:$E$8801,"Won")</f>
        <v>0</v>
      </c>
      <c r="C42" s="9">
        <f>COUNTIFS(Sales_Pipelines!$B$2:$B$8801,A42,Sales_Pipelines!$E$2:$E$8801,"Won")</f>
        <v>0</v>
      </c>
      <c r="D42" s="9">
        <f>COUNTIF(Sales_Pipelines!$B$2:$B$8801,A42)</f>
        <v>0</v>
      </c>
      <c r="E42" s="12">
        <f t="shared" si="2"/>
        <v>0</v>
      </c>
      <c r="F42" s="10">
        <f t="shared" si="3"/>
        <v>0</v>
      </c>
      <c r="G42" s="11" t="str">
        <f>VLOOKUP(A42,Sales_teams!$A$2:$C$36,2,FALSE)</f>
        <v>Melvin Marxen</v>
      </c>
      <c r="H42" s="11" t="str">
        <f>VLOOKUP(A42,Sales_teams!$A$2:$C$36,3,FALSE)</f>
        <v>Central</v>
      </c>
    </row>
    <row r="43" spans="1:8" x14ac:dyDescent="0.25">
      <c r="A43" s="11" t="s">
        <v>177</v>
      </c>
      <c r="B43" s="8">
        <f>SUMIFS(Sales_Pipelines!$H$2:$H$8801,Sales_Pipelines!$B$2:$B$8801,A43,Sales_Pipelines!$E$2:$E$8801,"Won")</f>
        <v>123431</v>
      </c>
      <c r="C43" s="9">
        <f>COUNTIFS(Sales_Pipelines!$B$2:$B$8801,A43,Sales_Pipelines!$E$2:$E$8801,"Won")</f>
        <v>122</v>
      </c>
      <c r="D43" s="9">
        <f>COUNTIF(Sales_Pipelines!$B$2:$B$8801,A43)</f>
        <v>261</v>
      </c>
      <c r="E43" s="12">
        <f t="shared" si="2"/>
        <v>0.46743295019157088</v>
      </c>
      <c r="F43" s="10">
        <f t="shared" si="3"/>
        <v>1011.7295081967213</v>
      </c>
      <c r="G43" s="11" t="str">
        <f>VLOOKUP(A43,Sales_teams!$A$2:$C$36,2,FALSE)</f>
        <v>Cara Losch</v>
      </c>
      <c r="H43" s="11" t="str">
        <f>VLOOKUP(A43,Sales_teams!$A$2:$C$36,3,FALSE)</f>
        <v>East</v>
      </c>
    </row>
    <row r="44" spans="1:8" x14ac:dyDescent="0.25">
      <c r="A44" s="11" t="s">
        <v>239</v>
      </c>
      <c r="B44" s="8">
        <f>SUMIFS(Sales_Pipelines!$H$2:$H$8801,Sales_Pipelines!$B$2:$B$8801,A44,Sales_Pipelines!$E$2:$E$8801,"Won")</f>
        <v>421036</v>
      </c>
      <c r="C44" s="9">
        <f>COUNTIFS(Sales_Pipelines!$B$2:$B$8801,A44,Sales_Pipelines!$E$2:$E$8801,"Won")</f>
        <v>150</v>
      </c>
      <c r="D44" s="9">
        <f>COUNTIF(Sales_Pipelines!$B$2:$B$8801,A44)</f>
        <v>310</v>
      </c>
      <c r="E44" s="12">
        <f t="shared" si="2"/>
        <v>0.4838709677419355</v>
      </c>
      <c r="F44" s="10">
        <f t="shared" si="3"/>
        <v>2806.9066666666668</v>
      </c>
      <c r="G44" s="11" t="str">
        <f>VLOOKUP(A44,Sales_teams!$A$2:$C$36,2,FALSE)</f>
        <v>Cara Losch</v>
      </c>
      <c r="H44" s="11" t="str">
        <f>VLOOKUP(A44,Sales_teams!$A$2:$C$36,3,FALSE)</f>
        <v>East</v>
      </c>
    </row>
    <row r="45" spans="1:8" x14ac:dyDescent="0.25">
      <c r="A45" s="11" t="s">
        <v>187</v>
      </c>
      <c r="B45" s="8">
        <f>SUMIFS(Sales_Pipelines!$H$2:$H$8801,Sales_Pipelines!$B$2:$B$8801,A45,Sales_Pipelines!$E$2:$E$8801,"Won")</f>
        <v>230169</v>
      </c>
      <c r="C45" s="9">
        <f>COUNTIFS(Sales_Pipelines!$B$2:$B$8801,A45,Sales_Pipelines!$E$2:$E$8801,"Won")</f>
        <v>78</v>
      </c>
      <c r="D45" s="9">
        <f>COUNTIF(Sales_Pipelines!$B$2:$B$8801,A45)</f>
        <v>160</v>
      </c>
      <c r="E45" s="12">
        <f t="shared" si="2"/>
        <v>0.48749999999999999</v>
      </c>
      <c r="F45" s="10">
        <f t="shared" si="3"/>
        <v>2950.8846153846152</v>
      </c>
      <c r="G45" s="11" t="str">
        <f>VLOOKUP(A45,Sales_teams!$A$2:$C$36,2,FALSE)</f>
        <v>Cara Losch</v>
      </c>
      <c r="H45" s="11" t="str">
        <f>VLOOKUP(A45,Sales_teams!$A$2:$C$36,3,FALSE)</f>
        <v>East</v>
      </c>
    </row>
    <row r="46" spans="1:8" x14ac:dyDescent="0.25">
      <c r="A46" s="11" t="s">
        <v>198</v>
      </c>
      <c r="B46" s="8">
        <f>SUMIFS(Sales_Pipelines!$H$2:$H$8801,Sales_Pipelines!$B$2:$B$8801,A46,Sales_Pipelines!$E$2:$E$8801,"Won")</f>
        <v>197773</v>
      </c>
      <c r="C46" s="9">
        <f>COUNTIFS(Sales_Pipelines!$B$2:$B$8801,A46,Sales_Pipelines!$E$2:$E$8801,"Won")</f>
        <v>75</v>
      </c>
      <c r="D46" s="9">
        <f>COUNTIF(Sales_Pipelines!$B$2:$B$8801,A46)</f>
        <v>123</v>
      </c>
      <c r="E46" s="12">
        <f t="shared" si="2"/>
        <v>0.6097560975609756</v>
      </c>
      <c r="F46" s="10">
        <f t="shared" si="3"/>
        <v>2636.9733333333334</v>
      </c>
      <c r="G46" s="11" t="str">
        <f>VLOOKUP(A46,Sales_teams!$A$2:$C$36,2,FALSE)</f>
        <v>Cara Losch</v>
      </c>
      <c r="H46" s="11" t="str">
        <f>VLOOKUP(A46,Sales_teams!$A$2:$C$36,3,FALSE)</f>
        <v>East</v>
      </c>
    </row>
    <row r="47" spans="1:8" x14ac:dyDescent="0.25">
      <c r="A47" s="11" t="s">
        <v>196</v>
      </c>
      <c r="B47" s="8">
        <f>SUMIFS(Sales_Pipelines!$H$2:$H$8801,Sales_Pipelines!$B$2:$B$8801,A47,Sales_Pipelines!$E$2:$E$8801,"Won")</f>
        <v>157640</v>
      </c>
      <c r="C47" s="9">
        <f>COUNTIFS(Sales_Pipelines!$B$2:$B$8801,A47,Sales_Pipelines!$E$2:$E$8801,"Won")</f>
        <v>55</v>
      </c>
      <c r="D47" s="9">
        <f>COUNTIF(Sales_Pipelines!$B$2:$B$8801,A47)</f>
        <v>110</v>
      </c>
      <c r="E47" s="12">
        <f t="shared" si="2"/>
        <v>0.5</v>
      </c>
      <c r="F47" s="10">
        <f t="shared" si="3"/>
        <v>2866.181818181818</v>
      </c>
      <c r="G47" s="11" t="str">
        <f>VLOOKUP(A47,Sales_teams!$A$2:$C$36,2,FALSE)</f>
        <v>Cara Losch</v>
      </c>
      <c r="H47" s="11" t="str">
        <f>VLOOKUP(A47,Sales_teams!$A$2:$C$36,3,FALSE)</f>
        <v>East</v>
      </c>
    </row>
    <row r="48" spans="1:8" x14ac:dyDescent="0.25">
      <c r="A48" s="11" t="s">
        <v>8978</v>
      </c>
      <c r="B48" s="8">
        <f>SUMIFS(Sales_Pipelines!$H$2:$H$8801,Sales_Pipelines!$B$2:$B$8801,A48,Sales_Pipelines!$E$2:$E$8801,"Won")</f>
        <v>0</v>
      </c>
      <c r="C48" s="9">
        <f>COUNTIFS(Sales_Pipelines!$B$2:$B$8801,A48,Sales_Pipelines!$E$2:$E$8801,"Won")</f>
        <v>0</v>
      </c>
      <c r="D48" s="9">
        <f>COUNTIF(Sales_Pipelines!$B$2:$B$8801,A48)</f>
        <v>0</v>
      </c>
      <c r="E48" s="12">
        <f t="shared" si="2"/>
        <v>0</v>
      </c>
      <c r="F48" s="10">
        <f t="shared" si="3"/>
        <v>0</v>
      </c>
      <c r="G48" s="11" t="str">
        <f>VLOOKUP(A48,Sales_teams!$A$2:$C$36,2,FALSE)</f>
        <v>Cara Losch</v>
      </c>
      <c r="H48" s="11" t="str">
        <f>VLOOKUP(A48,Sales_teams!$A$2:$C$36,3,FALSE)</f>
        <v>East</v>
      </c>
    </row>
    <row r="49" spans="1:8" x14ac:dyDescent="0.25">
      <c r="A49" s="11" t="s">
        <v>171</v>
      </c>
      <c r="B49" s="8">
        <f>SUMIFS(Sales_Pipelines!$H$2:$H$8801,Sales_Pipelines!$B$2:$B$8801,A49,Sales_Pipelines!$E$2:$E$8801,"Won")</f>
        <v>364229</v>
      </c>
      <c r="C49" s="9">
        <f>COUNTIFS(Sales_Pipelines!$B$2:$B$8801,A49,Sales_Pipelines!$E$2:$E$8801,"Won")</f>
        <v>114</v>
      </c>
      <c r="D49" s="9">
        <f>COUNTIF(Sales_Pipelines!$B$2:$B$8801,A49)</f>
        <v>259</v>
      </c>
      <c r="E49" s="12">
        <f t="shared" si="2"/>
        <v>0.44015444015444016</v>
      </c>
      <c r="F49" s="10">
        <f t="shared" si="3"/>
        <v>3194.9912280701756</v>
      </c>
      <c r="G49" s="11" t="str">
        <f>VLOOKUP(A49,Sales_teams!$A$2:$C$36,2,FALSE)</f>
        <v>Rocco Neubert</v>
      </c>
      <c r="H49" s="11" t="str">
        <f>VLOOKUP(A49,Sales_teams!$A$2:$C$36,3,FALSE)</f>
        <v>East</v>
      </c>
    </row>
    <row r="50" spans="1:8" x14ac:dyDescent="0.25">
      <c r="A50" s="11" t="s">
        <v>207</v>
      </c>
      <c r="B50" s="8">
        <f>SUMIFS(Sales_Pipelines!$H$2:$H$8801,Sales_Pipelines!$B$2:$B$8801,A50,Sales_Pipelines!$E$2:$E$8801,"Won")</f>
        <v>450489</v>
      </c>
      <c r="C50" s="9">
        <f>COUNTIFS(Sales_Pipelines!$B$2:$B$8801,A50,Sales_Pipelines!$E$2:$E$8801,"Won")</f>
        <v>163</v>
      </c>
      <c r="D50" s="9">
        <f>COUNTIF(Sales_Pipelines!$B$2:$B$8801,A50)</f>
        <v>346</v>
      </c>
      <c r="E50" s="12">
        <f t="shared" si="2"/>
        <v>0.47109826589595377</v>
      </c>
      <c r="F50" s="10">
        <f t="shared" si="3"/>
        <v>2763.7361963190183</v>
      </c>
      <c r="G50" s="11" t="str">
        <f>VLOOKUP(A50,Sales_teams!$A$2:$C$36,2,FALSE)</f>
        <v>Rocco Neubert</v>
      </c>
      <c r="H50" s="11" t="str">
        <f>VLOOKUP(A50,Sales_teams!$A$2:$C$36,3,FALSE)</f>
        <v>East</v>
      </c>
    </row>
    <row r="51" spans="1:8" x14ac:dyDescent="0.25">
      <c r="A51" s="11" t="s">
        <v>224</v>
      </c>
      <c r="B51" s="8">
        <f>SUMIFS(Sales_Pipelines!$H$2:$H$8801,Sales_Pipelines!$B$2:$B$8801,A51,Sales_Pipelines!$E$2:$E$8801,"Won")</f>
        <v>445860</v>
      </c>
      <c r="C51" s="9">
        <f>COUNTIFS(Sales_Pipelines!$B$2:$B$8801,A51,Sales_Pipelines!$E$2:$E$8801,"Won")</f>
        <v>158</v>
      </c>
      <c r="D51" s="9">
        <f>COUNTIF(Sales_Pipelines!$B$2:$B$8801,A51)</f>
        <v>275</v>
      </c>
      <c r="E51" s="12">
        <f t="shared" si="2"/>
        <v>0.57454545454545458</v>
      </c>
      <c r="F51" s="10">
        <f t="shared" si="3"/>
        <v>2821.8987341772154</v>
      </c>
      <c r="G51" s="11" t="str">
        <f>VLOOKUP(A51,Sales_teams!$A$2:$C$36,2,FALSE)</f>
        <v>Rocco Neubert</v>
      </c>
      <c r="H51" s="11" t="str">
        <f>VLOOKUP(A51,Sales_teams!$A$2:$C$36,3,FALSE)</f>
        <v>East</v>
      </c>
    </row>
    <row r="52" spans="1:8" x14ac:dyDescent="0.25">
      <c r="A52" s="11" t="s">
        <v>193</v>
      </c>
      <c r="B52" s="8">
        <f>SUMIFS(Sales_Pipelines!$H$2:$H$8801,Sales_Pipelines!$B$2:$B$8801,A52,Sales_Pipelines!$E$2:$E$8801,"Won")</f>
        <v>438336</v>
      </c>
      <c r="C52" s="9">
        <f>COUNTIFS(Sales_Pipelines!$B$2:$B$8801,A52,Sales_Pipelines!$E$2:$E$8801,"Won")</f>
        <v>155</v>
      </c>
      <c r="D52" s="9">
        <f>COUNTIF(Sales_Pipelines!$B$2:$B$8801,A52)</f>
        <v>237</v>
      </c>
      <c r="E52" s="12">
        <f t="shared" si="2"/>
        <v>0.65400843881856541</v>
      </c>
      <c r="F52" s="10">
        <f t="shared" si="3"/>
        <v>2827.9741935483871</v>
      </c>
      <c r="G52" s="11" t="str">
        <f>VLOOKUP(A52,Sales_teams!$A$2:$C$36,2,FALSE)</f>
        <v>Rocco Neubert</v>
      </c>
      <c r="H52" s="11" t="str">
        <f>VLOOKUP(A52,Sales_teams!$A$2:$C$36,3,FALSE)</f>
        <v>East</v>
      </c>
    </row>
    <row r="53" spans="1:8" x14ac:dyDescent="0.25">
      <c r="A53" s="11" t="s">
        <v>222</v>
      </c>
      <c r="B53" s="8">
        <f>SUMIFS(Sales_Pipelines!$H$2:$H$8801,Sales_Pipelines!$B$2:$B$8801,A53,Sales_Pipelines!$E$2:$E$8801,"Won")</f>
        <v>261631</v>
      </c>
      <c r="C53" s="9">
        <f>COUNTIFS(Sales_Pipelines!$B$2:$B$8801,A53,Sales_Pipelines!$E$2:$E$8801,"Won")</f>
        <v>101</v>
      </c>
      <c r="D53" s="9">
        <f>COUNTIF(Sales_Pipelines!$B$2:$B$8801,A53)</f>
        <v>210</v>
      </c>
      <c r="E53" s="12">
        <f t="shared" si="2"/>
        <v>0.48095238095238096</v>
      </c>
      <c r="F53" s="10">
        <f t="shared" si="3"/>
        <v>2590.4059405940593</v>
      </c>
      <c r="G53" s="11" t="str">
        <f>VLOOKUP(A53,Sales_teams!$A$2:$C$36,2,FALSE)</f>
        <v>Rocco Neubert</v>
      </c>
      <c r="H53" s="11" t="str">
        <f>VLOOKUP(A53,Sales_teams!$A$2:$C$36,3,FALSE)</f>
        <v>East</v>
      </c>
    </row>
    <row r="54" spans="1:8" x14ac:dyDescent="0.25">
      <c r="A54" s="11" t="s">
        <v>8980</v>
      </c>
      <c r="B54" s="8">
        <f>SUMIFS(Sales_Pipelines!$H$2:$H$8801,Sales_Pipelines!$B$2:$B$8801,A54,Sales_Pipelines!$E$2:$E$8801,"Won")</f>
        <v>0</v>
      </c>
      <c r="C54" s="9">
        <f>COUNTIFS(Sales_Pipelines!$B$2:$B$8801,A54,Sales_Pipelines!$E$2:$E$8801,"Won")</f>
        <v>0</v>
      </c>
      <c r="D54" s="9">
        <f>COUNTIF(Sales_Pipelines!$B$2:$B$8801,A54)</f>
        <v>0</v>
      </c>
      <c r="E54" s="12">
        <f t="shared" si="2"/>
        <v>0</v>
      </c>
      <c r="F54" s="10">
        <f t="shared" si="3"/>
        <v>0</v>
      </c>
      <c r="G54" s="11" t="str">
        <f>VLOOKUP(A54,Sales_teams!$A$2:$C$36,2,FALSE)</f>
        <v>Rocco Neubert</v>
      </c>
      <c r="H54" s="11" t="str">
        <f>VLOOKUP(A54,Sales_teams!$A$2:$C$36,3,FALSE)</f>
        <v>East</v>
      </c>
    </row>
    <row r="55" spans="1:8" x14ac:dyDescent="0.25">
      <c r="A55" s="11" t="s">
        <v>148</v>
      </c>
      <c r="B55" s="8">
        <f>SUMIFS(Sales_Pipelines!$H$2:$H$8801,Sales_Pipelines!$B$2:$B$8801,A55,Sales_Pipelines!$E$2:$E$8801,"Won")</f>
        <v>478396</v>
      </c>
      <c r="C55" s="9">
        <f>COUNTIFS(Sales_Pipelines!$B$2:$B$8801,A55,Sales_Pipelines!$E$2:$E$8801,"Won")</f>
        <v>221</v>
      </c>
      <c r="D55" s="9">
        <f>COUNTIF(Sales_Pipelines!$B$2:$B$8801,A55)</f>
        <v>451</v>
      </c>
      <c r="E55" s="12">
        <f t="shared" si="2"/>
        <v>0.49002217294900224</v>
      </c>
      <c r="F55" s="10">
        <f t="shared" si="3"/>
        <v>2164.6877828054298</v>
      </c>
      <c r="G55" s="11" t="str">
        <f>VLOOKUP(A55,Sales_teams!$A$2:$C$36,2,FALSE)</f>
        <v>Celia Rouche</v>
      </c>
      <c r="H55" s="11" t="str">
        <f>VLOOKUP(A55,Sales_teams!$A$2:$C$36,3,FALSE)</f>
        <v>West</v>
      </c>
    </row>
    <row r="56" spans="1:8" x14ac:dyDescent="0.25">
      <c r="A56" s="11" t="s">
        <v>166</v>
      </c>
      <c r="B56" s="8">
        <f>SUMIFS(Sales_Pipelines!$H$2:$H$8801,Sales_Pipelines!$B$2:$B$8801,A56,Sales_Pipelines!$E$2:$E$8801,"Won")</f>
        <v>235403</v>
      </c>
      <c r="C56" s="9">
        <f>COUNTIFS(Sales_Pipelines!$B$2:$B$8801,A56,Sales_Pipelines!$E$2:$E$8801,"Won")</f>
        <v>72</v>
      </c>
      <c r="D56" s="9">
        <f>COUNTIF(Sales_Pipelines!$B$2:$B$8801,A56)</f>
        <v>160</v>
      </c>
      <c r="E56" s="12">
        <f t="shared" si="2"/>
        <v>0.45</v>
      </c>
      <c r="F56" s="10">
        <f t="shared" si="3"/>
        <v>3269.4861111111113</v>
      </c>
      <c r="G56" s="11" t="str">
        <f>VLOOKUP(A56,Sales_teams!$A$2:$C$36,2,FALSE)</f>
        <v>Celia Rouche</v>
      </c>
      <c r="H56" s="11" t="str">
        <f>VLOOKUP(A56,Sales_teams!$A$2:$C$36,3,FALSE)</f>
        <v>West</v>
      </c>
    </row>
    <row r="57" spans="1:8" x14ac:dyDescent="0.25">
      <c r="A57" s="11" t="s">
        <v>164</v>
      </c>
      <c r="B57" s="8">
        <f>SUMIFS(Sales_Pipelines!$H$2:$H$8801,Sales_Pipelines!$B$2:$B$8801,A57,Sales_Pipelines!$E$2:$E$8801,"Won")</f>
        <v>272111</v>
      </c>
      <c r="C57" s="9">
        <f>COUNTIFS(Sales_Pipelines!$B$2:$B$8801,A57,Sales_Pipelines!$E$2:$E$8801,"Won")</f>
        <v>107</v>
      </c>
      <c r="D57" s="9">
        <f>COUNTIF(Sales_Pipelines!$B$2:$B$8801,A57)</f>
        <v>202</v>
      </c>
      <c r="E57" s="12">
        <f t="shared" si="2"/>
        <v>0.52970297029702973</v>
      </c>
      <c r="F57" s="10">
        <f t="shared" si="3"/>
        <v>2543.0934579439254</v>
      </c>
      <c r="G57" s="11" t="str">
        <f>VLOOKUP(A57,Sales_teams!$A$2:$C$36,2,FALSE)</f>
        <v>Celia Rouche</v>
      </c>
      <c r="H57" s="11" t="str">
        <f>VLOOKUP(A57,Sales_teams!$A$2:$C$36,3,FALSE)</f>
        <v>West</v>
      </c>
    </row>
    <row r="58" spans="1:8" x14ac:dyDescent="0.25">
      <c r="A58" s="11" t="s">
        <v>150</v>
      </c>
      <c r="B58" s="8">
        <f>SUMIFS(Sales_Pipelines!$H$2:$H$8801,Sales_Pipelines!$B$2:$B$8801,A58,Sales_Pipelines!$E$2:$E$8801,"Won")</f>
        <v>328792</v>
      </c>
      <c r="C58" s="9">
        <f>COUNTIFS(Sales_Pipelines!$B$2:$B$8801,A58,Sales_Pipelines!$E$2:$E$8801,"Won")</f>
        <v>130</v>
      </c>
      <c r="D58" s="9">
        <f>COUNTIF(Sales_Pipelines!$B$2:$B$8801,A58)</f>
        <v>306</v>
      </c>
      <c r="E58" s="12">
        <f t="shared" si="2"/>
        <v>0.42483660130718953</v>
      </c>
      <c r="F58" s="10">
        <f t="shared" si="3"/>
        <v>2529.1692307692306</v>
      </c>
      <c r="G58" s="11" t="str">
        <f>VLOOKUP(A58,Sales_teams!$A$2:$C$36,2,FALSE)</f>
        <v>Celia Rouche</v>
      </c>
      <c r="H58" s="11" t="str">
        <f>VLOOKUP(A58,Sales_teams!$A$2:$C$36,3,FALSE)</f>
        <v>West</v>
      </c>
    </row>
    <row r="59" spans="1:8" x14ac:dyDescent="0.25">
      <c r="A59" s="11" t="s">
        <v>173</v>
      </c>
      <c r="B59" s="8">
        <f>SUMIFS(Sales_Pipelines!$H$2:$H$8801,Sales_Pipelines!$B$2:$B$8801,A59,Sales_Pipelines!$E$2:$E$8801,"Won")</f>
        <v>289195</v>
      </c>
      <c r="C59" s="9">
        <f>COUNTIFS(Sales_Pipelines!$B$2:$B$8801,A59,Sales_Pipelines!$E$2:$E$8801,"Won")</f>
        <v>80</v>
      </c>
      <c r="D59" s="9">
        <f>COUNTIF(Sales_Pipelines!$B$2:$B$8801,A59)</f>
        <v>177</v>
      </c>
      <c r="E59" s="12">
        <f t="shared" si="2"/>
        <v>0.4519774011299435</v>
      </c>
      <c r="F59" s="10">
        <f t="shared" si="3"/>
        <v>3614.9375</v>
      </c>
      <c r="G59" s="11" t="str">
        <f>VLOOKUP(A59,Sales_teams!$A$2:$C$36,2,FALSE)</f>
        <v>Celia Rouche</v>
      </c>
      <c r="H59" s="11" t="str">
        <f>VLOOKUP(A59,Sales_teams!$A$2:$C$36,3,FALSE)</f>
        <v>West</v>
      </c>
    </row>
    <row r="60" spans="1:8" x14ac:dyDescent="0.25">
      <c r="A60" s="11" t="s">
        <v>8983</v>
      </c>
      <c r="B60" s="8">
        <f>SUMIFS(Sales_Pipelines!$H$2:$H$8801,Sales_Pipelines!$B$2:$B$8801,A60,Sales_Pipelines!$E$2:$E$8801,"Won")</f>
        <v>0</v>
      </c>
      <c r="C60" s="9">
        <f>COUNTIFS(Sales_Pipelines!$B$2:$B$8801,A60,Sales_Pipelines!$E$2:$E$8801,"Won")</f>
        <v>0</v>
      </c>
      <c r="D60" s="9">
        <f>COUNTIF(Sales_Pipelines!$B$2:$B$8801,A60)</f>
        <v>0</v>
      </c>
      <c r="E60" s="12">
        <f t="shared" si="2"/>
        <v>0</v>
      </c>
      <c r="F60" s="10">
        <f t="shared" si="3"/>
        <v>0</v>
      </c>
      <c r="G60" s="11" t="str">
        <f>VLOOKUP(A60,Sales_teams!$A$2:$C$36,2,FALSE)</f>
        <v>Celia Rouche</v>
      </c>
      <c r="H60" s="11" t="str">
        <f>VLOOKUP(A60,Sales_teams!$A$2:$C$36,3,FALSE)</f>
        <v>West</v>
      </c>
    </row>
    <row r="61" spans="1:8" x14ac:dyDescent="0.25">
      <c r="A61" s="11" t="s">
        <v>154</v>
      </c>
      <c r="B61" s="8">
        <f>SUMIFS(Sales_Pipelines!$H$2:$H$8801,Sales_Pipelines!$B$2:$B$8801,A61,Sales_Pipelines!$E$2:$E$8801,"Won")</f>
        <v>413533</v>
      </c>
      <c r="C61" s="9">
        <f>COUNTIFS(Sales_Pipelines!$B$2:$B$8801,A61,Sales_Pipelines!$E$2:$E$8801,"Won")</f>
        <v>135</v>
      </c>
      <c r="D61" s="9">
        <f>COUNTIF(Sales_Pipelines!$B$2:$B$8801,A61)</f>
        <v>267</v>
      </c>
      <c r="E61" s="12">
        <f t="shared" si="2"/>
        <v>0.5056179775280899</v>
      </c>
      <c r="F61" s="10">
        <f t="shared" si="3"/>
        <v>3063.2074074074076</v>
      </c>
      <c r="G61" s="11" t="str">
        <f>VLOOKUP(A61,Sales_teams!$A$2:$C$36,2,FALSE)</f>
        <v>Summer Sewald</v>
      </c>
      <c r="H61" s="11" t="str">
        <f>VLOOKUP(A61,Sales_teams!$A$2:$C$36,3,FALSE)</f>
        <v>West</v>
      </c>
    </row>
    <row r="62" spans="1:8" x14ac:dyDescent="0.25">
      <c r="A62" s="11" t="s">
        <v>191</v>
      </c>
      <c r="B62" s="8">
        <f>SUMIFS(Sales_Pipelines!$H$2:$H$8801,Sales_Pipelines!$B$2:$B$8801,A62,Sales_Pipelines!$E$2:$E$8801,"Won")</f>
        <v>454298</v>
      </c>
      <c r="C62" s="9">
        <f>COUNTIFS(Sales_Pipelines!$B$2:$B$8801,A62,Sales_Pipelines!$E$2:$E$8801,"Won")</f>
        <v>209</v>
      </c>
      <c r="D62" s="9">
        <f>COUNTIF(Sales_Pipelines!$B$2:$B$8801,A62)</f>
        <v>438</v>
      </c>
      <c r="E62" s="12">
        <f t="shared" si="2"/>
        <v>0.4771689497716895</v>
      </c>
      <c r="F62" s="10">
        <f t="shared" si="3"/>
        <v>2173.6746411483255</v>
      </c>
      <c r="G62" s="11" t="str">
        <f>VLOOKUP(A62,Sales_teams!$A$2:$C$36,2,FALSE)</f>
        <v>Summer Sewald</v>
      </c>
      <c r="H62" s="11" t="str">
        <f>VLOOKUP(A62,Sales_teams!$A$2:$C$36,3,FALSE)</f>
        <v>West</v>
      </c>
    </row>
    <row r="63" spans="1:8" x14ac:dyDescent="0.25">
      <c r="A63" s="11" t="s">
        <v>180</v>
      </c>
      <c r="B63" s="8">
        <f>SUMIFS(Sales_Pipelines!$H$2:$H$8801,Sales_Pipelines!$B$2:$B$8801,A63,Sales_Pipelines!$E$2:$E$8801,"Won")</f>
        <v>316456</v>
      </c>
      <c r="C63" s="9">
        <f>COUNTIFS(Sales_Pipelines!$B$2:$B$8801,A63,Sales_Pipelines!$E$2:$E$8801,"Won")</f>
        <v>174</v>
      </c>
      <c r="D63" s="9">
        <f>COUNTIF(Sales_Pipelines!$B$2:$B$8801,A63)</f>
        <v>362</v>
      </c>
      <c r="E63" s="12">
        <f t="shared" si="2"/>
        <v>0.48066298342541436</v>
      </c>
      <c r="F63" s="10">
        <f t="shared" si="3"/>
        <v>1818.7126436781609</v>
      </c>
      <c r="G63" s="11" t="str">
        <f>VLOOKUP(A63,Sales_teams!$A$2:$C$36,2,FALSE)</f>
        <v>Summer Sewald</v>
      </c>
      <c r="H63" s="11" t="str">
        <f>VLOOKUP(A63,Sales_teams!$A$2:$C$36,3,FALSE)</f>
        <v>West</v>
      </c>
    </row>
    <row r="64" spans="1:8" x14ac:dyDescent="0.25">
      <c r="A64" s="11" t="s">
        <v>144</v>
      </c>
      <c r="B64" s="8">
        <f>SUMIFS(Sales_Pipelines!$H$2:$H$8801,Sales_Pipelines!$B$2:$B$8801,A64,Sales_Pipelines!$E$2:$E$8801,"Won")</f>
        <v>430068</v>
      </c>
      <c r="C64" s="9">
        <f>COUNTIFS(Sales_Pipelines!$B$2:$B$8801,A64,Sales_Pipelines!$E$2:$E$8801,"Won")</f>
        <v>161</v>
      </c>
      <c r="D64" s="9">
        <f>COUNTIF(Sales_Pipelines!$B$2:$B$8801,A64)</f>
        <v>349</v>
      </c>
      <c r="E64" s="12">
        <f t="shared" si="2"/>
        <v>0.46131805157593125</v>
      </c>
      <c r="F64" s="10">
        <f t="shared" si="3"/>
        <v>2671.2298136645963</v>
      </c>
      <c r="G64" s="11" t="str">
        <f>VLOOKUP(A64,Sales_teams!$A$2:$C$36,2,FALSE)</f>
        <v>Summer Sewald</v>
      </c>
      <c r="H64" s="11" t="str">
        <f>VLOOKUP(A64,Sales_teams!$A$2:$C$36,3,FALSE)</f>
        <v>West</v>
      </c>
    </row>
    <row r="65" spans="1:8" x14ac:dyDescent="0.25">
      <c r="A65" s="11" t="s">
        <v>162</v>
      </c>
      <c r="B65" s="8">
        <f>SUMIFS(Sales_Pipelines!$H$2:$H$8801,Sales_Pipelines!$B$2:$B$8801,A65,Sales_Pipelines!$E$2:$E$8801,"Won")</f>
        <v>350395</v>
      </c>
      <c r="C65" s="9">
        <f>COUNTIFS(Sales_Pipelines!$B$2:$B$8801,A65,Sales_Pipelines!$E$2:$E$8801,"Won")</f>
        <v>149</v>
      </c>
      <c r="D65" s="9">
        <f>COUNTIF(Sales_Pipelines!$B$2:$B$8801,A65)</f>
        <v>285</v>
      </c>
      <c r="E65" s="12">
        <f t="shared" si="2"/>
        <v>0.52280701754385961</v>
      </c>
      <c r="F65" s="10">
        <f t="shared" si="3"/>
        <v>2351.6442953020132</v>
      </c>
      <c r="G65" s="11" t="str">
        <f>VLOOKUP(A65,Sales_teams!$A$2:$C$36,2,FALSE)</f>
        <v>Summer Sewald</v>
      </c>
      <c r="H65" s="11" t="str">
        <f>VLOOKUP(A65,Sales_teams!$A$2:$C$36,3,FALSE)</f>
        <v>West</v>
      </c>
    </row>
    <row r="66" spans="1:8" x14ac:dyDescent="0.25">
      <c r="A66" s="11" t="s">
        <v>8985</v>
      </c>
      <c r="B66" s="8">
        <f>SUMIFS(Sales_Pipelines!$H$2:$H$8801,Sales_Pipelines!$B$2:$B$8801,A66,Sales_Pipelines!$E$2:$E$8801,"Won")</f>
        <v>0</v>
      </c>
      <c r="C66" s="9">
        <f>COUNTIFS(Sales_Pipelines!$B$2:$B$8801,A66,Sales_Pipelines!$E$2:$E$8801,"Won")</f>
        <v>0</v>
      </c>
      <c r="D66" s="9">
        <f>COUNTIF(Sales_Pipelines!$B$2:$B$8801,A66)</f>
        <v>0</v>
      </c>
      <c r="E66" s="12">
        <f t="shared" si="2"/>
        <v>0</v>
      </c>
      <c r="F66" s="10">
        <f t="shared" si="3"/>
        <v>0</v>
      </c>
      <c r="G66" s="11" t="str">
        <f>VLOOKUP(A66,Sales_teams!$A$2:$C$36,2,FALSE)</f>
        <v>Summer Sewald</v>
      </c>
      <c r="H66" s="11" t="str">
        <f>VLOOKUP(A66,Sales_teams!$A$2:$C$36,3,FALSE)</f>
        <v>West</v>
      </c>
    </row>
    <row r="69" spans="1:8" ht="21.95" customHeight="1" x14ac:dyDescent="0.25">
      <c r="A69" s="24" t="s">
        <v>9008</v>
      </c>
      <c r="B69" s="24"/>
      <c r="C69" s="24"/>
      <c r="D69" s="24"/>
      <c r="E69" s="24"/>
      <c r="F69" s="24"/>
    </row>
    <row r="70" spans="1:8" ht="20.100000000000001" customHeight="1" x14ac:dyDescent="0.25">
      <c r="A70" s="35" t="s">
        <v>9005</v>
      </c>
      <c r="B70" s="35" t="s">
        <v>8987</v>
      </c>
      <c r="C70" s="35" t="s">
        <v>8998</v>
      </c>
      <c r="D70" s="35" t="s">
        <v>8999</v>
      </c>
      <c r="E70" s="35" t="s">
        <v>9000</v>
      </c>
      <c r="F70" s="35" t="s">
        <v>9006</v>
      </c>
    </row>
    <row r="71" spans="1:8" x14ac:dyDescent="0.25">
      <c r="A71" s="11" t="s">
        <v>8973</v>
      </c>
      <c r="B71" s="17">
        <f>SUMIF($H$32:$H$66,A71,$B$32:$B$66)</f>
        <v>3346293</v>
      </c>
      <c r="C71" s="9">
        <f>SUMIF($H$32:$H$66,A71,$C$32:$C$66)</f>
        <v>1629</v>
      </c>
      <c r="D71" s="9">
        <f>SUMIF($H$32:$H$66,A71,$D$32:$D$66)</f>
        <v>3512</v>
      </c>
      <c r="E71" s="16">
        <f>C71/D71</f>
        <v>0.46383826879271073</v>
      </c>
      <c r="F71" s="10">
        <f>IF(C71=0,0,B71/C71)</f>
        <v>2054.2007366482503</v>
      </c>
    </row>
    <row r="72" spans="1:8" x14ac:dyDescent="0.25">
      <c r="A72" s="11" t="s">
        <v>8977</v>
      </c>
      <c r="B72" s="17">
        <f t="shared" ref="B72:B73" si="4">SUMIF($H$32:$H$66,A72,$B$32:$B$66)</f>
        <v>3090594</v>
      </c>
      <c r="C72" s="9">
        <f t="shared" ref="C72:C73" si="5">SUMIF($H$32:$H$66,A72,$C$32:$C$66)</f>
        <v>1171</v>
      </c>
      <c r="D72" s="9">
        <f t="shared" ref="D72:D73" si="6">SUMIF($H$32:$H$66,A72,$D$32:$D$66)</f>
        <v>2291</v>
      </c>
      <c r="E72" s="16">
        <f t="shared" ref="E72:E73" si="7">C72/D72</f>
        <v>0.51113051069402005</v>
      </c>
      <c r="F72" s="10">
        <f t="shared" ref="F72:F73" si="8">IF(C72=0,0,B72/C72)</f>
        <v>2639.2775405636207</v>
      </c>
    </row>
    <row r="73" spans="1:8" x14ac:dyDescent="0.25">
      <c r="A73" s="11" t="s">
        <v>8982</v>
      </c>
      <c r="B73" s="17">
        <f t="shared" si="4"/>
        <v>3568647</v>
      </c>
      <c r="C73" s="9">
        <f t="shared" si="5"/>
        <v>1438</v>
      </c>
      <c r="D73" s="9">
        <f t="shared" si="6"/>
        <v>2997</v>
      </c>
      <c r="E73" s="16">
        <f t="shared" si="7"/>
        <v>0.47981314647981316</v>
      </c>
      <c r="F73" s="10">
        <f t="shared" si="8"/>
        <v>2481.6738525730179</v>
      </c>
    </row>
    <row r="76" spans="1:8" ht="21.95" customHeight="1" x14ac:dyDescent="0.25">
      <c r="A76" s="24" t="s">
        <v>9007</v>
      </c>
      <c r="B76" s="24"/>
      <c r="C76" s="24"/>
      <c r="D76" s="24"/>
      <c r="E76" s="24"/>
      <c r="F76" s="24"/>
    </row>
    <row r="77" spans="1:8" ht="20.100000000000001" customHeight="1" x14ac:dyDescent="0.25">
      <c r="A77" s="35" t="s">
        <v>9004</v>
      </c>
      <c r="B77" s="35" t="s">
        <v>8987</v>
      </c>
      <c r="C77" s="35" t="s">
        <v>8998</v>
      </c>
      <c r="D77" s="35" t="s">
        <v>8999</v>
      </c>
      <c r="E77" s="35" t="s">
        <v>9000</v>
      </c>
      <c r="F77" s="35" t="s">
        <v>9006</v>
      </c>
    </row>
    <row r="78" spans="1:8" x14ac:dyDescent="0.25">
      <c r="A78" s="18" t="s">
        <v>8972</v>
      </c>
      <c r="B78" s="8">
        <f>SUMIF($G$32:$G$66,A78,$B$32:$B$66)</f>
        <v>1094363</v>
      </c>
      <c r="C78" s="9">
        <f>SUMIF($G$32:$G$66,A78,$C$32:$C$66)</f>
        <v>747</v>
      </c>
      <c r="D78" s="9">
        <f>SUMIF($G$32:$G$66,A78,$D$32:$D$66)</f>
        <v>1583</v>
      </c>
      <c r="E78" s="12">
        <f>IF(D78=0,0,C78/D78)</f>
        <v>0.47188881869867338</v>
      </c>
      <c r="F78" s="10">
        <f>IF(C78=0,0,B78/C78)</f>
        <v>1465.0107095046853</v>
      </c>
    </row>
    <row r="79" spans="1:8" x14ac:dyDescent="0.25">
      <c r="A79" s="11" t="s">
        <v>8974</v>
      </c>
      <c r="B79" s="8">
        <f t="shared" ref="B79:B83" si="9">SUMIF($G$32:$G$66,A79,$B$32:$B$66)</f>
        <v>2251930</v>
      </c>
      <c r="C79" s="9">
        <f t="shared" ref="C79:C83" si="10">SUMIF($G$32:$G$66,A79,$C$32:$C$66)</f>
        <v>882</v>
      </c>
      <c r="D79" s="9">
        <f t="shared" ref="D79:D83" si="11">SUMIF($G$32:$G$66,A79,$D$32:$D$66)</f>
        <v>1929</v>
      </c>
      <c r="E79" s="12">
        <f t="shared" ref="E79:E83" si="12">IF(D79=0,0,C79/D79)</f>
        <v>0.4572317262830482</v>
      </c>
      <c r="F79" s="10">
        <f t="shared" ref="F79:F83" si="13">IF(C79=0,0,B79/C79)</f>
        <v>2553.2086167800453</v>
      </c>
    </row>
    <row r="80" spans="1:8" x14ac:dyDescent="0.25">
      <c r="A80" s="11" t="s">
        <v>8976</v>
      </c>
      <c r="B80" s="8">
        <f t="shared" si="9"/>
        <v>1130049</v>
      </c>
      <c r="C80" s="9">
        <f t="shared" si="10"/>
        <v>480</v>
      </c>
      <c r="D80" s="9">
        <f t="shared" si="11"/>
        <v>964</v>
      </c>
      <c r="E80" s="12">
        <f t="shared" si="12"/>
        <v>0.49792531120331951</v>
      </c>
      <c r="F80" s="10">
        <f t="shared" si="13"/>
        <v>2354.2687500000002</v>
      </c>
    </row>
    <row r="81" spans="1:6" x14ac:dyDescent="0.25">
      <c r="A81" s="11" t="s">
        <v>8979</v>
      </c>
      <c r="B81" s="8">
        <f t="shared" si="9"/>
        <v>1960545</v>
      </c>
      <c r="C81" s="9">
        <f t="shared" si="10"/>
        <v>691</v>
      </c>
      <c r="D81" s="9">
        <f t="shared" si="11"/>
        <v>1327</v>
      </c>
      <c r="E81" s="12">
        <f t="shared" si="12"/>
        <v>0.52072343632253204</v>
      </c>
      <c r="F81" s="10">
        <f t="shared" si="13"/>
        <v>2837.2575976845151</v>
      </c>
    </row>
    <row r="82" spans="1:6" x14ac:dyDescent="0.25">
      <c r="A82" s="11" t="s">
        <v>8981</v>
      </c>
      <c r="B82" s="8">
        <f t="shared" si="9"/>
        <v>1603897</v>
      </c>
      <c r="C82" s="9">
        <f t="shared" si="10"/>
        <v>610</v>
      </c>
      <c r="D82" s="9">
        <f t="shared" si="11"/>
        <v>1296</v>
      </c>
      <c r="E82" s="12">
        <f t="shared" si="12"/>
        <v>0.47067901234567899</v>
      </c>
      <c r="F82" s="10">
        <f t="shared" si="13"/>
        <v>2629.3393442622951</v>
      </c>
    </row>
    <row r="83" spans="1:6" x14ac:dyDescent="0.25">
      <c r="A83" s="11" t="s">
        <v>8984</v>
      </c>
      <c r="B83" s="8">
        <f t="shared" si="9"/>
        <v>1964750</v>
      </c>
      <c r="C83" s="9">
        <f t="shared" si="10"/>
        <v>828</v>
      </c>
      <c r="D83" s="9">
        <f t="shared" si="11"/>
        <v>1701</v>
      </c>
      <c r="E83" s="12">
        <f t="shared" si="12"/>
        <v>0.48677248677248675</v>
      </c>
      <c r="F83" s="10">
        <f t="shared" si="13"/>
        <v>2372.8864734299518</v>
      </c>
    </row>
    <row r="86" spans="1:6" ht="21.95" customHeight="1" x14ac:dyDescent="0.25">
      <c r="A86" s="24" t="s">
        <v>9009</v>
      </c>
      <c r="B86" s="24"/>
      <c r="C86" s="24"/>
      <c r="D86" s="24"/>
      <c r="E86" s="24"/>
      <c r="F86" s="24"/>
    </row>
    <row r="87" spans="1:6" ht="20.100000000000001" customHeight="1" x14ac:dyDescent="0.25">
      <c r="A87" s="35" t="s">
        <v>9010</v>
      </c>
      <c r="B87" s="35" t="s">
        <v>8987</v>
      </c>
      <c r="C87" s="35" t="s">
        <v>8998</v>
      </c>
      <c r="D87" s="35" t="s">
        <v>9016</v>
      </c>
      <c r="E87" s="35" t="s">
        <v>9000</v>
      </c>
      <c r="F87" s="35" t="s">
        <v>9006</v>
      </c>
    </row>
    <row r="88" spans="1:6" x14ac:dyDescent="0.25">
      <c r="A88" s="11" t="s">
        <v>9012</v>
      </c>
      <c r="B88" s="19">
        <f>SUMIFS(Sales_Pipelines!$H$2:$H$8801,Sales_Pipelines!$E$2:$E$8801,"Won",Sales_Pipelines!$G$2:$G$8801,"&gt;="&amp;DATE(2017,1,1),Sales_Pipelines!$G$2:$G$8801,"&lt;"&amp;DATE(2017,4,1))</f>
        <v>1134672</v>
      </c>
      <c r="C88" s="9">
        <f>COUNTIFS(Sales_Pipelines!$E$2:$E$8801,"Won",Sales_Pipelines!$G$2:$G$8801,"&gt;="&amp;DATE(2017,1,1),Sales_Pipelines!$G$2:$G$8801,"&lt;"&amp;DATE(2017,4,1))</f>
        <v>531</v>
      </c>
      <c r="D88" s="9">
        <f>COUNTIFS(Sales_Pipelines!$E$2:$E$8801,"Lost",Sales_Pipelines!$G$2:$G$8801,"&gt;="&amp;DATE(2017,1,1),Sales_Pipelines!$G$2:$G$8801,"&lt;"&amp;DATE(2017,4,1))</f>
        <v>116</v>
      </c>
      <c r="E88" s="12">
        <f>IF(C88+D88=0,0,C88/(C88+D88))</f>
        <v>0.82071097372488411</v>
      </c>
      <c r="F88" s="10">
        <f>IF(C88=0,0,B88/C88)</f>
        <v>2136.8587570621471</v>
      </c>
    </row>
    <row r="89" spans="1:6" x14ac:dyDescent="0.25">
      <c r="A89" s="11" t="s">
        <v>9013</v>
      </c>
      <c r="B89" s="19">
        <f>SUMIFS(Sales_Pipelines!$H$2:$H$8801,Sales_Pipelines!$E$2:$E$8801,"Won",Sales_Pipelines!$G$2:$G$8801,"&gt;="&amp;DATE(2017,4,1),Sales_Pipelines!$G$2:$G$8801,"&lt;"&amp;DATE(2017,7,1))</f>
        <v>3086111</v>
      </c>
      <c r="C89" s="9">
        <f>COUNTIFS(Sales_Pipelines!$E$2:$E$8801,"Won",Sales_Pipelines!$G$2:$G$8801,"&gt;="&amp;DATE(2017,4,1),Sales_Pipelines!$G$2:$G$8801,"&lt;"&amp;DATE(2017,7,1))</f>
        <v>1254</v>
      </c>
      <c r="D89" s="9">
        <f>COUNTIFS(Sales_Pipelines!$E$2:$E$8801,"Lost",Sales_Pipelines!$G$2:$G$8801,"&gt;="&amp;DATE(2017,4,1),Sales_Pipelines!$G$2:$G$8801,"&lt;"&amp;DATE(2017,7,1))</f>
        <v>778</v>
      </c>
      <c r="E89" s="12">
        <f t="shared" ref="E89:E91" si="14">IF(C89+D89=0,0,C89/(C89+D89))</f>
        <v>0.61712598425196852</v>
      </c>
      <c r="F89" s="10">
        <f>IF(C89=0,0,B89/C89)</f>
        <v>2461.0135566188196</v>
      </c>
    </row>
    <row r="90" spans="1:6" x14ac:dyDescent="0.25">
      <c r="A90" s="11" t="s">
        <v>9014</v>
      </c>
      <c r="B90" s="19">
        <f>SUMIFS(Sales_Pipelines!$H$2:$H$8801,Sales_Pipelines!$E$2:$E$8801,"Won",Sales_Pipelines!$G$2:$G$8801,"&gt;="&amp;DATE(2017,7,1),Sales_Pipelines!$G$2:$G$8801,"&lt;"&amp;DATE(2017,10,1))</f>
        <v>2982255</v>
      </c>
      <c r="C90" s="9">
        <f>COUNTIFS(Sales_Pipelines!$E$2:$E$8801,"Won",Sales_Pipelines!$G$2:$G$8801,"&gt;="&amp;DATE(2017,7,1),Sales_Pipelines!$G$2:$G$8801,"&lt;"&amp;DATE(2017,10,1))</f>
        <v>1257</v>
      </c>
      <c r="D90" s="9">
        <f>COUNTIFS(Sales_Pipelines!$E$2:$E$8801,"Lost",Sales_Pipelines!$G$2:$G$8801,"&gt;="&amp;DATE(2017,7,1),Sales_Pipelines!$G$2:$G$8801,"&lt;"&amp;DATE(2017,10,1))</f>
        <v>790</v>
      </c>
      <c r="E90" s="12">
        <f t="shared" si="14"/>
        <v>0.61406936980947724</v>
      </c>
      <c r="F90" s="10">
        <f>IF(C90=0,0,B90/C90)</f>
        <v>2372.5178997613366</v>
      </c>
    </row>
    <row r="91" spans="1:6" x14ac:dyDescent="0.25">
      <c r="A91" s="11" t="s">
        <v>9015</v>
      </c>
      <c r="B91" s="19">
        <f>SUMIFS(Sales_Pipelines!$H$2:$H$8801,Sales_Pipelines!$E$2:$E$8801,"Won",Sales_Pipelines!$G$2:$G$8801,"&gt;="&amp;DATE(2017,10,1),Sales_Pipelines!$G$2:$G$8801,"&lt;"&amp;DATE(2018,1,1))</f>
        <v>2802496</v>
      </c>
      <c r="C91" s="9">
        <f>COUNTIFS(Sales_Pipelines!$E$2:$E$8801,"Won",Sales_Pipelines!$G$2:$G$8801,"&gt;="&amp;DATE(2017,10,1),Sales_Pipelines!$G$2:$G$8801,"&lt;"&amp;DATE(2018,1,1))</f>
        <v>1196</v>
      </c>
      <c r="D91" s="9">
        <f>COUNTIFS(Sales_Pipelines!$E$2:$E$8801,"Lost",Sales_Pipelines!$G$2:$G$8801,"&gt;="&amp;DATE(2017,10,1),Sales_Pipelines!$G$2:$G$8801,"&lt;"&amp;DATE(2018,1,1))</f>
        <v>789</v>
      </c>
      <c r="E91" s="12">
        <f t="shared" si="14"/>
        <v>0.60251889168765738</v>
      </c>
      <c r="F91" s="10">
        <f>IF(C91=0,0,B91/C91)</f>
        <v>2343.2240802675587</v>
      </c>
    </row>
  </sheetData>
  <mergeCells count="9">
    <mergeCell ref="A30:H30"/>
    <mergeCell ref="A69:F69"/>
    <mergeCell ref="A76:F76"/>
    <mergeCell ref="A86:F86"/>
    <mergeCell ref="A1:H1"/>
    <mergeCell ref="A2:H2"/>
    <mergeCell ref="A9:C9"/>
    <mergeCell ref="E9:F9"/>
    <mergeCell ref="A19:G19"/>
  </mergeCells>
  <pageMargins left="0.7" right="0.7" top="0.75" bottom="0.75" header="0.3" footer="0.3"/>
  <pageSetup orientation="portrait" r:id="rId1"/>
  <ignoredErrors>
    <ignoredError sqref="B13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FFF9A-E105-4BB5-831A-3726C9FCCF95}">
  <dimension ref="A1:L8801"/>
  <sheetViews>
    <sheetView zoomScaleNormal="100" workbookViewId="0">
      <selection activeCell="L7" sqref="L7"/>
    </sheetView>
  </sheetViews>
  <sheetFormatPr defaultRowHeight="15" x14ac:dyDescent="0.25"/>
  <cols>
    <col min="1" max="1" width="14.42578125" bestFit="1" customWidth="1"/>
    <col min="2" max="2" width="19.140625" bestFit="1" customWidth="1"/>
    <col min="3" max="3" width="13.5703125" bestFit="1" customWidth="1"/>
    <col min="4" max="4" width="28.42578125" bestFit="1" customWidth="1"/>
    <col min="5" max="5" width="11.42578125" bestFit="1" customWidth="1"/>
    <col min="6" max="6" width="12.42578125" bestFit="1" customWidth="1"/>
    <col min="7" max="7" width="10.5703125" bestFit="1" customWidth="1"/>
    <col min="8" max="8" width="11.42578125" bestFit="1" customWidth="1"/>
    <col min="9" max="9" width="19.28515625" bestFit="1" customWidth="1"/>
    <col min="10" max="10" width="15.42578125" bestFit="1" customWidth="1"/>
    <col min="12" max="12" width="10.42578125" bestFit="1" customWidth="1"/>
  </cols>
  <sheetData>
    <row r="1" spans="1:12" x14ac:dyDescent="0.25">
      <c r="A1" t="s">
        <v>130</v>
      </c>
      <c r="B1" t="s">
        <v>131</v>
      </c>
      <c r="C1" t="s">
        <v>117</v>
      </c>
      <c r="D1" t="s">
        <v>0</v>
      </c>
      <c r="E1" t="s">
        <v>132</v>
      </c>
      <c r="F1" t="s">
        <v>133</v>
      </c>
      <c r="G1" t="s">
        <v>134</v>
      </c>
      <c r="H1" t="s">
        <v>135</v>
      </c>
      <c r="I1" t="s">
        <v>8986</v>
      </c>
      <c r="J1" t="s">
        <v>8988</v>
      </c>
    </row>
    <row r="2" spans="1:12" x14ac:dyDescent="0.25">
      <c r="A2" t="s">
        <v>136</v>
      </c>
      <c r="B2" t="s">
        <v>137</v>
      </c>
      <c r="C2" t="s">
        <v>127</v>
      </c>
      <c r="D2" t="s">
        <v>22</v>
      </c>
      <c r="E2" t="s">
        <v>138</v>
      </c>
      <c r="F2" s="1">
        <v>42663</v>
      </c>
      <c r="G2" s="1">
        <v>42795</v>
      </c>
      <c r="H2">
        <v>1054</v>
      </c>
      <c r="I2" t="str">
        <f>IF(COUNTIF(Products!$A$2:$A$8,C2)=0,C2,"")</f>
        <v/>
      </c>
      <c r="J2">
        <f>IF(OR(E2="Prospecting",E2="Engaging"),VLOOKUP(C2,Products!$A$2:$C$8,3,FALSE),0)</f>
        <v>0</v>
      </c>
    </row>
    <row r="3" spans="1:12" x14ac:dyDescent="0.25">
      <c r="A3" t="s">
        <v>139</v>
      </c>
      <c r="B3" t="s">
        <v>140</v>
      </c>
      <c r="C3" t="s">
        <v>122</v>
      </c>
      <c r="D3" t="s">
        <v>64</v>
      </c>
      <c r="E3" t="s">
        <v>138</v>
      </c>
      <c r="F3" s="1">
        <v>42668</v>
      </c>
      <c r="G3" s="1">
        <v>42805</v>
      </c>
      <c r="H3">
        <v>4514</v>
      </c>
      <c r="I3" t="str">
        <f>IF(COUNTIF(Products!$A$2:$A$8,C3)=0,C3,"")</f>
        <v/>
      </c>
      <c r="J3">
        <f>IF(OR(E3="Prospecting",E3="Engaging"),VLOOKUP(C3,Products!$A$2:$C$8,3,FALSE),0)</f>
        <v>0</v>
      </c>
    </row>
    <row r="4" spans="1:12" x14ac:dyDescent="0.25">
      <c r="A4" t="s">
        <v>141</v>
      </c>
      <c r="B4" t="s">
        <v>140</v>
      </c>
      <c r="C4" t="s">
        <v>123</v>
      </c>
      <c r="D4" t="s">
        <v>22</v>
      </c>
      <c r="E4" t="s">
        <v>138</v>
      </c>
      <c r="F4" s="1">
        <v>42668</v>
      </c>
      <c r="G4" s="1">
        <v>42801</v>
      </c>
      <c r="H4">
        <v>50</v>
      </c>
      <c r="I4" t="str">
        <f>IF(COUNTIF(Products!$A$2:$A$8,C4)=0,C4,"")</f>
        <v/>
      </c>
      <c r="J4">
        <f>IF(OR(E4="Prospecting",E4="Engaging"),VLOOKUP(C4,Products!$A$2:$C$8,3,FALSE),0)</f>
        <v>0</v>
      </c>
    </row>
    <row r="5" spans="1:12" x14ac:dyDescent="0.25">
      <c r="A5" t="s">
        <v>142</v>
      </c>
      <c r="B5" t="s">
        <v>137</v>
      </c>
      <c r="C5" t="s">
        <v>120</v>
      </c>
      <c r="D5" t="s">
        <v>26</v>
      </c>
      <c r="E5" t="s">
        <v>138</v>
      </c>
      <c r="F5" s="1">
        <v>42668</v>
      </c>
      <c r="G5" s="1">
        <v>42803</v>
      </c>
      <c r="H5">
        <v>588</v>
      </c>
      <c r="I5" t="str">
        <f>IF(COUNTIF(Products!$A$2:$A$8,C5)=0,C5,"")</f>
        <v/>
      </c>
      <c r="J5">
        <f>IF(OR(E5="Prospecting",E5="Engaging"),VLOOKUP(C5,Products!$A$2:$C$8,3,FALSE),0)</f>
        <v>0</v>
      </c>
      <c r="L5" s="1">
        <f>MIN(Sales_Pipelines!G2:G8801)</f>
        <v>42795</v>
      </c>
    </row>
    <row r="6" spans="1:12" x14ac:dyDescent="0.25">
      <c r="A6" t="s">
        <v>143</v>
      </c>
      <c r="B6" t="s">
        <v>144</v>
      </c>
      <c r="C6" t="s">
        <v>120</v>
      </c>
      <c r="D6" t="s">
        <v>60</v>
      </c>
      <c r="E6" t="s">
        <v>138</v>
      </c>
      <c r="F6" s="1">
        <v>42668</v>
      </c>
      <c r="G6" s="1">
        <v>42796</v>
      </c>
      <c r="H6">
        <v>517</v>
      </c>
      <c r="I6" t="str">
        <f>IF(COUNTIF(Products!$A$2:$A$8,C6)=0,C6,"")</f>
        <v/>
      </c>
      <c r="J6">
        <f>IF(OR(E6="Prospecting",E6="Engaging"),VLOOKUP(C6,Products!$A$2:$C$8,3,FALSE),0)</f>
        <v>0</v>
      </c>
      <c r="L6" s="1">
        <f>MAX(Sales_Pipelines!G2:G8801)</f>
        <v>43100</v>
      </c>
    </row>
    <row r="7" spans="1:12" x14ac:dyDescent="0.25">
      <c r="A7" t="s">
        <v>145</v>
      </c>
      <c r="B7" t="s">
        <v>146</v>
      </c>
      <c r="C7" t="s">
        <v>123</v>
      </c>
      <c r="D7" t="s">
        <v>88</v>
      </c>
      <c r="E7" t="s">
        <v>138</v>
      </c>
      <c r="F7" s="1">
        <v>42672</v>
      </c>
      <c r="G7" s="1">
        <v>42795</v>
      </c>
      <c r="H7">
        <v>49</v>
      </c>
      <c r="I7" t="str">
        <f>IF(COUNTIF(Products!$A$2:$A$8,C7)=0,C7,"")</f>
        <v/>
      </c>
      <c r="J7">
        <f>IF(OR(E7="Prospecting",E7="Engaging"),VLOOKUP(C7,Products!$A$2:$C$8,3,FALSE),0)</f>
        <v>0</v>
      </c>
    </row>
    <row r="8" spans="1:12" x14ac:dyDescent="0.25">
      <c r="A8" t="s">
        <v>147</v>
      </c>
      <c r="B8" t="s">
        <v>148</v>
      </c>
      <c r="C8" t="s">
        <v>123</v>
      </c>
      <c r="D8" t="s">
        <v>66</v>
      </c>
      <c r="E8" t="s">
        <v>138</v>
      </c>
      <c r="F8" s="1">
        <v>42673</v>
      </c>
      <c r="G8" s="1">
        <v>42796</v>
      </c>
      <c r="H8">
        <v>57</v>
      </c>
      <c r="I8" t="str">
        <f>IF(COUNTIF(Products!$A$2:$A$8,C8)=0,C8,"")</f>
        <v/>
      </c>
      <c r="J8">
        <f>IF(OR(E8="Prospecting",E8="Engaging"),VLOOKUP(C8,Products!$A$2:$C$8,3,FALSE),0)</f>
        <v>0</v>
      </c>
    </row>
    <row r="9" spans="1:12" x14ac:dyDescent="0.25">
      <c r="A9" t="s">
        <v>149</v>
      </c>
      <c r="B9" t="s">
        <v>150</v>
      </c>
      <c r="C9" t="s">
        <v>120</v>
      </c>
      <c r="D9" t="s">
        <v>23</v>
      </c>
      <c r="E9" t="s">
        <v>138</v>
      </c>
      <c r="F9" s="1">
        <v>42675</v>
      </c>
      <c r="G9" s="1">
        <v>42801</v>
      </c>
      <c r="H9">
        <v>601</v>
      </c>
      <c r="I9" t="str">
        <f>IF(COUNTIF(Products!$A$2:$A$8,C9)=0,C9,"")</f>
        <v/>
      </c>
      <c r="J9">
        <f>IF(OR(E9="Prospecting",E9="Engaging"),VLOOKUP(C9,Products!$A$2:$C$8,3,FALSE),0)</f>
        <v>0</v>
      </c>
    </row>
    <row r="10" spans="1:12" x14ac:dyDescent="0.25">
      <c r="A10" t="s">
        <v>151</v>
      </c>
      <c r="B10" t="s">
        <v>152</v>
      </c>
      <c r="C10" t="s">
        <v>127</v>
      </c>
      <c r="D10" t="s">
        <v>116</v>
      </c>
      <c r="E10" t="s">
        <v>138</v>
      </c>
      <c r="F10" s="1">
        <v>42675</v>
      </c>
      <c r="G10" s="1">
        <v>42797</v>
      </c>
      <c r="H10">
        <v>1026</v>
      </c>
      <c r="I10" t="str">
        <f>IF(COUNTIF(Products!$A$2:$A$8,C10)=0,C10,"")</f>
        <v/>
      </c>
      <c r="J10">
        <f>IF(OR(E10="Prospecting",E10="Engaging"),VLOOKUP(C10,Products!$A$2:$C$8,3,FALSE),0)</f>
        <v>0</v>
      </c>
    </row>
    <row r="11" spans="1:12" x14ac:dyDescent="0.25">
      <c r="A11" t="s">
        <v>153</v>
      </c>
      <c r="B11" t="s">
        <v>154</v>
      </c>
      <c r="C11" t="s">
        <v>125</v>
      </c>
      <c r="E11" t="s">
        <v>155</v>
      </c>
      <c r="F11" s="1">
        <v>42677</v>
      </c>
      <c r="I11" t="str">
        <f>IF(COUNTIF(Products!$A$2:$A$8,C11)=0,C11,"")</f>
        <v/>
      </c>
      <c r="J11">
        <f>IF(OR(E11="Prospecting",E11="Engaging"),VLOOKUP(C11,Products!$A$2:$C$8,3,FALSE),0)</f>
        <v>3393</v>
      </c>
    </row>
    <row r="12" spans="1:12" x14ac:dyDescent="0.25">
      <c r="A12" t="s">
        <v>156</v>
      </c>
      <c r="B12" t="s">
        <v>146</v>
      </c>
      <c r="C12" t="s">
        <v>123</v>
      </c>
      <c r="D12" t="s">
        <v>14</v>
      </c>
      <c r="E12" t="s">
        <v>138</v>
      </c>
      <c r="F12" s="1">
        <v>42678</v>
      </c>
      <c r="G12" s="1">
        <v>42804</v>
      </c>
      <c r="H12">
        <v>53</v>
      </c>
      <c r="I12" t="str">
        <f>IF(COUNTIF(Products!$A$2:$A$8,C12)=0,C12,"")</f>
        <v/>
      </c>
      <c r="J12">
        <f>IF(OR(E12="Prospecting",E12="Engaging"),VLOOKUP(C12,Products!$A$2:$C$8,3,FALSE),0)</f>
        <v>0</v>
      </c>
    </row>
    <row r="13" spans="1:12" x14ac:dyDescent="0.25">
      <c r="A13" t="s">
        <v>157</v>
      </c>
      <c r="B13" t="s">
        <v>158</v>
      </c>
      <c r="C13" t="s">
        <v>122</v>
      </c>
      <c r="D13" t="s">
        <v>51</v>
      </c>
      <c r="E13" t="s">
        <v>159</v>
      </c>
      <c r="F13" s="1">
        <v>42678</v>
      </c>
      <c r="G13" s="1">
        <v>42812</v>
      </c>
      <c r="H13">
        <v>0</v>
      </c>
      <c r="I13" t="str">
        <f>IF(COUNTIF(Products!$A$2:$A$8,C13)=0,C13,"")</f>
        <v/>
      </c>
      <c r="J13">
        <f>IF(OR(E13="Prospecting",E13="Engaging"),VLOOKUP(C13,Products!$A$2:$C$8,3,FALSE),0)</f>
        <v>0</v>
      </c>
    </row>
    <row r="14" spans="1:12" x14ac:dyDescent="0.25">
      <c r="A14" t="s">
        <v>160</v>
      </c>
      <c r="B14" t="s">
        <v>154</v>
      </c>
      <c r="C14" t="s">
        <v>126</v>
      </c>
      <c r="D14" t="s">
        <v>100</v>
      </c>
      <c r="E14" t="s">
        <v>138</v>
      </c>
      <c r="F14" s="1">
        <v>42678</v>
      </c>
      <c r="G14" s="1">
        <v>42804</v>
      </c>
      <c r="H14">
        <v>5169</v>
      </c>
      <c r="I14" t="str">
        <f>IF(COUNTIF(Products!$A$2:$A$8,C14)=0,C14,"")</f>
        <v/>
      </c>
      <c r="J14">
        <f>IF(OR(E14="Prospecting",E14="Engaging"),VLOOKUP(C14,Products!$A$2:$C$8,3,FALSE),0)</f>
        <v>0</v>
      </c>
    </row>
    <row r="15" spans="1:12" x14ac:dyDescent="0.25">
      <c r="A15" t="s">
        <v>161</v>
      </c>
      <c r="B15" t="s">
        <v>162</v>
      </c>
      <c r="C15" t="s">
        <v>126</v>
      </c>
      <c r="D15" t="s">
        <v>41</v>
      </c>
      <c r="E15" t="s">
        <v>138</v>
      </c>
      <c r="F15" s="1">
        <v>42678</v>
      </c>
      <c r="G15" s="1">
        <v>42800</v>
      </c>
      <c r="H15">
        <v>4631</v>
      </c>
      <c r="I15" t="str">
        <f>IF(COUNTIF(Products!$A$2:$A$8,C15)=0,C15,"")</f>
        <v/>
      </c>
      <c r="J15">
        <f>IF(OR(E15="Prospecting",E15="Engaging"),VLOOKUP(C15,Products!$A$2:$C$8,3,FALSE),0)</f>
        <v>0</v>
      </c>
    </row>
    <row r="16" spans="1:12" x14ac:dyDescent="0.25">
      <c r="A16" t="s">
        <v>163</v>
      </c>
      <c r="B16" t="s">
        <v>164</v>
      </c>
      <c r="C16" t="s">
        <v>125</v>
      </c>
      <c r="D16" t="s">
        <v>44</v>
      </c>
      <c r="E16" t="s">
        <v>138</v>
      </c>
      <c r="F16" s="1">
        <v>42679</v>
      </c>
      <c r="G16" s="1">
        <v>42805</v>
      </c>
      <c r="H16">
        <v>3393</v>
      </c>
      <c r="I16" t="str">
        <f>IF(COUNTIF(Products!$A$2:$A$8,C16)=0,C16,"")</f>
        <v/>
      </c>
      <c r="J16">
        <f>IF(OR(E16="Prospecting",E16="Engaging"),VLOOKUP(C16,Products!$A$2:$C$8,3,FALSE),0)</f>
        <v>0</v>
      </c>
    </row>
    <row r="17" spans="1:10" x14ac:dyDescent="0.25">
      <c r="A17" t="s">
        <v>165</v>
      </c>
      <c r="B17" t="s">
        <v>166</v>
      </c>
      <c r="C17" t="s">
        <v>123</v>
      </c>
      <c r="D17" t="s">
        <v>41</v>
      </c>
      <c r="E17" t="s">
        <v>159</v>
      </c>
      <c r="F17" s="1">
        <v>42679</v>
      </c>
      <c r="G17" s="1">
        <v>42797</v>
      </c>
      <c r="H17">
        <v>0</v>
      </c>
      <c r="I17" t="str">
        <f>IF(COUNTIF(Products!$A$2:$A$8,C17)=0,C17,"")</f>
        <v/>
      </c>
      <c r="J17">
        <f>IF(OR(E17="Prospecting",E17="Engaging"),VLOOKUP(C17,Products!$A$2:$C$8,3,FALSE),0)</f>
        <v>0</v>
      </c>
    </row>
    <row r="18" spans="1:10" x14ac:dyDescent="0.25">
      <c r="A18" t="s">
        <v>167</v>
      </c>
      <c r="B18" t="s">
        <v>166</v>
      </c>
      <c r="C18" t="s">
        <v>125</v>
      </c>
      <c r="D18" t="s">
        <v>90</v>
      </c>
      <c r="E18" t="s">
        <v>138</v>
      </c>
      <c r="F18" s="1">
        <v>42679</v>
      </c>
      <c r="G18" s="1">
        <v>42800</v>
      </c>
      <c r="H18">
        <v>3284</v>
      </c>
      <c r="I18" t="str">
        <f>IF(COUNTIF(Products!$A$2:$A$8,C18)=0,C18,"")</f>
        <v/>
      </c>
      <c r="J18">
        <f>IF(OR(E18="Prospecting",E18="Engaging"),VLOOKUP(C18,Products!$A$2:$C$8,3,FALSE),0)</f>
        <v>0</v>
      </c>
    </row>
    <row r="19" spans="1:10" x14ac:dyDescent="0.25">
      <c r="A19" t="s">
        <v>168</v>
      </c>
      <c r="B19" t="s">
        <v>169</v>
      </c>
      <c r="C19" t="s">
        <v>123</v>
      </c>
      <c r="D19" t="s">
        <v>104</v>
      </c>
      <c r="E19" t="s">
        <v>138</v>
      </c>
      <c r="F19" s="1">
        <v>42680</v>
      </c>
      <c r="G19" s="1">
        <v>42799</v>
      </c>
      <c r="H19">
        <v>61</v>
      </c>
      <c r="I19" t="str">
        <f>IF(COUNTIF(Products!$A$2:$A$8,C19)=0,C19,"")</f>
        <v/>
      </c>
      <c r="J19">
        <f>IF(OR(E19="Prospecting",E19="Engaging"),VLOOKUP(C19,Products!$A$2:$C$8,3,FALSE),0)</f>
        <v>0</v>
      </c>
    </row>
    <row r="20" spans="1:10" x14ac:dyDescent="0.25">
      <c r="A20" t="s">
        <v>170</v>
      </c>
      <c r="B20" t="s">
        <v>171</v>
      </c>
      <c r="C20" t="s">
        <v>122</v>
      </c>
      <c r="D20" t="s">
        <v>108</v>
      </c>
      <c r="E20" t="s">
        <v>159</v>
      </c>
      <c r="F20" s="1">
        <v>42681</v>
      </c>
      <c r="G20" s="1">
        <v>42803</v>
      </c>
      <c r="H20">
        <v>0</v>
      </c>
      <c r="I20" t="str">
        <f>IF(COUNTIF(Products!$A$2:$A$8,C20)=0,C20,"")</f>
        <v/>
      </c>
      <c r="J20">
        <f>IF(OR(E20="Prospecting",E20="Engaging"),VLOOKUP(C20,Products!$A$2:$C$8,3,FALSE),0)</f>
        <v>0</v>
      </c>
    </row>
    <row r="21" spans="1:10" x14ac:dyDescent="0.25">
      <c r="A21" t="s">
        <v>172</v>
      </c>
      <c r="B21" t="s">
        <v>173</v>
      </c>
      <c r="C21" t="s">
        <v>123</v>
      </c>
      <c r="D21" t="s">
        <v>87</v>
      </c>
      <c r="E21" t="s">
        <v>138</v>
      </c>
      <c r="F21" s="1">
        <v>42681</v>
      </c>
      <c r="G21" s="1">
        <v>42802</v>
      </c>
      <c r="H21">
        <v>46</v>
      </c>
      <c r="I21" t="str">
        <f>IF(COUNTIF(Products!$A$2:$A$8,C21)=0,C21,"")</f>
        <v/>
      </c>
      <c r="J21">
        <f>IF(OR(E21="Prospecting",E21="Engaging"),VLOOKUP(C21,Products!$A$2:$C$8,3,FALSE),0)</f>
        <v>0</v>
      </c>
    </row>
    <row r="22" spans="1:10" x14ac:dyDescent="0.25">
      <c r="A22" t="s">
        <v>174</v>
      </c>
      <c r="B22" t="s">
        <v>154</v>
      </c>
      <c r="C22" t="s">
        <v>126</v>
      </c>
      <c r="D22" t="s">
        <v>38</v>
      </c>
      <c r="E22" t="s">
        <v>159</v>
      </c>
      <c r="F22" s="1">
        <v>42681</v>
      </c>
      <c r="G22" s="1">
        <v>42811</v>
      </c>
      <c r="H22">
        <v>0</v>
      </c>
      <c r="I22" t="str">
        <f>IF(COUNTIF(Products!$A$2:$A$8,C22)=0,C22,"")</f>
        <v/>
      </c>
      <c r="J22">
        <f>IF(OR(E22="Prospecting",E22="Engaging"),VLOOKUP(C22,Products!$A$2:$C$8,3,FALSE),0)</f>
        <v>0</v>
      </c>
    </row>
    <row r="23" spans="1:10" x14ac:dyDescent="0.25">
      <c r="A23" t="s">
        <v>175</v>
      </c>
      <c r="B23" t="s">
        <v>137</v>
      </c>
      <c r="C23" t="s">
        <v>123</v>
      </c>
      <c r="D23" t="s">
        <v>88</v>
      </c>
      <c r="E23" t="s">
        <v>138</v>
      </c>
      <c r="F23" s="1">
        <v>42681</v>
      </c>
      <c r="G23" s="1">
        <v>42812</v>
      </c>
      <c r="H23">
        <v>50</v>
      </c>
      <c r="I23" t="str">
        <f>IF(COUNTIF(Products!$A$2:$A$8,C23)=0,C23,"")</f>
        <v/>
      </c>
      <c r="J23">
        <f>IF(OR(E23="Prospecting",E23="Engaging"),VLOOKUP(C23,Products!$A$2:$C$8,3,FALSE),0)</f>
        <v>0</v>
      </c>
    </row>
    <row r="24" spans="1:10" x14ac:dyDescent="0.25">
      <c r="A24" t="s">
        <v>176</v>
      </c>
      <c r="B24" t="s">
        <v>177</v>
      </c>
      <c r="C24" t="s">
        <v>127</v>
      </c>
      <c r="D24" t="s">
        <v>106</v>
      </c>
      <c r="E24" t="s">
        <v>138</v>
      </c>
      <c r="F24" s="1">
        <v>42681</v>
      </c>
      <c r="G24" s="1">
        <v>42805</v>
      </c>
      <c r="H24">
        <v>1014</v>
      </c>
      <c r="I24" t="str">
        <f>IF(COUNTIF(Products!$A$2:$A$8,C24)=0,C24,"")</f>
        <v/>
      </c>
      <c r="J24">
        <f>IF(OR(E24="Prospecting",E24="Engaging"),VLOOKUP(C24,Products!$A$2:$C$8,3,FALSE),0)</f>
        <v>0</v>
      </c>
    </row>
    <row r="25" spans="1:10" x14ac:dyDescent="0.25">
      <c r="A25" t="s">
        <v>178</v>
      </c>
      <c r="B25" t="s">
        <v>140</v>
      </c>
      <c r="C25" t="s">
        <v>120</v>
      </c>
      <c r="D25" t="s">
        <v>77</v>
      </c>
      <c r="E25" t="s">
        <v>138</v>
      </c>
      <c r="F25" s="1">
        <v>42682</v>
      </c>
      <c r="G25" s="1">
        <v>42820</v>
      </c>
      <c r="H25">
        <v>561</v>
      </c>
      <c r="I25" t="str">
        <f>IF(COUNTIF(Products!$A$2:$A$8,C25)=0,C25,"")</f>
        <v/>
      </c>
      <c r="J25">
        <f>IF(OR(E25="Prospecting",E25="Engaging"),VLOOKUP(C25,Products!$A$2:$C$8,3,FALSE),0)</f>
        <v>0</v>
      </c>
    </row>
    <row r="26" spans="1:10" x14ac:dyDescent="0.25">
      <c r="A26" t="s">
        <v>179</v>
      </c>
      <c r="B26" t="s">
        <v>180</v>
      </c>
      <c r="C26" t="s">
        <v>120</v>
      </c>
      <c r="D26" t="s">
        <v>114</v>
      </c>
      <c r="E26" t="s">
        <v>138</v>
      </c>
      <c r="F26" s="1">
        <v>42684</v>
      </c>
      <c r="G26" s="1">
        <v>42817</v>
      </c>
      <c r="H26">
        <v>590</v>
      </c>
      <c r="I26" t="str">
        <f>IF(COUNTIF(Products!$A$2:$A$8,C26)=0,C26,"")</f>
        <v/>
      </c>
      <c r="J26">
        <f>IF(OR(E26="Prospecting",E26="Engaging"),VLOOKUP(C26,Products!$A$2:$C$8,3,FALSE),0)</f>
        <v>0</v>
      </c>
    </row>
    <row r="27" spans="1:10" x14ac:dyDescent="0.25">
      <c r="A27" t="s">
        <v>181</v>
      </c>
      <c r="B27" t="s">
        <v>162</v>
      </c>
      <c r="C27" t="s">
        <v>125</v>
      </c>
      <c r="D27" t="s">
        <v>48</v>
      </c>
      <c r="E27" t="s">
        <v>155</v>
      </c>
      <c r="F27" s="1">
        <v>42684</v>
      </c>
      <c r="I27" t="str">
        <f>IF(COUNTIF(Products!$A$2:$A$8,C27)=0,C27,"")</f>
        <v/>
      </c>
      <c r="J27">
        <f>IF(OR(E27="Prospecting",E27="Engaging"),VLOOKUP(C27,Products!$A$2:$C$8,3,FALSE),0)</f>
        <v>3393</v>
      </c>
    </row>
    <row r="28" spans="1:10" x14ac:dyDescent="0.25">
      <c r="A28" t="s">
        <v>182</v>
      </c>
      <c r="B28" t="s">
        <v>169</v>
      </c>
      <c r="C28" t="s">
        <v>123</v>
      </c>
      <c r="D28" t="s">
        <v>14</v>
      </c>
      <c r="E28" t="s">
        <v>138</v>
      </c>
      <c r="F28" s="1">
        <v>42684</v>
      </c>
      <c r="G28" s="1">
        <v>42806</v>
      </c>
      <c r="H28">
        <v>61</v>
      </c>
      <c r="I28" t="str">
        <f>IF(COUNTIF(Products!$A$2:$A$8,C28)=0,C28,"")</f>
        <v/>
      </c>
      <c r="J28">
        <f>IF(OR(E28="Prospecting",E28="Engaging"),VLOOKUP(C28,Products!$A$2:$C$8,3,FALSE),0)</f>
        <v>0</v>
      </c>
    </row>
    <row r="29" spans="1:10" x14ac:dyDescent="0.25">
      <c r="A29" t="s">
        <v>183</v>
      </c>
      <c r="B29" t="s">
        <v>177</v>
      </c>
      <c r="C29" t="s">
        <v>126</v>
      </c>
      <c r="D29" t="s">
        <v>108</v>
      </c>
      <c r="E29" t="s">
        <v>159</v>
      </c>
      <c r="F29" s="1">
        <v>42684</v>
      </c>
      <c r="G29" s="1">
        <v>42805</v>
      </c>
      <c r="H29">
        <v>0</v>
      </c>
      <c r="I29" t="str">
        <f>IF(COUNTIF(Products!$A$2:$A$8,C29)=0,C29,"")</f>
        <v/>
      </c>
      <c r="J29">
        <f>IF(OR(E29="Prospecting",E29="Engaging"),VLOOKUP(C29,Products!$A$2:$C$8,3,FALSE),0)</f>
        <v>0</v>
      </c>
    </row>
    <row r="30" spans="1:10" x14ac:dyDescent="0.25">
      <c r="A30" t="s">
        <v>184</v>
      </c>
      <c r="B30" t="s">
        <v>173</v>
      </c>
      <c r="C30" t="s">
        <v>123</v>
      </c>
      <c r="D30" t="s">
        <v>23</v>
      </c>
      <c r="E30" t="s">
        <v>138</v>
      </c>
      <c r="F30" s="1">
        <v>42685</v>
      </c>
      <c r="G30" s="1">
        <v>42799</v>
      </c>
      <c r="H30">
        <v>58</v>
      </c>
      <c r="I30" t="str">
        <f>IF(COUNTIF(Products!$A$2:$A$8,C30)=0,C30,"")</f>
        <v/>
      </c>
      <c r="J30">
        <f>IF(OR(E30="Prospecting",E30="Engaging"),VLOOKUP(C30,Products!$A$2:$C$8,3,FALSE),0)</f>
        <v>0</v>
      </c>
    </row>
    <row r="31" spans="1:10" x14ac:dyDescent="0.25">
      <c r="A31" t="s">
        <v>185</v>
      </c>
      <c r="B31" t="s">
        <v>162</v>
      </c>
      <c r="C31" t="s">
        <v>122</v>
      </c>
      <c r="D31" t="s">
        <v>71</v>
      </c>
      <c r="E31" t="s">
        <v>138</v>
      </c>
      <c r="F31" s="1">
        <v>42685</v>
      </c>
      <c r="G31" s="1">
        <v>42808</v>
      </c>
      <c r="H31">
        <v>4899</v>
      </c>
      <c r="I31" t="str">
        <f>IF(COUNTIF(Products!$A$2:$A$8,C31)=0,C31,"")</f>
        <v/>
      </c>
      <c r="J31">
        <f>IF(OR(E31="Prospecting",E31="Engaging"),VLOOKUP(C31,Products!$A$2:$C$8,3,FALSE),0)</f>
        <v>0</v>
      </c>
    </row>
    <row r="32" spans="1:10" x14ac:dyDescent="0.25">
      <c r="A32" t="s">
        <v>186</v>
      </c>
      <c r="B32" t="s">
        <v>187</v>
      </c>
      <c r="C32" t="s">
        <v>125</v>
      </c>
      <c r="D32" t="s">
        <v>115</v>
      </c>
      <c r="E32" t="s">
        <v>159</v>
      </c>
      <c r="F32" s="1">
        <v>42685</v>
      </c>
      <c r="G32" s="1">
        <v>42795</v>
      </c>
      <c r="H32">
        <v>0</v>
      </c>
      <c r="I32" t="str">
        <f>IF(COUNTIF(Products!$A$2:$A$8,C32)=0,C32,"")</f>
        <v/>
      </c>
      <c r="J32">
        <f>IF(OR(E32="Prospecting",E32="Engaging"),VLOOKUP(C32,Products!$A$2:$C$8,3,FALSE),0)</f>
        <v>0</v>
      </c>
    </row>
    <row r="33" spans="1:10" x14ac:dyDescent="0.25">
      <c r="A33" t="s">
        <v>188</v>
      </c>
      <c r="B33" t="s">
        <v>169</v>
      </c>
      <c r="C33" t="s">
        <v>123</v>
      </c>
      <c r="D33" t="s">
        <v>30</v>
      </c>
      <c r="E33" t="s">
        <v>138</v>
      </c>
      <c r="F33" s="1">
        <v>42685</v>
      </c>
      <c r="G33" s="1">
        <v>42797</v>
      </c>
      <c r="H33">
        <v>67</v>
      </c>
      <c r="I33" t="str">
        <f>IF(COUNTIF(Products!$A$2:$A$8,C33)=0,C33,"")</f>
        <v/>
      </c>
      <c r="J33">
        <f>IF(OR(E33="Prospecting",E33="Engaging"),VLOOKUP(C33,Products!$A$2:$C$8,3,FALSE),0)</f>
        <v>0</v>
      </c>
    </row>
    <row r="34" spans="1:10" x14ac:dyDescent="0.25">
      <c r="A34" t="s">
        <v>189</v>
      </c>
      <c r="B34" t="s">
        <v>154</v>
      </c>
      <c r="C34" t="s">
        <v>122</v>
      </c>
      <c r="D34" t="s">
        <v>107</v>
      </c>
      <c r="E34" t="s">
        <v>138</v>
      </c>
      <c r="F34" s="1">
        <v>42686</v>
      </c>
      <c r="G34" s="1">
        <v>42800</v>
      </c>
      <c r="H34">
        <v>4338</v>
      </c>
      <c r="I34" t="str">
        <f>IF(COUNTIF(Products!$A$2:$A$8,C34)=0,C34,"")</f>
        <v/>
      </c>
      <c r="J34">
        <f>IF(OR(E34="Prospecting",E34="Engaging"),VLOOKUP(C34,Products!$A$2:$C$8,3,FALSE),0)</f>
        <v>0</v>
      </c>
    </row>
    <row r="35" spans="1:10" x14ac:dyDescent="0.25">
      <c r="A35" t="s">
        <v>190</v>
      </c>
      <c r="B35" t="s">
        <v>191</v>
      </c>
      <c r="C35" t="s">
        <v>120</v>
      </c>
      <c r="D35" t="s">
        <v>38</v>
      </c>
      <c r="E35" t="s">
        <v>138</v>
      </c>
      <c r="F35" s="1">
        <v>42686</v>
      </c>
      <c r="G35" s="1">
        <v>42813</v>
      </c>
      <c r="H35">
        <v>578</v>
      </c>
      <c r="I35" t="str">
        <f>IF(COUNTIF(Products!$A$2:$A$8,C35)=0,C35,"")</f>
        <v/>
      </c>
      <c r="J35">
        <f>IF(OR(E35="Prospecting",E35="Engaging"),VLOOKUP(C35,Products!$A$2:$C$8,3,FALSE),0)</f>
        <v>0</v>
      </c>
    </row>
    <row r="36" spans="1:10" x14ac:dyDescent="0.25">
      <c r="A36" t="s">
        <v>192</v>
      </c>
      <c r="B36" t="s">
        <v>193</v>
      </c>
      <c r="C36" t="s">
        <v>120</v>
      </c>
      <c r="D36" t="s">
        <v>7</v>
      </c>
      <c r="E36" t="s">
        <v>138</v>
      </c>
      <c r="F36" s="1">
        <v>42686</v>
      </c>
      <c r="G36" s="1">
        <v>42795</v>
      </c>
      <c r="H36">
        <v>556</v>
      </c>
      <c r="I36" t="str">
        <f>IF(COUNTIF(Products!$A$2:$A$8,C36)=0,C36,"")</f>
        <v/>
      </c>
      <c r="J36">
        <f>IF(OR(E36="Prospecting",E36="Engaging"),VLOOKUP(C36,Products!$A$2:$C$8,3,FALSE),0)</f>
        <v>0</v>
      </c>
    </row>
    <row r="37" spans="1:10" x14ac:dyDescent="0.25">
      <c r="A37" t="s">
        <v>194</v>
      </c>
      <c r="B37" t="s">
        <v>166</v>
      </c>
      <c r="C37" t="s">
        <v>120</v>
      </c>
      <c r="D37" t="s">
        <v>57</v>
      </c>
      <c r="E37" t="s">
        <v>138</v>
      </c>
      <c r="F37" s="1">
        <v>42686</v>
      </c>
      <c r="G37" s="1">
        <v>42797</v>
      </c>
      <c r="H37">
        <v>635</v>
      </c>
      <c r="I37" t="str">
        <f>IF(COUNTIF(Products!$A$2:$A$8,C37)=0,C37,"")</f>
        <v/>
      </c>
      <c r="J37">
        <f>IF(OR(E37="Prospecting",E37="Engaging"),VLOOKUP(C37,Products!$A$2:$C$8,3,FALSE),0)</f>
        <v>0</v>
      </c>
    </row>
    <row r="38" spans="1:10" x14ac:dyDescent="0.25">
      <c r="A38" t="s">
        <v>195</v>
      </c>
      <c r="B38" t="s">
        <v>196</v>
      </c>
      <c r="C38" t="s">
        <v>125</v>
      </c>
      <c r="D38" t="s">
        <v>102</v>
      </c>
      <c r="E38" t="s">
        <v>138</v>
      </c>
      <c r="F38" s="1">
        <v>42686</v>
      </c>
      <c r="G38" s="1">
        <v>42801</v>
      </c>
      <c r="H38">
        <v>3045</v>
      </c>
      <c r="I38" t="str">
        <f>IF(COUNTIF(Products!$A$2:$A$8,C38)=0,C38,"")</f>
        <v/>
      </c>
      <c r="J38">
        <f>IF(OR(E38="Prospecting",E38="Engaging"),VLOOKUP(C38,Products!$A$2:$C$8,3,FALSE),0)</f>
        <v>0</v>
      </c>
    </row>
    <row r="39" spans="1:10" x14ac:dyDescent="0.25">
      <c r="A39" t="s">
        <v>197</v>
      </c>
      <c r="B39" t="s">
        <v>198</v>
      </c>
      <c r="C39" t="s">
        <v>127</v>
      </c>
      <c r="D39" t="s">
        <v>73</v>
      </c>
      <c r="E39" t="s">
        <v>138</v>
      </c>
      <c r="F39" s="1">
        <v>42687</v>
      </c>
      <c r="G39" s="1">
        <v>42808</v>
      </c>
      <c r="H39">
        <v>1233</v>
      </c>
      <c r="I39" t="str">
        <f>IF(COUNTIF(Products!$A$2:$A$8,C39)=0,C39,"")</f>
        <v/>
      </c>
      <c r="J39">
        <f>IF(OR(E39="Prospecting",E39="Engaging"),VLOOKUP(C39,Products!$A$2:$C$8,3,FALSE),0)</f>
        <v>0</v>
      </c>
    </row>
    <row r="40" spans="1:10" x14ac:dyDescent="0.25">
      <c r="A40" t="s">
        <v>199</v>
      </c>
      <c r="B40" t="s">
        <v>169</v>
      </c>
      <c r="C40" t="s">
        <v>123</v>
      </c>
      <c r="D40" t="s">
        <v>116</v>
      </c>
      <c r="E40" t="s">
        <v>138</v>
      </c>
      <c r="F40" s="1">
        <v>42687</v>
      </c>
      <c r="G40" s="1">
        <v>42803</v>
      </c>
      <c r="H40">
        <v>60</v>
      </c>
      <c r="I40" t="str">
        <f>IF(COUNTIF(Products!$A$2:$A$8,C40)=0,C40,"")</f>
        <v/>
      </c>
      <c r="J40">
        <f>IF(OR(E40="Prospecting",E40="Engaging"),VLOOKUP(C40,Products!$A$2:$C$8,3,FALSE),0)</f>
        <v>0</v>
      </c>
    </row>
    <row r="41" spans="1:10" x14ac:dyDescent="0.25">
      <c r="A41" t="s">
        <v>200</v>
      </c>
      <c r="B41" t="s">
        <v>146</v>
      </c>
      <c r="C41" t="s">
        <v>123</v>
      </c>
      <c r="D41" t="s">
        <v>55</v>
      </c>
      <c r="E41" t="s">
        <v>159</v>
      </c>
      <c r="F41" s="1">
        <v>42688</v>
      </c>
      <c r="G41" s="1">
        <v>42824</v>
      </c>
      <c r="H41">
        <v>0</v>
      </c>
      <c r="I41" t="str">
        <f>IF(COUNTIF(Products!$A$2:$A$8,C41)=0,C41,"")</f>
        <v/>
      </c>
      <c r="J41">
        <f>IF(OR(E41="Prospecting",E41="Engaging"),VLOOKUP(C41,Products!$A$2:$C$8,3,FALSE),0)</f>
        <v>0</v>
      </c>
    </row>
    <row r="42" spans="1:10" x14ac:dyDescent="0.25">
      <c r="A42" t="s">
        <v>201</v>
      </c>
      <c r="B42" t="s">
        <v>140</v>
      </c>
      <c r="C42" t="s">
        <v>120</v>
      </c>
      <c r="D42" t="s">
        <v>94</v>
      </c>
      <c r="E42" t="s">
        <v>159</v>
      </c>
      <c r="F42" s="1">
        <v>42688</v>
      </c>
      <c r="G42" s="1">
        <v>42802</v>
      </c>
      <c r="H42">
        <v>0</v>
      </c>
      <c r="I42" t="str">
        <f>IF(COUNTIF(Products!$A$2:$A$8,C42)=0,C42,"")</f>
        <v/>
      </c>
      <c r="J42">
        <f>IF(OR(E42="Prospecting",E42="Engaging"),VLOOKUP(C42,Products!$A$2:$C$8,3,FALSE),0)</f>
        <v>0</v>
      </c>
    </row>
    <row r="43" spans="1:10" x14ac:dyDescent="0.25">
      <c r="A43" t="s">
        <v>202</v>
      </c>
      <c r="B43" t="s">
        <v>140</v>
      </c>
      <c r="C43" t="s">
        <v>127</v>
      </c>
      <c r="D43" t="s">
        <v>70</v>
      </c>
      <c r="E43" t="s">
        <v>138</v>
      </c>
      <c r="F43" s="1">
        <v>42688</v>
      </c>
      <c r="G43" s="1">
        <v>42814</v>
      </c>
      <c r="H43">
        <v>1170</v>
      </c>
      <c r="I43" t="str">
        <f>IF(COUNTIF(Products!$A$2:$A$8,C43)=0,C43,"")</f>
        <v/>
      </c>
      <c r="J43">
        <f>IF(OR(E43="Prospecting",E43="Engaging"),VLOOKUP(C43,Products!$A$2:$C$8,3,FALSE),0)</f>
        <v>0</v>
      </c>
    </row>
    <row r="44" spans="1:10" x14ac:dyDescent="0.25">
      <c r="A44" t="s">
        <v>203</v>
      </c>
      <c r="B44" t="s">
        <v>180</v>
      </c>
      <c r="C44" t="s">
        <v>120</v>
      </c>
      <c r="E44" t="s">
        <v>155</v>
      </c>
      <c r="F44" s="1">
        <v>42688</v>
      </c>
      <c r="I44" t="str">
        <f>IF(COUNTIF(Products!$A$2:$A$8,C44)=0,C44,"")</f>
        <v/>
      </c>
      <c r="J44">
        <f>IF(OR(E44="Prospecting",E44="Engaging"),VLOOKUP(C44,Products!$A$2:$C$8,3,FALSE),0)</f>
        <v>550</v>
      </c>
    </row>
    <row r="45" spans="1:10" x14ac:dyDescent="0.25">
      <c r="A45" t="s">
        <v>204</v>
      </c>
      <c r="B45" t="s">
        <v>205</v>
      </c>
      <c r="C45" t="s">
        <v>127</v>
      </c>
      <c r="D45" t="s">
        <v>51</v>
      </c>
      <c r="E45" t="s">
        <v>138</v>
      </c>
      <c r="F45" s="1">
        <v>42689</v>
      </c>
      <c r="G45" s="1">
        <v>42814</v>
      </c>
      <c r="H45">
        <v>1162</v>
      </c>
      <c r="I45" t="str">
        <f>IF(COUNTIF(Products!$A$2:$A$8,C45)=0,C45,"")</f>
        <v/>
      </c>
      <c r="J45">
        <f>IF(OR(E45="Prospecting",E45="Engaging"),VLOOKUP(C45,Products!$A$2:$C$8,3,FALSE),0)</f>
        <v>0</v>
      </c>
    </row>
    <row r="46" spans="1:10" x14ac:dyDescent="0.25">
      <c r="A46" t="s">
        <v>206</v>
      </c>
      <c r="B46" t="s">
        <v>207</v>
      </c>
      <c r="C46" t="s">
        <v>122</v>
      </c>
      <c r="E46" t="s">
        <v>155</v>
      </c>
      <c r="F46" s="1">
        <v>42690</v>
      </c>
      <c r="I46" t="str">
        <f>IF(COUNTIF(Products!$A$2:$A$8,C46)=0,C46,"")</f>
        <v/>
      </c>
      <c r="J46">
        <f>IF(OR(E46="Prospecting",E46="Engaging"),VLOOKUP(C46,Products!$A$2:$C$8,3,FALSE),0)</f>
        <v>4821</v>
      </c>
    </row>
    <row r="47" spans="1:10" x14ac:dyDescent="0.25">
      <c r="A47" t="s">
        <v>208</v>
      </c>
      <c r="B47" t="s">
        <v>140</v>
      </c>
      <c r="C47" t="s">
        <v>125</v>
      </c>
      <c r="D47" t="s">
        <v>28</v>
      </c>
      <c r="E47" t="s">
        <v>138</v>
      </c>
      <c r="F47" s="1">
        <v>42690</v>
      </c>
      <c r="G47" s="1">
        <v>42808</v>
      </c>
      <c r="H47">
        <v>3725</v>
      </c>
      <c r="I47" t="str">
        <f>IF(COUNTIF(Products!$A$2:$A$8,C47)=0,C47,"")</f>
        <v/>
      </c>
      <c r="J47">
        <f>IF(OR(E47="Prospecting",E47="Engaging"),VLOOKUP(C47,Products!$A$2:$C$8,3,FALSE),0)</f>
        <v>0</v>
      </c>
    </row>
    <row r="48" spans="1:10" x14ac:dyDescent="0.25">
      <c r="A48" t="s">
        <v>209</v>
      </c>
      <c r="B48" t="s">
        <v>191</v>
      </c>
      <c r="C48" t="s">
        <v>120</v>
      </c>
      <c r="D48" t="s">
        <v>47</v>
      </c>
      <c r="E48" t="s">
        <v>138</v>
      </c>
      <c r="F48" s="1">
        <v>42690</v>
      </c>
      <c r="G48" s="1">
        <v>42825</v>
      </c>
      <c r="H48">
        <v>559</v>
      </c>
      <c r="I48" t="str">
        <f>IF(COUNTIF(Products!$A$2:$A$8,C48)=0,C48,"")</f>
        <v/>
      </c>
      <c r="J48">
        <f>IF(OR(E48="Prospecting",E48="Engaging"),VLOOKUP(C48,Products!$A$2:$C$8,3,FALSE),0)</f>
        <v>0</v>
      </c>
    </row>
    <row r="49" spans="1:10" x14ac:dyDescent="0.25">
      <c r="A49" t="s">
        <v>210</v>
      </c>
      <c r="B49" t="s">
        <v>166</v>
      </c>
      <c r="C49" t="s">
        <v>120</v>
      </c>
      <c r="D49" t="s">
        <v>82</v>
      </c>
      <c r="E49" t="s">
        <v>159</v>
      </c>
      <c r="F49" s="1">
        <v>42690</v>
      </c>
      <c r="G49" s="1">
        <v>42805</v>
      </c>
      <c r="H49">
        <v>0</v>
      </c>
      <c r="I49" t="str">
        <f>IF(COUNTIF(Products!$A$2:$A$8,C49)=0,C49,"")</f>
        <v/>
      </c>
      <c r="J49">
        <f>IF(OR(E49="Prospecting",E49="Engaging"),VLOOKUP(C49,Products!$A$2:$C$8,3,FALSE),0)</f>
        <v>0</v>
      </c>
    </row>
    <row r="50" spans="1:10" x14ac:dyDescent="0.25">
      <c r="A50" t="s">
        <v>211</v>
      </c>
      <c r="B50" t="s">
        <v>140</v>
      </c>
      <c r="C50" t="s">
        <v>127</v>
      </c>
      <c r="D50" t="s">
        <v>89</v>
      </c>
      <c r="E50" t="s">
        <v>159</v>
      </c>
      <c r="F50" s="1">
        <v>42691</v>
      </c>
      <c r="G50" s="1">
        <v>42815</v>
      </c>
      <c r="H50">
        <v>0</v>
      </c>
      <c r="I50" t="str">
        <f>IF(COUNTIF(Products!$A$2:$A$8,C50)=0,C50,"")</f>
        <v/>
      </c>
      <c r="J50">
        <f>IF(OR(E50="Prospecting",E50="Engaging"),VLOOKUP(C50,Products!$A$2:$C$8,3,FALSE),0)</f>
        <v>0</v>
      </c>
    </row>
    <row r="51" spans="1:10" x14ac:dyDescent="0.25">
      <c r="A51" t="s">
        <v>212</v>
      </c>
      <c r="B51" t="s">
        <v>154</v>
      </c>
      <c r="C51" t="s">
        <v>126</v>
      </c>
      <c r="D51" t="s">
        <v>41</v>
      </c>
      <c r="E51" t="s">
        <v>138</v>
      </c>
      <c r="F51" s="1">
        <v>42691</v>
      </c>
      <c r="G51" s="1">
        <v>42799</v>
      </c>
      <c r="H51">
        <v>4667</v>
      </c>
      <c r="I51" t="str">
        <f>IF(COUNTIF(Products!$A$2:$A$8,C51)=0,C51,"")</f>
        <v/>
      </c>
      <c r="J51">
        <f>IF(OR(E51="Prospecting",E51="Engaging"),VLOOKUP(C51,Products!$A$2:$C$8,3,FALSE),0)</f>
        <v>0</v>
      </c>
    </row>
    <row r="52" spans="1:10" x14ac:dyDescent="0.25">
      <c r="A52" t="s">
        <v>213</v>
      </c>
      <c r="B52" t="s">
        <v>205</v>
      </c>
      <c r="C52" t="s">
        <v>127</v>
      </c>
      <c r="D52" t="s">
        <v>42</v>
      </c>
      <c r="E52" t="s">
        <v>138</v>
      </c>
      <c r="F52" s="1">
        <v>42691</v>
      </c>
      <c r="G52" s="1">
        <v>42811</v>
      </c>
      <c r="H52">
        <v>903</v>
      </c>
      <c r="I52" t="str">
        <f>IF(COUNTIF(Products!$A$2:$A$8,C52)=0,C52,"")</f>
        <v/>
      </c>
      <c r="J52">
        <f>IF(OR(E52="Prospecting",E52="Engaging"),VLOOKUP(C52,Products!$A$2:$C$8,3,FALSE),0)</f>
        <v>0</v>
      </c>
    </row>
    <row r="53" spans="1:10" x14ac:dyDescent="0.25">
      <c r="A53" t="s">
        <v>214</v>
      </c>
      <c r="B53" t="s">
        <v>162</v>
      </c>
      <c r="C53" t="s">
        <v>127</v>
      </c>
      <c r="D53" t="s">
        <v>44</v>
      </c>
      <c r="E53" t="s">
        <v>138</v>
      </c>
      <c r="F53" s="1">
        <v>42691</v>
      </c>
      <c r="G53" s="1">
        <v>42807</v>
      </c>
      <c r="H53">
        <v>1180</v>
      </c>
      <c r="I53" t="str">
        <f>IF(COUNTIF(Products!$A$2:$A$8,C53)=0,C53,"")</f>
        <v/>
      </c>
      <c r="J53">
        <f>IF(OR(E53="Prospecting",E53="Engaging"),VLOOKUP(C53,Products!$A$2:$C$8,3,FALSE),0)</f>
        <v>0</v>
      </c>
    </row>
    <row r="54" spans="1:10" x14ac:dyDescent="0.25">
      <c r="A54" t="s">
        <v>215</v>
      </c>
      <c r="B54" t="s">
        <v>152</v>
      </c>
      <c r="C54" t="s">
        <v>120</v>
      </c>
      <c r="D54" t="s">
        <v>88</v>
      </c>
      <c r="E54" t="s">
        <v>138</v>
      </c>
      <c r="F54" s="1">
        <v>42691</v>
      </c>
      <c r="G54" s="1">
        <v>42799</v>
      </c>
      <c r="H54">
        <v>487</v>
      </c>
      <c r="I54" t="str">
        <f>IF(COUNTIF(Products!$A$2:$A$8,C54)=0,C54,"")</f>
        <v/>
      </c>
      <c r="J54">
        <f>IF(OR(E54="Prospecting",E54="Engaging"),VLOOKUP(C54,Products!$A$2:$C$8,3,FALSE),0)</f>
        <v>0</v>
      </c>
    </row>
    <row r="55" spans="1:10" x14ac:dyDescent="0.25">
      <c r="A55" t="s">
        <v>216</v>
      </c>
      <c r="B55" t="s">
        <v>217</v>
      </c>
      <c r="C55" t="s">
        <v>125</v>
      </c>
      <c r="D55" t="s">
        <v>94</v>
      </c>
      <c r="E55" t="s">
        <v>138</v>
      </c>
      <c r="F55" s="1">
        <v>42692</v>
      </c>
      <c r="G55" s="1">
        <v>42798</v>
      </c>
      <c r="H55">
        <v>3180</v>
      </c>
      <c r="I55" t="str">
        <f>IF(COUNTIF(Products!$A$2:$A$8,C55)=0,C55,"")</f>
        <v/>
      </c>
      <c r="J55">
        <f>IF(OR(E55="Prospecting",E55="Engaging"),VLOOKUP(C55,Products!$A$2:$C$8,3,FALSE),0)</f>
        <v>0</v>
      </c>
    </row>
    <row r="56" spans="1:10" x14ac:dyDescent="0.25">
      <c r="A56" t="s">
        <v>218</v>
      </c>
      <c r="B56" t="s">
        <v>140</v>
      </c>
      <c r="C56" t="s">
        <v>122</v>
      </c>
      <c r="D56" t="s">
        <v>46</v>
      </c>
      <c r="E56" t="s">
        <v>159</v>
      </c>
      <c r="F56" s="1">
        <v>42693</v>
      </c>
      <c r="G56" s="1">
        <v>42811</v>
      </c>
      <c r="H56">
        <v>0</v>
      </c>
      <c r="I56" t="str">
        <f>IF(COUNTIF(Products!$A$2:$A$8,C56)=0,C56,"")</f>
        <v/>
      </c>
      <c r="J56">
        <f>IF(OR(E56="Prospecting",E56="Engaging"),VLOOKUP(C56,Products!$A$2:$C$8,3,FALSE),0)</f>
        <v>0</v>
      </c>
    </row>
    <row r="57" spans="1:10" x14ac:dyDescent="0.25">
      <c r="A57" t="s">
        <v>219</v>
      </c>
      <c r="B57" t="s">
        <v>140</v>
      </c>
      <c r="C57" t="s">
        <v>125</v>
      </c>
      <c r="D57" t="s">
        <v>55</v>
      </c>
      <c r="E57" t="s">
        <v>138</v>
      </c>
      <c r="F57" s="1">
        <v>42693</v>
      </c>
      <c r="G57" s="1">
        <v>42812</v>
      </c>
      <c r="H57">
        <v>3563</v>
      </c>
      <c r="I57" t="str">
        <f>IF(COUNTIF(Products!$A$2:$A$8,C57)=0,C57,"")</f>
        <v/>
      </c>
      <c r="J57">
        <f>IF(OR(E57="Prospecting",E57="Engaging"),VLOOKUP(C57,Products!$A$2:$C$8,3,FALSE),0)</f>
        <v>0</v>
      </c>
    </row>
    <row r="58" spans="1:10" x14ac:dyDescent="0.25">
      <c r="A58" t="s">
        <v>220</v>
      </c>
      <c r="B58" t="s">
        <v>180</v>
      </c>
      <c r="C58" t="s">
        <v>127</v>
      </c>
      <c r="E58" t="s">
        <v>155</v>
      </c>
      <c r="F58" s="1">
        <v>42693</v>
      </c>
      <c r="I58" t="str">
        <f>IF(COUNTIF(Products!$A$2:$A$8,C58)=0,C58,"")</f>
        <v/>
      </c>
      <c r="J58">
        <f>IF(OR(E58="Prospecting",E58="Engaging"),VLOOKUP(C58,Products!$A$2:$C$8,3,FALSE),0)</f>
        <v>1096</v>
      </c>
    </row>
    <row r="59" spans="1:10" x14ac:dyDescent="0.25">
      <c r="A59" t="s">
        <v>221</v>
      </c>
      <c r="B59" t="s">
        <v>222</v>
      </c>
      <c r="C59" t="s">
        <v>122</v>
      </c>
      <c r="D59" t="s">
        <v>81</v>
      </c>
      <c r="E59" t="s">
        <v>138</v>
      </c>
      <c r="F59" s="1">
        <v>42694</v>
      </c>
      <c r="G59" s="1">
        <v>42817</v>
      </c>
      <c r="H59">
        <v>4704</v>
      </c>
      <c r="I59" t="str">
        <f>IF(COUNTIF(Products!$A$2:$A$8,C59)=0,C59,"")</f>
        <v/>
      </c>
      <c r="J59">
        <f>IF(OR(E59="Prospecting",E59="Engaging"),VLOOKUP(C59,Products!$A$2:$C$8,3,FALSE),0)</f>
        <v>0</v>
      </c>
    </row>
    <row r="60" spans="1:10" x14ac:dyDescent="0.25">
      <c r="A60" t="s">
        <v>223</v>
      </c>
      <c r="B60" t="s">
        <v>224</v>
      </c>
      <c r="C60" t="s">
        <v>126</v>
      </c>
      <c r="D60" t="s">
        <v>92</v>
      </c>
      <c r="E60" t="s">
        <v>138</v>
      </c>
      <c r="F60" s="1">
        <v>42694</v>
      </c>
      <c r="G60" s="1">
        <v>42808</v>
      </c>
      <c r="H60">
        <v>5585</v>
      </c>
      <c r="I60" t="str">
        <f>IF(COUNTIF(Products!$A$2:$A$8,C60)=0,C60,"")</f>
        <v/>
      </c>
      <c r="J60">
        <f>IF(OR(E60="Prospecting",E60="Engaging"),VLOOKUP(C60,Products!$A$2:$C$8,3,FALSE),0)</f>
        <v>0</v>
      </c>
    </row>
    <row r="61" spans="1:10" x14ac:dyDescent="0.25">
      <c r="A61" t="s">
        <v>225</v>
      </c>
      <c r="B61" t="s">
        <v>173</v>
      </c>
      <c r="C61" t="s">
        <v>128</v>
      </c>
      <c r="D61" t="s">
        <v>114</v>
      </c>
      <c r="E61" t="s">
        <v>138</v>
      </c>
      <c r="F61" s="1">
        <v>42694</v>
      </c>
      <c r="G61" s="1">
        <v>42803</v>
      </c>
      <c r="H61">
        <v>25897</v>
      </c>
      <c r="I61" t="str">
        <f>IF(COUNTIF(Products!$A$2:$A$8,C61)=0,C61,"")</f>
        <v/>
      </c>
      <c r="J61">
        <f>IF(OR(E61="Prospecting",E61="Engaging"),VLOOKUP(C61,Products!$A$2:$C$8,3,FALSE),0)</f>
        <v>0</v>
      </c>
    </row>
    <row r="62" spans="1:10" x14ac:dyDescent="0.25">
      <c r="A62" t="s">
        <v>226</v>
      </c>
      <c r="B62" t="s">
        <v>164</v>
      </c>
      <c r="C62" t="s">
        <v>125</v>
      </c>
      <c r="E62" t="s">
        <v>155</v>
      </c>
      <c r="F62" s="1">
        <v>42694</v>
      </c>
      <c r="I62" t="str">
        <f>IF(COUNTIF(Products!$A$2:$A$8,C62)=0,C62,"")</f>
        <v/>
      </c>
      <c r="J62">
        <f>IF(OR(E62="Prospecting",E62="Engaging"),VLOOKUP(C62,Products!$A$2:$C$8,3,FALSE),0)</f>
        <v>3393</v>
      </c>
    </row>
    <row r="63" spans="1:10" x14ac:dyDescent="0.25">
      <c r="A63" t="s">
        <v>227</v>
      </c>
      <c r="B63" t="s">
        <v>180</v>
      </c>
      <c r="C63" t="s">
        <v>127</v>
      </c>
      <c r="D63" t="s">
        <v>56</v>
      </c>
      <c r="E63" t="s">
        <v>138</v>
      </c>
      <c r="F63" s="1">
        <v>42694</v>
      </c>
      <c r="G63" s="1">
        <v>42797</v>
      </c>
      <c r="H63">
        <v>1207</v>
      </c>
      <c r="I63" t="str">
        <f>IF(COUNTIF(Products!$A$2:$A$8,C63)=0,C63,"")</f>
        <v/>
      </c>
      <c r="J63">
        <f>IF(OR(E63="Prospecting",E63="Engaging"),VLOOKUP(C63,Products!$A$2:$C$8,3,FALSE),0)</f>
        <v>0</v>
      </c>
    </row>
    <row r="64" spans="1:10" x14ac:dyDescent="0.25">
      <c r="A64" t="s">
        <v>228</v>
      </c>
      <c r="B64" t="s">
        <v>217</v>
      </c>
      <c r="C64" t="s">
        <v>125</v>
      </c>
      <c r="D64" t="s">
        <v>22</v>
      </c>
      <c r="E64" t="s">
        <v>159</v>
      </c>
      <c r="F64" s="1">
        <v>42694</v>
      </c>
      <c r="G64" s="1">
        <v>42802</v>
      </c>
      <c r="H64">
        <v>0</v>
      </c>
      <c r="I64" t="str">
        <f>IF(COUNTIF(Products!$A$2:$A$8,C64)=0,C64,"")</f>
        <v/>
      </c>
      <c r="J64">
        <f>IF(OR(E64="Prospecting",E64="Engaging"),VLOOKUP(C64,Products!$A$2:$C$8,3,FALSE),0)</f>
        <v>0</v>
      </c>
    </row>
    <row r="65" spans="1:10" x14ac:dyDescent="0.25">
      <c r="A65" t="s">
        <v>229</v>
      </c>
      <c r="B65" t="s">
        <v>217</v>
      </c>
      <c r="C65" t="s">
        <v>120</v>
      </c>
      <c r="D65" t="s">
        <v>85</v>
      </c>
      <c r="E65" t="s">
        <v>138</v>
      </c>
      <c r="F65" s="1">
        <v>42694</v>
      </c>
      <c r="G65" s="1">
        <v>42798</v>
      </c>
      <c r="H65">
        <v>559</v>
      </c>
      <c r="I65" t="str">
        <f>IF(COUNTIF(Products!$A$2:$A$8,C65)=0,C65,"")</f>
        <v/>
      </c>
      <c r="J65">
        <f>IF(OR(E65="Prospecting",E65="Engaging"),VLOOKUP(C65,Products!$A$2:$C$8,3,FALSE),0)</f>
        <v>0</v>
      </c>
    </row>
    <row r="66" spans="1:10" x14ac:dyDescent="0.25">
      <c r="A66" t="s">
        <v>230</v>
      </c>
      <c r="B66" t="s">
        <v>162</v>
      </c>
      <c r="C66" t="s">
        <v>120</v>
      </c>
      <c r="D66" t="s">
        <v>57</v>
      </c>
      <c r="E66" t="s">
        <v>155</v>
      </c>
      <c r="F66" s="1">
        <v>42694</v>
      </c>
      <c r="I66" t="str">
        <f>IF(COUNTIF(Products!$A$2:$A$8,C66)=0,C66,"")</f>
        <v/>
      </c>
      <c r="J66">
        <f>IF(OR(E66="Prospecting",E66="Engaging"),VLOOKUP(C66,Products!$A$2:$C$8,3,FALSE),0)</f>
        <v>550</v>
      </c>
    </row>
    <row r="67" spans="1:10" x14ac:dyDescent="0.25">
      <c r="A67" t="s">
        <v>231</v>
      </c>
      <c r="B67" t="s">
        <v>152</v>
      </c>
      <c r="C67" t="s">
        <v>127</v>
      </c>
      <c r="D67" t="s">
        <v>30</v>
      </c>
      <c r="E67" t="s">
        <v>138</v>
      </c>
      <c r="F67" s="1">
        <v>42694</v>
      </c>
      <c r="G67" s="1">
        <v>42803</v>
      </c>
      <c r="H67">
        <v>1033</v>
      </c>
      <c r="I67" t="str">
        <f>IF(COUNTIF(Products!$A$2:$A$8,C67)=0,C67,"")</f>
        <v/>
      </c>
      <c r="J67">
        <f>IF(OR(E67="Prospecting",E67="Engaging"),VLOOKUP(C67,Products!$A$2:$C$8,3,FALSE),0)</f>
        <v>0</v>
      </c>
    </row>
    <row r="68" spans="1:10" x14ac:dyDescent="0.25">
      <c r="A68" t="s">
        <v>232</v>
      </c>
      <c r="B68" t="s">
        <v>224</v>
      </c>
      <c r="C68" t="s">
        <v>120</v>
      </c>
      <c r="D68" t="s">
        <v>67</v>
      </c>
      <c r="E68" t="s">
        <v>138</v>
      </c>
      <c r="F68" s="1">
        <v>42695</v>
      </c>
      <c r="G68" s="1">
        <v>42815</v>
      </c>
      <c r="H68">
        <v>462</v>
      </c>
      <c r="I68" t="str">
        <f>IF(COUNTIF(Products!$A$2:$A$8,C68)=0,C68,"")</f>
        <v/>
      </c>
      <c r="J68">
        <f>IF(OR(E68="Prospecting",E68="Engaging"),VLOOKUP(C68,Products!$A$2:$C$8,3,FALSE),0)</f>
        <v>0</v>
      </c>
    </row>
    <row r="69" spans="1:10" x14ac:dyDescent="0.25">
      <c r="A69" t="s">
        <v>233</v>
      </c>
      <c r="B69" t="s">
        <v>164</v>
      </c>
      <c r="C69" t="s">
        <v>125</v>
      </c>
      <c r="D69" t="s">
        <v>75</v>
      </c>
      <c r="E69" t="s">
        <v>159</v>
      </c>
      <c r="F69" s="1">
        <v>42695</v>
      </c>
      <c r="G69" s="1">
        <v>42795</v>
      </c>
      <c r="H69">
        <v>0</v>
      </c>
      <c r="I69" t="str">
        <f>IF(COUNTIF(Products!$A$2:$A$8,C69)=0,C69,"")</f>
        <v/>
      </c>
      <c r="J69">
        <f>IF(OR(E69="Prospecting",E69="Engaging"),VLOOKUP(C69,Products!$A$2:$C$8,3,FALSE),0)</f>
        <v>0</v>
      </c>
    </row>
    <row r="70" spans="1:10" x14ac:dyDescent="0.25">
      <c r="A70" t="s">
        <v>234</v>
      </c>
      <c r="B70" t="s">
        <v>191</v>
      </c>
      <c r="C70" t="s">
        <v>122</v>
      </c>
      <c r="D70" t="s">
        <v>109</v>
      </c>
      <c r="E70" t="s">
        <v>138</v>
      </c>
      <c r="F70" s="1">
        <v>42695</v>
      </c>
      <c r="G70" s="1">
        <v>42808</v>
      </c>
      <c r="H70">
        <v>5539</v>
      </c>
      <c r="I70" t="str">
        <f>IF(COUNTIF(Products!$A$2:$A$8,C70)=0,C70,"")</f>
        <v/>
      </c>
      <c r="J70">
        <f>IF(OR(E70="Prospecting",E70="Engaging"),VLOOKUP(C70,Products!$A$2:$C$8,3,FALSE),0)</f>
        <v>0</v>
      </c>
    </row>
    <row r="71" spans="1:10" x14ac:dyDescent="0.25">
      <c r="A71" t="s">
        <v>235</v>
      </c>
      <c r="B71" t="s">
        <v>217</v>
      </c>
      <c r="C71" t="s">
        <v>125</v>
      </c>
      <c r="D71" t="s">
        <v>88</v>
      </c>
      <c r="E71" t="s">
        <v>138</v>
      </c>
      <c r="F71" s="1">
        <v>42695</v>
      </c>
      <c r="G71" s="1">
        <v>42809</v>
      </c>
      <c r="H71">
        <v>3573</v>
      </c>
      <c r="I71" t="str">
        <f>IF(COUNTIF(Products!$A$2:$A$8,C71)=0,C71,"")</f>
        <v/>
      </c>
      <c r="J71">
        <f>IF(OR(E71="Prospecting",E71="Engaging"),VLOOKUP(C71,Products!$A$2:$C$8,3,FALSE),0)</f>
        <v>0</v>
      </c>
    </row>
    <row r="72" spans="1:10" x14ac:dyDescent="0.25">
      <c r="A72" t="s">
        <v>236</v>
      </c>
      <c r="B72" t="s">
        <v>205</v>
      </c>
      <c r="C72" t="s">
        <v>122</v>
      </c>
      <c r="D72" t="s">
        <v>28</v>
      </c>
      <c r="E72" t="s">
        <v>138</v>
      </c>
      <c r="F72" s="1">
        <v>42695</v>
      </c>
      <c r="G72" s="1">
        <v>42795</v>
      </c>
      <c r="H72">
        <v>4926</v>
      </c>
      <c r="I72" t="str">
        <f>IF(COUNTIF(Products!$A$2:$A$8,C72)=0,C72,"")</f>
        <v/>
      </c>
      <c r="J72">
        <f>IF(OR(E72="Prospecting",E72="Engaging"),VLOOKUP(C72,Products!$A$2:$C$8,3,FALSE),0)</f>
        <v>0</v>
      </c>
    </row>
    <row r="73" spans="1:10" x14ac:dyDescent="0.25">
      <c r="A73" t="s">
        <v>237</v>
      </c>
      <c r="B73" t="s">
        <v>144</v>
      </c>
      <c r="C73" t="s">
        <v>127</v>
      </c>
      <c r="D73" t="s">
        <v>100</v>
      </c>
      <c r="E73" t="s">
        <v>159</v>
      </c>
      <c r="F73" s="1">
        <v>42695</v>
      </c>
      <c r="G73" s="1">
        <v>42811</v>
      </c>
      <c r="H73">
        <v>0</v>
      </c>
      <c r="I73" t="str">
        <f>IF(COUNTIF(Products!$A$2:$A$8,C73)=0,C73,"")</f>
        <v/>
      </c>
      <c r="J73">
        <f>IF(OR(E73="Prospecting",E73="Engaging"),VLOOKUP(C73,Products!$A$2:$C$8,3,FALSE),0)</f>
        <v>0</v>
      </c>
    </row>
    <row r="74" spans="1:10" x14ac:dyDescent="0.25">
      <c r="A74" t="s">
        <v>238</v>
      </c>
      <c r="B74" t="s">
        <v>239</v>
      </c>
      <c r="C74" t="s">
        <v>123</v>
      </c>
      <c r="D74" t="s">
        <v>16</v>
      </c>
      <c r="E74" t="s">
        <v>138</v>
      </c>
      <c r="F74" s="1">
        <v>42696</v>
      </c>
      <c r="G74" s="1">
        <v>42798</v>
      </c>
      <c r="H74">
        <v>62</v>
      </c>
      <c r="I74" t="str">
        <f>IF(COUNTIF(Products!$A$2:$A$8,C74)=0,C74,"")</f>
        <v/>
      </c>
      <c r="J74">
        <f>IF(OR(E74="Prospecting",E74="Engaging"),VLOOKUP(C74,Products!$A$2:$C$8,3,FALSE),0)</f>
        <v>0</v>
      </c>
    </row>
    <row r="75" spans="1:10" x14ac:dyDescent="0.25">
      <c r="A75" t="s">
        <v>240</v>
      </c>
      <c r="B75" t="s">
        <v>140</v>
      </c>
      <c r="C75" t="s">
        <v>122</v>
      </c>
      <c r="D75" t="s">
        <v>55</v>
      </c>
      <c r="E75" t="s">
        <v>138</v>
      </c>
      <c r="F75" s="1">
        <v>42696</v>
      </c>
      <c r="G75" s="1">
        <v>42808</v>
      </c>
      <c r="H75">
        <v>4359</v>
      </c>
      <c r="I75" t="str">
        <f>IF(COUNTIF(Products!$A$2:$A$8,C75)=0,C75,"")</f>
        <v/>
      </c>
      <c r="J75">
        <f>IF(OR(E75="Prospecting",E75="Engaging"),VLOOKUP(C75,Products!$A$2:$C$8,3,FALSE),0)</f>
        <v>0</v>
      </c>
    </row>
    <row r="76" spans="1:10" x14ac:dyDescent="0.25">
      <c r="A76" t="s">
        <v>241</v>
      </c>
      <c r="B76" t="s">
        <v>180</v>
      </c>
      <c r="C76" t="s">
        <v>120</v>
      </c>
      <c r="D76" t="s">
        <v>83</v>
      </c>
      <c r="E76" t="s">
        <v>138</v>
      </c>
      <c r="F76" s="1">
        <v>42696</v>
      </c>
      <c r="G76" s="1">
        <v>42825</v>
      </c>
      <c r="H76">
        <v>566</v>
      </c>
      <c r="I76" t="str">
        <f>IF(COUNTIF(Products!$A$2:$A$8,C76)=0,C76,"")</f>
        <v/>
      </c>
      <c r="J76">
        <f>IF(OR(E76="Prospecting",E76="Engaging"),VLOOKUP(C76,Products!$A$2:$C$8,3,FALSE),0)</f>
        <v>0</v>
      </c>
    </row>
    <row r="77" spans="1:10" x14ac:dyDescent="0.25">
      <c r="A77" t="s">
        <v>242</v>
      </c>
      <c r="B77" t="s">
        <v>205</v>
      </c>
      <c r="C77" t="s">
        <v>120</v>
      </c>
      <c r="D77" t="s">
        <v>103</v>
      </c>
      <c r="E77" t="s">
        <v>138</v>
      </c>
      <c r="F77" s="1">
        <v>42696</v>
      </c>
      <c r="G77" s="1">
        <v>42797</v>
      </c>
      <c r="H77">
        <v>508</v>
      </c>
      <c r="I77" t="str">
        <f>IF(COUNTIF(Products!$A$2:$A$8,C77)=0,C77,"")</f>
        <v/>
      </c>
      <c r="J77">
        <f>IF(OR(E77="Prospecting",E77="Engaging"),VLOOKUP(C77,Products!$A$2:$C$8,3,FALSE),0)</f>
        <v>0</v>
      </c>
    </row>
    <row r="78" spans="1:10" x14ac:dyDescent="0.25">
      <c r="A78" t="s">
        <v>243</v>
      </c>
      <c r="B78" t="s">
        <v>187</v>
      </c>
      <c r="C78" t="s">
        <v>125</v>
      </c>
      <c r="D78" t="s">
        <v>106</v>
      </c>
      <c r="E78" t="s">
        <v>159</v>
      </c>
      <c r="F78" s="1">
        <v>42696</v>
      </c>
      <c r="G78" s="1">
        <v>42814</v>
      </c>
      <c r="H78">
        <v>0</v>
      </c>
      <c r="I78" t="str">
        <f>IF(COUNTIF(Products!$A$2:$A$8,C78)=0,C78,"")</f>
        <v/>
      </c>
      <c r="J78">
        <f>IF(OR(E78="Prospecting",E78="Engaging"),VLOOKUP(C78,Products!$A$2:$C$8,3,FALSE),0)</f>
        <v>0</v>
      </c>
    </row>
    <row r="79" spans="1:10" x14ac:dyDescent="0.25">
      <c r="A79" t="s">
        <v>244</v>
      </c>
      <c r="B79" t="s">
        <v>169</v>
      </c>
      <c r="C79" t="s">
        <v>123</v>
      </c>
      <c r="D79" t="s">
        <v>26</v>
      </c>
      <c r="E79" t="s">
        <v>138</v>
      </c>
      <c r="F79" s="1">
        <v>42696</v>
      </c>
      <c r="G79" s="1">
        <v>42805</v>
      </c>
      <c r="H79">
        <v>51</v>
      </c>
      <c r="I79" t="str">
        <f>IF(COUNTIF(Products!$A$2:$A$8,C79)=0,C79,"")</f>
        <v/>
      </c>
      <c r="J79">
        <f>IF(OR(E79="Prospecting",E79="Engaging"),VLOOKUP(C79,Products!$A$2:$C$8,3,FALSE),0)</f>
        <v>0</v>
      </c>
    </row>
    <row r="80" spans="1:10" x14ac:dyDescent="0.25">
      <c r="A80" t="s">
        <v>245</v>
      </c>
      <c r="B80" t="s">
        <v>148</v>
      </c>
      <c r="C80" t="s">
        <v>122</v>
      </c>
      <c r="D80" t="s">
        <v>29</v>
      </c>
      <c r="E80" t="s">
        <v>138</v>
      </c>
      <c r="F80" s="1">
        <v>42696</v>
      </c>
      <c r="G80" s="1">
        <v>42799</v>
      </c>
      <c r="H80">
        <v>4899</v>
      </c>
      <c r="I80" t="str">
        <f>IF(COUNTIF(Products!$A$2:$A$8,C80)=0,C80,"")</f>
        <v/>
      </c>
      <c r="J80">
        <f>IF(OR(E80="Prospecting",E80="Engaging"),VLOOKUP(C80,Products!$A$2:$C$8,3,FALSE),0)</f>
        <v>0</v>
      </c>
    </row>
    <row r="81" spans="1:10" x14ac:dyDescent="0.25">
      <c r="A81" t="s">
        <v>246</v>
      </c>
      <c r="B81" t="s">
        <v>239</v>
      </c>
      <c r="C81" t="s">
        <v>120</v>
      </c>
      <c r="D81" t="s">
        <v>23</v>
      </c>
      <c r="E81" t="s">
        <v>155</v>
      </c>
      <c r="F81" s="1">
        <v>42697</v>
      </c>
      <c r="I81" t="str">
        <f>IF(COUNTIF(Products!$A$2:$A$8,C81)=0,C81,"")</f>
        <v/>
      </c>
      <c r="J81">
        <f>IF(OR(E81="Prospecting",E81="Engaging"),VLOOKUP(C81,Products!$A$2:$C$8,3,FALSE),0)</f>
        <v>550</v>
      </c>
    </row>
    <row r="82" spans="1:10" x14ac:dyDescent="0.25">
      <c r="A82" t="s">
        <v>247</v>
      </c>
      <c r="B82" t="s">
        <v>239</v>
      </c>
      <c r="C82" t="s">
        <v>126</v>
      </c>
      <c r="D82" t="s">
        <v>80</v>
      </c>
      <c r="E82" t="s">
        <v>138</v>
      </c>
      <c r="F82" s="1">
        <v>42697</v>
      </c>
      <c r="G82" s="1">
        <v>42797</v>
      </c>
      <c r="H82">
        <v>5790</v>
      </c>
      <c r="I82" t="str">
        <f>IF(COUNTIF(Products!$A$2:$A$8,C82)=0,C82,"")</f>
        <v/>
      </c>
      <c r="J82">
        <f>IF(OR(E82="Prospecting",E82="Engaging"),VLOOKUP(C82,Products!$A$2:$C$8,3,FALSE),0)</f>
        <v>0</v>
      </c>
    </row>
    <row r="83" spans="1:10" x14ac:dyDescent="0.25">
      <c r="A83" t="s">
        <v>248</v>
      </c>
      <c r="B83" t="s">
        <v>224</v>
      </c>
      <c r="C83" t="s">
        <v>123</v>
      </c>
      <c r="D83" t="s">
        <v>68</v>
      </c>
      <c r="E83" t="s">
        <v>159</v>
      </c>
      <c r="F83" s="1">
        <v>42697</v>
      </c>
      <c r="G83" s="1">
        <v>42824</v>
      </c>
      <c r="H83">
        <v>0</v>
      </c>
      <c r="I83" t="str">
        <f>IF(COUNTIF(Products!$A$2:$A$8,C83)=0,C83,"")</f>
        <v/>
      </c>
      <c r="J83">
        <f>IF(OR(E83="Prospecting",E83="Engaging"),VLOOKUP(C83,Products!$A$2:$C$8,3,FALSE),0)</f>
        <v>0</v>
      </c>
    </row>
    <row r="84" spans="1:10" x14ac:dyDescent="0.25">
      <c r="A84" t="s">
        <v>249</v>
      </c>
      <c r="B84" t="s">
        <v>173</v>
      </c>
      <c r="C84" t="s">
        <v>125</v>
      </c>
      <c r="E84" t="s">
        <v>155</v>
      </c>
      <c r="F84" s="1">
        <v>42697</v>
      </c>
      <c r="I84" t="str">
        <f>IF(COUNTIF(Products!$A$2:$A$8,C84)=0,C84,"")</f>
        <v/>
      </c>
      <c r="J84">
        <f>IF(OR(E84="Prospecting",E84="Engaging"),VLOOKUP(C84,Products!$A$2:$C$8,3,FALSE),0)</f>
        <v>3393</v>
      </c>
    </row>
    <row r="85" spans="1:10" x14ac:dyDescent="0.25">
      <c r="A85" t="s">
        <v>250</v>
      </c>
      <c r="B85" t="s">
        <v>158</v>
      </c>
      <c r="C85" t="s">
        <v>122</v>
      </c>
      <c r="D85" t="s">
        <v>26</v>
      </c>
      <c r="E85" t="s">
        <v>138</v>
      </c>
      <c r="F85" s="1">
        <v>42697</v>
      </c>
      <c r="G85" s="1">
        <v>42797</v>
      </c>
      <c r="H85">
        <v>4438</v>
      </c>
      <c r="I85" t="str">
        <f>IF(COUNTIF(Products!$A$2:$A$8,C85)=0,C85,"")</f>
        <v/>
      </c>
      <c r="J85">
        <f>IF(OR(E85="Prospecting",E85="Engaging"),VLOOKUP(C85,Products!$A$2:$C$8,3,FALSE),0)</f>
        <v>0</v>
      </c>
    </row>
    <row r="86" spans="1:10" x14ac:dyDescent="0.25">
      <c r="A86" t="s">
        <v>251</v>
      </c>
      <c r="B86" t="s">
        <v>158</v>
      </c>
      <c r="C86" t="s">
        <v>125</v>
      </c>
      <c r="D86" t="s">
        <v>42</v>
      </c>
      <c r="E86" t="s">
        <v>138</v>
      </c>
      <c r="F86" s="1">
        <v>42697</v>
      </c>
      <c r="G86" s="1">
        <v>42811</v>
      </c>
      <c r="H86">
        <v>2972</v>
      </c>
      <c r="I86" t="str">
        <f>IF(COUNTIF(Products!$A$2:$A$8,C86)=0,C86,"")</f>
        <v/>
      </c>
      <c r="J86">
        <f>IF(OR(E86="Prospecting",E86="Engaging"),VLOOKUP(C86,Products!$A$2:$C$8,3,FALSE),0)</f>
        <v>0</v>
      </c>
    </row>
    <row r="87" spans="1:10" x14ac:dyDescent="0.25">
      <c r="A87" t="s">
        <v>252</v>
      </c>
      <c r="B87" t="s">
        <v>150</v>
      </c>
      <c r="C87" t="s">
        <v>123</v>
      </c>
      <c r="D87" t="s">
        <v>72</v>
      </c>
      <c r="E87" t="s">
        <v>155</v>
      </c>
      <c r="F87" s="1">
        <v>42697</v>
      </c>
      <c r="I87" t="str">
        <f>IF(COUNTIF(Products!$A$2:$A$8,C87)=0,C87,"")</f>
        <v/>
      </c>
      <c r="J87">
        <f>IF(OR(E87="Prospecting",E87="Engaging"),VLOOKUP(C87,Products!$A$2:$C$8,3,FALSE),0)</f>
        <v>55</v>
      </c>
    </row>
    <row r="88" spans="1:10" x14ac:dyDescent="0.25">
      <c r="A88" t="s">
        <v>253</v>
      </c>
      <c r="B88" t="s">
        <v>150</v>
      </c>
      <c r="C88" t="s">
        <v>120</v>
      </c>
      <c r="D88" t="s">
        <v>109</v>
      </c>
      <c r="E88" t="s">
        <v>138</v>
      </c>
      <c r="F88" s="1">
        <v>42697</v>
      </c>
      <c r="G88" s="1">
        <v>42795</v>
      </c>
      <c r="H88">
        <v>523</v>
      </c>
      <c r="I88" t="str">
        <f>IF(COUNTIF(Products!$A$2:$A$8,C88)=0,C88,"")</f>
        <v/>
      </c>
      <c r="J88">
        <f>IF(OR(E88="Prospecting",E88="Engaging"),VLOOKUP(C88,Products!$A$2:$C$8,3,FALSE),0)</f>
        <v>0</v>
      </c>
    </row>
    <row r="89" spans="1:10" x14ac:dyDescent="0.25">
      <c r="A89" t="s">
        <v>254</v>
      </c>
      <c r="B89" t="s">
        <v>146</v>
      </c>
      <c r="C89" t="s">
        <v>125</v>
      </c>
      <c r="D89" t="s">
        <v>95</v>
      </c>
      <c r="E89" t="s">
        <v>138</v>
      </c>
      <c r="F89" s="1">
        <v>42698</v>
      </c>
      <c r="G89" s="1">
        <v>42819</v>
      </c>
      <c r="H89">
        <v>3647</v>
      </c>
      <c r="I89" t="str">
        <f>IF(COUNTIF(Products!$A$2:$A$8,C89)=0,C89,"")</f>
        <v/>
      </c>
      <c r="J89">
        <f>IF(OR(E89="Prospecting",E89="Engaging"),VLOOKUP(C89,Products!$A$2:$C$8,3,FALSE),0)</f>
        <v>0</v>
      </c>
    </row>
    <row r="90" spans="1:10" x14ac:dyDescent="0.25">
      <c r="A90" t="s">
        <v>255</v>
      </c>
      <c r="B90" t="s">
        <v>207</v>
      </c>
      <c r="C90" t="s">
        <v>125</v>
      </c>
      <c r="D90" t="s">
        <v>105</v>
      </c>
      <c r="E90" t="s">
        <v>138</v>
      </c>
      <c r="F90" s="1">
        <v>42698</v>
      </c>
      <c r="G90" s="1">
        <v>42795</v>
      </c>
      <c r="H90">
        <v>4200</v>
      </c>
      <c r="I90" t="str">
        <f>IF(COUNTIF(Products!$A$2:$A$8,C90)=0,C90,"")</f>
        <v/>
      </c>
      <c r="J90">
        <f>IF(OR(E90="Prospecting",E90="Engaging"),VLOOKUP(C90,Products!$A$2:$C$8,3,FALSE),0)</f>
        <v>0</v>
      </c>
    </row>
    <row r="91" spans="1:10" x14ac:dyDescent="0.25">
      <c r="A91" t="s">
        <v>256</v>
      </c>
      <c r="B91" t="s">
        <v>171</v>
      </c>
      <c r="C91" t="s">
        <v>127</v>
      </c>
      <c r="D91" t="s">
        <v>66</v>
      </c>
      <c r="E91" t="s">
        <v>155</v>
      </c>
      <c r="F91" s="1">
        <v>42698</v>
      </c>
      <c r="I91" t="str">
        <f>IF(COUNTIF(Products!$A$2:$A$8,C91)=0,C91,"")</f>
        <v/>
      </c>
      <c r="J91">
        <f>IF(OR(E91="Prospecting",E91="Engaging"),VLOOKUP(C91,Products!$A$2:$C$8,3,FALSE),0)</f>
        <v>1096</v>
      </c>
    </row>
    <row r="92" spans="1:10" x14ac:dyDescent="0.25">
      <c r="A92" t="s">
        <v>257</v>
      </c>
      <c r="B92" t="s">
        <v>180</v>
      </c>
      <c r="C92" t="s">
        <v>127</v>
      </c>
      <c r="D92" t="s">
        <v>20</v>
      </c>
      <c r="E92" t="s">
        <v>155</v>
      </c>
      <c r="F92" s="1">
        <v>42698</v>
      </c>
      <c r="I92" t="str">
        <f>IF(COUNTIF(Products!$A$2:$A$8,C92)=0,C92,"")</f>
        <v/>
      </c>
      <c r="J92">
        <f>IF(OR(E92="Prospecting",E92="Engaging"),VLOOKUP(C92,Products!$A$2:$C$8,3,FALSE),0)</f>
        <v>1096</v>
      </c>
    </row>
    <row r="93" spans="1:10" x14ac:dyDescent="0.25">
      <c r="A93" t="s">
        <v>258</v>
      </c>
      <c r="B93" t="s">
        <v>180</v>
      </c>
      <c r="C93" t="s">
        <v>127</v>
      </c>
      <c r="D93" t="s">
        <v>39</v>
      </c>
      <c r="E93" t="s">
        <v>138</v>
      </c>
      <c r="F93" s="1">
        <v>42698</v>
      </c>
      <c r="G93" s="1">
        <v>42822</v>
      </c>
      <c r="H93">
        <v>1059</v>
      </c>
      <c r="I93" t="str">
        <f>IF(COUNTIF(Products!$A$2:$A$8,C93)=0,C93,"")</f>
        <v/>
      </c>
      <c r="J93">
        <f>IF(OR(E93="Prospecting",E93="Engaging"),VLOOKUP(C93,Products!$A$2:$C$8,3,FALSE),0)</f>
        <v>0</v>
      </c>
    </row>
    <row r="94" spans="1:10" x14ac:dyDescent="0.25">
      <c r="A94" t="s">
        <v>259</v>
      </c>
      <c r="B94" t="s">
        <v>205</v>
      </c>
      <c r="C94" t="s">
        <v>127</v>
      </c>
      <c r="D94" t="s">
        <v>26</v>
      </c>
      <c r="E94" t="s">
        <v>159</v>
      </c>
      <c r="F94" s="1">
        <v>42698</v>
      </c>
      <c r="G94" s="1">
        <v>42799</v>
      </c>
      <c r="H94">
        <v>0</v>
      </c>
      <c r="I94" t="str">
        <f>IF(COUNTIF(Products!$A$2:$A$8,C94)=0,C94,"")</f>
        <v/>
      </c>
      <c r="J94">
        <f>IF(OR(E94="Prospecting",E94="Engaging"),VLOOKUP(C94,Products!$A$2:$C$8,3,FALSE),0)</f>
        <v>0</v>
      </c>
    </row>
    <row r="95" spans="1:10" x14ac:dyDescent="0.25">
      <c r="A95" t="s">
        <v>260</v>
      </c>
      <c r="B95" t="s">
        <v>169</v>
      </c>
      <c r="C95" t="s">
        <v>123</v>
      </c>
      <c r="D95" t="s">
        <v>36</v>
      </c>
      <c r="E95" t="s">
        <v>138</v>
      </c>
      <c r="F95" s="1">
        <v>42698</v>
      </c>
      <c r="G95" s="1">
        <v>42796</v>
      </c>
      <c r="H95">
        <v>57</v>
      </c>
      <c r="I95" t="str">
        <f>IF(COUNTIF(Products!$A$2:$A$8,C95)=0,C95,"")</f>
        <v/>
      </c>
      <c r="J95">
        <f>IF(OR(E95="Prospecting",E95="Engaging"),VLOOKUP(C95,Products!$A$2:$C$8,3,FALSE),0)</f>
        <v>0</v>
      </c>
    </row>
    <row r="96" spans="1:10" x14ac:dyDescent="0.25">
      <c r="A96" t="s">
        <v>261</v>
      </c>
      <c r="B96" t="s">
        <v>148</v>
      </c>
      <c r="C96" t="s">
        <v>125</v>
      </c>
      <c r="D96" t="s">
        <v>69</v>
      </c>
      <c r="E96" t="s">
        <v>138</v>
      </c>
      <c r="F96" s="1">
        <v>42698</v>
      </c>
      <c r="G96" s="1">
        <v>42821</v>
      </c>
      <c r="H96">
        <v>3671</v>
      </c>
      <c r="I96" t="str">
        <f>IF(COUNTIF(Products!$A$2:$A$8,C96)=0,C96,"")</f>
        <v/>
      </c>
      <c r="J96">
        <f>IF(OR(E96="Prospecting",E96="Engaging"),VLOOKUP(C96,Products!$A$2:$C$8,3,FALSE),0)</f>
        <v>0</v>
      </c>
    </row>
    <row r="97" spans="1:10" x14ac:dyDescent="0.25">
      <c r="A97" t="s">
        <v>262</v>
      </c>
      <c r="B97" t="s">
        <v>146</v>
      </c>
      <c r="C97" t="s">
        <v>123</v>
      </c>
      <c r="D97" t="s">
        <v>104</v>
      </c>
      <c r="E97" t="s">
        <v>138</v>
      </c>
      <c r="F97" s="1">
        <v>42699</v>
      </c>
      <c r="G97" s="1">
        <v>42795</v>
      </c>
      <c r="H97">
        <v>58</v>
      </c>
      <c r="I97" t="str">
        <f>IF(COUNTIF(Products!$A$2:$A$8,C97)=0,C97,"")</f>
        <v/>
      </c>
      <c r="J97">
        <f>IF(OR(E97="Prospecting",E97="Engaging"),VLOOKUP(C97,Products!$A$2:$C$8,3,FALSE),0)</f>
        <v>0</v>
      </c>
    </row>
    <row r="98" spans="1:10" x14ac:dyDescent="0.25">
      <c r="A98" t="s">
        <v>263</v>
      </c>
      <c r="B98" t="s">
        <v>264</v>
      </c>
      <c r="C98" t="s">
        <v>125</v>
      </c>
      <c r="D98" t="s">
        <v>104</v>
      </c>
      <c r="E98" t="s">
        <v>138</v>
      </c>
      <c r="F98" s="1">
        <v>42699</v>
      </c>
      <c r="G98" s="1">
        <v>42800</v>
      </c>
      <c r="H98">
        <v>3956</v>
      </c>
      <c r="I98" t="str">
        <f>IF(COUNTIF(Products!$A$2:$A$8,C98)=0,C98,"")</f>
        <v/>
      </c>
      <c r="J98">
        <f>IF(OR(E98="Prospecting",E98="Engaging"),VLOOKUP(C98,Products!$A$2:$C$8,3,FALSE),0)</f>
        <v>0</v>
      </c>
    </row>
    <row r="99" spans="1:10" x14ac:dyDescent="0.25">
      <c r="A99" t="s">
        <v>265</v>
      </c>
      <c r="B99" t="s">
        <v>239</v>
      </c>
      <c r="C99" t="s">
        <v>126</v>
      </c>
      <c r="D99" t="s">
        <v>10</v>
      </c>
      <c r="E99" t="s">
        <v>138</v>
      </c>
      <c r="F99" s="1">
        <v>42699</v>
      </c>
      <c r="G99" s="1">
        <v>42795</v>
      </c>
      <c r="H99">
        <v>5964</v>
      </c>
      <c r="I99" t="str">
        <f>IF(COUNTIF(Products!$A$2:$A$8,C99)=0,C99,"")</f>
        <v/>
      </c>
      <c r="J99">
        <f>IF(OR(E99="Prospecting",E99="Engaging"),VLOOKUP(C99,Products!$A$2:$C$8,3,FALSE),0)</f>
        <v>0</v>
      </c>
    </row>
    <row r="100" spans="1:10" x14ac:dyDescent="0.25">
      <c r="A100" t="s">
        <v>266</v>
      </c>
      <c r="B100" t="s">
        <v>239</v>
      </c>
      <c r="C100" t="s">
        <v>122</v>
      </c>
      <c r="D100" t="s">
        <v>10</v>
      </c>
      <c r="E100" t="s">
        <v>138</v>
      </c>
      <c r="F100" s="1">
        <v>42699</v>
      </c>
      <c r="G100" s="1">
        <v>42800</v>
      </c>
      <c r="H100">
        <v>4570</v>
      </c>
      <c r="I100" t="str">
        <f>IF(COUNTIF(Products!$A$2:$A$8,C100)=0,C100,"")</f>
        <v/>
      </c>
      <c r="J100">
        <f>IF(OR(E100="Prospecting",E100="Engaging"),VLOOKUP(C100,Products!$A$2:$C$8,3,FALSE),0)</f>
        <v>0</v>
      </c>
    </row>
    <row r="101" spans="1:10" x14ac:dyDescent="0.25">
      <c r="A101" t="s">
        <v>267</v>
      </c>
      <c r="B101" t="s">
        <v>140</v>
      </c>
      <c r="C101" t="s">
        <v>123</v>
      </c>
      <c r="D101" t="s">
        <v>33</v>
      </c>
      <c r="E101" t="s">
        <v>138</v>
      </c>
      <c r="F101" s="1">
        <v>42699</v>
      </c>
      <c r="G101" s="1">
        <v>42821</v>
      </c>
      <c r="H101">
        <v>49</v>
      </c>
      <c r="I101" t="str">
        <f>IF(COUNTIF(Products!$A$2:$A$8,C101)=0,C101,"")</f>
        <v/>
      </c>
      <c r="J101">
        <f>IF(OR(E101="Prospecting",E101="Engaging"),VLOOKUP(C101,Products!$A$2:$C$8,3,FALSE),0)</f>
        <v>0</v>
      </c>
    </row>
    <row r="102" spans="1:10" x14ac:dyDescent="0.25">
      <c r="A102" t="s">
        <v>268</v>
      </c>
      <c r="B102" t="s">
        <v>177</v>
      </c>
      <c r="C102" t="s">
        <v>123</v>
      </c>
      <c r="D102" t="s">
        <v>35</v>
      </c>
      <c r="E102" t="s">
        <v>138</v>
      </c>
      <c r="F102" s="1">
        <v>42699</v>
      </c>
      <c r="G102" s="1">
        <v>42800</v>
      </c>
      <c r="H102">
        <v>65</v>
      </c>
      <c r="I102" t="str">
        <f>IF(COUNTIF(Products!$A$2:$A$8,C102)=0,C102,"")</f>
        <v/>
      </c>
      <c r="J102">
        <f>IF(OR(E102="Prospecting",E102="Engaging"),VLOOKUP(C102,Products!$A$2:$C$8,3,FALSE),0)</f>
        <v>0</v>
      </c>
    </row>
    <row r="103" spans="1:10" x14ac:dyDescent="0.25">
      <c r="A103" t="s">
        <v>269</v>
      </c>
      <c r="B103" t="s">
        <v>146</v>
      </c>
      <c r="C103" t="s">
        <v>123</v>
      </c>
      <c r="D103" t="s">
        <v>33</v>
      </c>
      <c r="E103" t="s">
        <v>159</v>
      </c>
      <c r="F103" s="1">
        <v>42700</v>
      </c>
      <c r="G103" s="1">
        <v>42821</v>
      </c>
      <c r="H103">
        <v>0</v>
      </c>
      <c r="I103" t="str">
        <f>IF(COUNTIF(Products!$A$2:$A$8,C103)=0,C103,"")</f>
        <v/>
      </c>
      <c r="J103">
        <f>IF(OR(E103="Prospecting",E103="Engaging"),VLOOKUP(C103,Products!$A$2:$C$8,3,FALSE),0)</f>
        <v>0</v>
      </c>
    </row>
    <row r="104" spans="1:10" x14ac:dyDescent="0.25">
      <c r="A104" t="s">
        <v>270</v>
      </c>
      <c r="B104" t="s">
        <v>140</v>
      </c>
      <c r="C104" t="s">
        <v>122</v>
      </c>
      <c r="D104" t="s">
        <v>42</v>
      </c>
      <c r="E104" t="s">
        <v>138</v>
      </c>
      <c r="F104" s="1">
        <v>42700</v>
      </c>
      <c r="G104" s="1">
        <v>42802</v>
      </c>
      <c r="H104">
        <v>4739</v>
      </c>
      <c r="I104" t="str">
        <f>IF(COUNTIF(Products!$A$2:$A$8,C104)=0,C104,"")</f>
        <v/>
      </c>
      <c r="J104">
        <f>IF(OR(E104="Prospecting",E104="Engaging"),VLOOKUP(C104,Products!$A$2:$C$8,3,FALSE),0)</f>
        <v>0</v>
      </c>
    </row>
    <row r="105" spans="1:10" x14ac:dyDescent="0.25">
      <c r="A105" t="s">
        <v>271</v>
      </c>
      <c r="B105" t="s">
        <v>152</v>
      </c>
      <c r="C105" t="s">
        <v>127</v>
      </c>
      <c r="D105" t="s">
        <v>53</v>
      </c>
      <c r="E105" t="s">
        <v>138</v>
      </c>
      <c r="F105" s="1">
        <v>42700</v>
      </c>
      <c r="G105" s="1">
        <v>42815</v>
      </c>
      <c r="H105">
        <v>1080</v>
      </c>
      <c r="I105" t="str">
        <f>IF(COUNTIF(Products!$A$2:$A$8,C105)=0,C105,"")</f>
        <v/>
      </c>
      <c r="J105">
        <f>IF(OR(E105="Prospecting",E105="Engaging"),VLOOKUP(C105,Products!$A$2:$C$8,3,FALSE),0)</f>
        <v>0</v>
      </c>
    </row>
    <row r="106" spans="1:10" x14ac:dyDescent="0.25">
      <c r="A106" t="s">
        <v>272</v>
      </c>
      <c r="B106" t="s">
        <v>193</v>
      </c>
      <c r="C106" t="s">
        <v>123</v>
      </c>
      <c r="D106" t="s">
        <v>84</v>
      </c>
      <c r="E106" t="s">
        <v>138</v>
      </c>
      <c r="F106" s="1">
        <v>42700</v>
      </c>
      <c r="G106" s="1">
        <v>42806</v>
      </c>
      <c r="H106">
        <v>57</v>
      </c>
      <c r="I106" t="str">
        <f>IF(COUNTIF(Products!$A$2:$A$8,C106)=0,C106,"")</f>
        <v/>
      </c>
      <c r="J106">
        <f>IF(OR(E106="Prospecting",E106="Engaging"),VLOOKUP(C106,Products!$A$2:$C$8,3,FALSE),0)</f>
        <v>0</v>
      </c>
    </row>
    <row r="107" spans="1:10" x14ac:dyDescent="0.25">
      <c r="A107" t="s">
        <v>273</v>
      </c>
      <c r="B107" t="s">
        <v>198</v>
      </c>
      <c r="C107" t="s">
        <v>120</v>
      </c>
      <c r="D107" t="s">
        <v>69</v>
      </c>
      <c r="E107" t="s">
        <v>138</v>
      </c>
      <c r="F107" s="1">
        <v>42701</v>
      </c>
      <c r="G107" s="1">
        <v>42810</v>
      </c>
      <c r="H107">
        <v>469</v>
      </c>
      <c r="I107" t="str">
        <f>IF(COUNTIF(Products!$A$2:$A$8,C107)=0,C107,"")</f>
        <v/>
      </c>
      <c r="J107">
        <f>IF(OR(E107="Prospecting",E107="Engaging"),VLOOKUP(C107,Products!$A$2:$C$8,3,FALSE),0)</f>
        <v>0</v>
      </c>
    </row>
    <row r="108" spans="1:10" x14ac:dyDescent="0.25">
      <c r="A108" t="s">
        <v>274</v>
      </c>
      <c r="B108" t="s">
        <v>191</v>
      </c>
      <c r="C108" t="s">
        <v>120</v>
      </c>
      <c r="D108" t="s">
        <v>27</v>
      </c>
      <c r="E108" t="s">
        <v>138</v>
      </c>
      <c r="F108" s="1">
        <v>42701</v>
      </c>
      <c r="G108" s="1">
        <v>42797</v>
      </c>
      <c r="H108">
        <v>532</v>
      </c>
      <c r="I108" t="str">
        <f>IF(COUNTIF(Products!$A$2:$A$8,C108)=0,C108,"")</f>
        <v/>
      </c>
      <c r="J108">
        <f>IF(OR(E108="Prospecting",E108="Engaging"),VLOOKUP(C108,Products!$A$2:$C$8,3,FALSE),0)</f>
        <v>0</v>
      </c>
    </row>
    <row r="109" spans="1:10" x14ac:dyDescent="0.25">
      <c r="A109" t="s">
        <v>275</v>
      </c>
      <c r="B109" t="s">
        <v>150</v>
      </c>
      <c r="C109" t="s">
        <v>125</v>
      </c>
      <c r="D109" t="s">
        <v>81</v>
      </c>
      <c r="E109" t="s">
        <v>155</v>
      </c>
      <c r="F109" s="1">
        <v>42701</v>
      </c>
      <c r="I109" t="str">
        <f>IF(COUNTIF(Products!$A$2:$A$8,C109)=0,C109,"")</f>
        <v/>
      </c>
      <c r="J109">
        <f>IF(OR(E109="Prospecting",E109="Engaging"),VLOOKUP(C109,Products!$A$2:$C$8,3,FALSE),0)</f>
        <v>3393</v>
      </c>
    </row>
    <row r="110" spans="1:10" x14ac:dyDescent="0.25">
      <c r="A110" t="s">
        <v>276</v>
      </c>
      <c r="B110" t="s">
        <v>166</v>
      </c>
      <c r="C110" t="s">
        <v>120</v>
      </c>
      <c r="D110" t="s">
        <v>69</v>
      </c>
      <c r="E110" t="s">
        <v>138</v>
      </c>
      <c r="F110" s="1">
        <v>42701</v>
      </c>
      <c r="G110" s="1">
        <v>42820</v>
      </c>
      <c r="H110">
        <v>538</v>
      </c>
      <c r="I110" t="str">
        <f>IF(COUNTIF(Products!$A$2:$A$8,C110)=0,C110,"")</f>
        <v/>
      </c>
      <c r="J110">
        <f>IF(OR(E110="Prospecting",E110="Engaging"),VLOOKUP(C110,Products!$A$2:$C$8,3,FALSE),0)</f>
        <v>0</v>
      </c>
    </row>
    <row r="111" spans="1:10" x14ac:dyDescent="0.25">
      <c r="A111" t="s">
        <v>277</v>
      </c>
      <c r="B111" t="s">
        <v>187</v>
      </c>
      <c r="C111" t="s">
        <v>122</v>
      </c>
      <c r="D111" t="s">
        <v>25</v>
      </c>
      <c r="E111" t="s">
        <v>138</v>
      </c>
      <c r="F111" s="1">
        <v>42701</v>
      </c>
      <c r="G111" s="1">
        <v>42815</v>
      </c>
      <c r="H111">
        <v>4829</v>
      </c>
      <c r="I111" t="str">
        <f>IF(COUNTIF(Products!$A$2:$A$8,C111)=0,C111,"")</f>
        <v/>
      </c>
      <c r="J111">
        <f>IF(OR(E111="Prospecting",E111="Engaging"),VLOOKUP(C111,Products!$A$2:$C$8,3,FALSE),0)</f>
        <v>0</v>
      </c>
    </row>
    <row r="112" spans="1:10" x14ac:dyDescent="0.25">
      <c r="A112" t="s">
        <v>278</v>
      </c>
      <c r="B112" t="s">
        <v>144</v>
      </c>
      <c r="C112" t="s">
        <v>126</v>
      </c>
      <c r="D112" t="s">
        <v>34</v>
      </c>
      <c r="E112" t="s">
        <v>138</v>
      </c>
      <c r="F112" s="1">
        <v>42701</v>
      </c>
      <c r="G112" s="1">
        <v>42805</v>
      </c>
      <c r="H112">
        <v>5370</v>
      </c>
      <c r="I112" t="str">
        <f>IF(COUNTIF(Products!$A$2:$A$8,C112)=0,C112,"")</f>
        <v/>
      </c>
      <c r="J112">
        <f>IF(OR(E112="Prospecting",E112="Engaging"),VLOOKUP(C112,Products!$A$2:$C$8,3,FALSE),0)</f>
        <v>0</v>
      </c>
    </row>
    <row r="113" spans="1:10" x14ac:dyDescent="0.25">
      <c r="A113" t="s">
        <v>279</v>
      </c>
      <c r="B113" t="s">
        <v>144</v>
      </c>
      <c r="C113" t="s">
        <v>126</v>
      </c>
      <c r="D113" t="s">
        <v>60</v>
      </c>
      <c r="E113" t="s">
        <v>138</v>
      </c>
      <c r="F113" s="1">
        <v>42701</v>
      </c>
      <c r="G113" s="1">
        <v>42815</v>
      </c>
      <c r="H113">
        <v>6499</v>
      </c>
      <c r="I113" t="str">
        <f>IF(COUNTIF(Products!$A$2:$A$8,C113)=0,C113,"")</f>
        <v/>
      </c>
      <c r="J113">
        <f>IF(OR(E113="Prospecting",E113="Engaging"),VLOOKUP(C113,Products!$A$2:$C$8,3,FALSE),0)</f>
        <v>0</v>
      </c>
    </row>
    <row r="114" spans="1:10" x14ac:dyDescent="0.25">
      <c r="A114" t="s">
        <v>280</v>
      </c>
      <c r="B114" t="s">
        <v>140</v>
      </c>
      <c r="C114" t="s">
        <v>127</v>
      </c>
      <c r="D114" t="s">
        <v>51</v>
      </c>
      <c r="E114" t="s">
        <v>138</v>
      </c>
      <c r="F114" s="1">
        <v>42702</v>
      </c>
      <c r="G114" s="1">
        <v>42800</v>
      </c>
      <c r="H114">
        <v>1161</v>
      </c>
      <c r="I114" t="str">
        <f>IF(COUNTIF(Products!$A$2:$A$8,C114)=0,C114,"")</f>
        <v/>
      </c>
      <c r="J114">
        <f>IF(OR(E114="Prospecting",E114="Engaging"),VLOOKUP(C114,Products!$A$2:$C$8,3,FALSE),0)</f>
        <v>0</v>
      </c>
    </row>
    <row r="115" spans="1:10" x14ac:dyDescent="0.25">
      <c r="A115" t="s">
        <v>281</v>
      </c>
      <c r="B115" t="s">
        <v>191</v>
      </c>
      <c r="C115" t="s">
        <v>120</v>
      </c>
      <c r="D115" t="s">
        <v>90</v>
      </c>
      <c r="E115" t="s">
        <v>138</v>
      </c>
      <c r="F115" s="1">
        <v>42702</v>
      </c>
      <c r="G115" s="1">
        <v>42820</v>
      </c>
      <c r="H115">
        <v>576</v>
      </c>
      <c r="I115" t="str">
        <f>IF(COUNTIF(Products!$A$2:$A$8,C115)=0,C115,"")</f>
        <v/>
      </c>
      <c r="J115">
        <f>IF(OR(E115="Prospecting",E115="Engaging"),VLOOKUP(C115,Products!$A$2:$C$8,3,FALSE),0)</f>
        <v>0</v>
      </c>
    </row>
    <row r="116" spans="1:10" x14ac:dyDescent="0.25">
      <c r="A116" t="s">
        <v>282</v>
      </c>
      <c r="B116" t="s">
        <v>162</v>
      </c>
      <c r="C116" t="s">
        <v>127</v>
      </c>
      <c r="D116" t="s">
        <v>60</v>
      </c>
      <c r="E116" t="s">
        <v>138</v>
      </c>
      <c r="F116" s="1">
        <v>42702</v>
      </c>
      <c r="G116" s="1">
        <v>42813</v>
      </c>
      <c r="H116">
        <v>979</v>
      </c>
      <c r="I116" t="str">
        <f>IF(COUNTIF(Products!$A$2:$A$8,C116)=0,C116,"")</f>
        <v/>
      </c>
      <c r="J116">
        <f>IF(OR(E116="Prospecting",E116="Engaging"),VLOOKUP(C116,Products!$A$2:$C$8,3,FALSE),0)</f>
        <v>0</v>
      </c>
    </row>
    <row r="117" spans="1:10" x14ac:dyDescent="0.25">
      <c r="A117" t="s">
        <v>283</v>
      </c>
      <c r="B117" t="s">
        <v>169</v>
      </c>
      <c r="C117" t="s">
        <v>123</v>
      </c>
      <c r="D117" t="s">
        <v>94</v>
      </c>
      <c r="E117" t="s">
        <v>138</v>
      </c>
      <c r="F117" s="1">
        <v>42702</v>
      </c>
      <c r="G117" s="1">
        <v>42801</v>
      </c>
      <c r="H117">
        <v>43</v>
      </c>
      <c r="I117" t="str">
        <f>IF(COUNTIF(Products!$A$2:$A$8,C117)=0,C117,"")</f>
        <v/>
      </c>
      <c r="J117">
        <f>IF(OR(E117="Prospecting",E117="Engaging"),VLOOKUP(C117,Products!$A$2:$C$8,3,FALSE),0)</f>
        <v>0</v>
      </c>
    </row>
    <row r="118" spans="1:10" x14ac:dyDescent="0.25">
      <c r="A118" t="s">
        <v>284</v>
      </c>
      <c r="B118" t="s">
        <v>158</v>
      </c>
      <c r="C118" t="s">
        <v>123</v>
      </c>
      <c r="D118" t="s">
        <v>91</v>
      </c>
      <c r="E118" t="s">
        <v>138</v>
      </c>
      <c r="F118" s="1">
        <v>42703</v>
      </c>
      <c r="G118" s="1">
        <v>42801</v>
      </c>
      <c r="H118">
        <v>57</v>
      </c>
      <c r="I118" t="str">
        <f>IF(COUNTIF(Products!$A$2:$A$8,C118)=0,C118,"")</f>
        <v/>
      </c>
      <c r="J118">
        <f>IF(OR(E118="Prospecting",E118="Engaging"),VLOOKUP(C118,Products!$A$2:$C$8,3,FALSE),0)</f>
        <v>0</v>
      </c>
    </row>
    <row r="119" spans="1:10" x14ac:dyDescent="0.25">
      <c r="A119" t="s">
        <v>285</v>
      </c>
      <c r="B119" t="s">
        <v>217</v>
      </c>
      <c r="C119" t="s">
        <v>123</v>
      </c>
      <c r="D119" t="s">
        <v>88</v>
      </c>
      <c r="E119" t="s">
        <v>159</v>
      </c>
      <c r="F119" s="1">
        <v>42703</v>
      </c>
      <c r="G119" s="1">
        <v>42822</v>
      </c>
      <c r="H119">
        <v>0</v>
      </c>
      <c r="I119" t="str">
        <f>IF(COUNTIF(Products!$A$2:$A$8,C119)=0,C119,"")</f>
        <v/>
      </c>
      <c r="J119">
        <f>IF(OR(E119="Prospecting",E119="Engaging"),VLOOKUP(C119,Products!$A$2:$C$8,3,FALSE),0)</f>
        <v>0</v>
      </c>
    </row>
    <row r="120" spans="1:10" x14ac:dyDescent="0.25">
      <c r="A120" t="s">
        <v>286</v>
      </c>
      <c r="B120" t="s">
        <v>217</v>
      </c>
      <c r="C120" t="s">
        <v>127</v>
      </c>
      <c r="D120" t="s">
        <v>46</v>
      </c>
      <c r="E120" t="s">
        <v>138</v>
      </c>
      <c r="F120" s="1">
        <v>42703</v>
      </c>
      <c r="G120" s="1">
        <v>42806</v>
      </c>
      <c r="H120">
        <v>948</v>
      </c>
      <c r="I120" t="str">
        <f>IF(COUNTIF(Products!$A$2:$A$8,C120)=0,C120,"")</f>
        <v/>
      </c>
      <c r="J120">
        <f>IF(OR(E120="Prospecting",E120="Engaging"),VLOOKUP(C120,Products!$A$2:$C$8,3,FALSE),0)</f>
        <v>0</v>
      </c>
    </row>
    <row r="121" spans="1:10" x14ac:dyDescent="0.25">
      <c r="A121" t="s">
        <v>287</v>
      </c>
      <c r="B121" t="s">
        <v>196</v>
      </c>
      <c r="C121" t="s">
        <v>125</v>
      </c>
      <c r="D121" t="s">
        <v>84</v>
      </c>
      <c r="E121" t="s">
        <v>138</v>
      </c>
      <c r="F121" s="1">
        <v>42703</v>
      </c>
      <c r="G121" s="1">
        <v>42804</v>
      </c>
      <c r="H121">
        <v>3012</v>
      </c>
      <c r="I121" t="str">
        <f>IF(COUNTIF(Products!$A$2:$A$8,C121)=0,C121,"")</f>
        <v/>
      </c>
      <c r="J121">
        <f>IF(OR(E121="Prospecting",E121="Engaging"),VLOOKUP(C121,Products!$A$2:$C$8,3,FALSE),0)</f>
        <v>0</v>
      </c>
    </row>
    <row r="122" spans="1:10" x14ac:dyDescent="0.25">
      <c r="A122" t="s">
        <v>288</v>
      </c>
      <c r="B122" t="s">
        <v>207</v>
      </c>
      <c r="C122" t="s">
        <v>125</v>
      </c>
      <c r="D122" t="s">
        <v>115</v>
      </c>
      <c r="E122" t="s">
        <v>138</v>
      </c>
      <c r="F122" s="1">
        <v>42704</v>
      </c>
      <c r="G122" s="1">
        <v>42809</v>
      </c>
      <c r="H122">
        <v>3665</v>
      </c>
      <c r="I122" t="str">
        <f>IF(COUNTIF(Products!$A$2:$A$8,C122)=0,C122,"")</f>
        <v/>
      </c>
      <c r="J122">
        <f>IF(OR(E122="Prospecting",E122="Engaging"),VLOOKUP(C122,Products!$A$2:$C$8,3,FALSE),0)</f>
        <v>0</v>
      </c>
    </row>
    <row r="123" spans="1:10" x14ac:dyDescent="0.25">
      <c r="A123" t="s">
        <v>289</v>
      </c>
      <c r="B123" t="s">
        <v>177</v>
      </c>
      <c r="C123" t="s">
        <v>120</v>
      </c>
      <c r="D123" t="s">
        <v>50</v>
      </c>
      <c r="E123" t="s">
        <v>138</v>
      </c>
      <c r="F123" s="1">
        <v>42704</v>
      </c>
      <c r="G123" s="1">
        <v>42818</v>
      </c>
      <c r="H123">
        <v>564</v>
      </c>
      <c r="I123" t="str">
        <f>IF(COUNTIF(Products!$A$2:$A$8,C123)=0,C123,"")</f>
        <v/>
      </c>
      <c r="J123">
        <f>IF(OR(E123="Prospecting",E123="Engaging"),VLOOKUP(C123,Products!$A$2:$C$8,3,FALSE),0)</f>
        <v>0</v>
      </c>
    </row>
    <row r="124" spans="1:10" x14ac:dyDescent="0.25">
      <c r="A124" t="s">
        <v>290</v>
      </c>
      <c r="B124" t="s">
        <v>146</v>
      </c>
      <c r="C124" t="s">
        <v>127</v>
      </c>
      <c r="D124" t="s">
        <v>30</v>
      </c>
      <c r="E124" t="s">
        <v>159</v>
      </c>
      <c r="F124" s="1">
        <v>42705</v>
      </c>
      <c r="G124" s="1">
        <v>42800</v>
      </c>
      <c r="H124">
        <v>0</v>
      </c>
      <c r="I124" t="str">
        <f>IF(COUNTIF(Products!$A$2:$A$8,C124)=0,C124,"")</f>
        <v/>
      </c>
      <c r="J124">
        <f>IF(OR(E124="Prospecting",E124="Engaging"),VLOOKUP(C124,Products!$A$2:$C$8,3,FALSE),0)</f>
        <v>0</v>
      </c>
    </row>
    <row r="125" spans="1:10" x14ac:dyDescent="0.25">
      <c r="A125" t="s">
        <v>291</v>
      </c>
      <c r="B125" t="s">
        <v>207</v>
      </c>
      <c r="C125" t="s">
        <v>125</v>
      </c>
      <c r="D125" t="s">
        <v>63</v>
      </c>
      <c r="E125" t="s">
        <v>138</v>
      </c>
      <c r="F125" s="1">
        <v>42705</v>
      </c>
      <c r="G125" s="1">
        <v>42816</v>
      </c>
      <c r="H125">
        <v>3463</v>
      </c>
      <c r="I125" t="str">
        <f>IF(COUNTIF(Products!$A$2:$A$8,C125)=0,C125,"")</f>
        <v/>
      </c>
      <c r="J125">
        <f>IF(OR(E125="Prospecting",E125="Engaging"),VLOOKUP(C125,Products!$A$2:$C$8,3,FALSE),0)</f>
        <v>0</v>
      </c>
    </row>
    <row r="126" spans="1:10" x14ac:dyDescent="0.25">
      <c r="A126" t="s">
        <v>292</v>
      </c>
      <c r="B126" t="s">
        <v>239</v>
      </c>
      <c r="C126" t="s">
        <v>120</v>
      </c>
      <c r="D126" t="s">
        <v>50</v>
      </c>
      <c r="E126" t="s">
        <v>138</v>
      </c>
      <c r="F126" s="1">
        <v>42705</v>
      </c>
      <c r="G126" s="1">
        <v>42820</v>
      </c>
      <c r="H126">
        <v>513</v>
      </c>
      <c r="I126" t="str">
        <f>IF(COUNTIF(Products!$A$2:$A$8,C126)=0,C126,"")</f>
        <v/>
      </c>
      <c r="J126">
        <f>IF(OR(E126="Prospecting",E126="Engaging"),VLOOKUP(C126,Products!$A$2:$C$8,3,FALSE),0)</f>
        <v>0</v>
      </c>
    </row>
    <row r="127" spans="1:10" x14ac:dyDescent="0.25">
      <c r="A127" t="s">
        <v>293</v>
      </c>
      <c r="B127" t="s">
        <v>239</v>
      </c>
      <c r="C127" t="s">
        <v>120</v>
      </c>
      <c r="D127" t="s">
        <v>69</v>
      </c>
      <c r="E127" t="s">
        <v>138</v>
      </c>
      <c r="F127" s="1">
        <v>42705</v>
      </c>
      <c r="G127" s="1">
        <v>42822</v>
      </c>
      <c r="H127">
        <v>590</v>
      </c>
      <c r="I127" t="str">
        <f>IF(COUNTIF(Products!$A$2:$A$8,C127)=0,C127,"")</f>
        <v/>
      </c>
      <c r="J127">
        <f>IF(OR(E127="Prospecting",E127="Engaging"),VLOOKUP(C127,Products!$A$2:$C$8,3,FALSE),0)</f>
        <v>0</v>
      </c>
    </row>
    <row r="128" spans="1:10" x14ac:dyDescent="0.25">
      <c r="A128" t="s">
        <v>294</v>
      </c>
      <c r="B128" t="s">
        <v>140</v>
      </c>
      <c r="C128" t="s">
        <v>122</v>
      </c>
      <c r="D128" t="s">
        <v>36</v>
      </c>
      <c r="E128" t="s">
        <v>138</v>
      </c>
      <c r="F128" s="1">
        <v>42705</v>
      </c>
      <c r="G128" s="1">
        <v>42824</v>
      </c>
      <c r="H128">
        <v>4511</v>
      </c>
      <c r="I128" t="str">
        <f>IF(COUNTIF(Products!$A$2:$A$8,C128)=0,C128,"")</f>
        <v/>
      </c>
      <c r="J128">
        <f>IF(OR(E128="Prospecting",E128="Engaging"),VLOOKUP(C128,Products!$A$2:$C$8,3,FALSE),0)</f>
        <v>0</v>
      </c>
    </row>
    <row r="129" spans="1:10" x14ac:dyDescent="0.25">
      <c r="A129" t="s">
        <v>295</v>
      </c>
      <c r="B129" t="s">
        <v>217</v>
      </c>
      <c r="C129" t="s">
        <v>125</v>
      </c>
      <c r="D129" t="s">
        <v>42</v>
      </c>
      <c r="E129" t="s">
        <v>159</v>
      </c>
      <c r="F129" s="1">
        <v>42705</v>
      </c>
      <c r="G129" s="1">
        <v>42796</v>
      </c>
      <c r="H129">
        <v>0</v>
      </c>
      <c r="I129" t="str">
        <f>IF(COUNTIF(Products!$A$2:$A$8,C129)=0,C129,"")</f>
        <v/>
      </c>
      <c r="J129">
        <f>IF(OR(E129="Prospecting",E129="Engaging"),VLOOKUP(C129,Products!$A$2:$C$8,3,FALSE),0)</f>
        <v>0</v>
      </c>
    </row>
    <row r="130" spans="1:10" x14ac:dyDescent="0.25">
      <c r="A130" t="s">
        <v>296</v>
      </c>
      <c r="B130" t="s">
        <v>152</v>
      </c>
      <c r="C130" t="s">
        <v>120</v>
      </c>
      <c r="D130" t="s">
        <v>22</v>
      </c>
      <c r="E130" t="s">
        <v>138</v>
      </c>
      <c r="F130" s="1">
        <v>42705</v>
      </c>
      <c r="G130" s="1">
        <v>42820</v>
      </c>
      <c r="H130">
        <v>546</v>
      </c>
      <c r="I130" t="str">
        <f>IF(COUNTIF(Products!$A$2:$A$8,C130)=0,C130,"")</f>
        <v/>
      </c>
      <c r="J130">
        <f>IF(OR(E130="Prospecting",E130="Engaging"),VLOOKUP(C130,Products!$A$2:$C$8,3,FALSE),0)</f>
        <v>0</v>
      </c>
    </row>
    <row r="131" spans="1:10" x14ac:dyDescent="0.25">
      <c r="A131" t="s">
        <v>297</v>
      </c>
      <c r="B131" t="s">
        <v>148</v>
      </c>
      <c r="C131" t="s">
        <v>123</v>
      </c>
      <c r="D131" t="s">
        <v>109</v>
      </c>
      <c r="E131" t="s">
        <v>138</v>
      </c>
      <c r="F131" s="1">
        <v>42705</v>
      </c>
      <c r="G131" s="1">
        <v>42799</v>
      </c>
      <c r="H131">
        <v>46</v>
      </c>
      <c r="I131" t="str">
        <f>IF(COUNTIF(Products!$A$2:$A$8,C131)=0,C131,"")</f>
        <v/>
      </c>
      <c r="J131">
        <f>IF(OR(E131="Prospecting",E131="Engaging"),VLOOKUP(C131,Products!$A$2:$C$8,3,FALSE),0)</f>
        <v>0</v>
      </c>
    </row>
    <row r="132" spans="1:10" x14ac:dyDescent="0.25">
      <c r="A132" t="s">
        <v>298</v>
      </c>
      <c r="B132" t="s">
        <v>140</v>
      </c>
      <c r="C132" t="s">
        <v>122</v>
      </c>
      <c r="D132" t="s">
        <v>88</v>
      </c>
      <c r="E132" t="s">
        <v>138</v>
      </c>
      <c r="F132" s="1">
        <v>42706</v>
      </c>
      <c r="G132" s="1">
        <v>42803</v>
      </c>
      <c r="H132">
        <v>4891</v>
      </c>
      <c r="I132" t="str">
        <f>IF(COUNTIF(Products!$A$2:$A$8,C132)=0,C132,"")</f>
        <v/>
      </c>
      <c r="J132">
        <f>IF(OR(E132="Prospecting",E132="Engaging"),VLOOKUP(C132,Products!$A$2:$C$8,3,FALSE),0)</f>
        <v>0</v>
      </c>
    </row>
    <row r="133" spans="1:10" x14ac:dyDescent="0.25">
      <c r="A133" t="s">
        <v>299</v>
      </c>
      <c r="B133" t="s">
        <v>164</v>
      </c>
      <c r="C133" t="s">
        <v>127</v>
      </c>
      <c r="D133" t="s">
        <v>47</v>
      </c>
      <c r="E133" t="s">
        <v>138</v>
      </c>
      <c r="F133" s="1">
        <v>42706</v>
      </c>
      <c r="G133" s="1">
        <v>42797</v>
      </c>
      <c r="H133">
        <v>1040</v>
      </c>
      <c r="I133" t="str">
        <f>IF(COUNTIF(Products!$A$2:$A$8,C133)=0,C133,"")</f>
        <v/>
      </c>
      <c r="J133">
        <f>IF(OR(E133="Prospecting",E133="Engaging"),VLOOKUP(C133,Products!$A$2:$C$8,3,FALSE),0)</f>
        <v>0</v>
      </c>
    </row>
    <row r="134" spans="1:10" x14ac:dyDescent="0.25">
      <c r="A134" t="s">
        <v>300</v>
      </c>
      <c r="B134" t="s">
        <v>164</v>
      </c>
      <c r="C134" t="s">
        <v>127</v>
      </c>
      <c r="D134" t="s">
        <v>41</v>
      </c>
      <c r="E134" t="s">
        <v>138</v>
      </c>
      <c r="F134" s="1">
        <v>42706</v>
      </c>
      <c r="G134" s="1">
        <v>42798</v>
      </c>
      <c r="H134">
        <v>1108</v>
      </c>
      <c r="I134" t="str">
        <f>IF(COUNTIF(Products!$A$2:$A$8,C134)=0,C134,"")</f>
        <v/>
      </c>
      <c r="J134">
        <f>IF(OR(E134="Prospecting",E134="Engaging"),VLOOKUP(C134,Products!$A$2:$C$8,3,FALSE),0)</f>
        <v>0</v>
      </c>
    </row>
    <row r="135" spans="1:10" x14ac:dyDescent="0.25">
      <c r="A135" t="s">
        <v>301</v>
      </c>
      <c r="B135" t="s">
        <v>164</v>
      </c>
      <c r="C135" t="s">
        <v>123</v>
      </c>
      <c r="D135" t="s">
        <v>75</v>
      </c>
      <c r="E135" t="s">
        <v>138</v>
      </c>
      <c r="F135" s="1">
        <v>42706</v>
      </c>
      <c r="G135" s="1">
        <v>42798</v>
      </c>
      <c r="H135">
        <v>59</v>
      </c>
      <c r="I135" t="str">
        <f>IF(COUNTIF(Products!$A$2:$A$8,C135)=0,C135,"")</f>
        <v/>
      </c>
      <c r="J135">
        <f>IF(OR(E135="Prospecting",E135="Engaging"),VLOOKUP(C135,Products!$A$2:$C$8,3,FALSE),0)</f>
        <v>0</v>
      </c>
    </row>
    <row r="136" spans="1:10" x14ac:dyDescent="0.25">
      <c r="A136" t="s">
        <v>302</v>
      </c>
      <c r="B136" t="s">
        <v>303</v>
      </c>
      <c r="C136" t="s">
        <v>122</v>
      </c>
      <c r="D136" t="s">
        <v>95</v>
      </c>
      <c r="E136" t="s">
        <v>138</v>
      </c>
      <c r="F136" s="1">
        <v>42706</v>
      </c>
      <c r="G136" s="1">
        <v>42824</v>
      </c>
      <c r="H136">
        <v>5406</v>
      </c>
      <c r="I136" t="str">
        <f>IF(COUNTIF(Products!$A$2:$A$8,C136)=0,C136,"")</f>
        <v/>
      </c>
      <c r="J136">
        <f>IF(OR(E136="Prospecting",E136="Engaging"),VLOOKUP(C136,Products!$A$2:$C$8,3,FALSE),0)</f>
        <v>0</v>
      </c>
    </row>
    <row r="137" spans="1:10" x14ac:dyDescent="0.25">
      <c r="A137" t="s">
        <v>304</v>
      </c>
      <c r="B137" t="s">
        <v>191</v>
      </c>
      <c r="C137" t="s">
        <v>120</v>
      </c>
      <c r="D137" t="s">
        <v>23</v>
      </c>
      <c r="E137" t="s">
        <v>138</v>
      </c>
      <c r="F137" s="1">
        <v>42706</v>
      </c>
      <c r="G137" s="1">
        <v>42814</v>
      </c>
      <c r="H137">
        <v>515</v>
      </c>
      <c r="I137" t="str">
        <f>IF(COUNTIF(Products!$A$2:$A$8,C137)=0,C137,"")</f>
        <v/>
      </c>
      <c r="J137">
        <f>IF(OR(E137="Prospecting",E137="Engaging"),VLOOKUP(C137,Products!$A$2:$C$8,3,FALSE),0)</f>
        <v>0</v>
      </c>
    </row>
    <row r="138" spans="1:10" x14ac:dyDescent="0.25">
      <c r="A138" t="s">
        <v>305</v>
      </c>
      <c r="B138" t="s">
        <v>137</v>
      </c>
      <c r="C138" t="s">
        <v>120</v>
      </c>
      <c r="D138" t="s">
        <v>104</v>
      </c>
      <c r="E138" t="s">
        <v>138</v>
      </c>
      <c r="F138" s="1">
        <v>42706</v>
      </c>
      <c r="G138" s="1">
        <v>42800</v>
      </c>
      <c r="H138">
        <v>583</v>
      </c>
      <c r="I138" t="str">
        <f>IF(COUNTIF(Products!$A$2:$A$8,C138)=0,C138,"")</f>
        <v/>
      </c>
      <c r="J138">
        <f>IF(OR(E138="Prospecting",E138="Engaging"),VLOOKUP(C138,Products!$A$2:$C$8,3,FALSE),0)</f>
        <v>0</v>
      </c>
    </row>
    <row r="139" spans="1:10" x14ac:dyDescent="0.25">
      <c r="A139" t="s">
        <v>306</v>
      </c>
      <c r="B139" t="s">
        <v>169</v>
      </c>
      <c r="C139" t="s">
        <v>123</v>
      </c>
      <c r="D139" t="s">
        <v>46</v>
      </c>
      <c r="E139" t="s">
        <v>138</v>
      </c>
      <c r="F139" s="1">
        <v>42706</v>
      </c>
      <c r="G139" s="1">
        <v>42808</v>
      </c>
      <c r="H139">
        <v>54</v>
      </c>
      <c r="I139" t="str">
        <f>IF(COUNTIF(Products!$A$2:$A$8,C139)=0,C139,"")</f>
        <v/>
      </c>
      <c r="J139">
        <f>IF(OR(E139="Prospecting",E139="Engaging"),VLOOKUP(C139,Products!$A$2:$C$8,3,FALSE),0)</f>
        <v>0</v>
      </c>
    </row>
    <row r="140" spans="1:10" x14ac:dyDescent="0.25">
      <c r="A140" t="s">
        <v>307</v>
      </c>
      <c r="B140" t="s">
        <v>148</v>
      </c>
      <c r="C140" t="s">
        <v>123</v>
      </c>
      <c r="D140" t="s">
        <v>83</v>
      </c>
      <c r="E140" t="s">
        <v>138</v>
      </c>
      <c r="F140" s="1">
        <v>42706</v>
      </c>
      <c r="G140" s="1">
        <v>42821</v>
      </c>
      <c r="H140">
        <v>60</v>
      </c>
      <c r="I140" t="str">
        <f>IF(COUNTIF(Products!$A$2:$A$8,C140)=0,C140,"")</f>
        <v/>
      </c>
      <c r="J140">
        <f>IF(OR(E140="Prospecting",E140="Engaging"),VLOOKUP(C140,Products!$A$2:$C$8,3,FALSE),0)</f>
        <v>0</v>
      </c>
    </row>
    <row r="141" spans="1:10" x14ac:dyDescent="0.25">
      <c r="A141" t="s">
        <v>308</v>
      </c>
      <c r="B141" t="s">
        <v>144</v>
      </c>
      <c r="C141" t="s">
        <v>120</v>
      </c>
      <c r="E141" t="s">
        <v>155</v>
      </c>
      <c r="F141" s="1">
        <v>42706</v>
      </c>
      <c r="I141" t="str">
        <f>IF(COUNTIF(Products!$A$2:$A$8,C141)=0,C141,"")</f>
        <v/>
      </c>
      <c r="J141">
        <f>IF(OR(E141="Prospecting",E141="Engaging"),VLOOKUP(C141,Products!$A$2:$C$8,3,FALSE),0)</f>
        <v>550</v>
      </c>
    </row>
    <row r="142" spans="1:10" x14ac:dyDescent="0.25">
      <c r="A142" t="s">
        <v>309</v>
      </c>
      <c r="B142" t="s">
        <v>140</v>
      </c>
      <c r="C142" t="s">
        <v>120</v>
      </c>
      <c r="D142" t="s">
        <v>36</v>
      </c>
      <c r="E142" t="s">
        <v>159</v>
      </c>
      <c r="F142" s="1">
        <v>42707</v>
      </c>
      <c r="G142" s="1">
        <v>42806</v>
      </c>
      <c r="H142">
        <v>0</v>
      </c>
      <c r="I142" t="str">
        <f>IF(COUNTIF(Products!$A$2:$A$8,C142)=0,C142,"")</f>
        <v/>
      </c>
      <c r="J142">
        <f>IF(OR(E142="Prospecting",E142="Engaging"),VLOOKUP(C142,Products!$A$2:$C$8,3,FALSE),0)</f>
        <v>0</v>
      </c>
    </row>
    <row r="143" spans="1:10" x14ac:dyDescent="0.25">
      <c r="A143" t="s">
        <v>310</v>
      </c>
      <c r="B143" t="s">
        <v>140</v>
      </c>
      <c r="C143" t="s">
        <v>122</v>
      </c>
      <c r="D143" t="s">
        <v>46</v>
      </c>
      <c r="E143" t="s">
        <v>159</v>
      </c>
      <c r="F143" s="1">
        <v>42707</v>
      </c>
      <c r="G143" s="1">
        <v>42813</v>
      </c>
      <c r="H143">
        <v>0</v>
      </c>
      <c r="I143" t="str">
        <f>IF(COUNTIF(Products!$A$2:$A$8,C143)=0,C143,"")</f>
        <v/>
      </c>
      <c r="J143">
        <f>IF(OR(E143="Prospecting",E143="Engaging"),VLOOKUP(C143,Products!$A$2:$C$8,3,FALSE),0)</f>
        <v>0</v>
      </c>
    </row>
    <row r="144" spans="1:10" x14ac:dyDescent="0.25">
      <c r="A144" t="s">
        <v>311</v>
      </c>
      <c r="B144" t="s">
        <v>140</v>
      </c>
      <c r="C144" t="s">
        <v>120</v>
      </c>
      <c r="D144" t="s">
        <v>53</v>
      </c>
      <c r="E144" t="s">
        <v>138</v>
      </c>
      <c r="F144" s="1">
        <v>42707</v>
      </c>
      <c r="G144" s="1">
        <v>42817</v>
      </c>
      <c r="H144">
        <v>516</v>
      </c>
      <c r="I144" t="str">
        <f>IF(COUNTIF(Products!$A$2:$A$8,C144)=0,C144,"")</f>
        <v/>
      </c>
      <c r="J144">
        <f>IF(OR(E144="Prospecting",E144="Engaging"),VLOOKUP(C144,Products!$A$2:$C$8,3,FALSE),0)</f>
        <v>0</v>
      </c>
    </row>
    <row r="145" spans="1:10" x14ac:dyDescent="0.25">
      <c r="A145" t="s">
        <v>312</v>
      </c>
      <c r="B145" t="s">
        <v>140</v>
      </c>
      <c r="C145" t="s">
        <v>122</v>
      </c>
      <c r="D145" t="s">
        <v>85</v>
      </c>
      <c r="E145" t="s">
        <v>138</v>
      </c>
      <c r="F145" s="1">
        <v>42707</v>
      </c>
      <c r="G145" s="1">
        <v>42816</v>
      </c>
      <c r="H145">
        <v>4829</v>
      </c>
      <c r="I145" t="str">
        <f>IF(COUNTIF(Products!$A$2:$A$8,C145)=0,C145,"")</f>
        <v/>
      </c>
      <c r="J145">
        <f>IF(OR(E145="Prospecting",E145="Engaging"),VLOOKUP(C145,Products!$A$2:$C$8,3,FALSE),0)</f>
        <v>0</v>
      </c>
    </row>
    <row r="146" spans="1:10" x14ac:dyDescent="0.25">
      <c r="A146" t="s">
        <v>313</v>
      </c>
      <c r="B146" t="s">
        <v>137</v>
      </c>
      <c r="C146" t="s">
        <v>127</v>
      </c>
      <c r="D146" t="s">
        <v>36</v>
      </c>
      <c r="E146" t="s">
        <v>159</v>
      </c>
      <c r="F146" s="1">
        <v>42707</v>
      </c>
      <c r="G146" s="1">
        <v>42811</v>
      </c>
      <c r="H146">
        <v>0</v>
      </c>
      <c r="I146" t="str">
        <f>IF(COUNTIF(Products!$A$2:$A$8,C146)=0,C146,"")</f>
        <v/>
      </c>
      <c r="J146">
        <f>IF(OR(E146="Prospecting",E146="Engaging"),VLOOKUP(C146,Products!$A$2:$C$8,3,FALSE),0)</f>
        <v>0</v>
      </c>
    </row>
    <row r="147" spans="1:10" x14ac:dyDescent="0.25">
      <c r="A147" t="s">
        <v>314</v>
      </c>
      <c r="B147" t="s">
        <v>193</v>
      </c>
      <c r="C147" t="s">
        <v>127</v>
      </c>
      <c r="D147" t="s">
        <v>35</v>
      </c>
      <c r="E147" t="s">
        <v>138</v>
      </c>
      <c r="F147" s="1">
        <v>42707</v>
      </c>
      <c r="G147" s="1">
        <v>42796</v>
      </c>
      <c r="H147">
        <v>950</v>
      </c>
      <c r="I147" t="str">
        <f>IF(COUNTIF(Products!$A$2:$A$8,C147)=0,C147,"")</f>
        <v/>
      </c>
      <c r="J147">
        <f>IF(OR(E147="Prospecting",E147="Engaging"),VLOOKUP(C147,Products!$A$2:$C$8,3,FALSE),0)</f>
        <v>0</v>
      </c>
    </row>
    <row r="148" spans="1:10" x14ac:dyDescent="0.25">
      <c r="A148" t="s">
        <v>315</v>
      </c>
      <c r="B148" t="s">
        <v>148</v>
      </c>
      <c r="C148" t="s">
        <v>127</v>
      </c>
      <c r="D148" t="s">
        <v>107</v>
      </c>
      <c r="E148" t="s">
        <v>159</v>
      </c>
      <c r="F148" s="1">
        <v>42707</v>
      </c>
      <c r="G148" s="1">
        <v>42803</v>
      </c>
      <c r="H148">
        <v>0</v>
      </c>
      <c r="I148" t="str">
        <f>IF(COUNTIF(Products!$A$2:$A$8,C148)=0,C148,"")</f>
        <v/>
      </c>
      <c r="J148">
        <f>IF(OR(E148="Prospecting",E148="Engaging"),VLOOKUP(C148,Products!$A$2:$C$8,3,FALSE),0)</f>
        <v>0</v>
      </c>
    </row>
    <row r="149" spans="1:10" x14ac:dyDescent="0.25">
      <c r="A149" t="s">
        <v>316</v>
      </c>
      <c r="B149" t="s">
        <v>239</v>
      </c>
      <c r="C149" t="s">
        <v>120</v>
      </c>
      <c r="D149" t="s">
        <v>63</v>
      </c>
      <c r="E149" t="s">
        <v>138</v>
      </c>
      <c r="F149" s="1">
        <v>42708</v>
      </c>
      <c r="G149" s="1">
        <v>42814</v>
      </c>
      <c r="H149">
        <v>513</v>
      </c>
      <c r="I149" t="str">
        <f>IF(COUNTIF(Products!$A$2:$A$8,C149)=0,C149,"")</f>
        <v/>
      </c>
      <c r="J149">
        <f>IF(OR(E149="Prospecting",E149="Engaging"),VLOOKUP(C149,Products!$A$2:$C$8,3,FALSE),0)</f>
        <v>0</v>
      </c>
    </row>
    <row r="150" spans="1:10" x14ac:dyDescent="0.25">
      <c r="A150" t="s">
        <v>317</v>
      </c>
      <c r="B150" t="s">
        <v>140</v>
      </c>
      <c r="C150" t="s">
        <v>122</v>
      </c>
      <c r="D150" t="s">
        <v>27</v>
      </c>
      <c r="E150" t="s">
        <v>159</v>
      </c>
      <c r="F150" s="1">
        <v>42708</v>
      </c>
      <c r="G150" s="1">
        <v>42803</v>
      </c>
      <c r="H150">
        <v>0</v>
      </c>
      <c r="I150" t="str">
        <f>IF(COUNTIF(Products!$A$2:$A$8,C150)=0,C150,"")</f>
        <v/>
      </c>
      <c r="J150">
        <f>IF(OR(E150="Prospecting",E150="Engaging"),VLOOKUP(C150,Products!$A$2:$C$8,3,FALSE),0)</f>
        <v>0</v>
      </c>
    </row>
    <row r="151" spans="1:10" x14ac:dyDescent="0.25">
      <c r="A151" t="s">
        <v>318</v>
      </c>
      <c r="B151" t="s">
        <v>140</v>
      </c>
      <c r="C151" t="s">
        <v>126</v>
      </c>
      <c r="D151" t="s">
        <v>88</v>
      </c>
      <c r="E151" t="s">
        <v>138</v>
      </c>
      <c r="F151" s="1">
        <v>42708</v>
      </c>
      <c r="G151" s="1">
        <v>42806</v>
      </c>
      <c r="H151">
        <v>5522</v>
      </c>
      <c r="I151" t="str">
        <f>IF(COUNTIF(Products!$A$2:$A$8,C151)=0,C151,"")</f>
        <v/>
      </c>
      <c r="J151">
        <f>IF(OR(E151="Prospecting",E151="Engaging"),VLOOKUP(C151,Products!$A$2:$C$8,3,FALSE),0)</f>
        <v>0</v>
      </c>
    </row>
    <row r="152" spans="1:10" x14ac:dyDescent="0.25">
      <c r="A152" t="s">
        <v>319</v>
      </c>
      <c r="B152" t="s">
        <v>158</v>
      </c>
      <c r="C152" t="s">
        <v>123</v>
      </c>
      <c r="D152" t="s">
        <v>22</v>
      </c>
      <c r="E152" t="s">
        <v>138</v>
      </c>
      <c r="F152" s="1">
        <v>42708</v>
      </c>
      <c r="G152" s="1">
        <v>42803</v>
      </c>
      <c r="H152">
        <v>56</v>
      </c>
      <c r="I152" t="str">
        <f>IF(COUNTIF(Products!$A$2:$A$8,C152)=0,C152,"")</f>
        <v/>
      </c>
      <c r="J152">
        <f>IF(OR(E152="Prospecting",E152="Engaging"),VLOOKUP(C152,Products!$A$2:$C$8,3,FALSE),0)</f>
        <v>0</v>
      </c>
    </row>
    <row r="153" spans="1:10" x14ac:dyDescent="0.25">
      <c r="A153" t="s">
        <v>320</v>
      </c>
      <c r="B153" t="s">
        <v>154</v>
      </c>
      <c r="C153" t="s">
        <v>122</v>
      </c>
      <c r="D153" t="s">
        <v>34</v>
      </c>
      <c r="E153" t="s">
        <v>138</v>
      </c>
      <c r="F153" s="1">
        <v>42708</v>
      </c>
      <c r="G153" s="1">
        <v>42802</v>
      </c>
      <c r="H153">
        <v>5673</v>
      </c>
      <c r="I153" t="str">
        <f>IF(COUNTIF(Products!$A$2:$A$8,C153)=0,C153,"")</f>
        <v/>
      </c>
      <c r="J153">
        <f>IF(OR(E153="Prospecting",E153="Engaging"),VLOOKUP(C153,Products!$A$2:$C$8,3,FALSE),0)</f>
        <v>0</v>
      </c>
    </row>
    <row r="154" spans="1:10" x14ac:dyDescent="0.25">
      <c r="A154" t="s">
        <v>321</v>
      </c>
      <c r="B154" t="s">
        <v>180</v>
      </c>
      <c r="C154" t="s">
        <v>120</v>
      </c>
      <c r="D154" t="s">
        <v>107</v>
      </c>
      <c r="E154" t="s">
        <v>138</v>
      </c>
      <c r="F154" s="1">
        <v>42708</v>
      </c>
      <c r="G154" s="1">
        <v>42804</v>
      </c>
      <c r="H154">
        <v>598</v>
      </c>
      <c r="I154" t="str">
        <f>IF(COUNTIF(Products!$A$2:$A$8,C154)=0,C154,"")</f>
        <v/>
      </c>
      <c r="J154">
        <f>IF(OR(E154="Prospecting",E154="Engaging"),VLOOKUP(C154,Products!$A$2:$C$8,3,FALSE),0)</f>
        <v>0</v>
      </c>
    </row>
    <row r="155" spans="1:10" x14ac:dyDescent="0.25">
      <c r="A155" t="s">
        <v>322</v>
      </c>
      <c r="B155" t="s">
        <v>205</v>
      </c>
      <c r="C155" t="s">
        <v>126</v>
      </c>
      <c r="D155" t="s">
        <v>85</v>
      </c>
      <c r="E155" t="s">
        <v>138</v>
      </c>
      <c r="F155" s="1">
        <v>42708</v>
      </c>
      <c r="G155" s="1">
        <v>42810</v>
      </c>
      <c r="H155">
        <v>5787</v>
      </c>
      <c r="I155" t="str">
        <f>IF(COUNTIF(Products!$A$2:$A$8,C155)=0,C155,"")</f>
        <v/>
      </c>
      <c r="J155">
        <f>IF(OR(E155="Prospecting",E155="Engaging"),VLOOKUP(C155,Products!$A$2:$C$8,3,FALSE),0)</f>
        <v>0</v>
      </c>
    </row>
    <row r="156" spans="1:10" x14ac:dyDescent="0.25">
      <c r="A156" t="s">
        <v>323</v>
      </c>
      <c r="B156" t="s">
        <v>162</v>
      </c>
      <c r="C156" t="s">
        <v>127</v>
      </c>
      <c r="D156" t="s">
        <v>93</v>
      </c>
      <c r="E156" t="s">
        <v>138</v>
      </c>
      <c r="F156" s="1">
        <v>42708</v>
      </c>
      <c r="G156" s="1">
        <v>42802</v>
      </c>
      <c r="H156">
        <v>1070</v>
      </c>
      <c r="I156" t="str">
        <f>IF(COUNTIF(Products!$A$2:$A$8,C156)=0,C156,"")</f>
        <v/>
      </c>
      <c r="J156">
        <f>IF(OR(E156="Prospecting",E156="Engaging"),VLOOKUP(C156,Products!$A$2:$C$8,3,FALSE),0)</f>
        <v>0</v>
      </c>
    </row>
    <row r="157" spans="1:10" x14ac:dyDescent="0.25">
      <c r="A157" t="s">
        <v>324</v>
      </c>
      <c r="B157" t="s">
        <v>222</v>
      </c>
      <c r="C157" t="s">
        <v>125</v>
      </c>
      <c r="D157" t="s">
        <v>35</v>
      </c>
      <c r="E157" t="s">
        <v>138</v>
      </c>
      <c r="F157" s="1">
        <v>42709</v>
      </c>
      <c r="G157" s="1">
        <v>42808</v>
      </c>
      <c r="H157">
        <v>3677</v>
      </c>
      <c r="I157" t="str">
        <f>IF(COUNTIF(Products!$A$2:$A$8,C157)=0,C157,"")</f>
        <v/>
      </c>
      <c r="J157">
        <f>IF(OR(E157="Prospecting",E157="Engaging"),VLOOKUP(C157,Products!$A$2:$C$8,3,FALSE),0)</f>
        <v>0</v>
      </c>
    </row>
    <row r="158" spans="1:10" x14ac:dyDescent="0.25">
      <c r="A158" t="s">
        <v>325</v>
      </c>
      <c r="B158" t="s">
        <v>207</v>
      </c>
      <c r="C158" t="s">
        <v>126</v>
      </c>
      <c r="D158" t="s">
        <v>80</v>
      </c>
      <c r="E158" t="s">
        <v>138</v>
      </c>
      <c r="F158" s="1">
        <v>42709</v>
      </c>
      <c r="G158" s="1">
        <v>42824</v>
      </c>
      <c r="H158">
        <v>5425</v>
      </c>
      <c r="I158" t="str">
        <f>IF(COUNTIF(Products!$A$2:$A$8,C158)=0,C158,"")</f>
        <v/>
      </c>
      <c r="J158">
        <f>IF(OR(E158="Prospecting",E158="Engaging"),VLOOKUP(C158,Products!$A$2:$C$8,3,FALSE),0)</f>
        <v>0</v>
      </c>
    </row>
    <row r="159" spans="1:10" x14ac:dyDescent="0.25">
      <c r="A159" t="s">
        <v>326</v>
      </c>
      <c r="B159" t="s">
        <v>171</v>
      </c>
      <c r="C159" t="s">
        <v>126</v>
      </c>
      <c r="E159" t="s">
        <v>155</v>
      </c>
      <c r="F159" s="1">
        <v>42709</v>
      </c>
      <c r="I159" t="str">
        <f>IF(COUNTIF(Products!$A$2:$A$8,C159)=0,C159,"")</f>
        <v/>
      </c>
      <c r="J159">
        <f>IF(OR(E159="Prospecting",E159="Engaging"),VLOOKUP(C159,Products!$A$2:$C$8,3,FALSE),0)</f>
        <v>5482</v>
      </c>
    </row>
    <row r="160" spans="1:10" x14ac:dyDescent="0.25">
      <c r="A160" t="s">
        <v>327</v>
      </c>
      <c r="B160" t="s">
        <v>224</v>
      </c>
      <c r="C160" t="s">
        <v>125</v>
      </c>
      <c r="D160" t="s">
        <v>110</v>
      </c>
      <c r="E160" t="s">
        <v>138</v>
      </c>
      <c r="F160" s="1">
        <v>42709</v>
      </c>
      <c r="G160" s="1">
        <v>42817</v>
      </c>
      <c r="H160">
        <v>3415</v>
      </c>
      <c r="I160" t="str">
        <f>IF(COUNTIF(Products!$A$2:$A$8,C160)=0,C160,"")</f>
        <v/>
      </c>
      <c r="J160">
        <f>IF(OR(E160="Prospecting",E160="Engaging"),VLOOKUP(C160,Products!$A$2:$C$8,3,FALSE),0)</f>
        <v>0</v>
      </c>
    </row>
    <row r="161" spans="1:10" x14ac:dyDescent="0.25">
      <c r="A161" t="s">
        <v>328</v>
      </c>
      <c r="B161" t="s">
        <v>154</v>
      </c>
      <c r="C161" t="s">
        <v>120</v>
      </c>
      <c r="E161" t="s">
        <v>155</v>
      </c>
      <c r="F161" s="1">
        <v>42709</v>
      </c>
      <c r="I161" t="str">
        <f>IF(COUNTIF(Products!$A$2:$A$8,C161)=0,C161,"")</f>
        <v/>
      </c>
      <c r="J161">
        <f>IF(OR(E161="Prospecting",E161="Engaging"),VLOOKUP(C161,Products!$A$2:$C$8,3,FALSE),0)</f>
        <v>550</v>
      </c>
    </row>
    <row r="162" spans="1:10" x14ac:dyDescent="0.25">
      <c r="A162" t="s">
        <v>329</v>
      </c>
      <c r="B162" t="s">
        <v>162</v>
      </c>
      <c r="C162" t="s">
        <v>127</v>
      </c>
      <c r="D162" t="s">
        <v>72</v>
      </c>
      <c r="E162" t="s">
        <v>138</v>
      </c>
      <c r="F162" s="1">
        <v>42709</v>
      </c>
      <c r="G162" s="1">
        <v>42815</v>
      </c>
      <c r="H162">
        <v>891</v>
      </c>
      <c r="I162" t="str">
        <f>IF(COUNTIF(Products!$A$2:$A$8,C162)=0,C162,"")</f>
        <v/>
      </c>
      <c r="J162">
        <f>IF(OR(E162="Prospecting",E162="Engaging"),VLOOKUP(C162,Products!$A$2:$C$8,3,FALSE),0)</f>
        <v>0</v>
      </c>
    </row>
    <row r="163" spans="1:10" x14ac:dyDescent="0.25">
      <c r="A163" t="s">
        <v>330</v>
      </c>
      <c r="B163" t="s">
        <v>217</v>
      </c>
      <c r="C163" t="s">
        <v>120</v>
      </c>
      <c r="D163" t="s">
        <v>26</v>
      </c>
      <c r="E163" t="s">
        <v>138</v>
      </c>
      <c r="F163" s="1">
        <v>42710</v>
      </c>
      <c r="G163" s="1">
        <v>42806</v>
      </c>
      <c r="H163">
        <v>609</v>
      </c>
      <c r="I163" t="str">
        <f>IF(COUNTIF(Products!$A$2:$A$8,C163)=0,C163,"")</f>
        <v/>
      </c>
      <c r="J163">
        <f>IF(OR(E163="Prospecting",E163="Engaging"),VLOOKUP(C163,Products!$A$2:$C$8,3,FALSE),0)</f>
        <v>0</v>
      </c>
    </row>
    <row r="164" spans="1:10" x14ac:dyDescent="0.25">
      <c r="A164" t="s">
        <v>331</v>
      </c>
      <c r="B164" t="s">
        <v>150</v>
      </c>
      <c r="C164" t="s">
        <v>123</v>
      </c>
      <c r="D164" t="s">
        <v>83</v>
      </c>
      <c r="E164" t="s">
        <v>138</v>
      </c>
      <c r="F164" s="1">
        <v>42710</v>
      </c>
      <c r="G164" s="1">
        <v>42810</v>
      </c>
      <c r="H164">
        <v>54</v>
      </c>
      <c r="I164" t="str">
        <f>IF(COUNTIF(Products!$A$2:$A$8,C164)=0,C164,"")</f>
        <v/>
      </c>
      <c r="J164">
        <f>IF(OR(E164="Prospecting",E164="Engaging"),VLOOKUP(C164,Products!$A$2:$C$8,3,FALSE),0)</f>
        <v>0</v>
      </c>
    </row>
    <row r="165" spans="1:10" x14ac:dyDescent="0.25">
      <c r="A165" t="s">
        <v>332</v>
      </c>
      <c r="B165" t="s">
        <v>144</v>
      </c>
      <c r="C165" t="s">
        <v>127</v>
      </c>
      <c r="D165" t="s">
        <v>71</v>
      </c>
      <c r="E165" t="s">
        <v>138</v>
      </c>
      <c r="F165" s="1">
        <v>42710</v>
      </c>
      <c r="G165" s="1">
        <v>42803</v>
      </c>
      <c r="H165">
        <v>1049</v>
      </c>
      <c r="I165" t="str">
        <f>IF(COUNTIF(Products!$A$2:$A$8,C165)=0,C165,"")</f>
        <v/>
      </c>
      <c r="J165">
        <f>IF(OR(E165="Prospecting",E165="Engaging"),VLOOKUP(C165,Products!$A$2:$C$8,3,FALSE),0)</f>
        <v>0</v>
      </c>
    </row>
    <row r="166" spans="1:10" x14ac:dyDescent="0.25">
      <c r="A166" t="s">
        <v>333</v>
      </c>
      <c r="B166" t="s">
        <v>207</v>
      </c>
      <c r="C166" t="s">
        <v>127</v>
      </c>
      <c r="D166" t="s">
        <v>50</v>
      </c>
      <c r="E166" t="s">
        <v>138</v>
      </c>
      <c r="F166" s="1">
        <v>42711</v>
      </c>
      <c r="G166" s="1">
        <v>42801</v>
      </c>
      <c r="H166">
        <v>1152</v>
      </c>
      <c r="I166" t="str">
        <f>IF(COUNTIF(Products!$A$2:$A$8,C166)=0,C166,"")</f>
        <v/>
      </c>
      <c r="J166">
        <f>IF(OR(E166="Prospecting",E166="Engaging"),VLOOKUP(C166,Products!$A$2:$C$8,3,FALSE),0)</f>
        <v>0</v>
      </c>
    </row>
    <row r="167" spans="1:10" x14ac:dyDescent="0.25">
      <c r="A167" t="s">
        <v>334</v>
      </c>
      <c r="B167" t="s">
        <v>171</v>
      </c>
      <c r="C167" t="s">
        <v>123</v>
      </c>
      <c r="D167" t="s">
        <v>84</v>
      </c>
      <c r="E167" t="s">
        <v>159</v>
      </c>
      <c r="F167" s="1">
        <v>42711</v>
      </c>
      <c r="G167" s="1">
        <v>42814</v>
      </c>
      <c r="H167">
        <v>0</v>
      </c>
      <c r="I167" t="str">
        <f>IF(COUNTIF(Products!$A$2:$A$8,C167)=0,C167,"")</f>
        <v/>
      </c>
      <c r="J167">
        <f>IF(OR(E167="Prospecting",E167="Engaging"),VLOOKUP(C167,Products!$A$2:$C$8,3,FALSE),0)</f>
        <v>0</v>
      </c>
    </row>
    <row r="168" spans="1:10" x14ac:dyDescent="0.25">
      <c r="A168" t="s">
        <v>335</v>
      </c>
      <c r="B168" t="s">
        <v>171</v>
      </c>
      <c r="C168" t="s">
        <v>122</v>
      </c>
      <c r="D168" t="s">
        <v>105</v>
      </c>
      <c r="E168" t="s">
        <v>138</v>
      </c>
      <c r="F168" s="1">
        <v>42711</v>
      </c>
      <c r="G168" s="1">
        <v>42822</v>
      </c>
      <c r="H168">
        <v>4799</v>
      </c>
      <c r="I168" t="str">
        <f>IF(COUNTIF(Products!$A$2:$A$8,C168)=0,C168,"")</f>
        <v/>
      </c>
      <c r="J168">
        <f>IF(OR(E168="Prospecting",E168="Engaging"),VLOOKUP(C168,Products!$A$2:$C$8,3,FALSE),0)</f>
        <v>0</v>
      </c>
    </row>
    <row r="169" spans="1:10" x14ac:dyDescent="0.25">
      <c r="A169" t="s">
        <v>336</v>
      </c>
      <c r="B169" t="s">
        <v>158</v>
      </c>
      <c r="C169" t="s">
        <v>123</v>
      </c>
      <c r="D169" t="s">
        <v>30</v>
      </c>
      <c r="E169" t="s">
        <v>138</v>
      </c>
      <c r="F169" s="1">
        <v>42711</v>
      </c>
      <c r="G169" s="1">
        <v>42806</v>
      </c>
      <c r="H169">
        <v>51</v>
      </c>
      <c r="I169" t="str">
        <f>IF(COUNTIF(Products!$A$2:$A$8,C169)=0,C169,"")</f>
        <v/>
      </c>
      <c r="J169">
        <f>IF(OR(E169="Prospecting",E169="Engaging"),VLOOKUP(C169,Products!$A$2:$C$8,3,FALSE),0)</f>
        <v>0</v>
      </c>
    </row>
    <row r="170" spans="1:10" x14ac:dyDescent="0.25">
      <c r="A170" t="s">
        <v>337</v>
      </c>
      <c r="B170" t="s">
        <v>164</v>
      </c>
      <c r="C170" t="s">
        <v>125</v>
      </c>
      <c r="D170" t="s">
        <v>66</v>
      </c>
      <c r="E170" t="s">
        <v>138</v>
      </c>
      <c r="F170" s="1">
        <v>42711</v>
      </c>
      <c r="G170" s="1">
        <v>42797</v>
      </c>
      <c r="H170">
        <v>3426</v>
      </c>
      <c r="I170" t="str">
        <f>IF(COUNTIF(Products!$A$2:$A$8,C170)=0,C170,"")</f>
        <v/>
      </c>
      <c r="J170">
        <f>IF(OR(E170="Prospecting",E170="Engaging"),VLOOKUP(C170,Products!$A$2:$C$8,3,FALSE),0)</f>
        <v>0</v>
      </c>
    </row>
    <row r="171" spans="1:10" x14ac:dyDescent="0.25">
      <c r="A171" t="s">
        <v>338</v>
      </c>
      <c r="B171" t="s">
        <v>303</v>
      </c>
      <c r="C171" t="s">
        <v>123</v>
      </c>
      <c r="D171" t="s">
        <v>85</v>
      </c>
      <c r="E171" t="s">
        <v>138</v>
      </c>
      <c r="F171" s="1">
        <v>42711</v>
      </c>
      <c r="G171" s="1">
        <v>42805</v>
      </c>
      <c r="H171">
        <v>51</v>
      </c>
      <c r="I171" t="str">
        <f>IF(COUNTIF(Products!$A$2:$A$8,C171)=0,C171,"")</f>
        <v/>
      </c>
      <c r="J171">
        <f>IF(OR(E171="Prospecting",E171="Engaging"),VLOOKUP(C171,Products!$A$2:$C$8,3,FALSE),0)</f>
        <v>0</v>
      </c>
    </row>
    <row r="172" spans="1:10" x14ac:dyDescent="0.25">
      <c r="A172" t="s">
        <v>339</v>
      </c>
      <c r="B172" t="s">
        <v>180</v>
      </c>
      <c r="C172" t="s">
        <v>120</v>
      </c>
      <c r="D172" t="s">
        <v>44</v>
      </c>
      <c r="E172" t="s">
        <v>138</v>
      </c>
      <c r="F172" s="1">
        <v>42711</v>
      </c>
      <c r="G172" s="1">
        <v>42814</v>
      </c>
      <c r="H172">
        <v>564</v>
      </c>
      <c r="I172" t="str">
        <f>IF(COUNTIF(Products!$A$2:$A$8,C172)=0,C172,"")</f>
        <v/>
      </c>
      <c r="J172">
        <f>IF(OR(E172="Prospecting",E172="Engaging"),VLOOKUP(C172,Products!$A$2:$C$8,3,FALSE),0)</f>
        <v>0</v>
      </c>
    </row>
    <row r="173" spans="1:10" x14ac:dyDescent="0.25">
      <c r="A173" t="s">
        <v>340</v>
      </c>
      <c r="B173" t="s">
        <v>264</v>
      </c>
      <c r="C173" t="s">
        <v>126</v>
      </c>
      <c r="D173" t="s">
        <v>64</v>
      </c>
      <c r="E173" t="s">
        <v>138</v>
      </c>
      <c r="F173" s="1">
        <v>42712</v>
      </c>
      <c r="G173" s="1">
        <v>42795</v>
      </c>
      <c r="H173">
        <v>5882</v>
      </c>
      <c r="I173" t="str">
        <f>IF(COUNTIF(Products!$A$2:$A$8,C173)=0,C173,"")</f>
        <v/>
      </c>
      <c r="J173">
        <f>IF(OR(E173="Prospecting",E173="Engaging"),VLOOKUP(C173,Products!$A$2:$C$8,3,FALSE),0)</f>
        <v>0</v>
      </c>
    </row>
    <row r="174" spans="1:10" x14ac:dyDescent="0.25">
      <c r="A174" t="s">
        <v>341</v>
      </c>
      <c r="B174" t="s">
        <v>171</v>
      </c>
      <c r="C174" t="s">
        <v>122</v>
      </c>
      <c r="D174" t="s">
        <v>94</v>
      </c>
      <c r="E174" t="s">
        <v>155</v>
      </c>
      <c r="F174" s="1">
        <v>42712</v>
      </c>
      <c r="I174" t="str">
        <f>IF(COUNTIF(Products!$A$2:$A$8,C174)=0,C174,"")</f>
        <v/>
      </c>
      <c r="J174">
        <f>IF(OR(E174="Prospecting",E174="Engaging"),VLOOKUP(C174,Products!$A$2:$C$8,3,FALSE),0)</f>
        <v>4821</v>
      </c>
    </row>
    <row r="175" spans="1:10" x14ac:dyDescent="0.25">
      <c r="A175" t="s">
        <v>342</v>
      </c>
      <c r="B175" t="s">
        <v>224</v>
      </c>
      <c r="C175" t="s">
        <v>122</v>
      </c>
      <c r="D175" t="s">
        <v>84</v>
      </c>
      <c r="E175" t="s">
        <v>138</v>
      </c>
      <c r="F175" s="1">
        <v>42712</v>
      </c>
      <c r="G175" s="1">
        <v>42814</v>
      </c>
      <c r="H175">
        <v>5059</v>
      </c>
      <c r="I175" t="str">
        <f>IF(COUNTIF(Products!$A$2:$A$8,C175)=0,C175,"")</f>
        <v/>
      </c>
      <c r="J175">
        <f>IF(OR(E175="Prospecting",E175="Engaging"),VLOOKUP(C175,Products!$A$2:$C$8,3,FALSE),0)</f>
        <v>0</v>
      </c>
    </row>
    <row r="176" spans="1:10" x14ac:dyDescent="0.25">
      <c r="A176" t="s">
        <v>343</v>
      </c>
      <c r="B176" t="s">
        <v>154</v>
      </c>
      <c r="C176" t="s">
        <v>125</v>
      </c>
      <c r="E176" t="s">
        <v>155</v>
      </c>
      <c r="F176" s="1">
        <v>42712</v>
      </c>
      <c r="I176" t="str">
        <f>IF(COUNTIF(Products!$A$2:$A$8,C176)=0,C176,"")</f>
        <v/>
      </c>
      <c r="J176">
        <f>IF(OR(E176="Prospecting",E176="Engaging"),VLOOKUP(C176,Products!$A$2:$C$8,3,FALSE),0)</f>
        <v>3393</v>
      </c>
    </row>
    <row r="177" spans="1:10" x14ac:dyDescent="0.25">
      <c r="A177" t="s">
        <v>344</v>
      </c>
      <c r="B177" t="s">
        <v>180</v>
      </c>
      <c r="C177" t="s">
        <v>127</v>
      </c>
      <c r="E177" t="s">
        <v>155</v>
      </c>
      <c r="F177" s="1">
        <v>42712</v>
      </c>
      <c r="I177" t="str">
        <f>IF(COUNTIF(Products!$A$2:$A$8,C177)=0,C177,"")</f>
        <v/>
      </c>
      <c r="J177">
        <f>IF(OR(E177="Prospecting",E177="Engaging"),VLOOKUP(C177,Products!$A$2:$C$8,3,FALSE),0)</f>
        <v>1096</v>
      </c>
    </row>
    <row r="178" spans="1:10" x14ac:dyDescent="0.25">
      <c r="A178" t="s">
        <v>345</v>
      </c>
      <c r="B178" t="s">
        <v>180</v>
      </c>
      <c r="C178" t="s">
        <v>125</v>
      </c>
      <c r="D178" t="s">
        <v>93</v>
      </c>
      <c r="E178" t="s">
        <v>138</v>
      </c>
      <c r="F178" s="1">
        <v>42712</v>
      </c>
      <c r="G178" s="1">
        <v>42805</v>
      </c>
      <c r="H178">
        <v>3388</v>
      </c>
      <c r="I178" t="str">
        <f>IF(COUNTIF(Products!$A$2:$A$8,C178)=0,C178,"")</f>
        <v/>
      </c>
      <c r="J178">
        <f>IF(OR(E178="Prospecting",E178="Engaging"),VLOOKUP(C178,Products!$A$2:$C$8,3,FALSE),0)</f>
        <v>0</v>
      </c>
    </row>
    <row r="179" spans="1:10" x14ac:dyDescent="0.25">
      <c r="A179" t="s">
        <v>346</v>
      </c>
      <c r="B179" t="s">
        <v>191</v>
      </c>
      <c r="C179" t="s">
        <v>126</v>
      </c>
      <c r="E179" t="s">
        <v>155</v>
      </c>
      <c r="F179" s="1">
        <v>42712</v>
      </c>
      <c r="I179" t="str">
        <f>IF(COUNTIF(Products!$A$2:$A$8,C179)=0,C179,"")</f>
        <v/>
      </c>
      <c r="J179">
        <f>IF(OR(E179="Prospecting",E179="Engaging"),VLOOKUP(C179,Products!$A$2:$C$8,3,FALSE),0)</f>
        <v>5482</v>
      </c>
    </row>
    <row r="180" spans="1:10" x14ac:dyDescent="0.25">
      <c r="A180" t="s">
        <v>347</v>
      </c>
      <c r="B180" t="s">
        <v>150</v>
      </c>
      <c r="C180" t="s">
        <v>126</v>
      </c>
      <c r="D180" t="s">
        <v>114</v>
      </c>
      <c r="E180" t="s">
        <v>138</v>
      </c>
      <c r="F180" s="1">
        <v>42712</v>
      </c>
      <c r="G180" s="1">
        <v>42804</v>
      </c>
      <c r="H180">
        <v>5410</v>
      </c>
      <c r="I180" t="str">
        <f>IF(COUNTIF(Products!$A$2:$A$8,C180)=0,C180,"")</f>
        <v/>
      </c>
      <c r="J180">
        <f>IF(OR(E180="Prospecting",E180="Engaging"),VLOOKUP(C180,Products!$A$2:$C$8,3,FALSE),0)</f>
        <v>0</v>
      </c>
    </row>
    <row r="181" spans="1:10" x14ac:dyDescent="0.25">
      <c r="A181" t="s">
        <v>348</v>
      </c>
      <c r="B181" t="s">
        <v>193</v>
      </c>
      <c r="C181" t="s">
        <v>127</v>
      </c>
      <c r="D181" t="s">
        <v>111</v>
      </c>
      <c r="E181" t="s">
        <v>138</v>
      </c>
      <c r="F181" s="1">
        <v>42712</v>
      </c>
      <c r="G181" s="1">
        <v>42822</v>
      </c>
      <c r="H181">
        <v>978</v>
      </c>
      <c r="I181" t="str">
        <f>IF(COUNTIF(Products!$A$2:$A$8,C181)=0,C181,"")</f>
        <v/>
      </c>
      <c r="J181">
        <f>IF(OR(E181="Prospecting",E181="Engaging"),VLOOKUP(C181,Products!$A$2:$C$8,3,FALSE),0)</f>
        <v>0</v>
      </c>
    </row>
    <row r="182" spans="1:10" x14ac:dyDescent="0.25">
      <c r="A182" t="s">
        <v>349</v>
      </c>
      <c r="B182" t="s">
        <v>148</v>
      </c>
      <c r="C182" t="s">
        <v>123</v>
      </c>
      <c r="D182" t="s">
        <v>90</v>
      </c>
      <c r="E182" t="s">
        <v>138</v>
      </c>
      <c r="F182" s="1">
        <v>42712</v>
      </c>
      <c r="G182" s="1">
        <v>42820</v>
      </c>
      <c r="H182">
        <v>54</v>
      </c>
      <c r="I182" t="str">
        <f>IF(COUNTIF(Products!$A$2:$A$8,C182)=0,C182,"")</f>
        <v/>
      </c>
      <c r="J182">
        <f>IF(OR(E182="Prospecting",E182="Engaging"),VLOOKUP(C182,Products!$A$2:$C$8,3,FALSE),0)</f>
        <v>0</v>
      </c>
    </row>
    <row r="183" spans="1:10" x14ac:dyDescent="0.25">
      <c r="A183" t="s">
        <v>350</v>
      </c>
      <c r="B183" t="s">
        <v>146</v>
      </c>
      <c r="C183" t="s">
        <v>123</v>
      </c>
      <c r="D183" t="s">
        <v>12</v>
      </c>
      <c r="E183" t="s">
        <v>159</v>
      </c>
      <c r="F183" s="1">
        <v>42713</v>
      </c>
      <c r="G183" s="1">
        <v>42816</v>
      </c>
      <c r="H183">
        <v>0</v>
      </c>
      <c r="I183" t="str">
        <f>IF(COUNTIF(Products!$A$2:$A$8,C183)=0,C183,"")</f>
        <v/>
      </c>
      <c r="J183">
        <f>IF(OR(E183="Prospecting",E183="Engaging"),VLOOKUP(C183,Products!$A$2:$C$8,3,FALSE),0)</f>
        <v>0</v>
      </c>
    </row>
    <row r="184" spans="1:10" x14ac:dyDescent="0.25">
      <c r="A184" t="s">
        <v>351</v>
      </c>
      <c r="B184" t="s">
        <v>207</v>
      </c>
      <c r="C184" t="s">
        <v>120</v>
      </c>
      <c r="D184" t="s">
        <v>20</v>
      </c>
      <c r="E184" t="s">
        <v>138</v>
      </c>
      <c r="F184" s="1">
        <v>42713</v>
      </c>
      <c r="G184" s="1">
        <v>42808</v>
      </c>
      <c r="H184">
        <v>549</v>
      </c>
      <c r="I184" t="str">
        <f>IF(COUNTIF(Products!$A$2:$A$8,C184)=0,C184,"")</f>
        <v/>
      </c>
      <c r="J184">
        <f>IF(OR(E184="Prospecting",E184="Engaging"),VLOOKUP(C184,Products!$A$2:$C$8,3,FALSE),0)</f>
        <v>0</v>
      </c>
    </row>
    <row r="185" spans="1:10" x14ac:dyDescent="0.25">
      <c r="A185" t="s">
        <v>352</v>
      </c>
      <c r="B185" t="s">
        <v>239</v>
      </c>
      <c r="C185" t="s">
        <v>127</v>
      </c>
      <c r="D185" t="s">
        <v>73</v>
      </c>
      <c r="E185" t="s">
        <v>138</v>
      </c>
      <c r="F185" s="1">
        <v>42713</v>
      </c>
      <c r="G185" s="1">
        <v>42808</v>
      </c>
      <c r="H185">
        <v>1034</v>
      </c>
      <c r="I185" t="str">
        <f>IF(COUNTIF(Products!$A$2:$A$8,C185)=0,C185,"")</f>
        <v/>
      </c>
      <c r="J185">
        <f>IF(OR(E185="Prospecting",E185="Engaging"),VLOOKUP(C185,Products!$A$2:$C$8,3,FALSE),0)</f>
        <v>0</v>
      </c>
    </row>
    <row r="186" spans="1:10" x14ac:dyDescent="0.25">
      <c r="A186" t="s">
        <v>353</v>
      </c>
      <c r="B186" t="s">
        <v>224</v>
      </c>
      <c r="C186" t="s">
        <v>122</v>
      </c>
      <c r="D186" t="s">
        <v>106</v>
      </c>
      <c r="E186" t="s">
        <v>138</v>
      </c>
      <c r="F186" s="1">
        <v>42713</v>
      </c>
      <c r="G186" s="1">
        <v>42797</v>
      </c>
      <c r="H186">
        <v>4998</v>
      </c>
      <c r="I186" t="str">
        <f>IF(COUNTIF(Products!$A$2:$A$8,C186)=0,C186,"")</f>
        <v/>
      </c>
      <c r="J186">
        <f>IF(OR(E186="Prospecting",E186="Engaging"),VLOOKUP(C186,Products!$A$2:$C$8,3,FALSE),0)</f>
        <v>0</v>
      </c>
    </row>
    <row r="187" spans="1:10" x14ac:dyDescent="0.25">
      <c r="A187" t="s">
        <v>354</v>
      </c>
      <c r="B187" t="s">
        <v>224</v>
      </c>
      <c r="C187" t="s">
        <v>125</v>
      </c>
      <c r="D187" t="s">
        <v>80</v>
      </c>
      <c r="E187" t="s">
        <v>138</v>
      </c>
      <c r="F187" s="1">
        <v>42713</v>
      </c>
      <c r="G187" s="1">
        <v>42822</v>
      </c>
      <c r="H187">
        <v>3421</v>
      </c>
      <c r="I187" t="str">
        <f>IF(COUNTIF(Products!$A$2:$A$8,C187)=0,C187,"")</f>
        <v/>
      </c>
      <c r="J187">
        <f>IF(OR(E187="Prospecting",E187="Engaging"),VLOOKUP(C187,Products!$A$2:$C$8,3,FALSE),0)</f>
        <v>0</v>
      </c>
    </row>
    <row r="188" spans="1:10" x14ac:dyDescent="0.25">
      <c r="A188" t="s">
        <v>355</v>
      </c>
      <c r="B188" t="s">
        <v>191</v>
      </c>
      <c r="C188" t="s">
        <v>126</v>
      </c>
      <c r="D188" t="s">
        <v>34</v>
      </c>
      <c r="E188" t="s">
        <v>138</v>
      </c>
      <c r="F188" s="1">
        <v>42713</v>
      </c>
      <c r="G188" s="1">
        <v>42798</v>
      </c>
      <c r="H188">
        <v>5425</v>
      </c>
      <c r="I188" t="str">
        <f>IF(COUNTIF(Products!$A$2:$A$8,C188)=0,C188,"")</f>
        <v/>
      </c>
      <c r="J188">
        <f>IF(OR(E188="Prospecting",E188="Engaging"),VLOOKUP(C188,Products!$A$2:$C$8,3,FALSE),0)</f>
        <v>0</v>
      </c>
    </row>
    <row r="189" spans="1:10" x14ac:dyDescent="0.25">
      <c r="A189" t="s">
        <v>356</v>
      </c>
      <c r="B189" t="s">
        <v>148</v>
      </c>
      <c r="C189" t="s">
        <v>123</v>
      </c>
      <c r="D189" t="s">
        <v>29</v>
      </c>
      <c r="E189" t="s">
        <v>138</v>
      </c>
      <c r="F189" s="1">
        <v>42713</v>
      </c>
      <c r="G189" s="1">
        <v>42809</v>
      </c>
      <c r="H189">
        <v>55</v>
      </c>
      <c r="I189" t="str">
        <f>IF(COUNTIF(Products!$A$2:$A$8,C189)=0,C189,"")</f>
        <v/>
      </c>
      <c r="J189">
        <f>IF(OR(E189="Prospecting",E189="Engaging"),VLOOKUP(C189,Products!$A$2:$C$8,3,FALSE),0)</f>
        <v>0</v>
      </c>
    </row>
    <row r="190" spans="1:10" x14ac:dyDescent="0.25">
      <c r="A190" t="s">
        <v>357</v>
      </c>
      <c r="B190" t="s">
        <v>177</v>
      </c>
      <c r="C190" t="s">
        <v>125</v>
      </c>
      <c r="D190" t="s">
        <v>92</v>
      </c>
      <c r="E190" t="s">
        <v>138</v>
      </c>
      <c r="F190" s="1">
        <v>42713</v>
      </c>
      <c r="G190" s="1">
        <v>42808</v>
      </c>
      <c r="H190">
        <v>3558</v>
      </c>
      <c r="I190" t="str">
        <f>IF(COUNTIF(Products!$A$2:$A$8,C190)=0,C190,"")</f>
        <v/>
      </c>
      <c r="J190">
        <f>IF(OR(E190="Prospecting",E190="Engaging"),VLOOKUP(C190,Products!$A$2:$C$8,3,FALSE),0)</f>
        <v>0</v>
      </c>
    </row>
    <row r="191" spans="1:10" x14ac:dyDescent="0.25">
      <c r="A191" t="s">
        <v>358</v>
      </c>
      <c r="B191" t="s">
        <v>207</v>
      </c>
      <c r="C191" t="s">
        <v>122</v>
      </c>
      <c r="D191" t="s">
        <v>84</v>
      </c>
      <c r="E191" t="s">
        <v>155</v>
      </c>
      <c r="F191" s="1">
        <v>42714</v>
      </c>
      <c r="I191" t="str">
        <f>IF(COUNTIF(Products!$A$2:$A$8,C191)=0,C191,"")</f>
        <v/>
      </c>
      <c r="J191">
        <f>IF(OR(E191="Prospecting",E191="Engaging"),VLOOKUP(C191,Products!$A$2:$C$8,3,FALSE),0)</f>
        <v>4821</v>
      </c>
    </row>
    <row r="192" spans="1:10" x14ac:dyDescent="0.25">
      <c r="A192" t="s">
        <v>359</v>
      </c>
      <c r="B192" t="s">
        <v>180</v>
      </c>
      <c r="C192" t="s">
        <v>122</v>
      </c>
      <c r="D192" t="s">
        <v>17</v>
      </c>
      <c r="E192" t="s">
        <v>138</v>
      </c>
      <c r="F192" s="1">
        <v>42714</v>
      </c>
      <c r="G192" s="1">
        <v>42816</v>
      </c>
      <c r="H192">
        <v>4839</v>
      </c>
      <c r="I192" t="str">
        <f>IF(COUNTIF(Products!$A$2:$A$8,C192)=0,C192,"")</f>
        <v/>
      </c>
      <c r="J192">
        <f>IF(OR(E192="Prospecting",E192="Engaging"),VLOOKUP(C192,Products!$A$2:$C$8,3,FALSE),0)</f>
        <v>0</v>
      </c>
    </row>
    <row r="193" spans="1:10" x14ac:dyDescent="0.25">
      <c r="A193" t="s">
        <v>360</v>
      </c>
      <c r="B193" t="s">
        <v>150</v>
      </c>
      <c r="C193" t="s">
        <v>123</v>
      </c>
      <c r="D193" t="s">
        <v>61</v>
      </c>
      <c r="E193" t="s">
        <v>138</v>
      </c>
      <c r="F193" s="1">
        <v>42714</v>
      </c>
      <c r="G193" s="1">
        <v>42819</v>
      </c>
      <c r="H193">
        <v>47</v>
      </c>
      <c r="I193" t="str">
        <f>IF(COUNTIF(Products!$A$2:$A$8,C193)=0,C193,"")</f>
        <v/>
      </c>
      <c r="J193">
        <f>IF(OR(E193="Prospecting",E193="Engaging"),VLOOKUP(C193,Products!$A$2:$C$8,3,FALSE),0)</f>
        <v>0</v>
      </c>
    </row>
    <row r="194" spans="1:10" x14ac:dyDescent="0.25">
      <c r="A194" t="s">
        <v>361</v>
      </c>
      <c r="B194" t="s">
        <v>162</v>
      </c>
      <c r="C194" t="s">
        <v>127</v>
      </c>
      <c r="D194" t="s">
        <v>38</v>
      </c>
      <c r="E194" t="s">
        <v>138</v>
      </c>
      <c r="F194" s="1">
        <v>42714</v>
      </c>
      <c r="G194" s="1">
        <v>42818</v>
      </c>
      <c r="H194">
        <v>1007</v>
      </c>
      <c r="I194" t="str">
        <f>IF(COUNTIF(Products!$A$2:$A$8,C194)=0,C194,"")</f>
        <v/>
      </c>
      <c r="J194">
        <f>IF(OR(E194="Prospecting",E194="Engaging"),VLOOKUP(C194,Products!$A$2:$C$8,3,FALSE),0)</f>
        <v>0</v>
      </c>
    </row>
    <row r="195" spans="1:10" x14ac:dyDescent="0.25">
      <c r="A195" t="s">
        <v>362</v>
      </c>
      <c r="B195" t="s">
        <v>152</v>
      </c>
      <c r="C195" t="s">
        <v>123</v>
      </c>
      <c r="D195" t="s">
        <v>32</v>
      </c>
      <c r="E195" t="s">
        <v>138</v>
      </c>
      <c r="F195" s="1">
        <v>42714</v>
      </c>
      <c r="G195" s="1">
        <v>42818</v>
      </c>
      <c r="H195">
        <v>48</v>
      </c>
      <c r="I195" t="str">
        <f>IF(COUNTIF(Products!$A$2:$A$8,C195)=0,C195,"")</f>
        <v/>
      </c>
      <c r="J195">
        <f>IF(OR(E195="Prospecting",E195="Engaging"),VLOOKUP(C195,Products!$A$2:$C$8,3,FALSE),0)</f>
        <v>0</v>
      </c>
    </row>
    <row r="196" spans="1:10" x14ac:dyDescent="0.25">
      <c r="A196" t="s">
        <v>363</v>
      </c>
      <c r="B196" t="s">
        <v>169</v>
      </c>
      <c r="C196" t="s">
        <v>123</v>
      </c>
      <c r="D196" t="s">
        <v>104</v>
      </c>
      <c r="E196" t="s">
        <v>138</v>
      </c>
      <c r="F196" s="1">
        <v>42714</v>
      </c>
      <c r="G196" s="1">
        <v>42801</v>
      </c>
      <c r="H196">
        <v>49</v>
      </c>
      <c r="I196" t="str">
        <f>IF(COUNTIF(Products!$A$2:$A$8,C196)=0,C196,"")</f>
        <v/>
      </c>
      <c r="J196">
        <f>IF(OR(E196="Prospecting",E196="Engaging"),VLOOKUP(C196,Products!$A$2:$C$8,3,FALSE),0)</f>
        <v>0</v>
      </c>
    </row>
    <row r="197" spans="1:10" x14ac:dyDescent="0.25">
      <c r="A197" t="s">
        <v>364</v>
      </c>
      <c r="B197" t="s">
        <v>177</v>
      </c>
      <c r="C197" t="s">
        <v>120</v>
      </c>
      <c r="D197" t="s">
        <v>73</v>
      </c>
      <c r="E197" t="s">
        <v>138</v>
      </c>
      <c r="F197" s="1">
        <v>42714</v>
      </c>
      <c r="G197" s="1">
        <v>42812</v>
      </c>
      <c r="H197">
        <v>504</v>
      </c>
      <c r="I197" t="str">
        <f>IF(COUNTIF(Products!$A$2:$A$8,C197)=0,C197,"")</f>
        <v/>
      </c>
      <c r="J197">
        <f>IF(OR(E197="Prospecting",E197="Engaging"),VLOOKUP(C197,Products!$A$2:$C$8,3,FALSE),0)</f>
        <v>0</v>
      </c>
    </row>
    <row r="198" spans="1:10" x14ac:dyDescent="0.25">
      <c r="A198" t="s">
        <v>365</v>
      </c>
      <c r="B198" t="s">
        <v>207</v>
      </c>
      <c r="C198" t="s">
        <v>125</v>
      </c>
      <c r="E198" t="s">
        <v>155</v>
      </c>
      <c r="F198" s="1">
        <v>42715</v>
      </c>
      <c r="I198" t="str">
        <f>IF(COUNTIF(Products!$A$2:$A$8,C198)=0,C198,"")</f>
        <v/>
      </c>
      <c r="J198">
        <f>IF(OR(E198="Prospecting",E198="Engaging"),VLOOKUP(C198,Products!$A$2:$C$8,3,FALSE),0)</f>
        <v>3393</v>
      </c>
    </row>
    <row r="199" spans="1:10" x14ac:dyDescent="0.25">
      <c r="A199" t="s">
        <v>366</v>
      </c>
      <c r="B199" t="s">
        <v>173</v>
      </c>
      <c r="C199" t="s">
        <v>123</v>
      </c>
      <c r="E199" t="s">
        <v>155</v>
      </c>
      <c r="F199" s="1">
        <v>42715</v>
      </c>
      <c r="I199" t="str">
        <f>IF(COUNTIF(Products!$A$2:$A$8,C199)=0,C199,"")</f>
        <v/>
      </c>
      <c r="J199">
        <f>IF(OR(E199="Prospecting",E199="Engaging"),VLOOKUP(C199,Products!$A$2:$C$8,3,FALSE),0)</f>
        <v>55</v>
      </c>
    </row>
    <row r="200" spans="1:10" x14ac:dyDescent="0.25">
      <c r="A200" t="s">
        <v>367</v>
      </c>
      <c r="B200" t="s">
        <v>303</v>
      </c>
      <c r="C200" t="s">
        <v>120</v>
      </c>
      <c r="D200" t="s">
        <v>42</v>
      </c>
      <c r="E200" t="s">
        <v>138</v>
      </c>
      <c r="F200" s="1">
        <v>42715</v>
      </c>
      <c r="G200" s="1">
        <v>42815</v>
      </c>
      <c r="H200">
        <v>543</v>
      </c>
      <c r="I200" t="str">
        <f>IF(COUNTIF(Products!$A$2:$A$8,C200)=0,C200,"")</f>
        <v/>
      </c>
      <c r="J200">
        <f>IF(OR(E200="Prospecting",E200="Engaging"),VLOOKUP(C200,Products!$A$2:$C$8,3,FALSE),0)</f>
        <v>0</v>
      </c>
    </row>
    <row r="201" spans="1:10" x14ac:dyDescent="0.25">
      <c r="A201" t="s">
        <v>368</v>
      </c>
      <c r="B201" t="s">
        <v>191</v>
      </c>
      <c r="C201" t="s">
        <v>126</v>
      </c>
      <c r="D201" t="s">
        <v>38</v>
      </c>
      <c r="E201" t="s">
        <v>159</v>
      </c>
      <c r="F201" s="1">
        <v>42715</v>
      </c>
      <c r="G201" s="1">
        <v>42812</v>
      </c>
      <c r="H201">
        <v>0</v>
      </c>
      <c r="I201" t="str">
        <f>IF(COUNTIF(Products!$A$2:$A$8,C201)=0,C201,"")</f>
        <v/>
      </c>
      <c r="J201">
        <f>IF(OR(E201="Prospecting",E201="Engaging"),VLOOKUP(C201,Products!$A$2:$C$8,3,FALSE),0)</f>
        <v>0</v>
      </c>
    </row>
    <row r="202" spans="1:10" x14ac:dyDescent="0.25">
      <c r="A202" t="s">
        <v>369</v>
      </c>
      <c r="B202" t="s">
        <v>191</v>
      </c>
      <c r="C202" t="s">
        <v>122</v>
      </c>
      <c r="D202" t="s">
        <v>38</v>
      </c>
      <c r="E202" t="s">
        <v>138</v>
      </c>
      <c r="F202" s="1">
        <v>42715</v>
      </c>
      <c r="G202" s="1">
        <v>42822</v>
      </c>
      <c r="H202">
        <v>5149</v>
      </c>
      <c r="I202" t="str">
        <f>IF(COUNTIF(Products!$A$2:$A$8,C202)=0,C202,"")</f>
        <v/>
      </c>
      <c r="J202">
        <f>IF(OR(E202="Prospecting",E202="Engaging"),VLOOKUP(C202,Products!$A$2:$C$8,3,FALSE),0)</f>
        <v>0</v>
      </c>
    </row>
    <row r="203" spans="1:10" x14ac:dyDescent="0.25">
      <c r="A203" t="s">
        <v>370</v>
      </c>
      <c r="B203" t="s">
        <v>217</v>
      </c>
      <c r="C203" t="s">
        <v>120</v>
      </c>
      <c r="D203" t="s">
        <v>104</v>
      </c>
      <c r="E203" t="s">
        <v>159</v>
      </c>
      <c r="F203" s="1">
        <v>42715</v>
      </c>
      <c r="G203" s="1">
        <v>42803</v>
      </c>
      <c r="H203">
        <v>0</v>
      </c>
      <c r="I203" t="str">
        <f>IF(COUNTIF(Products!$A$2:$A$8,C203)=0,C203,"")</f>
        <v/>
      </c>
      <c r="J203">
        <f>IF(OR(E203="Prospecting",E203="Engaging"),VLOOKUP(C203,Products!$A$2:$C$8,3,FALSE),0)</f>
        <v>0</v>
      </c>
    </row>
    <row r="204" spans="1:10" x14ac:dyDescent="0.25">
      <c r="A204" t="s">
        <v>371</v>
      </c>
      <c r="B204" t="s">
        <v>150</v>
      </c>
      <c r="C204" t="s">
        <v>127</v>
      </c>
      <c r="D204" t="s">
        <v>17</v>
      </c>
      <c r="E204" t="s">
        <v>138</v>
      </c>
      <c r="F204" s="1">
        <v>42715</v>
      </c>
      <c r="G204" s="1">
        <v>42805</v>
      </c>
      <c r="H204">
        <v>1043</v>
      </c>
      <c r="I204" t="str">
        <f>IF(COUNTIF(Products!$A$2:$A$8,C204)=0,C204,"")</f>
        <v/>
      </c>
      <c r="J204">
        <f>IF(OR(E204="Prospecting",E204="Engaging"),VLOOKUP(C204,Products!$A$2:$C$8,3,FALSE),0)</f>
        <v>0</v>
      </c>
    </row>
    <row r="205" spans="1:10" x14ac:dyDescent="0.25">
      <c r="A205" t="s">
        <v>372</v>
      </c>
      <c r="B205" t="s">
        <v>207</v>
      </c>
      <c r="C205" t="s">
        <v>126</v>
      </c>
      <c r="D205" t="s">
        <v>98</v>
      </c>
      <c r="E205" t="s">
        <v>159</v>
      </c>
      <c r="F205" s="1">
        <v>42716</v>
      </c>
      <c r="G205" s="1">
        <v>42803</v>
      </c>
      <c r="H205">
        <v>0</v>
      </c>
      <c r="I205" t="str">
        <f>IF(COUNTIF(Products!$A$2:$A$8,C205)=0,C205,"")</f>
        <v/>
      </c>
      <c r="J205">
        <f>IF(OR(E205="Prospecting",E205="Engaging"),VLOOKUP(C205,Products!$A$2:$C$8,3,FALSE),0)</f>
        <v>0</v>
      </c>
    </row>
    <row r="206" spans="1:10" x14ac:dyDescent="0.25">
      <c r="A206" t="s">
        <v>373</v>
      </c>
      <c r="B206" t="s">
        <v>154</v>
      </c>
      <c r="C206" t="s">
        <v>120</v>
      </c>
      <c r="D206" t="s">
        <v>27</v>
      </c>
      <c r="E206" t="s">
        <v>138</v>
      </c>
      <c r="F206" s="1">
        <v>42716</v>
      </c>
      <c r="G206" s="1">
        <v>42823</v>
      </c>
      <c r="H206">
        <v>437</v>
      </c>
      <c r="I206" t="str">
        <f>IF(COUNTIF(Products!$A$2:$A$8,C206)=0,C206,"")</f>
        <v/>
      </c>
      <c r="J206">
        <f>IF(OR(E206="Prospecting",E206="Engaging"),VLOOKUP(C206,Products!$A$2:$C$8,3,FALSE),0)</f>
        <v>0</v>
      </c>
    </row>
    <row r="207" spans="1:10" x14ac:dyDescent="0.25">
      <c r="A207" t="s">
        <v>374</v>
      </c>
      <c r="B207" t="s">
        <v>166</v>
      </c>
      <c r="C207" t="s">
        <v>125</v>
      </c>
      <c r="E207" t="s">
        <v>155</v>
      </c>
      <c r="F207" s="1">
        <v>42716</v>
      </c>
      <c r="I207" t="str">
        <f>IF(COUNTIF(Products!$A$2:$A$8,C207)=0,C207,"")</f>
        <v/>
      </c>
      <c r="J207">
        <f>IF(OR(E207="Prospecting",E207="Engaging"),VLOOKUP(C207,Products!$A$2:$C$8,3,FALSE),0)</f>
        <v>3393</v>
      </c>
    </row>
    <row r="208" spans="1:10" x14ac:dyDescent="0.25">
      <c r="A208" t="s">
        <v>375</v>
      </c>
      <c r="B208" t="s">
        <v>187</v>
      </c>
      <c r="C208" t="s">
        <v>122</v>
      </c>
      <c r="D208" t="s">
        <v>68</v>
      </c>
      <c r="E208" t="s">
        <v>138</v>
      </c>
      <c r="F208" s="1">
        <v>42716</v>
      </c>
      <c r="G208" s="1">
        <v>42805</v>
      </c>
      <c r="H208">
        <v>4465</v>
      </c>
      <c r="I208" t="str">
        <f>IF(COUNTIF(Products!$A$2:$A$8,C208)=0,C208,"")</f>
        <v/>
      </c>
      <c r="J208">
        <f>IF(OR(E208="Prospecting",E208="Engaging"),VLOOKUP(C208,Products!$A$2:$C$8,3,FALSE),0)</f>
        <v>0</v>
      </c>
    </row>
    <row r="209" spans="1:10" x14ac:dyDescent="0.25">
      <c r="A209" t="s">
        <v>376</v>
      </c>
      <c r="B209" t="s">
        <v>148</v>
      </c>
      <c r="C209" t="s">
        <v>120</v>
      </c>
      <c r="D209" t="s">
        <v>69</v>
      </c>
      <c r="E209" t="s">
        <v>138</v>
      </c>
      <c r="F209" s="1">
        <v>42716</v>
      </c>
      <c r="G209" s="1">
        <v>42812</v>
      </c>
      <c r="H209">
        <v>443</v>
      </c>
      <c r="I209" t="str">
        <f>IF(COUNTIF(Products!$A$2:$A$8,C209)=0,C209,"")</f>
        <v/>
      </c>
      <c r="J209">
        <f>IF(OR(E209="Prospecting",E209="Engaging"),VLOOKUP(C209,Products!$A$2:$C$8,3,FALSE),0)</f>
        <v>0</v>
      </c>
    </row>
    <row r="210" spans="1:10" x14ac:dyDescent="0.25">
      <c r="A210" t="s">
        <v>377</v>
      </c>
      <c r="B210" t="s">
        <v>177</v>
      </c>
      <c r="C210" t="s">
        <v>123</v>
      </c>
      <c r="D210" t="s">
        <v>98</v>
      </c>
      <c r="E210" t="s">
        <v>159</v>
      </c>
      <c r="F210" s="1">
        <v>42716</v>
      </c>
      <c r="G210" s="1">
        <v>42817</v>
      </c>
      <c r="H210">
        <v>0</v>
      </c>
      <c r="I210" t="str">
        <f>IF(COUNTIF(Products!$A$2:$A$8,C210)=0,C210,"")</f>
        <v/>
      </c>
      <c r="J210">
        <f>IF(OR(E210="Prospecting",E210="Engaging"),VLOOKUP(C210,Products!$A$2:$C$8,3,FALSE),0)</f>
        <v>0</v>
      </c>
    </row>
    <row r="211" spans="1:10" x14ac:dyDescent="0.25">
      <c r="A211" t="s">
        <v>378</v>
      </c>
      <c r="B211" t="s">
        <v>140</v>
      </c>
      <c r="C211" t="s">
        <v>126</v>
      </c>
      <c r="D211" t="s">
        <v>12</v>
      </c>
      <c r="E211" t="s">
        <v>138</v>
      </c>
      <c r="F211" s="1">
        <v>42717</v>
      </c>
      <c r="G211" s="1">
        <v>42814</v>
      </c>
      <c r="H211">
        <v>4278</v>
      </c>
      <c r="I211" t="str">
        <f>IF(COUNTIF(Products!$A$2:$A$8,C211)=0,C211,"")</f>
        <v/>
      </c>
      <c r="J211">
        <f>IF(OR(E211="Prospecting",E211="Engaging"),VLOOKUP(C211,Products!$A$2:$C$8,3,FALSE),0)</f>
        <v>0</v>
      </c>
    </row>
    <row r="212" spans="1:10" x14ac:dyDescent="0.25">
      <c r="A212" t="s">
        <v>379</v>
      </c>
      <c r="B212" t="s">
        <v>198</v>
      </c>
      <c r="C212" t="s">
        <v>123</v>
      </c>
      <c r="D212" t="s">
        <v>68</v>
      </c>
      <c r="E212" t="s">
        <v>138</v>
      </c>
      <c r="F212" s="1">
        <v>42717</v>
      </c>
      <c r="G212" s="1">
        <v>42800</v>
      </c>
      <c r="H212">
        <v>41</v>
      </c>
      <c r="I212" t="str">
        <f>IF(COUNTIF(Products!$A$2:$A$8,C212)=0,C212,"")</f>
        <v/>
      </c>
      <c r="J212">
        <f>IF(OR(E212="Prospecting",E212="Engaging"),VLOOKUP(C212,Products!$A$2:$C$8,3,FALSE),0)</f>
        <v>0</v>
      </c>
    </row>
    <row r="213" spans="1:10" x14ac:dyDescent="0.25">
      <c r="A213" t="s">
        <v>380</v>
      </c>
      <c r="B213" t="s">
        <v>303</v>
      </c>
      <c r="C213" t="s">
        <v>120</v>
      </c>
      <c r="D213" t="s">
        <v>64</v>
      </c>
      <c r="E213" t="s">
        <v>138</v>
      </c>
      <c r="F213" s="1">
        <v>42717</v>
      </c>
      <c r="G213" s="1">
        <v>42822</v>
      </c>
      <c r="H213">
        <v>519</v>
      </c>
      <c r="I213" t="str">
        <f>IF(COUNTIF(Products!$A$2:$A$8,C213)=0,C213,"")</f>
        <v/>
      </c>
      <c r="J213">
        <f>IF(OR(E213="Prospecting",E213="Engaging"),VLOOKUP(C213,Products!$A$2:$C$8,3,FALSE),0)</f>
        <v>0</v>
      </c>
    </row>
    <row r="214" spans="1:10" x14ac:dyDescent="0.25">
      <c r="A214" t="s">
        <v>381</v>
      </c>
      <c r="B214" t="s">
        <v>180</v>
      </c>
      <c r="C214" t="s">
        <v>122</v>
      </c>
      <c r="E214" t="s">
        <v>155</v>
      </c>
      <c r="F214" s="1">
        <v>42717</v>
      </c>
      <c r="I214" t="str">
        <f>IF(COUNTIF(Products!$A$2:$A$8,C214)=0,C214,"")</f>
        <v/>
      </c>
      <c r="J214">
        <f>IF(OR(E214="Prospecting",E214="Engaging"),VLOOKUP(C214,Products!$A$2:$C$8,3,FALSE),0)</f>
        <v>4821</v>
      </c>
    </row>
    <row r="215" spans="1:10" x14ac:dyDescent="0.25">
      <c r="A215" t="s">
        <v>382</v>
      </c>
      <c r="B215" t="s">
        <v>162</v>
      </c>
      <c r="C215" t="s">
        <v>120</v>
      </c>
      <c r="D215" t="s">
        <v>67</v>
      </c>
      <c r="E215" t="s">
        <v>138</v>
      </c>
      <c r="F215" s="1">
        <v>42717</v>
      </c>
      <c r="G215" s="1">
        <v>42798</v>
      </c>
      <c r="H215">
        <v>524</v>
      </c>
      <c r="I215" t="str">
        <f>IF(COUNTIF(Products!$A$2:$A$8,C215)=0,C215,"")</f>
        <v/>
      </c>
      <c r="J215">
        <f>IF(OR(E215="Prospecting",E215="Engaging"),VLOOKUP(C215,Products!$A$2:$C$8,3,FALSE),0)</f>
        <v>0</v>
      </c>
    </row>
    <row r="216" spans="1:10" x14ac:dyDescent="0.25">
      <c r="A216" t="s">
        <v>383</v>
      </c>
      <c r="B216" t="s">
        <v>144</v>
      </c>
      <c r="C216" t="s">
        <v>120</v>
      </c>
      <c r="D216" t="s">
        <v>93</v>
      </c>
      <c r="E216" t="s">
        <v>138</v>
      </c>
      <c r="F216" s="1">
        <v>42717</v>
      </c>
      <c r="G216" s="1">
        <v>42821</v>
      </c>
      <c r="H216">
        <v>552</v>
      </c>
      <c r="I216" t="str">
        <f>IF(COUNTIF(Products!$A$2:$A$8,C216)=0,C216,"")</f>
        <v/>
      </c>
      <c r="J216">
        <f>IF(OR(E216="Prospecting",E216="Engaging"),VLOOKUP(C216,Products!$A$2:$C$8,3,FALSE),0)</f>
        <v>0</v>
      </c>
    </row>
    <row r="217" spans="1:10" x14ac:dyDescent="0.25">
      <c r="A217" t="s">
        <v>384</v>
      </c>
      <c r="B217" t="s">
        <v>158</v>
      </c>
      <c r="C217" t="s">
        <v>127</v>
      </c>
      <c r="D217" t="s">
        <v>70</v>
      </c>
      <c r="E217" t="s">
        <v>138</v>
      </c>
      <c r="F217" s="1">
        <v>42718</v>
      </c>
      <c r="G217" s="1">
        <v>42796</v>
      </c>
      <c r="H217">
        <v>970</v>
      </c>
      <c r="I217" t="str">
        <f>IF(COUNTIF(Products!$A$2:$A$8,C217)=0,C217,"")</f>
        <v/>
      </c>
      <c r="J217">
        <f>IF(OR(E217="Prospecting",E217="Engaging"),VLOOKUP(C217,Products!$A$2:$C$8,3,FALSE),0)</f>
        <v>0</v>
      </c>
    </row>
    <row r="218" spans="1:10" x14ac:dyDescent="0.25">
      <c r="A218" t="s">
        <v>385</v>
      </c>
      <c r="B218" t="s">
        <v>164</v>
      </c>
      <c r="C218" t="s">
        <v>125</v>
      </c>
      <c r="E218" t="s">
        <v>155</v>
      </c>
      <c r="F218" s="1">
        <v>42718</v>
      </c>
      <c r="I218" t="str">
        <f>IF(COUNTIF(Products!$A$2:$A$8,C218)=0,C218,"")</f>
        <v/>
      </c>
      <c r="J218">
        <f>IF(OR(E218="Prospecting",E218="Engaging"),VLOOKUP(C218,Products!$A$2:$C$8,3,FALSE),0)</f>
        <v>3393</v>
      </c>
    </row>
    <row r="219" spans="1:10" x14ac:dyDescent="0.25">
      <c r="A219" t="s">
        <v>386</v>
      </c>
      <c r="B219" t="s">
        <v>191</v>
      </c>
      <c r="C219" t="s">
        <v>127</v>
      </c>
      <c r="D219" t="s">
        <v>61</v>
      </c>
      <c r="E219" t="s">
        <v>155</v>
      </c>
      <c r="F219" s="1">
        <v>42718</v>
      </c>
      <c r="I219" t="str">
        <f>IF(COUNTIF(Products!$A$2:$A$8,C219)=0,C219,"")</f>
        <v/>
      </c>
      <c r="J219">
        <f>IF(OR(E219="Prospecting",E219="Engaging"),VLOOKUP(C219,Products!$A$2:$C$8,3,FALSE),0)</f>
        <v>1096</v>
      </c>
    </row>
    <row r="220" spans="1:10" x14ac:dyDescent="0.25">
      <c r="A220" t="s">
        <v>387</v>
      </c>
      <c r="B220" t="s">
        <v>191</v>
      </c>
      <c r="C220" t="s">
        <v>127</v>
      </c>
      <c r="D220" t="s">
        <v>60</v>
      </c>
      <c r="E220" t="s">
        <v>138</v>
      </c>
      <c r="F220" s="1">
        <v>42718</v>
      </c>
      <c r="G220" s="1">
        <v>42807</v>
      </c>
      <c r="H220">
        <v>1046</v>
      </c>
      <c r="I220" t="str">
        <f>IF(COUNTIF(Products!$A$2:$A$8,C220)=0,C220,"")</f>
        <v/>
      </c>
      <c r="J220">
        <f>IF(OR(E220="Prospecting",E220="Engaging"),VLOOKUP(C220,Products!$A$2:$C$8,3,FALSE),0)</f>
        <v>0</v>
      </c>
    </row>
    <row r="221" spans="1:10" x14ac:dyDescent="0.25">
      <c r="A221" t="s">
        <v>388</v>
      </c>
      <c r="B221" t="s">
        <v>191</v>
      </c>
      <c r="C221" t="s">
        <v>127</v>
      </c>
      <c r="D221" t="s">
        <v>100</v>
      </c>
      <c r="E221" t="s">
        <v>138</v>
      </c>
      <c r="F221" s="1">
        <v>42718</v>
      </c>
      <c r="G221" s="1">
        <v>42808</v>
      </c>
      <c r="H221">
        <v>988</v>
      </c>
      <c r="I221" t="str">
        <f>IF(COUNTIF(Products!$A$2:$A$8,C221)=0,C221,"")</f>
        <v/>
      </c>
      <c r="J221">
        <f>IF(OR(E221="Prospecting",E221="Engaging"),VLOOKUP(C221,Products!$A$2:$C$8,3,FALSE),0)</f>
        <v>0</v>
      </c>
    </row>
    <row r="222" spans="1:10" x14ac:dyDescent="0.25">
      <c r="A222" t="s">
        <v>389</v>
      </c>
      <c r="B222" t="s">
        <v>217</v>
      </c>
      <c r="C222" t="s">
        <v>120</v>
      </c>
      <c r="D222" t="s">
        <v>26</v>
      </c>
      <c r="E222" t="s">
        <v>138</v>
      </c>
      <c r="F222" s="1">
        <v>42718</v>
      </c>
      <c r="G222" s="1">
        <v>42816</v>
      </c>
      <c r="H222">
        <v>547</v>
      </c>
      <c r="I222" t="str">
        <f>IF(COUNTIF(Products!$A$2:$A$8,C222)=0,C222,"")</f>
        <v/>
      </c>
      <c r="J222">
        <f>IF(OR(E222="Prospecting",E222="Engaging"),VLOOKUP(C222,Products!$A$2:$C$8,3,FALSE),0)</f>
        <v>0</v>
      </c>
    </row>
    <row r="223" spans="1:10" x14ac:dyDescent="0.25">
      <c r="A223" t="s">
        <v>390</v>
      </c>
      <c r="B223" t="s">
        <v>150</v>
      </c>
      <c r="C223" t="s">
        <v>120</v>
      </c>
      <c r="E223" t="s">
        <v>155</v>
      </c>
      <c r="F223" s="1">
        <v>42718</v>
      </c>
      <c r="I223" t="str">
        <f>IF(COUNTIF(Products!$A$2:$A$8,C223)=0,C223,"")</f>
        <v/>
      </c>
      <c r="J223">
        <f>IF(OR(E223="Prospecting",E223="Engaging"),VLOOKUP(C223,Products!$A$2:$C$8,3,FALSE),0)</f>
        <v>550</v>
      </c>
    </row>
    <row r="224" spans="1:10" x14ac:dyDescent="0.25">
      <c r="A224" t="s">
        <v>391</v>
      </c>
      <c r="B224" t="s">
        <v>162</v>
      </c>
      <c r="C224" t="s">
        <v>122</v>
      </c>
      <c r="D224" t="s">
        <v>93</v>
      </c>
      <c r="E224" t="s">
        <v>159</v>
      </c>
      <c r="F224" s="1">
        <v>42718</v>
      </c>
      <c r="G224" s="1">
        <v>42798</v>
      </c>
      <c r="H224">
        <v>0</v>
      </c>
      <c r="I224" t="str">
        <f>IF(COUNTIF(Products!$A$2:$A$8,C224)=0,C224,"")</f>
        <v/>
      </c>
      <c r="J224">
        <f>IF(OR(E224="Prospecting",E224="Engaging"),VLOOKUP(C224,Products!$A$2:$C$8,3,FALSE),0)</f>
        <v>0</v>
      </c>
    </row>
    <row r="225" spans="1:10" x14ac:dyDescent="0.25">
      <c r="A225" t="s">
        <v>392</v>
      </c>
      <c r="B225" t="s">
        <v>169</v>
      </c>
      <c r="C225" t="s">
        <v>123</v>
      </c>
      <c r="D225" t="s">
        <v>64</v>
      </c>
      <c r="E225" t="s">
        <v>138</v>
      </c>
      <c r="F225" s="1">
        <v>42718</v>
      </c>
      <c r="G225" s="1">
        <v>42825</v>
      </c>
      <c r="H225">
        <v>54</v>
      </c>
      <c r="I225" t="str">
        <f>IF(COUNTIF(Products!$A$2:$A$8,C225)=0,C225,"")</f>
        <v/>
      </c>
      <c r="J225">
        <f>IF(OR(E225="Prospecting",E225="Engaging"),VLOOKUP(C225,Products!$A$2:$C$8,3,FALSE),0)</f>
        <v>0</v>
      </c>
    </row>
    <row r="226" spans="1:10" x14ac:dyDescent="0.25">
      <c r="A226" t="s">
        <v>393</v>
      </c>
      <c r="B226" t="s">
        <v>177</v>
      </c>
      <c r="C226" t="s">
        <v>123</v>
      </c>
      <c r="D226" t="s">
        <v>92</v>
      </c>
      <c r="E226" t="s">
        <v>138</v>
      </c>
      <c r="F226" s="1">
        <v>42718</v>
      </c>
      <c r="G226" s="1">
        <v>42814</v>
      </c>
      <c r="H226">
        <v>57</v>
      </c>
      <c r="I226" t="str">
        <f>IF(COUNTIF(Products!$A$2:$A$8,C226)=0,C226,"")</f>
        <v/>
      </c>
      <c r="J226">
        <f>IF(OR(E226="Prospecting",E226="Engaging"),VLOOKUP(C226,Products!$A$2:$C$8,3,FALSE),0)</f>
        <v>0</v>
      </c>
    </row>
    <row r="227" spans="1:10" x14ac:dyDescent="0.25">
      <c r="A227" t="s">
        <v>394</v>
      </c>
      <c r="B227" t="s">
        <v>177</v>
      </c>
      <c r="C227" t="s">
        <v>123</v>
      </c>
      <c r="D227" t="s">
        <v>110</v>
      </c>
      <c r="E227" t="s">
        <v>138</v>
      </c>
      <c r="F227" s="1">
        <v>42718</v>
      </c>
      <c r="G227" s="1">
        <v>42812</v>
      </c>
      <c r="H227">
        <v>55</v>
      </c>
      <c r="I227" t="str">
        <f>IF(COUNTIF(Products!$A$2:$A$8,C227)=0,C227,"")</f>
        <v/>
      </c>
      <c r="J227">
        <f>IF(OR(E227="Prospecting",E227="Engaging"),VLOOKUP(C227,Products!$A$2:$C$8,3,FALSE),0)</f>
        <v>0</v>
      </c>
    </row>
    <row r="228" spans="1:10" x14ac:dyDescent="0.25">
      <c r="A228" t="s">
        <v>395</v>
      </c>
      <c r="B228" t="s">
        <v>146</v>
      </c>
      <c r="C228" t="s">
        <v>126</v>
      </c>
      <c r="D228" t="s">
        <v>94</v>
      </c>
      <c r="E228" t="s">
        <v>138</v>
      </c>
      <c r="F228" s="1">
        <v>42719</v>
      </c>
      <c r="G228" s="1">
        <v>42809</v>
      </c>
      <c r="H228">
        <v>5765</v>
      </c>
      <c r="I228" t="str">
        <f>IF(COUNTIF(Products!$A$2:$A$8,C228)=0,C228,"")</f>
        <v/>
      </c>
      <c r="J228">
        <f>IF(OR(E228="Prospecting",E228="Engaging"),VLOOKUP(C228,Products!$A$2:$C$8,3,FALSE),0)</f>
        <v>0</v>
      </c>
    </row>
    <row r="229" spans="1:10" x14ac:dyDescent="0.25">
      <c r="A229" t="s">
        <v>396</v>
      </c>
      <c r="B229" t="s">
        <v>171</v>
      </c>
      <c r="C229" t="s">
        <v>120</v>
      </c>
      <c r="D229" t="s">
        <v>16</v>
      </c>
      <c r="E229" t="s">
        <v>138</v>
      </c>
      <c r="F229" s="1">
        <v>42719</v>
      </c>
      <c r="G229" s="1">
        <v>42810</v>
      </c>
      <c r="H229">
        <v>639</v>
      </c>
      <c r="I229" t="str">
        <f>IF(COUNTIF(Products!$A$2:$A$8,C229)=0,C229,"")</f>
        <v/>
      </c>
      <c r="J229">
        <f>IF(OR(E229="Prospecting",E229="Engaging"),VLOOKUP(C229,Products!$A$2:$C$8,3,FALSE),0)</f>
        <v>0</v>
      </c>
    </row>
    <row r="230" spans="1:10" x14ac:dyDescent="0.25">
      <c r="A230" t="s">
        <v>397</v>
      </c>
      <c r="B230" t="s">
        <v>191</v>
      </c>
      <c r="C230" t="s">
        <v>122</v>
      </c>
      <c r="D230" t="s">
        <v>71</v>
      </c>
      <c r="E230" t="s">
        <v>138</v>
      </c>
      <c r="F230" s="1">
        <v>42719</v>
      </c>
      <c r="G230" s="1">
        <v>42809</v>
      </c>
      <c r="H230">
        <v>5100</v>
      </c>
      <c r="I230" t="str">
        <f>IF(COUNTIF(Products!$A$2:$A$8,C230)=0,C230,"")</f>
        <v/>
      </c>
      <c r="J230">
        <f>IF(OR(E230="Prospecting",E230="Engaging"),VLOOKUP(C230,Products!$A$2:$C$8,3,FALSE),0)</f>
        <v>0</v>
      </c>
    </row>
    <row r="231" spans="1:10" x14ac:dyDescent="0.25">
      <c r="A231" t="s">
        <v>398</v>
      </c>
      <c r="B231" t="s">
        <v>150</v>
      </c>
      <c r="C231" t="s">
        <v>123</v>
      </c>
      <c r="E231" t="s">
        <v>155</v>
      </c>
      <c r="F231" s="1">
        <v>42719</v>
      </c>
      <c r="I231" t="str">
        <f>IF(COUNTIF(Products!$A$2:$A$8,C231)=0,C231,"")</f>
        <v/>
      </c>
      <c r="J231">
        <f>IF(OR(E231="Prospecting",E231="Engaging"),VLOOKUP(C231,Products!$A$2:$C$8,3,FALSE),0)</f>
        <v>55</v>
      </c>
    </row>
    <row r="232" spans="1:10" x14ac:dyDescent="0.25">
      <c r="A232" t="s">
        <v>399</v>
      </c>
      <c r="B232" t="s">
        <v>148</v>
      </c>
      <c r="C232" t="s">
        <v>122</v>
      </c>
      <c r="D232" t="s">
        <v>38</v>
      </c>
      <c r="E232" t="s">
        <v>138</v>
      </c>
      <c r="F232" s="1">
        <v>42719</v>
      </c>
      <c r="G232" s="1">
        <v>42801</v>
      </c>
      <c r="H232">
        <v>4906</v>
      </c>
      <c r="I232" t="str">
        <f>IF(COUNTIF(Products!$A$2:$A$8,C232)=0,C232,"")</f>
        <v/>
      </c>
      <c r="J232">
        <f>IF(OR(E232="Prospecting",E232="Engaging"),VLOOKUP(C232,Products!$A$2:$C$8,3,FALSE),0)</f>
        <v>0</v>
      </c>
    </row>
    <row r="233" spans="1:10" x14ac:dyDescent="0.25">
      <c r="A233" t="s">
        <v>400</v>
      </c>
      <c r="B233" t="s">
        <v>222</v>
      </c>
      <c r="C233" t="s">
        <v>126</v>
      </c>
      <c r="D233" t="s">
        <v>51</v>
      </c>
      <c r="E233" t="s">
        <v>155</v>
      </c>
      <c r="F233" s="1">
        <v>42720</v>
      </c>
      <c r="I233" t="str">
        <f>IF(COUNTIF(Products!$A$2:$A$8,C233)=0,C233,"")</f>
        <v/>
      </c>
      <c r="J233">
        <f>IF(OR(E233="Prospecting",E233="Engaging"),VLOOKUP(C233,Products!$A$2:$C$8,3,FALSE),0)</f>
        <v>5482</v>
      </c>
    </row>
    <row r="234" spans="1:10" x14ac:dyDescent="0.25">
      <c r="A234" t="s">
        <v>401</v>
      </c>
      <c r="B234" t="s">
        <v>171</v>
      </c>
      <c r="C234" t="s">
        <v>120</v>
      </c>
      <c r="D234" t="s">
        <v>33</v>
      </c>
      <c r="E234" t="s">
        <v>155</v>
      </c>
      <c r="F234" s="1">
        <v>42720</v>
      </c>
      <c r="I234" t="str">
        <f>IF(COUNTIF(Products!$A$2:$A$8,C234)=0,C234,"")</f>
        <v/>
      </c>
      <c r="J234">
        <f>IF(OR(E234="Prospecting",E234="Engaging"),VLOOKUP(C234,Products!$A$2:$C$8,3,FALSE),0)</f>
        <v>550</v>
      </c>
    </row>
    <row r="235" spans="1:10" x14ac:dyDescent="0.25">
      <c r="A235" t="s">
        <v>402</v>
      </c>
      <c r="B235" t="s">
        <v>224</v>
      </c>
      <c r="C235" t="s">
        <v>127</v>
      </c>
      <c r="D235" t="s">
        <v>81</v>
      </c>
      <c r="E235" t="s">
        <v>138</v>
      </c>
      <c r="F235" s="1">
        <v>42720</v>
      </c>
      <c r="G235" s="1">
        <v>42801</v>
      </c>
      <c r="H235">
        <v>1037</v>
      </c>
      <c r="I235" t="str">
        <f>IF(COUNTIF(Products!$A$2:$A$8,C235)=0,C235,"")</f>
        <v/>
      </c>
      <c r="J235">
        <f>IF(OR(E235="Prospecting",E235="Engaging"),VLOOKUP(C235,Products!$A$2:$C$8,3,FALSE),0)</f>
        <v>0</v>
      </c>
    </row>
    <row r="236" spans="1:10" x14ac:dyDescent="0.25">
      <c r="A236" t="s">
        <v>403</v>
      </c>
      <c r="B236" t="s">
        <v>154</v>
      </c>
      <c r="C236" t="s">
        <v>120</v>
      </c>
      <c r="D236" t="s">
        <v>82</v>
      </c>
      <c r="E236" t="s">
        <v>138</v>
      </c>
      <c r="F236" s="1">
        <v>42720</v>
      </c>
      <c r="G236" s="1">
        <v>42809</v>
      </c>
      <c r="H236">
        <v>537</v>
      </c>
      <c r="I236" t="str">
        <f>IF(COUNTIF(Products!$A$2:$A$8,C236)=0,C236,"")</f>
        <v/>
      </c>
      <c r="J236">
        <f>IF(OR(E236="Prospecting",E236="Engaging"),VLOOKUP(C236,Products!$A$2:$C$8,3,FALSE),0)</f>
        <v>0</v>
      </c>
    </row>
    <row r="237" spans="1:10" x14ac:dyDescent="0.25">
      <c r="A237" t="s">
        <v>404</v>
      </c>
      <c r="B237" t="s">
        <v>191</v>
      </c>
      <c r="C237" t="s">
        <v>122</v>
      </c>
      <c r="D237" t="s">
        <v>60</v>
      </c>
      <c r="E237" t="s">
        <v>138</v>
      </c>
      <c r="F237" s="1">
        <v>42720</v>
      </c>
      <c r="G237" s="1">
        <v>42803</v>
      </c>
      <c r="H237">
        <v>4694</v>
      </c>
      <c r="I237" t="str">
        <f>IF(COUNTIF(Products!$A$2:$A$8,C237)=0,C237,"")</f>
        <v/>
      </c>
      <c r="J237">
        <f>IF(OR(E237="Prospecting",E237="Engaging"),VLOOKUP(C237,Products!$A$2:$C$8,3,FALSE),0)</f>
        <v>0</v>
      </c>
    </row>
    <row r="238" spans="1:10" x14ac:dyDescent="0.25">
      <c r="A238" t="s">
        <v>405</v>
      </c>
      <c r="B238" t="s">
        <v>217</v>
      </c>
      <c r="C238" t="s">
        <v>120</v>
      </c>
      <c r="D238" t="s">
        <v>70</v>
      </c>
      <c r="E238" t="s">
        <v>138</v>
      </c>
      <c r="F238" s="1">
        <v>42720</v>
      </c>
      <c r="G238" s="1">
        <v>42818</v>
      </c>
      <c r="H238">
        <v>560</v>
      </c>
      <c r="I238" t="str">
        <f>IF(COUNTIF(Products!$A$2:$A$8,C238)=0,C238,"")</f>
        <v/>
      </c>
      <c r="J238">
        <f>IF(OR(E238="Prospecting",E238="Engaging"),VLOOKUP(C238,Products!$A$2:$C$8,3,FALSE),0)</f>
        <v>0</v>
      </c>
    </row>
    <row r="239" spans="1:10" x14ac:dyDescent="0.25">
      <c r="A239" t="s">
        <v>406</v>
      </c>
      <c r="B239" t="s">
        <v>137</v>
      </c>
      <c r="C239" t="s">
        <v>120</v>
      </c>
      <c r="D239" t="s">
        <v>30</v>
      </c>
      <c r="E239" t="s">
        <v>138</v>
      </c>
      <c r="F239" s="1">
        <v>42720</v>
      </c>
      <c r="G239" s="1">
        <v>42807</v>
      </c>
      <c r="H239">
        <v>589</v>
      </c>
      <c r="I239" t="str">
        <f>IF(COUNTIF(Products!$A$2:$A$8,C239)=0,C239,"")</f>
        <v/>
      </c>
      <c r="J239">
        <f>IF(OR(E239="Prospecting",E239="Engaging"),VLOOKUP(C239,Products!$A$2:$C$8,3,FALSE),0)</f>
        <v>0</v>
      </c>
    </row>
    <row r="240" spans="1:10" x14ac:dyDescent="0.25">
      <c r="A240" t="s">
        <v>407</v>
      </c>
      <c r="B240" t="s">
        <v>193</v>
      </c>
      <c r="C240" t="s">
        <v>120</v>
      </c>
      <c r="D240" t="s">
        <v>73</v>
      </c>
      <c r="E240" t="s">
        <v>138</v>
      </c>
      <c r="F240" s="1">
        <v>42720</v>
      </c>
      <c r="G240" s="1">
        <v>42808</v>
      </c>
      <c r="H240">
        <v>493</v>
      </c>
      <c r="I240" t="str">
        <f>IF(COUNTIF(Products!$A$2:$A$8,C240)=0,C240,"")</f>
        <v/>
      </c>
      <c r="J240">
        <f>IF(OR(E240="Prospecting",E240="Engaging"),VLOOKUP(C240,Products!$A$2:$C$8,3,FALSE),0)</f>
        <v>0</v>
      </c>
    </row>
    <row r="241" spans="1:10" x14ac:dyDescent="0.25">
      <c r="A241" t="s">
        <v>408</v>
      </c>
      <c r="B241" t="s">
        <v>169</v>
      </c>
      <c r="C241" t="s">
        <v>123</v>
      </c>
      <c r="D241" t="s">
        <v>12</v>
      </c>
      <c r="E241" t="s">
        <v>138</v>
      </c>
      <c r="F241" s="1">
        <v>42720</v>
      </c>
      <c r="G241" s="1">
        <v>42802</v>
      </c>
      <c r="H241">
        <v>50</v>
      </c>
      <c r="I241" t="str">
        <f>IF(COUNTIF(Products!$A$2:$A$8,C241)=0,C241,"")</f>
        <v/>
      </c>
      <c r="J241">
        <f>IF(OR(E241="Prospecting",E241="Engaging"),VLOOKUP(C241,Products!$A$2:$C$8,3,FALSE),0)</f>
        <v>0</v>
      </c>
    </row>
    <row r="242" spans="1:10" x14ac:dyDescent="0.25">
      <c r="A242" t="s">
        <v>409</v>
      </c>
      <c r="B242" t="s">
        <v>148</v>
      </c>
      <c r="C242" t="s">
        <v>120</v>
      </c>
      <c r="D242" t="s">
        <v>109</v>
      </c>
      <c r="E242" t="s">
        <v>138</v>
      </c>
      <c r="F242" s="1">
        <v>42720</v>
      </c>
      <c r="G242" s="1">
        <v>42822</v>
      </c>
      <c r="H242">
        <v>492</v>
      </c>
      <c r="I242" t="str">
        <f>IF(COUNTIF(Products!$A$2:$A$8,C242)=0,C242,"")</f>
        <v/>
      </c>
      <c r="J242">
        <f>IF(OR(E242="Prospecting",E242="Engaging"),VLOOKUP(C242,Products!$A$2:$C$8,3,FALSE),0)</f>
        <v>0</v>
      </c>
    </row>
    <row r="243" spans="1:10" x14ac:dyDescent="0.25">
      <c r="A243" t="s">
        <v>410</v>
      </c>
      <c r="B243" t="s">
        <v>207</v>
      </c>
      <c r="C243" t="s">
        <v>120</v>
      </c>
      <c r="E243" t="s">
        <v>155</v>
      </c>
      <c r="F243" s="1">
        <v>42721</v>
      </c>
      <c r="I243" t="str">
        <f>IF(COUNTIF(Products!$A$2:$A$8,C243)=0,C243,"")</f>
        <v/>
      </c>
      <c r="J243">
        <f>IF(OR(E243="Prospecting",E243="Engaging"),VLOOKUP(C243,Products!$A$2:$C$8,3,FALSE),0)</f>
        <v>550</v>
      </c>
    </row>
    <row r="244" spans="1:10" x14ac:dyDescent="0.25">
      <c r="A244" t="s">
        <v>411</v>
      </c>
      <c r="B244" t="s">
        <v>239</v>
      </c>
      <c r="C244" t="s">
        <v>126</v>
      </c>
      <c r="E244" t="s">
        <v>155</v>
      </c>
      <c r="F244" s="1">
        <v>42721</v>
      </c>
      <c r="I244" t="str">
        <f>IF(COUNTIF(Products!$A$2:$A$8,C244)=0,C244,"")</f>
        <v/>
      </c>
      <c r="J244">
        <f>IF(OR(E244="Prospecting",E244="Engaging"),VLOOKUP(C244,Products!$A$2:$C$8,3,FALSE),0)</f>
        <v>5482</v>
      </c>
    </row>
    <row r="245" spans="1:10" x14ac:dyDescent="0.25">
      <c r="A245" t="s">
        <v>412</v>
      </c>
      <c r="B245" t="s">
        <v>239</v>
      </c>
      <c r="C245" t="s">
        <v>127</v>
      </c>
      <c r="D245" t="s">
        <v>69</v>
      </c>
      <c r="E245" t="s">
        <v>138</v>
      </c>
      <c r="F245" s="1">
        <v>42721</v>
      </c>
      <c r="G245" s="1">
        <v>42807</v>
      </c>
      <c r="H245">
        <v>1255</v>
      </c>
      <c r="I245" t="str">
        <f>IF(COUNTIF(Products!$A$2:$A$8,C245)=0,C245,"")</f>
        <v/>
      </c>
      <c r="J245">
        <f>IF(OR(E245="Prospecting",E245="Engaging"),VLOOKUP(C245,Products!$A$2:$C$8,3,FALSE),0)</f>
        <v>0</v>
      </c>
    </row>
    <row r="246" spans="1:10" x14ac:dyDescent="0.25">
      <c r="A246" t="s">
        <v>413</v>
      </c>
      <c r="B246" t="s">
        <v>140</v>
      </c>
      <c r="C246" t="s">
        <v>120</v>
      </c>
      <c r="D246" t="s">
        <v>95</v>
      </c>
      <c r="E246" t="s">
        <v>138</v>
      </c>
      <c r="F246" s="1">
        <v>42721</v>
      </c>
      <c r="G246" s="1">
        <v>42798</v>
      </c>
      <c r="H246">
        <v>463</v>
      </c>
      <c r="I246" t="str">
        <f>IF(COUNTIF(Products!$A$2:$A$8,C246)=0,C246,"")</f>
        <v/>
      </c>
      <c r="J246">
        <f>IF(OR(E246="Prospecting",E246="Engaging"),VLOOKUP(C246,Products!$A$2:$C$8,3,FALSE),0)</f>
        <v>0</v>
      </c>
    </row>
    <row r="247" spans="1:10" x14ac:dyDescent="0.25">
      <c r="A247" t="s">
        <v>414</v>
      </c>
      <c r="B247" t="s">
        <v>224</v>
      </c>
      <c r="C247" t="s">
        <v>127</v>
      </c>
      <c r="D247" t="s">
        <v>63</v>
      </c>
      <c r="E247" t="s">
        <v>159</v>
      </c>
      <c r="F247" s="1">
        <v>42721</v>
      </c>
      <c r="G247" s="1">
        <v>42821</v>
      </c>
      <c r="H247">
        <v>0</v>
      </c>
      <c r="I247" t="str">
        <f>IF(COUNTIF(Products!$A$2:$A$8,C247)=0,C247,"")</f>
        <v/>
      </c>
      <c r="J247">
        <f>IF(OR(E247="Prospecting",E247="Engaging"),VLOOKUP(C247,Products!$A$2:$C$8,3,FALSE),0)</f>
        <v>0</v>
      </c>
    </row>
    <row r="248" spans="1:10" x14ac:dyDescent="0.25">
      <c r="A248" t="s">
        <v>415</v>
      </c>
      <c r="B248" t="s">
        <v>224</v>
      </c>
      <c r="C248" t="s">
        <v>120</v>
      </c>
      <c r="D248" t="s">
        <v>112</v>
      </c>
      <c r="E248" t="s">
        <v>138</v>
      </c>
      <c r="F248" s="1">
        <v>42721</v>
      </c>
      <c r="G248" s="1">
        <v>42806</v>
      </c>
      <c r="H248">
        <v>605</v>
      </c>
      <c r="I248" t="str">
        <f>IF(COUNTIF(Products!$A$2:$A$8,C248)=0,C248,"")</f>
        <v/>
      </c>
      <c r="J248">
        <f>IF(OR(E248="Prospecting",E248="Engaging"),VLOOKUP(C248,Products!$A$2:$C$8,3,FALSE),0)</f>
        <v>0</v>
      </c>
    </row>
    <row r="249" spans="1:10" x14ac:dyDescent="0.25">
      <c r="A249" t="s">
        <v>416</v>
      </c>
      <c r="B249" t="s">
        <v>164</v>
      </c>
      <c r="C249" t="s">
        <v>127</v>
      </c>
      <c r="D249" t="s">
        <v>38</v>
      </c>
      <c r="E249" t="s">
        <v>138</v>
      </c>
      <c r="F249" s="1">
        <v>42721</v>
      </c>
      <c r="G249" s="1">
        <v>42814</v>
      </c>
      <c r="H249">
        <v>1315</v>
      </c>
      <c r="I249" t="str">
        <f>IF(COUNTIF(Products!$A$2:$A$8,C249)=0,C249,"")</f>
        <v/>
      </c>
      <c r="J249">
        <f>IF(OR(E249="Prospecting",E249="Engaging"),VLOOKUP(C249,Products!$A$2:$C$8,3,FALSE),0)</f>
        <v>0</v>
      </c>
    </row>
    <row r="250" spans="1:10" x14ac:dyDescent="0.25">
      <c r="A250" t="s">
        <v>417</v>
      </c>
      <c r="B250" t="s">
        <v>217</v>
      </c>
      <c r="C250" t="s">
        <v>120</v>
      </c>
      <c r="D250" t="s">
        <v>116</v>
      </c>
      <c r="E250" t="s">
        <v>138</v>
      </c>
      <c r="F250" s="1">
        <v>42721</v>
      </c>
      <c r="G250" s="1">
        <v>42796</v>
      </c>
      <c r="H250">
        <v>559</v>
      </c>
      <c r="I250" t="str">
        <f>IF(COUNTIF(Products!$A$2:$A$8,C250)=0,C250,"")</f>
        <v/>
      </c>
      <c r="J250">
        <f>IF(OR(E250="Prospecting",E250="Engaging"),VLOOKUP(C250,Products!$A$2:$C$8,3,FALSE),0)</f>
        <v>0</v>
      </c>
    </row>
    <row r="251" spans="1:10" x14ac:dyDescent="0.25">
      <c r="A251" t="s">
        <v>418</v>
      </c>
      <c r="B251" t="s">
        <v>137</v>
      </c>
      <c r="C251" t="s">
        <v>120</v>
      </c>
      <c r="D251" t="s">
        <v>89</v>
      </c>
      <c r="E251" t="s">
        <v>138</v>
      </c>
      <c r="F251" s="1">
        <v>42721</v>
      </c>
      <c r="G251" s="1">
        <v>42822</v>
      </c>
      <c r="H251">
        <v>557</v>
      </c>
      <c r="I251" t="str">
        <f>IF(COUNTIF(Products!$A$2:$A$8,C251)=0,C251,"")</f>
        <v/>
      </c>
      <c r="J251">
        <f>IF(OR(E251="Prospecting",E251="Engaging"),VLOOKUP(C251,Products!$A$2:$C$8,3,FALSE),0)</f>
        <v>0</v>
      </c>
    </row>
    <row r="252" spans="1:10" x14ac:dyDescent="0.25">
      <c r="A252" t="s">
        <v>419</v>
      </c>
      <c r="B252" t="s">
        <v>187</v>
      </c>
      <c r="C252" t="s">
        <v>123</v>
      </c>
      <c r="D252" t="s">
        <v>106</v>
      </c>
      <c r="E252" t="s">
        <v>138</v>
      </c>
      <c r="F252" s="1">
        <v>42721</v>
      </c>
      <c r="G252" s="1">
        <v>42796</v>
      </c>
      <c r="H252">
        <v>48</v>
      </c>
      <c r="I252" t="str">
        <f>IF(COUNTIF(Products!$A$2:$A$8,C252)=0,C252,"")</f>
        <v/>
      </c>
      <c r="J252">
        <f>IF(OR(E252="Prospecting",E252="Engaging"),VLOOKUP(C252,Products!$A$2:$C$8,3,FALSE),0)</f>
        <v>0</v>
      </c>
    </row>
    <row r="253" spans="1:10" x14ac:dyDescent="0.25">
      <c r="A253" t="s">
        <v>420</v>
      </c>
      <c r="B253" t="s">
        <v>169</v>
      </c>
      <c r="C253" t="s">
        <v>126</v>
      </c>
      <c r="D253" t="s">
        <v>64</v>
      </c>
      <c r="E253" t="s">
        <v>138</v>
      </c>
      <c r="F253" s="1">
        <v>42721</v>
      </c>
      <c r="G253" s="1">
        <v>42819</v>
      </c>
      <c r="H253">
        <v>6282</v>
      </c>
      <c r="I253" t="str">
        <f>IF(COUNTIF(Products!$A$2:$A$8,C253)=0,C253,"")</f>
        <v/>
      </c>
      <c r="J253">
        <f>IF(OR(E253="Prospecting",E253="Engaging"),VLOOKUP(C253,Products!$A$2:$C$8,3,FALSE),0)</f>
        <v>0</v>
      </c>
    </row>
    <row r="254" spans="1:10" x14ac:dyDescent="0.25">
      <c r="A254" t="s">
        <v>421</v>
      </c>
      <c r="B254" t="s">
        <v>148</v>
      </c>
      <c r="C254" t="s">
        <v>123</v>
      </c>
      <c r="E254" t="s">
        <v>155</v>
      </c>
      <c r="F254" s="1">
        <v>42721</v>
      </c>
      <c r="I254" t="str">
        <f>IF(COUNTIF(Products!$A$2:$A$8,C254)=0,C254,"")</f>
        <v/>
      </c>
      <c r="J254">
        <f>IF(OR(E254="Prospecting",E254="Engaging"),VLOOKUP(C254,Products!$A$2:$C$8,3,FALSE),0)</f>
        <v>55</v>
      </c>
    </row>
    <row r="255" spans="1:10" x14ac:dyDescent="0.25">
      <c r="A255" t="s">
        <v>422</v>
      </c>
      <c r="B255" t="s">
        <v>146</v>
      </c>
      <c r="C255" t="s">
        <v>125</v>
      </c>
      <c r="D255" t="s">
        <v>64</v>
      </c>
      <c r="E255" t="s">
        <v>138</v>
      </c>
      <c r="F255" s="1">
        <v>42722</v>
      </c>
      <c r="G255" s="1">
        <v>42796</v>
      </c>
      <c r="H255">
        <v>3246</v>
      </c>
      <c r="I255" t="str">
        <f>IF(COUNTIF(Products!$A$2:$A$8,C255)=0,C255,"")</f>
        <v/>
      </c>
      <c r="J255">
        <f>IF(OR(E255="Prospecting",E255="Engaging"),VLOOKUP(C255,Products!$A$2:$C$8,3,FALSE),0)</f>
        <v>0</v>
      </c>
    </row>
    <row r="256" spans="1:10" x14ac:dyDescent="0.25">
      <c r="A256" t="s">
        <v>423</v>
      </c>
      <c r="B256" t="s">
        <v>207</v>
      </c>
      <c r="C256" t="s">
        <v>125</v>
      </c>
      <c r="E256" t="s">
        <v>155</v>
      </c>
      <c r="F256" s="1">
        <v>42722</v>
      </c>
      <c r="I256" t="str">
        <f>IF(COUNTIF(Products!$A$2:$A$8,C256)=0,C256,"")</f>
        <v/>
      </c>
      <c r="J256">
        <f>IF(OR(E256="Prospecting",E256="Engaging"),VLOOKUP(C256,Products!$A$2:$C$8,3,FALSE),0)</f>
        <v>3393</v>
      </c>
    </row>
    <row r="257" spans="1:10" x14ac:dyDescent="0.25">
      <c r="A257" t="s">
        <v>424</v>
      </c>
      <c r="B257" t="s">
        <v>140</v>
      </c>
      <c r="C257" t="s">
        <v>120</v>
      </c>
      <c r="D257" t="s">
        <v>42</v>
      </c>
      <c r="E257" t="s">
        <v>138</v>
      </c>
      <c r="F257" s="1">
        <v>42722</v>
      </c>
      <c r="G257" s="1">
        <v>42808</v>
      </c>
      <c r="H257">
        <v>514</v>
      </c>
      <c r="I257" t="str">
        <f>IF(COUNTIF(Products!$A$2:$A$8,C257)=0,C257,"")</f>
        <v/>
      </c>
      <c r="J257">
        <f>IF(OR(E257="Prospecting",E257="Engaging"),VLOOKUP(C257,Products!$A$2:$C$8,3,FALSE),0)</f>
        <v>0</v>
      </c>
    </row>
    <row r="258" spans="1:10" x14ac:dyDescent="0.25">
      <c r="A258" t="s">
        <v>425</v>
      </c>
      <c r="B258" t="s">
        <v>224</v>
      </c>
      <c r="C258" t="s">
        <v>127</v>
      </c>
      <c r="D258" t="s">
        <v>92</v>
      </c>
      <c r="E258" t="s">
        <v>138</v>
      </c>
      <c r="F258" s="1">
        <v>42722</v>
      </c>
      <c r="G258" s="1">
        <v>42809</v>
      </c>
      <c r="H258">
        <v>1132</v>
      </c>
      <c r="I258" t="str">
        <f>IF(COUNTIF(Products!$A$2:$A$8,C258)=0,C258,"")</f>
        <v/>
      </c>
      <c r="J258">
        <f>IF(OR(E258="Prospecting",E258="Engaging"),VLOOKUP(C258,Products!$A$2:$C$8,3,FALSE),0)</f>
        <v>0</v>
      </c>
    </row>
    <row r="259" spans="1:10" x14ac:dyDescent="0.25">
      <c r="A259" t="s">
        <v>426</v>
      </c>
      <c r="B259" t="s">
        <v>198</v>
      </c>
      <c r="C259" t="s">
        <v>126</v>
      </c>
      <c r="D259" t="s">
        <v>92</v>
      </c>
      <c r="E259" t="s">
        <v>138</v>
      </c>
      <c r="F259" s="1">
        <v>42722</v>
      </c>
      <c r="G259" s="1">
        <v>42815</v>
      </c>
      <c r="H259">
        <v>5918</v>
      </c>
      <c r="I259" t="str">
        <f>IF(COUNTIF(Products!$A$2:$A$8,C259)=0,C259,"")</f>
        <v/>
      </c>
      <c r="J259">
        <f>IF(OR(E259="Prospecting",E259="Engaging"),VLOOKUP(C259,Products!$A$2:$C$8,3,FALSE),0)</f>
        <v>0</v>
      </c>
    </row>
    <row r="260" spans="1:10" x14ac:dyDescent="0.25">
      <c r="A260" t="s">
        <v>427</v>
      </c>
      <c r="B260" t="s">
        <v>191</v>
      </c>
      <c r="C260" t="s">
        <v>122</v>
      </c>
      <c r="D260" t="s">
        <v>61</v>
      </c>
      <c r="E260" t="s">
        <v>159</v>
      </c>
      <c r="F260" s="1">
        <v>42722</v>
      </c>
      <c r="G260" s="1">
        <v>42812</v>
      </c>
      <c r="H260">
        <v>0</v>
      </c>
      <c r="I260" t="str">
        <f>IF(COUNTIF(Products!$A$2:$A$8,C260)=0,C260,"")</f>
        <v/>
      </c>
      <c r="J260">
        <f>IF(OR(E260="Prospecting",E260="Engaging"),VLOOKUP(C260,Products!$A$2:$C$8,3,FALSE),0)</f>
        <v>0</v>
      </c>
    </row>
    <row r="261" spans="1:10" x14ac:dyDescent="0.25">
      <c r="A261" t="s">
        <v>428</v>
      </c>
      <c r="B261" t="s">
        <v>162</v>
      </c>
      <c r="C261" t="s">
        <v>123</v>
      </c>
      <c r="D261" t="s">
        <v>67</v>
      </c>
      <c r="E261" t="s">
        <v>159</v>
      </c>
      <c r="F261" s="1">
        <v>42722</v>
      </c>
      <c r="G261" s="1">
        <v>42808</v>
      </c>
      <c r="H261">
        <v>0</v>
      </c>
      <c r="I261" t="str">
        <f>IF(COUNTIF(Products!$A$2:$A$8,C261)=0,C261,"")</f>
        <v/>
      </c>
      <c r="J261">
        <f>IF(OR(E261="Prospecting",E261="Engaging"),VLOOKUP(C261,Products!$A$2:$C$8,3,FALSE),0)</f>
        <v>0</v>
      </c>
    </row>
    <row r="262" spans="1:10" x14ac:dyDescent="0.25">
      <c r="A262" t="s">
        <v>429</v>
      </c>
      <c r="B262" t="s">
        <v>166</v>
      </c>
      <c r="C262" t="s">
        <v>123</v>
      </c>
      <c r="D262" t="s">
        <v>60</v>
      </c>
      <c r="E262" t="s">
        <v>159</v>
      </c>
      <c r="F262" s="1">
        <v>42722</v>
      </c>
      <c r="G262" s="1">
        <v>42807</v>
      </c>
      <c r="H262">
        <v>0</v>
      </c>
      <c r="I262" t="str">
        <f>IF(COUNTIF(Products!$A$2:$A$8,C262)=0,C262,"")</f>
        <v/>
      </c>
      <c r="J262">
        <f>IF(OR(E262="Prospecting",E262="Engaging"),VLOOKUP(C262,Products!$A$2:$C$8,3,FALSE),0)</f>
        <v>0</v>
      </c>
    </row>
    <row r="263" spans="1:10" x14ac:dyDescent="0.25">
      <c r="A263" t="s">
        <v>430</v>
      </c>
      <c r="B263" t="s">
        <v>187</v>
      </c>
      <c r="C263" t="s">
        <v>123</v>
      </c>
      <c r="D263" t="s">
        <v>82</v>
      </c>
      <c r="E263" t="s">
        <v>155</v>
      </c>
      <c r="F263" s="1">
        <v>42722</v>
      </c>
      <c r="I263" t="str">
        <f>IF(COUNTIF(Products!$A$2:$A$8,C263)=0,C263,"")</f>
        <v/>
      </c>
      <c r="J263">
        <f>IF(OR(E263="Prospecting",E263="Engaging"),VLOOKUP(C263,Products!$A$2:$C$8,3,FALSE),0)</f>
        <v>55</v>
      </c>
    </row>
    <row r="264" spans="1:10" x14ac:dyDescent="0.25">
      <c r="A264" t="s">
        <v>431</v>
      </c>
      <c r="B264" t="s">
        <v>169</v>
      </c>
      <c r="C264" t="s">
        <v>125</v>
      </c>
      <c r="D264" t="s">
        <v>55</v>
      </c>
      <c r="E264" t="s">
        <v>138</v>
      </c>
      <c r="F264" s="1">
        <v>42722</v>
      </c>
      <c r="G264" s="1">
        <v>42818</v>
      </c>
      <c r="H264">
        <v>2955</v>
      </c>
      <c r="I264" t="str">
        <f>IF(COUNTIF(Products!$A$2:$A$8,C264)=0,C264,"")</f>
        <v/>
      </c>
      <c r="J264">
        <f>IF(OR(E264="Prospecting",E264="Engaging"),VLOOKUP(C264,Products!$A$2:$C$8,3,FALSE),0)</f>
        <v>0</v>
      </c>
    </row>
    <row r="265" spans="1:10" x14ac:dyDescent="0.25">
      <c r="A265" t="s">
        <v>432</v>
      </c>
      <c r="B265" t="s">
        <v>148</v>
      </c>
      <c r="C265" t="s">
        <v>122</v>
      </c>
      <c r="D265" t="s">
        <v>38</v>
      </c>
      <c r="E265" t="s">
        <v>138</v>
      </c>
      <c r="F265" s="1">
        <v>42722</v>
      </c>
      <c r="G265" s="1">
        <v>42815</v>
      </c>
      <c r="H265">
        <v>3742</v>
      </c>
      <c r="I265" t="str">
        <f>IF(COUNTIF(Products!$A$2:$A$8,C265)=0,C265,"")</f>
        <v/>
      </c>
      <c r="J265">
        <f>IF(OR(E265="Prospecting",E265="Engaging"),VLOOKUP(C265,Products!$A$2:$C$8,3,FALSE),0)</f>
        <v>0</v>
      </c>
    </row>
    <row r="266" spans="1:10" x14ac:dyDescent="0.25">
      <c r="A266" t="s">
        <v>433</v>
      </c>
      <c r="B266" t="s">
        <v>177</v>
      </c>
      <c r="C266" t="s">
        <v>123</v>
      </c>
      <c r="D266" t="s">
        <v>63</v>
      </c>
      <c r="E266" t="s">
        <v>138</v>
      </c>
      <c r="F266" s="1">
        <v>42722</v>
      </c>
      <c r="G266" s="1">
        <v>42808</v>
      </c>
      <c r="H266">
        <v>64</v>
      </c>
      <c r="I266" t="str">
        <f>IF(COUNTIF(Products!$A$2:$A$8,C266)=0,C266,"")</f>
        <v/>
      </c>
      <c r="J266">
        <f>IF(OR(E266="Prospecting",E266="Engaging"),VLOOKUP(C266,Products!$A$2:$C$8,3,FALSE),0)</f>
        <v>0</v>
      </c>
    </row>
    <row r="267" spans="1:10" x14ac:dyDescent="0.25">
      <c r="A267" t="s">
        <v>434</v>
      </c>
      <c r="B267" t="s">
        <v>196</v>
      </c>
      <c r="C267" t="s">
        <v>125</v>
      </c>
      <c r="D267" t="s">
        <v>63</v>
      </c>
      <c r="E267" t="s">
        <v>159</v>
      </c>
      <c r="F267" s="1">
        <v>42722</v>
      </c>
      <c r="G267" s="1">
        <v>42821</v>
      </c>
      <c r="H267">
        <v>0</v>
      </c>
      <c r="I267" t="str">
        <f>IF(COUNTIF(Products!$A$2:$A$8,C267)=0,C267,"")</f>
        <v/>
      </c>
      <c r="J267">
        <f>IF(OR(E267="Prospecting",E267="Engaging"),VLOOKUP(C267,Products!$A$2:$C$8,3,FALSE),0)</f>
        <v>0</v>
      </c>
    </row>
    <row r="268" spans="1:10" x14ac:dyDescent="0.25">
      <c r="A268" t="s">
        <v>435</v>
      </c>
      <c r="B268" t="s">
        <v>173</v>
      </c>
      <c r="C268" t="s">
        <v>128</v>
      </c>
      <c r="D268" t="s">
        <v>77</v>
      </c>
      <c r="E268" t="s">
        <v>155</v>
      </c>
      <c r="F268" s="1">
        <v>42723</v>
      </c>
      <c r="I268" t="str">
        <f>IF(COUNTIF(Products!$A$2:$A$8,C268)=0,C268,"")</f>
        <v/>
      </c>
      <c r="J268">
        <f>IF(OR(E268="Prospecting",E268="Engaging"),VLOOKUP(C268,Products!$A$2:$C$8,3,FALSE),0)</f>
        <v>26768</v>
      </c>
    </row>
    <row r="269" spans="1:10" x14ac:dyDescent="0.25">
      <c r="A269" t="s">
        <v>436</v>
      </c>
      <c r="B269" t="s">
        <v>173</v>
      </c>
      <c r="C269" t="s">
        <v>127</v>
      </c>
      <c r="D269" t="s">
        <v>90</v>
      </c>
      <c r="E269" t="s">
        <v>138</v>
      </c>
      <c r="F269" s="1">
        <v>42723</v>
      </c>
      <c r="G269" s="1">
        <v>42812</v>
      </c>
      <c r="H269">
        <v>1164</v>
      </c>
      <c r="I269" t="str">
        <f>IF(COUNTIF(Products!$A$2:$A$8,C269)=0,C269,"")</f>
        <v/>
      </c>
      <c r="J269">
        <f>IF(OR(E269="Prospecting",E269="Engaging"),VLOOKUP(C269,Products!$A$2:$C$8,3,FALSE),0)</f>
        <v>0</v>
      </c>
    </row>
    <row r="270" spans="1:10" x14ac:dyDescent="0.25">
      <c r="A270" t="s">
        <v>437</v>
      </c>
      <c r="B270" t="s">
        <v>173</v>
      </c>
      <c r="C270" t="s">
        <v>123</v>
      </c>
      <c r="D270" t="s">
        <v>93</v>
      </c>
      <c r="E270" t="s">
        <v>138</v>
      </c>
      <c r="F270" s="1">
        <v>42723</v>
      </c>
      <c r="G270" s="1">
        <v>42801</v>
      </c>
      <c r="H270">
        <v>65</v>
      </c>
      <c r="I270" t="str">
        <f>IF(COUNTIF(Products!$A$2:$A$8,C270)=0,C270,"")</f>
        <v/>
      </c>
      <c r="J270">
        <f>IF(OR(E270="Prospecting",E270="Engaging"),VLOOKUP(C270,Products!$A$2:$C$8,3,FALSE),0)</f>
        <v>0</v>
      </c>
    </row>
    <row r="271" spans="1:10" x14ac:dyDescent="0.25">
      <c r="A271" t="s">
        <v>438</v>
      </c>
      <c r="B271" t="s">
        <v>158</v>
      </c>
      <c r="C271" t="s">
        <v>127</v>
      </c>
      <c r="D271" t="s">
        <v>22</v>
      </c>
      <c r="E271" t="s">
        <v>159</v>
      </c>
      <c r="F271" s="1">
        <v>42723</v>
      </c>
      <c r="G271" s="1">
        <v>42801</v>
      </c>
      <c r="H271">
        <v>0</v>
      </c>
      <c r="I271" t="str">
        <f>IF(COUNTIF(Products!$A$2:$A$8,C271)=0,C271,"")</f>
        <v/>
      </c>
      <c r="J271">
        <f>IF(OR(E271="Prospecting",E271="Engaging"),VLOOKUP(C271,Products!$A$2:$C$8,3,FALSE),0)</f>
        <v>0</v>
      </c>
    </row>
    <row r="272" spans="1:10" x14ac:dyDescent="0.25">
      <c r="A272" t="s">
        <v>439</v>
      </c>
      <c r="B272" t="s">
        <v>180</v>
      </c>
      <c r="C272" t="s">
        <v>120</v>
      </c>
      <c r="D272" t="s">
        <v>59</v>
      </c>
      <c r="E272" t="s">
        <v>138</v>
      </c>
      <c r="F272" s="1">
        <v>42723</v>
      </c>
      <c r="G272" s="1">
        <v>42810</v>
      </c>
      <c r="H272">
        <v>441</v>
      </c>
      <c r="I272" t="str">
        <f>IF(COUNTIF(Products!$A$2:$A$8,C272)=0,C272,"")</f>
        <v/>
      </c>
      <c r="J272">
        <f>IF(OR(E272="Prospecting",E272="Engaging"),VLOOKUP(C272,Products!$A$2:$C$8,3,FALSE),0)</f>
        <v>0</v>
      </c>
    </row>
    <row r="273" spans="1:10" x14ac:dyDescent="0.25">
      <c r="A273" t="s">
        <v>440</v>
      </c>
      <c r="B273" t="s">
        <v>205</v>
      </c>
      <c r="C273" t="s">
        <v>127</v>
      </c>
      <c r="D273" t="s">
        <v>42</v>
      </c>
      <c r="E273" t="s">
        <v>159</v>
      </c>
      <c r="F273" s="1">
        <v>42723</v>
      </c>
      <c r="G273" s="1">
        <v>42806</v>
      </c>
      <c r="H273">
        <v>0</v>
      </c>
      <c r="I273" t="str">
        <f>IF(COUNTIF(Products!$A$2:$A$8,C273)=0,C273,"")</f>
        <v/>
      </c>
      <c r="J273">
        <f>IF(OR(E273="Prospecting",E273="Engaging"),VLOOKUP(C273,Products!$A$2:$C$8,3,FALSE),0)</f>
        <v>0</v>
      </c>
    </row>
    <row r="274" spans="1:10" x14ac:dyDescent="0.25">
      <c r="A274" t="s">
        <v>441</v>
      </c>
      <c r="B274" t="s">
        <v>148</v>
      </c>
      <c r="C274" t="s">
        <v>122</v>
      </c>
      <c r="D274" t="s">
        <v>60</v>
      </c>
      <c r="E274" t="s">
        <v>138</v>
      </c>
      <c r="F274" s="1">
        <v>42723</v>
      </c>
      <c r="G274" s="1">
        <v>42810</v>
      </c>
      <c r="H274">
        <v>4907</v>
      </c>
      <c r="I274" t="str">
        <f>IF(COUNTIF(Products!$A$2:$A$8,C274)=0,C274,"")</f>
        <v/>
      </c>
      <c r="J274">
        <f>IF(OR(E274="Prospecting",E274="Engaging"),VLOOKUP(C274,Products!$A$2:$C$8,3,FALSE),0)</f>
        <v>0</v>
      </c>
    </row>
    <row r="275" spans="1:10" x14ac:dyDescent="0.25">
      <c r="A275" t="s">
        <v>442</v>
      </c>
      <c r="B275" t="s">
        <v>146</v>
      </c>
      <c r="C275" t="s">
        <v>125</v>
      </c>
      <c r="D275" t="s">
        <v>64</v>
      </c>
      <c r="E275" t="s">
        <v>159</v>
      </c>
      <c r="F275" s="1">
        <v>42724</v>
      </c>
      <c r="G275" s="1">
        <v>42795</v>
      </c>
      <c r="H275">
        <v>0</v>
      </c>
      <c r="I275" t="str">
        <f>IF(COUNTIF(Products!$A$2:$A$8,C275)=0,C275,"")</f>
        <v/>
      </c>
      <c r="J275">
        <f>IF(OR(E275="Prospecting",E275="Engaging"),VLOOKUP(C275,Products!$A$2:$C$8,3,FALSE),0)</f>
        <v>0</v>
      </c>
    </row>
    <row r="276" spans="1:10" x14ac:dyDescent="0.25">
      <c r="A276" t="s">
        <v>443</v>
      </c>
      <c r="B276" t="s">
        <v>171</v>
      </c>
      <c r="C276" t="s">
        <v>127</v>
      </c>
      <c r="E276" t="s">
        <v>155</v>
      </c>
      <c r="F276" s="1">
        <v>42724</v>
      </c>
      <c r="I276" t="str">
        <f>IF(COUNTIF(Products!$A$2:$A$8,C276)=0,C276,"")</f>
        <v/>
      </c>
      <c r="J276">
        <f>IF(OR(E276="Prospecting",E276="Engaging"),VLOOKUP(C276,Products!$A$2:$C$8,3,FALSE),0)</f>
        <v>1096</v>
      </c>
    </row>
    <row r="277" spans="1:10" x14ac:dyDescent="0.25">
      <c r="A277" t="s">
        <v>444</v>
      </c>
      <c r="B277" t="s">
        <v>140</v>
      </c>
      <c r="C277" t="s">
        <v>125</v>
      </c>
      <c r="D277" t="s">
        <v>26</v>
      </c>
      <c r="E277" t="s">
        <v>138</v>
      </c>
      <c r="F277" s="1">
        <v>42724</v>
      </c>
      <c r="G277" s="1">
        <v>42819</v>
      </c>
      <c r="H277">
        <v>3269</v>
      </c>
      <c r="I277" t="str">
        <f>IF(COUNTIF(Products!$A$2:$A$8,C277)=0,C277,"")</f>
        <v/>
      </c>
      <c r="J277">
        <f>IF(OR(E277="Prospecting",E277="Engaging"),VLOOKUP(C277,Products!$A$2:$C$8,3,FALSE),0)</f>
        <v>0</v>
      </c>
    </row>
    <row r="278" spans="1:10" x14ac:dyDescent="0.25">
      <c r="A278" t="s">
        <v>445</v>
      </c>
      <c r="B278" t="s">
        <v>224</v>
      </c>
      <c r="C278" t="s">
        <v>120</v>
      </c>
      <c r="D278" t="s">
        <v>68</v>
      </c>
      <c r="E278" t="s">
        <v>138</v>
      </c>
      <c r="F278" s="1">
        <v>42724</v>
      </c>
      <c r="G278" s="1">
        <v>42806</v>
      </c>
      <c r="H278">
        <v>579</v>
      </c>
      <c r="I278" t="str">
        <f>IF(COUNTIF(Products!$A$2:$A$8,C278)=0,C278,"")</f>
        <v/>
      </c>
      <c r="J278">
        <f>IF(OR(E278="Prospecting",E278="Engaging"),VLOOKUP(C278,Products!$A$2:$C$8,3,FALSE),0)</f>
        <v>0</v>
      </c>
    </row>
    <row r="279" spans="1:10" x14ac:dyDescent="0.25">
      <c r="A279" t="s">
        <v>446</v>
      </c>
      <c r="B279" t="s">
        <v>158</v>
      </c>
      <c r="C279" t="s">
        <v>120</v>
      </c>
      <c r="D279" t="s">
        <v>64</v>
      </c>
      <c r="E279" t="s">
        <v>159</v>
      </c>
      <c r="F279" s="1">
        <v>42724</v>
      </c>
      <c r="G279" s="1">
        <v>42819</v>
      </c>
      <c r="H279">
        <v>0</v>
      </c>
      <c r="I279" t="str">
        <f>IF(COUNTIF(Products!$A$2:$A$8,C279)=0,C279,"")</f>
        <v/>
      </c>
      <c r="J279">
        <f>IF(OR(E279="Prospecting",E279="Engaging"),VLOOKUP(C279,Products!$A$2:$C$8,3,FALSE),0)</f>
        <v>0</v>
      </c>
    </row>
    <row r="280" spans="1:10" x14ac:dyDescent="0.25">
      <c r="A280" t="s">
        <v>447</v>
      </c>
      <c r="B280" t="s">
        <v>191</v>
      </c>
      <c r="C280" t="s">
        <v>120</v>
      </c>
      <c r="D280" t="s">
        <v>29</v>
      </c>
      <c r="E280" t="s">
        <v>159</v>
      </c>
      <c r="F280" s="1">
        <v>42724</v>
      </c>
      <c r="G280" s="1">
        <v>42801</v>
      </c>
      <c r="H280">
        <v>0</v>
      </c>
      <c r="I280" t="str">
        <f>IF(COUNTIF(Products!$A$2:$A$8,C280)=0,C280,"")</f>
        <v/>
      </c>
      <c r="J280">
        <f>IF(OR(E280="Prospecting",E280="Engaging"),VLOOKUP(C280,Products!$A$2:$C$8,3,FALSE),0)</f>
        <v>0</v>
      </c>
    </row>
    <row r="281" spans="1:10" x14ac:dyDescent="0.25">
      <c r="A281" t="s">
        <v>448</v>
      </c>
      <c r="B281" t="s">
        <v>191</v>
      </c>
      <c r="C281" t="s">
        <v>123</v>
      </c>
      <c r="D281" t="s">
        <v>107</v>
      </c>
      <c r="E281" t="s">
        <v>138</v>
      </c>
      <c r="F281" s="1">
        <v>42724</v>
      </c>
      <c r="G281" s="1">
        <v>42825</v>
      </c>
      <c r="H281">
        <v>51</v>
      </c>
      <c r="I281" t="str">
        <f>IF(COUNTIF(Products!$A$2:$A$8,C281)=0,C281,"")</f>
        <v/>
      </c>
      <c r="J281">
        <f>IF(OR(E281="Prospecting",E281="Engaging"),VLOOKUP(C281,Products!$A$2:$C$8,3,FALSE),0)</f>
        <v>0</v>
      </c>
    </row>
    <row r="282" spans="1:10" x14ac:dyDescent="0.25">
      <c r="A282" t="s">
        <v>449</v>
      </c>
      <c r="B282" t="s">
        <v>150</v>
      </c>
      <c r="C282" t="s">
        <v>123</v>
      </c>
      <c r="D282" t="s">
        <v>39</v>
      </c>
      <c r="E282" t="s">
        <v>138</v>
      </c>
      <c r="F282" s="1">
        <v>42724</v>
      </c>
      <c r="G282" s="1">
        <v>42802</v>
      </c>
      <c r="H282">
        <v>64</v>
      </c>
      <c r="I282" t="str">
        <f>IF(COUNTIF(Products!$A$2:$A$8,C282)=0,C282,"")</f>
        <v/>
      </c>
      <c r="J282">
        <f>IF(OR(E282="Prospecting",E282="Engaging"),VLOOKUP(C282,Products!$A$2:$C$8,3,FALSE),0)</f>
        <v>0</v>
      </c>
    </row>
    <row r="283" spans="1:10" x14ac:dyDescent="0.25">
      <c r="A283" t="s">
        <v>450</v>
      </c>
      <c r="B283" t="s">
        <v>187</v>
      </c>
      <c r="C283" t="s">
        <v>123</v>
      </c>
      <c r="D283" t="s">
        <v>37</v>
      </c>
      <c r="E283" t="s">
        <v>138</v>
      </c>
      <c r="F283" s="1">
        <v>42724</v>
      </c>
      <c r="G283" s="1">
        <v>42802</v>
      </c>
      <c r="H283">
        <v>60</v>
      </c>
      <c r="I283" t="str">
        <f>IF(COUNTIF(Products!$A$2:$A$8,C283)=0,C283,"")</f>
        <v/>
      </c>
      <c r="J283">
        <f>IF(OR(E283="Prospecting",E283="Engaging"),VLOOKUP(C283,Products!$A$2:$C$8,3,FALSE),0)</f>
        <v>0</v>
      </c>
    </row>
    <row r="284" spans="1:10" x14ac:dyDescent="0.25">
      <c r="A284" t="s">
        <v>451</v>
      </c>
      <c r="B284" t="s">
        <v>207</v>
      </c>
      <c r="C284" t="s">
        <v>127</v>
      </c>
      <c r="D284" t="s">
        <v>48</v>
      </c>
      <c r="E284" t="s">
        <v>138</v>
      </c>
      <c r="F284" s="1">
        <v>42725</v>
      </c>
      <c r="G284" s="1">
        <v>42821</v>
      </c>
      <c r="H284">
        <v>1186</v>
      </c>
      <c r="I284" t="str">
        <f>IF(COUNTIF(Products!$A$2:$A$8,C284)=0,C284,"")</f>
        <v/>
      </c>
      <c r="J284">
        <f>IF(OR(E284="Prospecting",E284="Engaging"),VLOOKUP(C284,Products!$A$2:$C$8,3,FALSE),0)</f>
        <v>0</v>
      </c>
    </row>
    <row r="285" spans="1:10" x14ac:dyDescent="0.25">
      <c r="A285" t="s">
        <v>452</v>
      </c>
      <c r="B285" t="s">
        <v>239</v>
      </c>
      <c r="C285" t="s">
        <v>125</v>
      </c>
      <c r="D285" t="s">
        <v>110</v>
      </c>
      <c r="E285" t="s">
        <v>138</v>
      </c>
      <c r="F285" s="1">
        <v>42725</v>
      </c>
      <c r="G285" s="1">
        <v>42803</v>
      </c>
      <c r="H285">
        <v>3577</v>
      </c>
      <c r="I285" t="str">
        <f>IF(COUNTIF(Products!$A$2:$A$8,C285)=0,C285,"")</f>
        <v/>
      </c>
      <c r="J285">
        <f>IF(OR(E285="Prospecting",E285="Engaging"),VLOOKUP(C285,Products!$A$2:$C$8,3,FALSE),0)</f>
        <v>0</v>
      </c>
    </row>
    <row r="286" spans="1:10" x14ac:dyDescent="0.25">
      <c r="A286" t="s">
        <v>453</v>
      </c>
      <c r="B286" t="s">
        <v>171</v>
      </c>
      <c r="C286" t="s">
        <v>127</v>
      </c>
      <c r="D286" t="s">
        <v>35</v>
      </c>
      <c r="E286" t="s">
        <v>138</v>
      </c>
      <c r="F286" s="1">
        <v>42725</v>
      </c>
      <c r="G286" s="1">
        <v>42801</v>
      </c>
      <c r="H286">
        <v>1020</v>
      </c>
      <c r="I286" t="str">
        <f>IF(COUNTIF(Products!$A$2:$A$8,C286)=0,C286,"")</f>
        <v/>
      </c>
      <c r="J286">
        <f>IF(OR(E286="Prospecting",E286="Engaging"),VLOOKUP(C286,Products!$A$2:$C$8,3,FALSE),0)</f>
        <v>0</v>
      </c>
    </row>
    <row r="287" spans="1:10" x14ac:dyDescent="0.25">
      <c r="A287" t="s">
        <v>454</v>
      </c>
      <c r="B287" t="s">
        <v>173</v>
      </c>
      <c r="C287" t="s">
        <v>122</v>
      </c>
      <c r="D287" t="s">
        <v>17</v>
      </c>
      <c r="E287" t="s">
        <v>155</v>
      </c>
      <c r="F287" s="1">
        <v>42725</v>
      </c>
      <c r="I287" t="str">
        <f>IF(COUNTIF(Products!$A$2:$A$8,C287)=0,C287,"")</f>
        <v/>
      </c>
      <c r="J287">
        <f>IF(OR(E287="Prospecting",E287="Engaging"),VLOOKUP(C287,Products!$A$2:$C$8,3,FALSE),0)</f>
        <v>4821</v>
      </c>
    </row>
    <row r="288" spans="1:10" x14ac:dyDescent="0.25">
      <c r="A288" t="s">
        <v>455</v>
      </c>
      <c r="B288" t="s">
        <v>164</v>
      </c>
      <c r="C288" t="s">
        <v>123</v>
      </c>
      <c r="D288" t="s">
        <v>114</v>
      </c>
      <c r="E288" t="s">
        <v>138</v>
      </c>
      <c r="F288" s="1">
        <v>42725</v>
      </c>
      <c r="G288" s="1">
        <v>42817</v>
      </c>
      <c r="H288">
        <v>53</v>
      </c>
      <c r="I288" t="str">
        <f>IF(COUNTIF(Products!$A$2:$A$8,C288)=0,C288,"")</f>
        <v/>
      </c>
      <c r="J288">
        <f>IF(OR(E288="Prospecting",E288="Engaging"),VLOOKUP(C288,Products!$A$2:$C$8,3,FALSE),0)</f>
        <v>0</v>
      </c>
    </row>
    <row r="289" spans="1:10" x14ac:dyDescent="0.25">
      <c r="A289" t="s">
        <v>456</v>
      </c>
      <c r="B289" t="s">
        <v>303</v>
      </c>
      <c r="C289" t="s">
        <v>120</v>
      </c>
      <c r="D289" t="s">
        <v>89</v>
      </c>
      <c r="E289" t="s">
        <v>159</v>
      </c>
      <c r="F289" s="1">
        <v>42725</v>
      </c>
      <c r="G289" s="1">
        <v>42804</v>
      </c>
      <c r="H289">
        <v>0</v>
      </c>
      <c r="I289" t="str">
        <f>IF(COUNTIF(Products!$A$2:$A$8,C289)=0,C289,"")</f>
        <v/>
      </c>
      <c r="J289">
        <f>IF(OR(E289="Prospecting",E289="Engaging"),VLOOKUP(C289,Products!$A$2:$C$8,3,FALSE),0)</f>
        <v>0</v>
      </c>
    </row>
    <row r="290" spans="1:10" x14ac:dyDescent="0.25">
      <c r="A290" t="s">
        <v>457</v>
      </c>
      <c r="B290" t="s">
        <v>191</v>
      </c>
      <c r="C290" t="s">
        <v>120</v>
      </c>
      <c r="D290" t="s">
        <v>39</v>
      </c>
      <c r="E290" t="s">
        <v>159</v>
      </c>
      <c r="F290" s="1">
        <v>42725</v>
      </c>
      <c r="G290" s="1">
        <v>42822</v>
      </c>
      <c r="H290">
        <v>0</v>
      </c>
      <c r="I290" t="str">
        <f>IF(COUNTIF(Products!$A$2:$A$8,C290)=0,C290,"")</f>
        <v/>
      </c>
      <c r="J290">
        <f>IF(OR(E290="Prospecting",E290="Engaging"),VLOOKUP(C290,Products!$A$2:$C$8,3,FALSE),0)</f>
        <v>0</v>
      </c>
    </row>
    <row r="291" spans="1:10" x14ac:dyDescent="0.25">
      <c r="A291" t="s">
        <v>458</v>
      </c>
      <c r="B291" t="s">
        <v>191</v>
      </c>
      <c r="C291" t="s">
        <v>122</v>
      </c>
      <c r="D291" t="s">
        <v>100</v>
      </c>
      <c r="E291" t="s">
        <v>138</v>
      </c>
      <c r="F291" s="1">
        <v>42725</v>
      </c>
      <c r="G291" s="1">
        <v>42802</v>
      </c>
      <c r="H291">
        <v>4719</v>
      </c>
      <c r="I291" t="str">
        <f>IF(COUNTIF(Products!$A$2:$A$8,C291)=0,C291,"")</f>
        <v/>
      </c>
      <c r="J291">
        <f>IF(OR(E291="Prospecting",E291="Engaging"),VLOOKUP(C291,Products!$A$2:$C$8,3,FALSE),0)</f>
        <v>0</v>
      </c>
    </row>
    <row r="292" spans="1:10" x14ac:dyDescent="0.25">
      <c r="A292" t="s">
        <v>459</v>
      </c>
      <c r="B292" t="s">
        <v>137</v>
      </c>
      <c r="C292" t="s">
        <v>120</v>
      </c>
      <c r="D292" t="s">
        <v>26</v>
      </c>
      <c r="E292" t="s">
        <v>138</v>
      </c>
      <c r="F292" s="1">
        <v>42725</v>
      </c>
      <c r="G292" s="1">
        <v>42816</v>
      </c>
      <c r="H292">
        <v>546</v>
      </c>
      <c r="I292" t="str">
        <f>IF(COUNTIF(Products!$A$2:$A$8,C292)=0,C292,"")</f>
        <v/>
      </c>
      <c r="J292">
        <f>IF(OR(E292="Prospecting",E292="Engaging"),VLOOKUP(C292,Products!$A$2:$C$8,3,FALSE),0)</f>
        <v>0</v>
      </c>
    </row>
    <row r="293" spans="1:10" x14ac:dyDescent="0.25">
      <c r="A293" t="s">
        <v>460</v>
      </c>
      <c r="B293" t="s">
        <v>152</v>
      </c>
      <c r="C293" t="s">
        <v>127</v>
      </c>
      <c r="D293" t="s">
        <v>33</v>
      </c>
      <c r="E293" t="s">
        <v>138</v>
      </c>
      <c r="F293" s="1">
        <v>42725</v>
      </c>
      <c r="G293" s="1">
        <v>42815</v>
      </c>
      <c r="H293">
        <v>1212</v>
      </c>
      <c r="I293" t="str">
        <f>IF(COUNTIF(Products!$A$2:$A$8,C293)=0,C293,"")</f>
        <v/>
      </c>
      <c r="J293">
        <f>IF(OR(E293="Prospecting",E293="Engaging"),VLOOKUP(C293,Products!$A$2:$C$8,3,FALSE),0)</f>
        <v>0</v>
      </c>
    </row>
    <row r="294" spans="1:10" x14ac:dyDescent="0.25">
      <c r="A294" t="s">
        <v>461</v>
      </c>
      <c r="B294" t="s">
        <v>148</v>
      </c>
      <c r="C294" t="s">
        <v>120</v>
      </c>
      <c r="E294" t="s">
        <v>155</v>
      </c>
      <c r="F294" s="1">
        <v>42725</v>
      </c>
      <c r="I294" t="str">
        <f>IF(COUNTIF(Products!$A$2:$A$8,C294)=0,C294,"")</f>
        <v/>
      </c>
      <c r="J294">
        <f>IF(OR(E294="Prospecting",E294="Engaging"),VLOOKUP(C294,Products!$A$2:$C$8,3,FALSE),0)</f>
        <v>550</v>
      </c>
    </row>
    <row r="295" spans="1:10" x14ac:dyDescent="0.25">
      <c r="A295" t="s">
        <v>462</v>
      </c>
      <c r="B295" t="s">
        <v>148</v>
      </c>
      <c r="C295" t="s">
        <v>120</v>
      </c>
      <c r="D295" t="s">
        <v>100</v>
      </c>
      <c r="E295" t="s">
        <v>159</v>
      </c>
      <c r="F295" s="1">
        <v>42725</v>
      </c>
      <c r="G295" s="1">
        <v>42802</v>
      </c>
      <c r="H295">
        <v>0</v>
      </c>
      <c r="I295" t="str">
        <f>IF(COUNTIF(Products!$A$2:$A$8,C295)=0,C295,"")</f>
        <v/>
      </c>
      <c r="J295">
        <f>IF(OR(E295="Prospecting",E295="Engaging"),VLOOKUP(C295,Products!$A$2:$C$8,3,FALSE),0)</f>
        <v>0</v>
      </c>
    </row>
    <row r="296" spans="1:10" x14ac:dyDescent="0.25">
      <c r="A296" t="s">
        <v>463</v>
      </c>
      <c r="B296" t="s">
        <v>146</v>
      </c>
      <c r="C296" t="s">
        <v>126</v>
      </c>
      <c r="D296" t="s">
        <v>14</v>
      </c>
      <c r="E296" t="s">
        <v>159</v>
      </c>
      <c r="F296" s="1">
        <v>42726</v>
      </c>
      <c r="G296" s="1">
        <v>42821</v>
      </c>
      <c r="H296">
        <v>0</v>
      </c>
      <c r="I296" t="str">
        <f>IF(COUNTIF(Products!$A$2:$A$8,C296)=0,C296,"")</f>
        <v/>
      </c>
      <c r="J296">
        <f>IF(OR(E296="Prospecting",E296="Engaging"),VLOOKUP(C296,Products!$A$2:$C$8,3,FALSE),0)</f>
        <v>0</v>
      </c>
    </row>
    <row r="297" spans="1:10" x14ac:dyDescent="0.25">
      <c r="A297" t="s">
        <v>464</v>
      </c>
      <c r="B297" t="s">
        <v>158</v>
      </c>
      <c r="C297" t="s">
        <v>126</v>
      </c>
      <c r="D297" t="s">
        <v>36</v>
      </c>
      <c r="E297" t="s">
        <v>138</v>
      </c>
      <c r="F297" s="1">
        <v>42726</v>
      </c>
      <c r="G297" s="1">
        <v>42808</v>
      </c>
      <c r="H297">
        <v>5533</v>
      </c>
      <c r="I297" t="str">
        <f>IF(COUNTIF(Products!$A$2:$A$8,C297)=0,C297,"")</f>
        <v/>
      </c>
      <c r="J297">
        <f>IF(OR(E297="Prospecting",E297="Engaging"),VLOOKUP(C297,Products!$A$2:$C$8,3,FALSE),0)</f>
        <v>0</v>
      </c>
    </row>
    <row r="298" spans="1:10" x14ac:dyDescent="0.25">
      <c r="A298" t="s">
        <v>465</v>
      </c>
      <c r="B298" t="s">
        <v>180</v>
      </c>
      <c r="C298" t="s">
        <v>125</v>
      </c>
      <c r="D298" t="s">
        <v>44</v>
      </c>
      <c r="E298" t="s">
        <v>138</v>
      </c>
      <c r="F298" s="1">
        <v>42726</v>
      </c>
      <c r="G298" s="1">
        <v>42795</v>
      </c>
      <c r="H298">
        <v>3295</v>
      </c>
      <c r="I298" t="str">
        <f>IF(COUNTIF(Products!$A$2:$A$8,C298)=0,C298,"")</f>
        <v/>
      </c>
      <c r="J298">
        <f>IF(OR(E298="Prospecting",E298="Engaging"),VLOOKUP(C298,Products!$A$2:$C$8,3,FALSE),0)</f>
        <v>0</v>
      </c>
    </row>
    <row r="299" spans="1:10" x14ac:dyDescent="0.25">
      <c r="A299" t="s">
        <v>466</v>
      </c>
      <c r="B299" t="s">
        <v>166</v>
      </c>
      <c r="C299" t="s">
        <v>123</v>
      </c>
      <c r="D299" t="s">
        <v>44</v>
      </c>
      <c r="E299" t="s">
        <v>138</v>
      </c>
      <c r="F299" s="1">
        <v>42726</v>
      </c>
      <c r="G299" s="1">
        <v>42825</v>
      </c>
      <c r="H299">
        <v>45</v>
      </c>
      <c r="I299" t="str">
        <f>IF(COUNTIF(Products!$A$2:$A$8,C299)=0,C299,"")</f>
        <v/>
      </c>
      <c r="J299">
        <f>IF(OR(E299="Prospecting",E299="Engaging"),VLOOKUP(C299,Products!$A$2:$C$8,3,FALSE),0)</f>
        <v>0</v>
      </c>
    </row>
    <row r="300" spans="1:10" x14ac:dyDescent="0.25">
      <c r="A300" t="s">
        <v>467</v>
      </c>
      <c r="B300" t="s">
        <v>177</v>
      </c>
      <c r="C300" t="s">
        <v>123</v>
      </c>
      <c r="D300" t="s">
        <v>16</v>
      </c>
      <c r="E300" t="s">
        <v>138</v>
      </c>
      <c r="F300" s="1">
        <v>42726</v>
      </c>
      <c r="G300" s="1">
        <v>42798</v>
      </c>
      <c r="H300">
        <v>56</v>
      </c>
      <c r="I300" t="str">
        <f>IF(COUNTIF(Products!$A$2:$A$8,C300)=0,C300,"")</f>
        <v/>
      </c>
      <c r="J300">
        <f>IF(OR(E300="Prospecting",E300="Engaging"),VLOOKUP(C300,Products!$A$2:$C$8,3,FALSE),0)</f>
        <v>0</v>
      </c>
    </row>
    <row r="301" spans="1:10" x14ac:dyDescent="0.25">
      <c r="A301" t="s">
        <v>468</v>
      </c>
      <c r="B301" t="s">
        <v>144</v>
      </c>
      <c r="C301" t="s">
        <v>122</v>
      </c>
      <c r="D301" t="s">
        <v>81</v>
      </c>
      <c r="E301" t="s">
        <v>155</v>
      </c>
      <c r="F301" s="1">
        <v>42726</v>
      </c>
      <c r="I301" t="str">
        <f>IF(COUNTIF(Products!$A$2:$A$8,C301)=0,C301,"")</f>
        <v/>
      </c>
      <c r="J301">
        <f>IF(OR(E301="Prospecting",E301="Engaging"),VLOOKUP(C301,Products!$A$2:$C$8,3,FALSE),0)</f>
        <v>4821</v>
      </c>
    </row>
    <row r="302" spans="1:10" x14ac:dyDescent="0.25">
      <c r="A302" t="s">
        <v>469</v>
      </c>
      <c r="B302" t="s">
        <v>239</v>
      </c>
      <c r="C302" t="s">
        <v>120</v>
      </c>
      <c r="E302" t="s">
        <v>155</v>
      </c>
      <c r="F302" s="1">
        <v>42727</v>
      </c>
      <c r="I302" t="str">
        <f>IF(COUNTIF(Products!$A$2:$A$8,C302)=0,C302,"")</f>
        <v/>
      </c>
      <c r="J302">
        <f>IF(OR(E302="Prospecting",E302="Engaging"),VLOOKUP(C302,Products!$A$2:$C$8,3,FALSE),0)</f>
        <v>550</v>
      </c>
    </row>
    <row r="303" spans="1:10" x14ac:dyDescent="0.25">
      <c r="A303" t="s">
        <v>470</v>
      </c>
      <c r="B303" t="s">
        <v>171</v>
      </c>
      <c r="C303" t="s">
        <v>127</v>
      </c>
      <c r="D303" t="s">
        <v>42</v>
      </c>
      <c r="E303" t="s">
        <v>155</v>
      </c>
      <c r="F303" s="1">
        <v>42727</v>
      </c>
      <c r="I303" t="str">
        <f>IF(COUNTIF(Products!$A$2:$A$8,C303)=0,C303,"")</f>
        <v/>
      </c>
      <c r="J303">
        <f>IF(OR(E303="Prospecting",E303="Engaging"),VLOOKUP(C303,Products!$A$2:$C$8,3,FALSE),0)</f>
        <v>1096</v>
      </c>
    </row>
    <row r="304" spans="1:10" x14ac:dyDescent="0.25">
      <c r="A304" t="s">
        <v>471</v>
      </c>
      <c r="B304" t="s">
        <v>140</v>
      </c>
      <c r="C304" t="s">
        <v>122</v>
      </c>
      <c r="D304" t="s">
        <v>46</v>
      </c>
      <c r="E304" t="s">
        <v>138</v>
      </c>
      <c r="F304" s="1">
        <v>42727</v>
      </c>
      <c r="G304" s="1">
        <v>42814</v>
      </c>
      <c r="H304">
        <v>4247</v>
      </c>
      <c r="I304" t="str">
        <f>IF(COUNTIF(Products!$A$2:$A$8,C304)=0,C304,"")</f>
        <v/>
      </c>
      <c r="J304">
        <f>IF(OR(E304="Prospecting",E304="Engaging"),VLOOKUP(C304,Products!$A$2:$C$8,3,FALSE),0)</f>
        <v>0</v>
      </c>
    </row>
    <row r="305" spans="1:10" x14ac:dyDescent="0.25">
      <c r="A305" t="s">
        <v>472</v>
      </c>
      <c r="B305" t="s">
        <v>158</v>
      </c>
      <c r="C305" t="s">
        <v>125</v>
      </c>
      <c r="D305" t="s">
        <v>64</v>
      </c>
      <c r="E305" t="s">
        <v>138</v>
      </c>
      <c r="F305" s="1">
        <v>42727</v>
      </c>
      <c r="G305" s="1">
        <v>42807</v>
      </c>
      <c r="H305">
        <v>3440</v>
      </c>
      <c r="I305" t="str">
        <f>IF(COUNTIF(Products!$A$2:$A$8,C305)=0,C305,"")</f>
        <v/>
      </c>
      <c r="J305">
        <f>IF(OR(E305="Prospecting",E305="Engaging"),VLOOKUP(C305,Products!$A$2:$C$8,3,FALSE),0)</f>
        <v>0</v>
      </c>
    </row>
    <row r="306" spans="1:10" x14ac:dyDescent="0.25">
      <c r="A306" t="s">
        <v>473</v>
      </c>
      <c r="B306" t="s">
        <v>154</v>
      </c>
      <c r="C306" t="s">
        <v>122</v>
      </c>
      <c r="D306" t="s">
        <v>82</v>
      </c>
      <c r="E306" t="s">
        <v>138</v>
      </c>
      <c r="F306" s="1">
        <v>42727</v>
      </c>
      <c r="G306" s="1">
        <v>42796</v>
      </c>
      <c r="H306">
        <v>5040</v>
      </c>
      <c r="I306" t="str">
        <f>IF(COUNTIF(Products!$A$2:$A$8,C306)=0,C306,"")</f>
        <v/>
      </c>
      <c r="J306">
        <f>IF(OR(E306="Prospecting",E306="Engaging"),VLOOKUP(C306,Products!$A$2:$C$8,3,FALSE),0)</f>
        <v>0</v>
      </c>
    </row>
    <row r="307" spans="1:10" x14ac:dyDescent="0.25">
      <c r="A307" t="s">
        <v>474</v>
      </c>
      <c r="B307" t="s">
        <v>303</v>
      </c>
      <c r="C307" t="s">
        <v>120</v>
      </c>
      <c r="D307" t="s">
        <v>22</v>
      </c>
      <c r="E307" t="s">
        <v>138</v>
      </c>
      <c r="F307" s="1">
        <v>42727</v>
      </c>
      <c r="G307" s="1">
        <v>42806</v>
      </c>
      <c r="H307">
        <v>469</v>
      </c>
      <c r="I307" t="str">
        <f>IF(COUNTIF(Products!$A$2:$A$8,C307)=0,C307,"")</f>
        <v/>
      </c>
      <c r="J307">
        <f>IF(OR(E307="Prospecting",E307="Engaging"),VLOOKUP(C307,Products!$A$2:$C$8,3,FALSE),0)</f>
        <v>0</v>
      </c>
    </row>
    <row r="308" spans="1:10" x14ac:dyDescent="0.25">
      <c r="A308" t="s">
        <v>475</v>
      </c>
      <c r="B308" t="s">
        <v>137</v>
      </c>
      <c r="C308" t="s">
        <v>123</v>
      </c>
      <c r="D308" t="s">
        <v>64</v>
      </c>
      <c r="E308" t="s">
        <v>138</v>
      </c>
      <c r="F308" s="1">
        <v>42727</v>
      </c>
      <c r="G308" s="1">
        <v>42801</v>
      </c>
      <c r="H308">
        <v>58</v>
      </c>
      <c r="I308" t="str">
        <f>IF(COUNTIF(Products!$A$2:$A$8,C308)=0,C308,"")</f>
        <v/>
      </c>
      <c r="J308">
        <f>IF(OR(E308="Prospecting",E308="Engaging"),VLOOKUP(C308,Products!$A$2:$C$8,3,FALSE),0)</f>
        <v>0</v>
      </c>
    </row>
    <row r="309" spans="1:10" x14ac:dyDescent="0.25">
      <c r="A309" t="s">
        <v>476</v>
      </c>
      <c r="B309" t="s">
        <v>264</v>
      </c>
      <c r="C309" t="s">
        <v>125</v>
      </c>
      <c r="D309" t="s">
        <v>64</v>
      </c>
      <c r="E309" t="s">
        <v>138</v>
      </c>
      <c r="F309" s="1">
        <v>42728</v>
      </c>
      <c r="G309" s="1">
        <v>42810</v>
      </c>
      <c r="H309">
        <v>2955</v>
      </c>
      <c r="I309" t="str">
        <f>IF(COUNTIF(Products!$A$2:$A$8,C309)=0,C309,"")</f>
        <v/>
      </c>
      <c r="J309">
        <f>IF(OR(E309="Prospecting",E309="Engaging"),VLOOKUP(C309,Products!$A$2:$C$8,3,FALSE),0)</f>
        <v>0</v>
      </c>
    </row>
    <row r="310" spans="1:10" x14ac:dyDescent="0.25">
      <c r="A310" t="s">
        <v>477</v>
      </c>
      <c r="B310" t="s">
        <v>239</v>
      </c>
      <c r="C310" t="s">
        <v>126</v>
      </c>
      <c r="D310" t="s">
        <v>27</v>
      </c>
      <c r="E310" t="s">
        <v>138</v>
      </c>
      <c r="F310" s="1">
        <v>42728</v>
      </c>
      <c r="G310" s="1">
        <v>42820</v>
      </c>
      <c r="H310">
        <v>5228</v>
      </c>
      <c r="I310" t="str">
        <f>IF(COUNTIF(Products!$A$2:$A$8,C310)=0,C310,"")</f>
        <v/>
      </c>
      <c r="J310">
        <f>IF(OR(E310="Prospecting",E310="Engaging"),VLOOKUP(C310,Products!$A$2:$C$8,3,FALSE),0)</f>
        <v>0</v>
      </c>
    </row>
    <row r="311" spans="1:10" x14ac:dyDescent="0.25">
      <c r="A311" t="s">
        <v>478</v>
      </c>
      <c r="B311" t="s">
        <v>140</v>
      </c>
      <c r="C311" t="s">
        <v>125</v>
      </c>
      <c r="D311" t="s">
        <v>103</v>
      </c>
      <c r="E311" t="s">
        <v>138</v>
      </c>
      <c r="F311" s="1">
        <v>42728</v>
      </c>
      <c r="G311" s="1">
        <v>42808</v>
      </c>
      <c r="H311">
        <v>3358</v>
      </c>
      <c r="I311" t="str">
        <f>IF(COUNTIF(Products!$A$2:$A$8,C311)=0,C311,"")</f>
        <v/>
      </c>
      <c r="J311">
        <f>IF(OR(E311="Prospecting",E311="Engaging"),VLOOKUP(C311,Products!$A$2:$C$8,3,FALSE),0)</f>
        <v>0</v>
      </c>
    </row>
    <row r="312" spans="1:10" x14ac:dyDescent="0.25">
      <c r="A312" t="s">
        <v>479</v>
      </c>
      <c r="B312" t="s">
        <v>173</v>
      </c>
      <c r="C312" t="s">
        <v>126</v>
      </c>
      <c r="D312" t="s">
        <v>57</v>
      </c>
      <c r="E312" t="s">
        <v>159</v>
      </c>
      <c r="F312" s="1">
        <v>42728</v>
      </c>
      <c r="G312" s="1">
        <v>42823</v>
      </c>
      <c r="H312">
        <v>0</v>
      </c>
      <c r="I312" t="str">
        <f>IF(COUNTIF(Products!$A$2:$A$8,C312)=0,C312,"")</f>
        <v/>
      </c>
      <c r="J312">
        <f>IF(OR(E312="Prospecting",E312="Engaging"),VLOOKUP(C312,Products!$A$2:$C$8,3,FALSE),0)</f>
        <v>0</v>
      </c>
    </row>
    <row r="313" spans="1:10" x14ac:dyDescent="0.25">
      <c r="A313" t="s">
        <v>480</v>
      </c>
      <c r="B313" t="s">
        <v>303</v>
      </c>
      <c r="C313" t="s">
        <v>120</v>
      </c>
      <c r="D313" t="s">
        <v>26</v>
      </c>
      <c r="E313" t="s">
        <v>138</v>
      </c>
      <c r="F313" s="1">
        <v>42728</v>
      </c>
      <c r="G313" s="1">
        <v>42825</v>
      </c>
      <c r="H313">
        <v>517</v>
      </c>
      <c r="I313" t="str">
        <f>IF(COUNTIF(Products!$A$2:$A$8,C313)=0,C313,"")</f>
        <v/>
      </c>
      <c r="J313">
        <f>IF(OR(E313="Prospecting",E313="Engaging"),VLOOKUP(C313,Products!$A$2:$C$8,3,FALSE),0)</f>
        <v>0</v>
      </c>
    </row>
    <row r="314" spans="1:10" x14ac:dyDescent="0.25">
      <c r="A314" t="s">
        <v>481</v>
      </c>
      <c r="B314" t="s">
        <v>137</v>
      </c>
      <c r="C314" t="s">
        <v>120</v>
      </c>
      <c r="D314" t="s">
        <v>36</v>
      </c>
      <c r="E314" t="s">
        <v>138</v>
      </c>
      <c r="F314" s="1">
        <v>42728</v>
      </c>
      <c r="G314" s="1">
        <v>42797</v>
      </c>
      <c r="H314">
        <v>615</v>
      </c>
      <c r="I314" t="str">
        <f>IF(COUNTIF(Products!$A$2:$A$8,C314)=0,C314,"")</f>
        <v/>
      </c>
      <c r="J314">
        <f>IF(OR(E314="Prospecting",E314="Engaging"),VLOOKUP(C314,Products!$A$2:$C$8,3,FALSE),0)</f>
        <v>0</v>
      </c>
    </row>
    <row r="315" spans="1:10" x14ac:dyDescent="0.25">
      <c r="A315" t="s">
        <v>482</v>
      </c>
      <c r="B315" t="s">
        <v>152</v>
      </c>
      <c r="C315" t="s">
        <v>120</v>
      </c>
      <c r="D315" t="s">
        <v>33</v>
      </c>
      <c r="E315" t="s">
        <v>159</v>
      </c>
      <c r="F315" s="1">
        <v>42728</v>
      </c>
      <c r="G315" s="1">
        <v>42804</v>
      </c>
      <c r="H315">
        <v>0</v>
      </c>
      <c r="I315" t="str">
        <f>IF(COUNTIF(Products!$A$2:$A$8,C315)=0,C315,"")</f>
        <v/>
      </c>
      <c r="J315">
        <f>IF(OR(E315="Prospecting",E315="Engaging"),VLOOKUP(C315,Products!$A$2:$C$8,3,FALSE),0)</f>
        <v>0</v>
      </c>
    </row>
    <row r="316" spans="1:10" x14ac:dyDescent="0.25">
      <c r="A316" t="s">
        <v>483</v>
      </c>
      <c r="B316" t="s">
        <v>169</v>
      </c>
      <c r="C316" t="s">
        <v>123</v>
      </c>
      <c r="D316" t="s">
        <v>27</v>
      </c>
      <c r="E316" t="s">
        <v>138</v>
      </c>
      <c r="F316" s="1">
        <v>42728</v>
      </c>
      <c r="G316" s="1">
        <v>42802</v>
      </c>
      <c r="H316">
        <v>62</v>
      </c>
      <c r="I316" t="str">
        <f>IF(COUNTIF(Products!$A$2:$A$8,C316)=0,C316,"")</f>
        <v/>
      </c>
      <c r="J316">
        <f>IF(OR(E316="Prospecting",E316="Engaging"),VLOOKUP(C316,Products!$A$2:$C$8,3,FALSE),0)</f>
        <v>0</v>
      </c>
    </row>
    <row r="317" spans="1:10" x14ac:dyDescent="0.25">
      <c r="A317" t="s">
        <v>484</v>
      </c>
      <c r="B317" t="s">
        <v>140</v>
      </c>
      <c r="C317" t="s">
        <v>126</v>
      </c>
      <c r="D317" t="s">
        <v>64</v>
      </c>
      <c r="E317" t="s">
        <v>138</v>
      </c>
      <c r="F317" s="1">
        <v>42729</v>
      </c>
      <c r="G317" s="1">
        <v>42807</v>
      </c>
      <c r="H317">
        <v>4711</v>
      </c>
      <c r="I317" t="str">
        <f>IF(COUNTIF(Products!$A$2:$A$8,C317)=0,C317,"")</f>
        <v/>
      </c>
      <c r="J317">
        <f>IF(OR(E317="Prospecting",E317="Engaging"),VLOOKUP(C317,Products!$A$2:$C$8,3,FALSE),0)</f>
        <v>0</v>
      </c>
    </row>
    <row r="318" spans="1:10" x14ac:dyDescent="0.25">
      <c r="A318" t="s">
        <v>485</v>
      </c>
      <c r="B318" t="s">
        <v>224</v>
      </c>
      <c r="C318" t="s">
        <v>122</v>
      </c>
      <c r="D318" t="s">
        <v>68</v>
      </c>
      <c r="E318" t="s">
        <v>159</v>
      </c>
      <c r="F318" s="1">
        <v>42729</v>
      </c>
      <c r="G318" s="1">
        <v>42817</v>
      </c>
      <c r="H318">
        <v>0</v>
      </c>
      <c r="I318" t="str">
        <f>IF(COUNTIF(Products!$A$2:$A$8,C318)=0,C318,"")</f>
        <v/>
      </c>
      <c r="J318">
        <f>IF(OR(E318="Prospecting",E318="Engaging"),VLOOKUP(C318,Products!$A$2:$C$8,3,FALSE),0)</f>
        <v>0</v>
      </c>
    </row>
    <row r="319" spans="1:10" x14ac:dyDescent="0.25">
      <c r="A319" t="s">
        <v>486</v>
      </c>
      <c r="B319" t="s">
        <v>198</v>
      </c>
      <c r="C319" t="s">
        <v>120</v>
      </c>
      <c r="D319" t="s">
        <v>110</v>
      </c>
      <c r="E319" t="s">
        <v>138</v>
      </c>
      <c r="F319" s="1">
        <v>42729</v>
      </c>
      <c r="G319" s="1">
        <v>42824</v>
      </c>
      <c r="H319">
        <v>510</v>
      </c>
      <c r="I319" t="str">
        <f>IF(COUNTIF(Products!$A$2:$A$8,C319)=0,C319,"")</f>
        <v/>
      </c>
      <c r="J319">
        <f>IF(OR(E319="Prospecting",E319="Engaging"),VLOOKUP(C319,Products!$A$2:$C$8,3,FALSE),0)</f>
        <v>0</v>
      </c>
    </row>
    <row r="320" spans="1:10" x14ac:dyDescent="0.25">
      <c r="A320" t="s">
        <v>487</v>
      </c>
      <c r="B320" t="s">
        <v>158</v>
      </c>
      <c r="C320" t="s">
        <v>122</v>
      </c>
      <c r="D320" t="s">
        <v>77</v>
      </c>
      <c r="E320" t="s">
        <v>138</v>
      </c>
      <c r="F320" s="1">
        <v>42729</v>
      </c>
      <c r="G320" s="1">
        <v>42819</v>
      </c>
      <c r="H320">
        <v>4891</v>
      </c>
      <c r="I320" t="str">
        <f>IF(COUNTIF(Products!$A$2:$A$8,C320)=0,C320,"")</f>
        <v/>
      </c>
      <c r="J320">
        <f>IF(OR(E320="Prospecting",E320="Engaging"),VLOOKUP(C320,Products!$A$2:$C$8,3,FALSE),0)</f>
        <v>0</v>
      </c>
    </row>
    <row r="321" spans="1:10" x14ac:dyDescent="0.25">
      <c r="A321" t="s">
        <v>488</v>
      </c>
      <c r="B321" t="s">
        <v>164</v>
      </c>
      <c r="C321" t="s">
        <v>127</v>
      </c>
      <c r="D321" t="s">
        <v>57</v>
      </c>
      <c r="E321" t="s">
        <v>138</v>
      </c>
      <c r="F321" s="1">
        <v>42729</v>
      </c>
      <c r="G321" s="1">
        <v>42811</v>
      </c>
      <c r="H321">
        <v>926</v>
      </c>
      <c r="I321" t="str">
        <f>IF(COUNTIF(Products!$A$2:$A$8,C321)=0,C321,"")</f>
        <v/>
      </c>
      <c r="J321">
        <f>IF(OR(E321="Prospecting",E321="Engaging"),VLOOKUP(C321,Products!$A$2:$C$8,3,FALSE),0)</f>
        <v>0</v>
      </c>
    </row>
    <row r="322" spans="1:10" x14ac:dyDescent="0.25">
      <c r="A322" t="s">
        <v>489</v>
      </c>
      <c r="B322" t="s">
        <v>217</v>
      </c>
      <c r="C322" t="s">
        <v>123</v>
      </c>
      <c r="D322" t="s">
        <v>12</v>
      </c>
      <c r="E322" t="s">
        <v>138</v>
      </c>
      <c r="F322" s="1">
        <v>42729</v>
      </c>
      <c r="G322" s="1">
        <v>42804</v>
      </c>
      <c r="H322">
        <v>56</v>
      </c>
      <c r="I322" t="str">
        <f>IF(COUNTIF(Products!$A$2:$A$8,C322)=0,C322,"")</f>
        <v/>
      </c>
      <c r="J322">
        <f>IF(OR(E322="Prospecting",E322="Engaging"),VLOOKUP(C322,Products!$A$2:$C$8,3,FALSE),0)</f>
        <v>0</v>
      </c>
    </row>
    <row r="323" spans="1:10" x14ac:dyDescent="0.25">
      <c r="A323" t="s">
        <v>490</v>
      </c>
      <c r="B323" t="s">
        <v>162</v>
      </c>
      <c r="C323" t="s">
        <v>120</v>
      </c>
      <c r="D323" t="s">
        <v>104</v>
      </c>
      <c r="E323" t="s">
        <v>155</v>
      </c>
      <c r="F323" s="1">
        <v>42729</v>
      </c>
      <c r="I323" t="str">
        <f>IF(COUNTIF(Products!$A$2:$A$8,C323)=0,C323,"")</f>
        <v/>
      </c>
      <c r="J323">
        <f>IF(OR(E323="Prospecting",E323="Engaging"),VLOOKUP(C323,Products!$A$2:$C$8,3,FALSE),0)</f>
        <v>550</v>
      </c>
    </row>
    <row r="324" spans="1:10" x14ac:dyDescent="0.25">
      <c r="A324" t="s">
        <v>491</v>
      </c>
      <c r="B324" t="s">
        <v>166</v>
      </c>
      <c r="C324" t="s">
        <v>120</v>
      </c>
      <c r="E324" t="s">
        <v>155</v>
      </c>
      <c r="F324" s="1">
        <v>42729</v>
      </c>
      <c r="I324" t="str">
        <f>IF(COUNTIF(Products!$A$2:$A$8,C324)=0,C324,"")</f>
        <v/>
      </c>
      <c r="J324">
        <f>IF(OR(E324="Prospecting",E324="Engaging"),VLOOKUP(C324,Products!$A$2:$C$8,3,FALSE),0)</f>
        <v>550</v>
      </c>
    </row>
    <row r="325" spans="1:10" x14ac:dyDescent="0.25">
      <c r="A325" t="s">
        <v>492</v>
      </c>
      <c r="B325" t="s">
        <v>177</v>
      </c>
      <c r="C325" t="s">
        <v>123</v>
      </c>
      <c r="D325" t="s">
        <v>80</v>
      </c>
      <c r="E325" t="s">
        <v>138</v>
      </c>
      <c r="F325" s="1">
        <v>42729</v>
      </c>
      <c r="G325" s="1">
        <v>42799</v>
      </c>
      <c r="H325">
        <v>47</v>
      </c>
      <c r="I325" t="str">
        <f>IF(COUNTIF(Products!$A$2:$A$8,C325)=0,C325,"")</f>
        <v/>
      </c>
      <c r="J325">
        <f>IF(OR(E325="Prospecting",E325="Engaging"),VLOOKUP(C325,Products!$A$2:$C$8,3,FALSE),0)</f>
        <v>0</v>
      </c>
    </row>
    <row r="326" spans="1:10" x14ac:dyDescent="0.25">
      <c r="A326" t="s">
        <v>493</v>
      </c>
      <c r="B326" t="s">
        <v>140</v>
      </c>
      <c r="C326" t="s">
        <v>120</v>
      </c>
      <c r="D326" t="s">
        <v>85</v>
      </c>
      <c r="E326" t="s">
        <v>159</v>
      </c>
      <c r="F326" s="1">
        <v>42730</v>
      </c>
      <c r="G326" s="1">
        <v>42817</v>
      </c>
      <c r="H326">
        <v>0</v>
      </c>
      <c r="I326" t="str">
        <f>IF(COUNTIF(Products!$A$2:$A$8,C326)=0,C326,"")</f>
        <v/>
      </c>
      <c r="J326">
        <f>IF(OR(E326="Prospecting",E326="Engaging"),VLOOKUP(C326,Products!$A$2:$C$8,3,FALSE),0)</f>
        <v>0</v>
      </c>
    </row>
    <row r="327" spans="1:10" x14ac:dyDescent="0.25">
      <c r="A327" t="s">
        <v>494</v>
      </c>
      <c r="B327" t="s">
        <v>154</v>
      </c>
      <c r="C327" t="s">
        <v>126</v>
      </c>
      <c r="D327" t="s">
        <v>75</v>
      </c>
      <c r="E327" t="s">
        <v>138</v>
      </c>
      <c r="F327" s="1">
        <v>42730</v>
      </c>
      <c r="G327" s="1">
        <v>42804</v>
      </c>
      <c r="H327">
        <v>6490</v>
      </c>
      <c r="I327" t="str">
        <f>IF(COUNTIF(Products!$A$2:$A$8,C327)=0,C327,"")</f>
        <v/>
      </c>
      <c r="J327">
        <f>IF(OR(E327="Prospecting",E327="Engaging"),VLOOKUP(C327,Products!$A$2:$C$8,3,FALSE),0)</f>
        <v>0</v>
      </c>
    </row>
    <row r="328" spans="1:10" x14ac:dyDescent="0.25">
      <c r="A328" t="s">
        <v>495</v>
      </c>
      <c r="B328" t="s">
        <v>180</v>
      </c>
      <c r="C328" t="s">
        <v>125</v>
      </c>
      <c r="D328" t="s">
        <v>55</v>
      </c>
      <c r="E328" t="s">
        <v>155</v>
      </c>
      <c r="F328" s="1">
        <v>42730</v>
      </c>
      <c r="I328" t="str">
        <f>IF(COUNTIF(Products!$A$2:$A$8,C328)=0,C328,"")</f>
        <v/>
      </c>
      <c r="J328">
        <f>IF(OR(E328="Prospecting",E328="Engaging"),VLOOKUP(C328,Products!$A$2:$C$8,3,FALSE),0)</f>
        <v>3393</v>
      </c>
    </row>
    <row r="329" spans="1:10" x14ac:dyDescent="0.25">
      <c r="A329" t="s">
        <v>496</v>
      </c>
      <c r="B329" t="s">
        <v>191</v>
      </c>
      <c r="C329" t="s">
        <v>122</v>
      </c>
      <c r="E329" t="s">
        <v>155</v>
      </c>
      <c r="F329" s="1">
        <v>42730</v>
      </c>
      <c r="I329" t="str">
        <f>IF(COUNTIF(Products!$A$2:$A$8,C329)=0,C329,"")</f>
        <v/>
      </c>
      <c r="J329">
        <f>IF(OR(E329="Prospecting",E329="Engaging"),VLOOKUP(C329,Products!$A$2:$C$8,3,FALSE),0)</f>
        <v>4821</v>
      </c>
    </row>
    <row r="330" spans="1:10" x14ac:dyDescent="0.25">
      <c r="A330" t="s">
        <v>497</v>
      </c>
      <c r="B330" t="s">
        <v>152</v>
      </c>
      <c r="C330" t="s">
        <v>125</v>
      </c>
      <c r="D330" t="s">
        <v>104</v>
      </c>
      <c r="E330" t="s">
        <v>138</v>
      </c>
      <c r="F330" s="1">
        <v>42730</v>
      </c>
      <c r="G330" s="1">
        <v>42796</v>
      </c>
      <c r="H330">
        <v>3841</v>
      </c>
      <c r="I330" t="str">
        <f>IF(COUNTIF(Products!$A$2:$A$8,C330)=0,C330,"")</f>
        <v/>
      </c>
      <c r="J330">
        <f>IF(OR(E330="Prospecting",E330="Engaging"),VLOOKUP(C330,Products!$A$2:$C$8,3,FALSE),0)</f>
        <v>0</v>
      </c>
    </row>
    <row r="331" spans="1:10" x14ac:dyDescent="0.25">
      <c r="A331" t="s">
        <v>498</v>
      </c>
      <c r="B331" t="s">
        <v>191</v>
      </c>
      <c r="C331" t="s">
        <v>120</v>
      </c>
      <c r="E331" t="s">
        <v>155</v>
      </c>
      <c r="F331" s="1">
        <v>42731</v>
      </c>
      <c r="I331" t="str">
        <f>IF(COUNTIF(Products!$A$2:$A$8,C331)=0,C331,"")</f>
        <v/>
      </c>
      <c r="J331">
        <f>IF(OR(E331="Prospecting",E331="Engaging"),VLOOKUP(C331,Products!$A$2:$C$8,3,FALSE),0)</f>
        <v>550</v>
      </c>
    </row>
    <row r="332" spans="1:10" x14ac:dyDescent="0.25">
      <c r="A332" t="s">
        <v>499</v>
      </c>
      <c r="B332" t="s">
        <v>191</v>
      </c>
      <c r="C332" t="s">
        <v>126</v>
      </c>
      <c r="D332" t="s">
        <v>39</v>
      </c>
      <c r="E332" t="s">
        <v>138</v>
      </c>
      <c r="F332" s="1">
        <v>42731</v>
      </c>
      <c r="G332" s="1">
        <v>42809</v>
      </c>
      <c r="H332">
        <v>5256</v>
      </c>
      <c r="I332" t="str">
        <f>IF(COUNTIF(Products!$A$2:$A$8,C332)=0,C332,"")</f>
        <v/>
      </c>
      <c r="J332">
        <f>IF(OR(E332="Prospecting",E332="Engaging"),VLOOKUP(C332,Products!$A$2:$C$8,3,FALSE),0)</f>
        <v>0</v>
      </c>
    </row>
    <row r="333" spans="1:10" x14ac:dyDescent="0.25">
      <c r="A333" t="s">
        <v>500</v>
      </c>
      <c r="B333" t="s">
        <v>150</v>
      </c>
      <c r="C333" t="s">
        <v>123</v>
      </c>
      <c r="D333" t="s">
        <v>67</v>
      </c>
      <c r="E333" t="s">
        <v>159</v>
      </c>
      <c r="F333" s="1">
        <v>42731</v>
      </c>
      <c r="G333" s="1">
        <v>42822</v>
      </c>
      <c r="H333">
        <v>0</v>
      </c>
      <c r="I333" t="str">
        <f>IF(COUNTIF(Products!$A$2:$A$8,C333)=0,C333,"")</f>
        <v/>
      </c>
      <c r="J333">
        <f>IF(OR(E333="Prospecting",E333="Engaging"),VLOOKUP(C333,Products!$A$2:$C$8,3,FALSE),0)</f>
        <v>0</v>
      </c>
    </row>
    <row r="334" spans="1:10" x14ac:dyDescent="0.25">
      <c r="A334" t="s">
        <v>501</v>
      </c>
      <c r="B334" t="s">
        <v>150</v>
      </c>
      <c r="C334" t="s">
        <v>125</v>
      </c>
      <c r="D334" t="s">
        <v>41</v>
      </c>
      <c r="E334" t="s">
        <v>159</v>
      </c>
      <c r="F334" s="1">
        <v>42731</v>
      </c>
      <c r="G334" s="1">
        <v>42819</v>
      </c>
      <c r="H334">
        <v>0</v>
      </c>
      <c r="I334" t="str">
        <f>IF(COUNTIF(Products!$A$2:$A$8,C334)=0,C334,"")</f>
        <v/>
      </c>
      <c r="J334">
        <f>IF(OR(E334="Prospecting",E334="Engaging"),VLOOKUP(C334,Products!$A$2:$C$8,3,FALSE),0)</f>
        <v>0</v>
      </c>
    </row>
    <row r="335" spans="1:10" x14ac:dyDescent="0.25">
      <c r="A335" t="s">
        <v>502</v>
      </c>
      <c r="B335" t="s">
        <v>146</v>
      </c>
      <c r="C335" t="s">
        <v>120</v>
      </c>
      <c r="D335" t="s">
        <v>28</v>
      </c>
      <c r="E335" t="s">
        <v>138</v>
      </c>
      <c r="F335" s="1">
        <v>42732</v>
      </c>
      <c r="G335" s="1">
        <v>42795</v>
      </c>
      <c r="H335">
        <v>625</v>
      </c>
      <c r="I335" t="str">
        <f>IF(COUNTIF(Products!$A$2:$A$8,C335)=0,C335,"")</f>
        <v/>
      </c>
      <c r="J335">
        <f>IF(OR(E335="Prospecting",E335="Engaging"),VLOOKUP(C335,Products!$A$2:$C$8,3,FALSE),0)</f>
        <v>0</v>
      </c>
    </row>
    <row r="336" spans="1:10" x14ac:dyDescent="0.25">
      <c r="A336" t="s">
        <v>503</v>
      </c>
      <c r="B336" t="s">
        <v>239</v>
      </c>
      <c r="C336" t="s">
        <v>122</v>
      </c>
      <c r="E336" t="s">
        <v>155</v>
      </c>
      <c r="F336" s="1">
        <v>42732</v>
      </c>
      <c r="I336" t="str">
        <f>IF(COUNTIF(Products!$A$2:$A$8,C336)=0,C336,"")</f>
        <v/>
      </c>
      <c r="J336">
        <f>IF(OR(E336="Prospecting",E336="Engaging"),VLOOKUP(C336,Products!$A$2:$C$8,3,FALSE),0)</f>
        <v>4821</v>
      </c>
    </row>
    <row r="337" spans="1:10" x14ac:dyDescent="0.25">
      <c r="A337" t="s">
        <v>504</v>
      </c>
      <c r="B337" t="s">
        <v>140</v>
      </c>
      <c r="C337" t="s">
        <v>122</v>
      </c>
      <c r="D337" t="s">
        <v>77</v>
      </c>
      <c r="E337" t="s">
        <v>159</v>
      </c>
      <c r="F337" s="1">
        <v>42732</v>
      </c>
      <c r="G337" s="1">
        <v>42810</v>
      </c>
      <c r="H337">
        <v>0</v>
      </c>
      <c r="I337" t="str">
        <f>IF(COUNTIF(Products!$A$2:$A$8,C337)=0,C337,"")</f>
        <v/>
      </c>
      <c r="J337">
        <f>IF(OR(E337="Prospecting",E337="Engaging"),VLOOKUP(C337,Products!$A$2:$C$8,3,FALSE),0)</f>
        <v>0</v>
      </c>
    </row>
    <row r="338" spans="1:10" x14ac:dyDescent="0.25">
      <c r="A338" t="s">
        <v>505</v>
      </c>
      <c r="B338" t="s">
        <v>140</v>
      </c>
      <c r="C338" t="s">
        <v>122</v>
      </c>
      <c r="D338" t="s">
        <v>28</v>
      </c>
      <c r="E338" t="s">
        <v>138</v>
      </c>
      <c r="F338" s="1">
        <v>42732</v>
      </c>
      <c r="G338" s="1">
        <v>42816</v>
      </c>
      <c r="H338">
        <v>3952</v>
      </c>
      <c r="I338" t="str">
        <f>IF(COUNTIF(Products!$A$2:$A$8,C338)=0,C338,"")</f>
        <v/>
      </c>
      <c r="J338">
        <f>IF(OR(E338="Prospecting",E338="Engaging"),VLOOKUP(C338,Products!$A$2:$C$8,3,FALSE),0)</f>
        <v>0</v>
      </c>
    </row>
    <row r="339" spans="1:10" x14ac:dyDescent="0.25">
      <c r="A339" t="s">
        <v>506</v>
      </c>
      <c r="B339" t="s">
        <v>191</v>
      </c>
      <c r="C339" t="s">
        <v>120</v>
      </c>
      <c r="E339" t="s">
        <v>155</v>
      </c>
      <c r="F339" s="1">
        <v>42732</v>
      </c>
      <c r="I339" t="str">
        <f>IF(COUNTIF(Products!$A$2:$A$8,C339)=0,C339,"")</f>
        <v/>
      </c>
      <c r="J339">
        <f>IF(OR(E339="Prospecting",E339="Engaging"),VLOOKUP(C339,Products!$A$2:$C$8,3,FALSE),0)</f>
        <v>550</v>
      </c>
    </row>
    <row r="340" spans="1:10" x14ac:dyDescent="0.25">
      <c r="A340" t="s">
        <v>507</v>
      </c>
      <c r="B340" t="s">
        <v>191</v>
      </c>
      <c r="C340" t="s">
        <v>126</v>
      </c>
      <c r="D340" t="s">
        <v>69</v>
      </c>
      <c r="E340" t="s">
        <v>138</v>
      </c>
      <c r="F340" s="1">
        <v>42732</v>
      </c>
      <c r="G340" s="1">
        <v>42807</v>
      </c>
      <c r="H340">
        <v>5515</v>
      </c>
      <c r="I340" t="str">
        <f>IF(COUNTIF(Products!$A$2:$A$8,C340)=0,C340,"")</f>
        <v/>
      </c>
      <c r="J340">
        <f>IF(OR(E340="Prospecting",E340="Engaging"),VLOOKUP(C340,Products!$A$2:$C$8,3,FALSE),0)</f>
        <v>0</v>
      </c>
    </row>
    <row r="341" spans="1:10" x14ac:dyDescent="0.25">
      <c r="A341" t="s">
        <v>508</v>
      </c>
      <c r="B341" t="s">
        <v>193</v>
      </c>
      <c r="C341" t="s">
        <v>123</v>
      </c>
      <c r="D341" t="s">
        <v>106</v>
      </c>
      <c r="E341" t="s">
        <v>138</v>
      </c>
      <c r="F341" s="1">
        <v>42732</v>
      </c>
      <c r="G341" s="1">
        <v>42810</v>
      </c>
      <c r="H341">
        <v>57</v>
      </c>
      <c r="I341" t="str">
        <f>IF(COUNTIF(Products!$A$2:$A$8,C341)=0,C341,"")</f>
        <v/>
      </c>
      <c r="J341">
        <f>IF(OR(E341="Prospecting",E341="Engaging"),VLOOKUP(C341,Products!$A$2:$C$8,3,FALSE),0)</f>
        <v>0</v>
      </c>
    </row>
    <row r="342" spans="1:10" x14ac:dyDescent="0.25">
      <c r="A342" t="s">
        <v>509</v>
      </c>
      <c r="B342" t="s">
        <v>169</v>
      </c>
      <c r="C342" t="s">
        <v>123</v>
      </c>
      <c r="D342" t="s">
        <v>70</v>
      </c>
      <c r="E342" t="s">
        <v>138</v>
      </c>
      <c r="F342" s="1">
        <v>42732</v>
      </c>
      <c r="G342" s="1">
        <v>42822</v>
      </c>
      <c r="H342">
        <v>51</v>
      </c>
      <c r="I342" t="str">
        <f>IF(COUNTIF(Products!$A$2:$A$8,C342)=0,C342,"")</f>
        <v/>
      </c>
      <c r="J342">
        <f>IF(OR(E342="Prospecting",E342="Engaging"),VLOOKUP(C342,Products!$A$2:$C$8,3,FALSE),0)</f>
        <v>0</v>
      </c>
    </row>
    <row r="343" spans="1:10" x14ac:dyDescent="0.25">
      <c r="A343" t="s">
        <v>510</v>
      </c>
      <c r="B343" t="s">
        <v>148</v>
      </c>
      <c r="C343" t="s">
        <v>125</v>
      </c>
      <c r="D343" t="s">
        <v>38</v>
      </c>
      <c r="E343" t="s">
        <v>138</v>
      </c>
      <c r="F343" s="1">
        <v>42732</v>
      </c>
      <c r="G343" s="1">
        <v>42807</v>
      </c>
      <c r="H343">
        <v>3803</v>
      </c>
      <c r="I343" t="str">
        <f>IF(COUNTIF(Products!$A$2:$A$8,C343)=0,C343,"")</f>
        <v/>
      </c>
      <c r="J343">
        <f>IF(OR(E343="Prospecting",E343="Engaging"),VLOOKUP(C343,Products!$A$2:$C$8,3,FALSE),0)</f>
        <v>0</v>
      </c>
    </row>
    <row r="344" spans="1:10" x14ac:dyDescent="0.25">
      <c r="A344" t="s">
        <v>511</v>
      </c>
      <c r="B344" t="s">
        <v>146</v>
      </c>
      <c r="C344" t="s">
        <v>126</v>
      </c>
      <c r="D344" t="s">
        <v>89</v>
      </c>
      <c r="E344" t="s">
        <v>138</v>
      </c>
      <c r="F344" s="1">
        <v>42733</v>
      </c>
      <c r="G344" s="1">
        <v>42821</v>
      </c>
      <c r="H344">
        <v>5459</v>
      </c>
      <c r="I344" t="str">
        <f>IF(COUNTIF(Products!$A$2:$A$8,C344)=0,C344,"")</f>
        <v/>
      </c>
      <c r="J344">
        <f>IF(OR(E344="Prospecting",E344="Engaging"),VLOOKUP(C344,Products!$A$2:$C$8,3,FALSE),0)</f>
        <v>0</v>
      </c>
    </row>
    <row r="345" spans="1:10" x14ac:dyDescent="0.25">
      <c r="A345" t="s">
        <v>512</v>
      </c>
      <c r="B345" t="s">
        <v>146</v>
      </c>
      <c r="C345" t="s">
        <v>125</v>
      </c>
      <c r="D345" t="s">
        <v>94</v>
      </c>
      <c r="E345" t="s">
        <v>138</v>
      </c>
      <c r="F345" s="1">
        <v>42733</v>
      </c>
      <c r="G345" s="1">
        <v>42817</v>
      </c>
      <c r="H345">
        <v>4148</v>
      </c>
      <c r="I345" t="str">
        <f>IF(COUNTIF(Products!$A$2:$A$8,C345)=0,C345,"")</f>
        <v/>
      </c>
      <c r="J345">
        <f>IF(OR(E345="Prospecting",E345="Engaging"),VLOOKUP(C345,Products!$A$2:$C$8,3,FALSE),0)</f>
        <v>0</v>
      </c>
    </row>
    <row r="346" spans="1:10" x14ac:dyDescent="0.25">
      <c r="A346" t="s">
        <v>513</v>
      </c>
      <c r="B346" t="s">
        <v>207</v>
      </c>
      <c r="C346" t="s">
        <v>126</v>
      </c>
      <c r="E346" t="s">
        <v>155</v>
      </c>
      <c r="F346" s="1">
        <v>42733</v>
      </c>
      <c r="I346" t="str">
        <f>IF(COUNTIF(Products!$A$2:$A$8,C346)=0,C346,"")</f>
        <v/>
      </c>
      <c r="J346">
        <f>IF(OR(E346="Prospecting",E346="Engaging"),VLOOKUP(C346,Products!$A$2:$C$8,3,FALSE),0)</f>
        <v>5482</v>
      </c>
    </row>
    <row r="347" spans="1:10" x14ac:dyDescent="0.25">
      <c r="A347" t="s">
        <v>514</v>
      </c>
      <c r="B347" t="s">
        <v>239</v>
      </c>
      <c r="C347" t="s">
        <v>126</v>
      </c>
      <c r="D347" t="s">
        <v>48</v>
      </c>
      <c r="E347" t="s">
        <v>138</v>
      </c>
      <c r="F347" s="1">
        <v>42733</v>
      </c>
      <c r="G347" s="1">
        <v>42817</v>
      </c>
      <c r="H347">
        <v>5002</v>
      </c>
      <c r="I347" t="str">
        <f>IF(COUNTIF(Products!$A$2:$A$8,C347)=0,C347,"")</f>
        <v/>
      </c>
      <c r="J347">
        <f>IF(OR(E347="Prospecting",E347="Engaging"),VLOOKUP(C347,Products!$A$2:$C$8,3,FALSE),0)</f>
        <v>0</v>
      </c>
    </row>
    <row r="348" spans="1:10" x14ac:dyDescent="0.25">
      <c r="A348" t="s">
        <v>515</v>
      </c>
      <c r="B348" t="s">
        <v>239</v>
      </c>
      <c r="C348" t="s">
        <v>125</v>
      </c>
      <c r="D348" t="s">
        <v>50</v>
      </c>
      <c r="E348" t="s">
        <v>138</v>
      </c>
      <c r="F348" s="1">
        <v>42733</v>
      </c>
      <c r="G348" s="1">
        <v>42797</v>
      </c>
      <c r="H348">
        <v>3351</v>
      </c>
      <c r="I348" t="str">
        <f>IF(COUNTIF(Products!$A$2:$A$8,C348)=0,C348,"")</f>
        <v/>
      </c>
      <c r="J348">
        <f>IF(OR(E348="Prospecting",E348="Engaging"),VLOOKUP(C348,Products!$A$2:$C$8,3,FALSE),0)</f>
        <v>0</v>
      </c>
    </row>
    <row r="349" spans="1:10" x14ac:dyDescent="0.25">
      <c r="A349" t="s">
        <v>516</v>
      </c>
      <c r="B349" t="s">
        <v>158</v>
      </c>
      <c r="C349" t="s">
        <v>120</v>
      </c>
      <c r="D349" t="s">
        <v>33</v>
      </c>
      <c r="E349" t="s">
        <v>138</v>
      </c>
      <c r="F349" s="1">
        <v>42733</v>
      </c>
      <c r="G349" s="1">
        <v>42813</v>
      </c>
      <c r="H349">
        <v>571</v>
      </c>
      <c r="I349" t="str">
        <f>IF(COUNTIF(Products!$A$2:$A$8,C349)=0,C349,"")</f>
        <v/>
      </c>
      <c r="J349">
        <f>IF(OR(E349="Prospecting",E349="Engaging"),VLOOKUP(C349,Products!$A$2:$C$8,3,FALSE),0)</f>
        <v>0</v>
      </c>
    </row>
    <row r="350" spans="1:10" x14ac:dyDescent="0.25">
      <c r="A350" t="s">
        <v>517</v>
      </c>
      <c r="B350" t="s">
        <v>154</v>
      </c>
      <c r="C350" t="s">
        <v>120</v>
      </c>
      <c r="D350" t="s">
        <v>56</v>
      </c>
      <c r="E350" t="s">
        <v>138</v>
      </c>
      <c r="F350" s="1">
        <v>42733</v>
      </c>
      <c r="G350" s="1">
        <v>42804</v>
      </c>
      <c r="H350">
        <v>601</v>
      </c>
      <c r="I350" t="str">
        <f>IF(COUNTIF(Products!$A$2:$A$8,C350)=0,C350,"")</f>
        <v/>
      </c>
      <c r="J350">
        <f>IF(OR(E350="Prospecting",E350="Engaging"),VLOOKUP(C350,Products!$A$2:$C$8,3,FALSE),0)</f>
        <v>0</v>
      </c>
    </row>
    <row r="351" spans="1:10" x14ac:dyDescent="0.25">
      <c r="A351" t="s">
        <v>518</v>
      </c>
      <c r="B351" t="s">
        <v>180</v>
      </c>
      <c r="C351" t="s">
        <v>122</v>
      </c>
      <c r="E351" t="s">
        <v>155</v>
      </c>
      <c r="F351" s="1">
        <v>42733</v>
      </c>
      <c r="I351" t="str">
        <f>IF(COUNTIF(Products!$A$2:$A$8,C351)=0,C351,"")</f>
        <v/>
      </c>
      <c r="J351">
        <f>IF(OR(E351="Prospecting",E351="Engaging"),VLOOKUP(C351,Products!$A$2:$C$8,3,FALSE),0)</f>
        <v>4821</v>
      </c>
    </row>
    <row r="352" spans="1:10" x14ac:dyDescent="0.25">
      <c r="A352" t="s">
        <v>519</v>
      </c>
      <c r="B352" t="s">
        <v>150</v>
      </c>
      <c r="C352" t="s">
        <v>120</v>
      </c>
      <c r="D352" t="s">
        <v>114</v>
      </c>
      <c r="E352" t="s">
        <v>138</v>
      </c>
      <c r="F352" s="1">
        <v>42733</v>
      </c>
      <c r="G352" s="1">
        <v>42807</v>
      </c>
      <c r="H352">
        <v>576</v>
      </c>
      <c r="I352" t="str">
        <f>IF(COUNTIF(Products!$A$2:$A$8,C352)=0,C352,"")</f>
        <v/>
      </c>
      <c r="J352">
        <f>IF(OR(E352="Prospecting",E352="Engaging"),VLOOKUP(C352,Products!$A$2:$C$8,3,FALSE),0)</f>
        <v>0</v>
      </c>
    </row>
    <row r="353" spans="1:10" x14ac:dyDescent="0.25">
      <c r="A353" t="s">
        <v>520</v>
      </c>
      <c r="B353" t="s">
        <v>205</v>
      </c>
      <c r="C353" t="s">
        <v>123</v>
      </c>
      <c r="D353" t="s">
        <v>46</v>
      </c>
      <c r="E353" t="s">
        <v>138</v>
      </c>
      <c r="F353" s="1">
        <v>42733</v>
      </c>
      <c r="G353" s="1">
        <v>42797</v>
      </c>
      <c r="H353">
        <v>52</v>
      </c>
      <c r="I353" t="str">
        <f>IF(COUNTIF(Products!$A$2:$A$8,C353)=0,C353,"")</f>
        <v/>
      </c>
      <c r="J353">
        <f>IF(OR(E353="Prospecting",E353="Engaging"),VLOOKUP(C353,Products!$A$2:$C$8,3,FALSE),0)</f>
        <v>0</v>
      </c>
    </row>
    <row r="354" spans="1:10" x14ac:dyDescent="0.25">
      <c r="A354" t="s">
        <v>521</v>
      </c>
      <c r="B354" t="s">
        <v>162</v>
      </c>
      <c r="C354" t="s">
        <v>127</v>
      </c>
      <c r="D354" t="s">
        <v>38</v>
      </c>
      <c r="E354" t="s">
        <v>138</v>
      </c>
      <c r="F354" s="1">
        <v>42733</v>
      </c>
      <c r="G354" s="1">
        <v>42807</v>
      </c>
      <c r="H354">
        <v>1185</v>
      </c>
      <c r="I354" t="str">
        <f>IF(COUNTIF(Products!$A$2:$A$8,C354)=0,C354,"")</f>
        <v/>
      </c>
      <c r="J354">
        <f>IF(OR(E354="Prospecting",E354="Engaging"),VLOOKUP(C354,Products!$A$2:$C$8,3,FALSE),0)</f>
        <v>0</v>
      </c>
    </row>
    <row r="355" spans="1:10" x14ac:dyDescent="0.25">
      <c r="A355" t="s">
        <v>522</v>
      </c>
      <c r="B355" t="s">
        <v>193</v>
      </c>
      <c r="C355" t="s">
        <v>127</v>
      </c>
      <c r="D355" t="s">
        <v>50</v>
      </c>
      <c r="E355" t="s">
        <v>159</v>
      </c>
      <c r="F355" s="1">
        <v>42733</v>
      </c>
      <c r="G355" s="1">
        <v>42822</v>
      </c>
      <c r="H355">
        <v>0</v>
      </c>
      <c r="I355" t="str">
        <f>IF(COUNTIF(Products!$A$2:$A$8,C355)=0,C355,"")</f>
        <v/>
      </c>
      <c r="J355">
        <f>IF(OR(E355="Prospecting",E355="Engaging"),VLOOKUP(C355,Products!$A$2:$C$8,3,FALSE),0)</f>
        <v>0</v>
      </c>
    </row>
    <row r="356" spans="1:10" x14ac:dyDescent="0.25">
      <c r="A356" t="s">
        <v>523</v>
      </c>
      <c r="B356" t="s">
        <v>166</v>
      </c>
      <c r="C356" t="s">
        <v>123</v>
      </c>
      <c r="D356" t="s">
        <v>82</v>
      </c>
      <c r="E356" t="s">
        <v>138</v>
      </c>
      <c r="F356" s="1">
        <v>42733</v>
      </c>
      <c r="G356" s="1">
        <v>42808</v>
      </c>
      <c r="H356">
        <v>56</v>
      </c>
      <c r="I356" t="str">
        <f>IF(COUNTIF(Products!$A$2:$A$8,C356)=0,C356,"")</f>
        <v/>
      </c>
      <c r="J356">
        <f>IF(OR(E356="Prospecting",E356="Engaging"),VLOOKUP(C356,Products!$A$2:$C$8,3,FALSE),0)</f>
        <v>0</v>
      </c>
    </row>
    <row r="357" spans="1:10" x14ac:dyDescent="0.25">
      <c r="A357" t="s">
        <v>524</v>
      </c>
      <c r="B357" t="s">
        <v>148</v>
      </c>
      <c r="C357" t="s">
        <v>120</v>
      </c>
      <c r="E357" t="s">
        <v>155</v>
      </c>
      <c r="F357" s="1">
        <v>42733</v>
      </c>
      <c r="I357" t="str">
        <f>IF(COUNTIF(Products!$A$2:$A$8,C357)=0,C357,"")</f>
        <v/>
      </c>
      <c r="J357">
        <f>IF(OR(E357="Prospecting",E357="Engaging"),VLOOKUP(C357,Products!$A$2:$C$8,3,FALSE),0)</f>
        <v>550</v>
      </c>
    </row>
    <row r="358" spans="1:10" x14ac:dyDescent="0.25">
      <c r="A358" t="s">
        <v>525</v>
      </c>
      <c r="B358" t="s">
        <v>177</v>
      </c>
      <c r="C358" t="s">
        <v>123</v>
      </c>
      <c r="D358" t="s">
        <v>81</v>
      </c>
      <c r="E358" t="s">
        <v>138</v>
      </c>
      <c r="F358" s="1">
        <v>42733</v>
      </c>
      <c r="G358" s="1">
        <v>42823</v>
      </c>
      <c r="H358">
        <v>54</v>
      </c>
      <c r="I358" t="str">
        <f>IF(COUNTIF(Products!$A$2:$A$8,C358)=0,C358,"")</f>
        <v/>
      </c>
      <c r="J358">
        <f>IF(OR(E358="Prospecting",E358="Engaging"),VLOOKUP(C358,Products!$A$2:$C$8,3,FALSE),0)</f>
        <v>0</v>
      </c>
    </row>
    <row r="359" spans="1:10" x14ac:dyDescent="0.25">
      <c r="A359" t="s">
        <v>526</v>
      </c>
      <c r="B359" t="s">
        <v>144</v>
      </c>
      <c r="C359" t="s">
        <v>122</v>
      </c>
      <c r="D359" t="s">
        <v>107</v>
      </c>
      <c r="E359" t="s">
        <v>138</v>
      </c>
      <c r="F359" s="1">
        <v>42733</v>
      </c>
      <c r="G359" s="1">
        <v>42807</v>
      </c>
      <c r="H359">
        <v>4818</v>
      </c>
      <c r="I359" t="str">
        <f>IF(COUNTIF(Products!$A$2:$A$8,C359)=0,C359,"")</f>
        <v/>
      </c>
      <c r="J359">
        <f>IF(OR(E359="Prospecting",E359="Engaging"),VLOOKUP(C359,Products!$A$2:$C$8,3,FALSE),0)</f>
        <v>0</v>
      </c>
    </row>
    <row r="360" spans="1:10" x14ac:dyDescent="0.25">
      <c r="A360" t="s">
        <v>527</v>
      </c>
      <c r="B360" t="s">
        <v>146</v>
      </c>
      <c r="C360" t="s">
        <v>126</v>
      </c>
      <c r="D360" t="s">
        <v>26</v>
      </c>
      <c r="E360" t="s">
        <v>138</v>
      </c>
      <c r="F360" s="1">
        <v>42736</v>
      </c>
      <c r="G360" s="1">
        <v>42795</v>
      </c>
      <c r="H360">
        <v>5087</v>
      </c>
      <c r="I360" t="str">
        <f>IF(COUNTIF(Products!$A$2:$A$8,C360)=0,C360,"")</f>
        <v/>
      </c>
      <c r="J360">
        <f>IF(OR(E360="Prospecting",E360="Engaging"),VLOOKUP(C360,Products!$A$2:$C$8,3,FALSE),0)</f>
        <v>0</v>
      </c>
    </row>
    <row r="361" spans="1:10" x14ac:dyDescent="0.25">
      <c r="A361" t="s">
        <v>528</v>
      </c>
      <c r="B361" t="s">
        <v>171</v>
      </c>
      <c r="C361" t="s">
        <v>127</v>
      </c>
      <c r="D361" t="s">
        <v>81</v>
      </c>
      <c r="E361" t="s">
        <v>138</v>
      </c>
      <c r="F361" s="1">
        <v>42736</v>
      </c>
      <c r="G361" s="1">
        <v>42813</v>
      </c>
      <c r="H361">
        <v>1116</v>
      </c>
      <c r="I361" t="str">
        <f>IF(COUNTIF(Products!$A$2:$A$8,C361)=0,C361,"")</f>
        <v/>
      </c>
      <c r="J361">
        <f>IF(OR(E361="Prospecting",E361="Engaging"),VLOOKUP(C361,Products!$A$2:$C$8,3,FALSE),0)</f>
        <v>0</v>
      </c>
    </row>
    <row r="362" spans="1:10" x14ac:dyDescent="0.25">
      <c r="A362" t="s">
        <v>529</v>
      </c>
      <c r="B362" t="s">
        <v>140</v>
      </c>
      <c r="C362" t="s">
        <v>120</v>
      </c>
      <c r="D362" t="s">
        <v>55</v>
      </c>
      <c r="E362" t="s">
        <v>138</v>
      </c>
      <c r="F362" s="1">
        <v>42736</v>
      </c>
      <c r="G362" s="1">
        <v>42814</v>
      </c>
      <c r="H362">
        <v>510</v>
      </c>
      <c r="I362" t="str">
        <f>IF(COUNTIF(Products!$A$2:$A$8,C362)=0,C362,"")</f>
        <v/>
      </c>
      <c r="J362">
        <f>IF(OR(E362="Prospecting",E362="Engaging"),VLOOKUP(C362,Products!$A$2:$C$8,3,FALSE),0)</f>
        <v>0</v>
      </c>
    </row>
    <row r="363" spans="1:10" x14ac:dyDescent="0.25">
      <c r="A363" t="s">
        <v>530</v>
      </c>
      <c r="B363" t="s">
        <v>173</v>
      </c>
      <c r="C363" t="s">
        <v>123</v>
      </c>
      <c r="E363" t="s">
        <v>155</v>
      </c>
      <c r="F363" s="1">
        <v>42736</v>
      </c>
      <c r="I363" t="str">
        <f>IF(COUNTIF(Products!$A$2:$A$8,C363)=0,C363,"")</f>
        <v/>
      </c>
      <c r="J363">
        <f>IF(OR(E363="Prospecting",E363="Engaging"),VLOOKUP(C363,Products!$A$2:$C$8,3,FALSE),0)</f>
        <v>55</v>
      </c>
    </row>
    <row r="364" spans="1:10" x14ac:dyDescent="0.25">
      <c r="A364" t="s">
        <v>531</v>
      </c>
      <c r="B364" t="s">
        <v>303</v>
      </c>
      <c r="C364" t="s">
        <v>120</v>
      </c>
      <c r="D364" t="s">
        <v>96</v>
      </c>
      <c r="E364" t="s">
        <v>138</v>
      </c>
      <c r="F364" s="1">
        <v>42736</v>
      </c>
      <c r="G364" s="1">
        <v>42810</v>
      </c>
      <c r="H364">
        <v>565</v>
      </c>
      <c r="I364" t="str">
        <f>IF(COUNTIF(Products!$A$2:$A$8,C364)=0,C364,"")</f>
        <v/>
      </c>
      <c r="J364">
        <f>IF(OR(E364="Prospecting",E364="Engaging"),VLOOKUP(C364,Products!$A$2:$C$8,3,FALSE),0)</f>
        <v>0</v>
      </c>
    </row>
    <row r="365" spans="1:10" x14ac:dyDescent="0.25">
      <c r="A365" t="s">
        <v>532</v>
      </c>
      <c r="B365" t="s">
        <v>180</v>
      </c>
      <c r="C365" t="s">
        <v>120</v>
      </c>
      <c r="D365" t="s">
        <v>44</v>
      </c>
      <c r="E365" t="s">
        <v>138</v>
      </c>
      <c r="F365" s="1">
        <v>42736</v>
      </c>
      <c r="G365" s="1">
        <v>42820</v>
      </c>
      <c r="H365">
        <v>633</v>
      </c>
      <c r="I365" t="str">
        <f>IF(COUNTIF(Products!$A$2:$A$8,C365)=0,C365,"")</f>
        <v/>
      </c>
      <c r="J365">
        <f>IF(OR(E365="Prospecting",E365="Engaging"),VLOOKUP(C365,Products!$A$2:$C$8,3,FALSE),0)</f>
        <v>0</v>
      </c>
    </row>
    <row r="366" spans="1:10" x14ac:dyDescent="0.25">
      <c r="A366" t="s">
        <v>533</v>
      </c>
      <c r="B366" t="s">
        <v>193</v>
      </c>
      <c r="C366" t="s">
        <v>125</v>
      </c>
      <c r="D366" t="s">
        <v>108</v>
      </c>
      <c r="E366" t="s">
        <v>138</v>
      </c>
      <c r="F366" s="1">
        <v>42736</v>
      </c>
      <c r="G366" s="1">
        <v>42823</v>
      </c>
      <c r="H366">
        <v>3962</v>
      </c>
      <c r="I366" t="str">
        <f>IF(COUNTIF(Products!$A$2:$A$8,C366)=0,C366,"")</f>
        <v/>
      </c>
      <c r="J366">
        <f>IF(OR(E366="Prospecting",E366="Engaging"),VLOOKUP(C366,Products!$A$2:$C$8,3,FALSE),0)</f>
        <v>0</v>
      </c>
    </row>
    <row r="367" spans="1:10" x14ac:dyDescent="0.25">
      <c r="A367" t="s">
        <v>534</v>
      </c>
      <c r="B367" t="s">
        <v>148</v>
      </c>
      <c r="C367" t="s">
        <v>125</v>
      </c>
      <c r="D367" t="s">
        <v>109</v>
      </c>
      <c r="E367" t="s">
        <v>138</v>
      </c>
      <c r="F367" s="1">
        <v>42736</v>
      </c>
      <c r="G367" s="1">
        <v>42816</v>
      </c>
      <c r="H367">
        <v>3672</v>
      </c>
      <c r="I367" t="str">
        <f>IF(COUNTIF(Products!$A$2:$A$8,C367)=0,C367,"")</f>
        <v/>
      </c>
      <c r="J367">
        <f>IF(OR(E367="Prospecting",E367="Engaging"),VLOOKUP(C367,Products!$A$2:$C$8,3,FALSE),0)</f>
        <v>0</v>
      </c>
    </row>
    <row r="368" spans="1:10" x14ac:dyDescent="0.25">
      <c r="A368" t="s">
        <v>535</v>
      </c>
      <c r="B368" t="s">
        <v>144</v>
      </c>
      <c r="C368" t="s">
        <v>127</v>
      </c>
      <c r="D368" t="s">
        <v>57</v>
      </c>
      <c r="E368" t="s">
        <v>155</v>
      </c>
      <c r="F368" s="1">
        <v>42736</v>
      </c>
      <c r="I368" t="str">
        <f>IF(COUNTIF(Products!$A$2:$A$8,C368)=0,C368,"")</f>
        <v/>
      </c>
      <c r="J368">
        <f>IF(OR(E368="Prospecting",E368="Engaging"),VLOOKUP(C368,Products!$A$2:$C$8,3,FALSE),0)</f>
        <v>1096</v>
      </c>
    </row>
    <row r="369" spans="1:10" x14ac:dyDescent="0.25">
      <c r="A369" t="s">
        <v>536</v>
      </c>
      <c r="B369" t="s">
        <v>144</v>
      </c>
      <c r="C369" t="s">
        <v>122</v>
      </c>
      <c r="D369" t="s">
        <v>56</v>
      </c>
      <c r="E369" t="s">
        <v>138</v>
      </c>
      <c r="F369" s="1">
        <v>42736</v>
      </c>
      <c r="G369" s="1">
        <v>42812</v>
      </c>
      <c r="H369">
        <v>4586</v>
      </c>
      <c r="I369" t="str">
        <f>IF(COUNTIF(Products!$A$2:$A$8,C369)=0,C369,"")</f>
        <v/>
      </c>
      <c r="J369">
        <f>IF(OR(E369="Prospecting",E369="Engaging"),VLOOKUP(C369,Products!$A$2:$C$8,3,FALSE),0)</f>
        <v>0</v>
      </c>
    </row>
    <row r="370" spans="1:10" x14ac:dyDescent="0.25">
      <c r="A370" t="s">
        <v>537</v>
      </c>
      <c r="B370" t="s">
        <v>146</v>
      </c>
      <c r="C370" t="s">
        <v>123</v>
      </c>
      <c r="D370" t="s">
        <v>61</v>
      </c>
      <c r="E370" t="s">
        <v>138</v>
      </c>
      <c r="F370" s="1">
        <v>42737</v>
      </c>
      <c r="G370" s="1">
        <v>42796</v>
      </c>
      <c r="H370">
        <v>60</v>
      </c>
      <c r="I370" t="str">
        <f>IF(COUNTIF(Products!$A$2:$A$8,C370)=0,C370,"")</f>
        <v/>
      </c>
      <c r="J370">
        <f>IF(OR(E370="Prospecting",E370="Engaging"),VLOOKUP(C370,Products!$A$2:$C$8,3,FALSE),0)</f>
        <v>0</v>
      </c>
    </row>
    <row r="371" spans="1:10" x14ac:dyDescent="0.25">
      <c r="A371" t="s">
        <v>538</v>
      </c>
      <c r="B371" t="s">
        <v>239</v>
      </c>
      <c r="C371" t="s">
        <v>127</v>
      </c>
      <c r="D371" t="s">
        <v>30</v>
      </c>
      <c r="E371" t="s">
        <v>155</v>
      </c>
      <c r="F371" s="1">
        <v>42737</v>
      </c>
      <c r="I371" t="str">
        <f>IF(COUNTIF(Products!$A$2:$A$8,C371)=0,C371,"")</f>
        <v/>
      </c>
      <c r="J371">
        <f>IF(OR(E371="Prospecting",E371="Engaging"),VLOOKUP(C371,Products!$A$2:$C$8,3,FALSE),0)</f>
        <v>1096</v>
      </c>
    </row>
    <row r="372" spans="1:10" x14ac:dyDescent="0.25">
      <c r="A372" t="s">
        <v>539</v>
      </c>
      <c r="B372" t="s">
        <v>239</v>
      </c>
      <c r="C372" t="s">
        <v>127</v>
      </c>
      <c r="E372" t="s">
        <v>155</v>
      </c>
      <c r="F372" s="1">
        <v>42737</v>
      </c>
      <c r="I372" t="str">
        <f>IF(COUNTIF(Products!$A$2:$A$8,C372)=0,C372,"")</f>
        <v/>
      </c>
      <c r="J372">
        <f>IF(OR(E372="Prospecting",E372="Engaging"),VLOOKUP(C372,Products!$A$2:$C$8,3,FALSE),0)</f>
        <v>1096</v>
      </c>
    </row>
    <row r="373" spans="1:10" x14ac:dyDescent="0.25">
      <c r="A373" t="s">
        <v>540</v>
      </c>
      <c r="B373" t="s">
        <v>303</v>
      </c>
      <c r="C373" t="s">
        <v>120</v>
      </c>
      <c r="D373" t="s">
        <v>36</v>
      </c>
      <c r="E373" t="s">
        <v>138</v>
      </c>
      <c r="F373" s="1">
        <v>42737</v>
      </c>
      <c r="G373" s="1">
        <v>42859</v>
      </c>
      <c r="H373">
        <v>572</v>
      </c>
      <c r="I373" t="str">
        <f>IF(COUNTIF(Products!$A$2:$A$8,C373)=0,C373,"")</f>
        <v/>
      </c>
      <c r="J373">
        <f>IF(OR(E373="Prospecting",E373="Engaging"),VLOOKUP(C373,Products!$A$2:$C$8,3,FALSE),0)</f>
        <v>0</v>
      </c>
    </row>
    <row r="374" spans="1:10" x14ac:dyDescent="0.25">
      <c r="A374" t="s">
        <v>541</v>
      </c>
      <c r="B374" t="s">
        <v>191</v>
      </c>
      <c r="C374" t="s">
        <v>120</v>
      </c>
      <c r="D374" t="s">
        <v>56</v>
      </c>
      <c r="E374" t="s">
        <v>138</v>
      </c>
      <c r="F374" s="1">
        <v>42737</v>
      </c>
      <c r="G374" s="1">
        <v>42795</v>
      </c>
      <c r="H374">
        <v>550</v>
      </c>
      <c r="I374" t="str">
        <f>IF(COUNTIF(Products!$A$2:$A$8,C374)=0,C374,"")</f>
        <v/>
      </c>
      <c r="J374">
        <f>IF(OR(E374="Prospecting",E374="Engaging"),VLOOKUP(C374,Products!$A$2:$C$8,3,FALSE),0)</f>
        <v>0</v>
      </c>
    </row>
    <row r="375" spans="1:10" x14ac:dyDescent="0.25">
      <c r="A375" t="s">
        <v>542</v>
      </c>
      <c r="B375" t="s">
        <v>191</v>
      </c>
      <c r="C375" t="s">
        <v>122</v>
      </c>
      <c r="D375" t="s">
        <v>41</v>
      </c>
      <c r="E375" t="s">
        <v>138</v>
      </c>
      <c r="F375" s="1">
        <v>42737</v>
      </c>
      <c r="G375" s="1">
        <v>42811</v>
      </c>
      <c r="H375">
        <v>4125</v>
      </c>
      <c r="I375" t="str">
        <f>IF(COUNTIF(Products!$A$2:$A$8,C375)=0,C375,"")</f>
        <v/>
      </c>
      <c r="J375">
        <f>IF(OR(E375="Prospecting",E375="Engaging"),VLOOKUP(C375,Products!$A$2:$C$8,3,FALSE),0)</f>
        <v>0</v>
      </c>
    </row>
    <row r="376" spans="1:10" x14ac:dyDescent="0.25">
      <c r="A376" t="s">
        <v>543</v>
      </c>
      <c r="B376" t="s">
        <v>205</v>
      </c>
      <c r="C376" t="s">
        <v>125</v>
      </c>
      <c r="D376" t="s">
        <v>116</v>
      </c>
      <c r="E376" t="s">
        <v>138</v>
      </c>
      <c r="F376" s="1">
        <v>42737</v>
      </c>
      <c r="G376" s="1">
        <v>42804</v>
      </c>
      <c r="H376">
        <v>3647</v>
      </c>
      <c r="I376" t="str">
        <f>IF(COUNTIF(Products!$A$2:$A$8,C376)=0,C376,"")</f>
        <v/>
      </c>
      <c r="J376">
        <f>IF(OR(E376="Prospecting",E376="Engaging"),VLOOKUP(C376,Products!$A$2:$C$8,3,FALSE),0)</f>
        <v>0</v>
      </c>
    </row>
    <row r="377" spans="1:10" x14ac:dyDescent="0.25">
      <c r="A377" t="s">
        <v>544</v>
      </c>
      <c r="B377" t="s">
        <v>137</v>
      </c>
      <c r="C377" t="s">
        <v>120</v>
      </c>
      <c r="D377" t="s">
        <v>36</v>
      </c>
      <c r="E377" t="s">
        <v>138</v>
      </c>
      <c r="F377" s="1">
        <v>42737</v>
      </c>
      <c r="G377" s="1">
        <v>42815</v>
      </c>
      <c r="H377">
        <v>573</v>
      </c>
      <c r="I377" t="str">
        <f>IF(COUNTIF(Products!$A$2:$A$8,C377)=0,C377,"")</f>
        <v/>
      </c>
      <c r="J377">
        <f>IF(OR(E377="Prospecting",E377="Engaging"),VLOOKUP(C377,Products!$A$2:$C$8,3,FALSE),0)</f>
        <v>0</v>
      </c>
    </row>
    <row r="378" spans="1:10" x14ac:dyDescent="0.25">
      <c r="A378" t="s">
        <v>545</v>
      </c>
      <c r="B378" t="s">
        <v>177</v>
      </c>
      <c r="C378" t="s">
        <v>120</v>
      </c>
      <c r="D378" t="s">
        <v>112</v>
      </c>
      <c r="E378" t="s">
        <v>138</v>
      </c>
      <c r="F378" s="1">
        <v>42737</v>
      </c>
      <c r="G378" s="1">
        <v>42823</v>
      </c>
      <c r="H378">
        <v>542</v>
      </c>
      <c r="I378" t="str">
        <f>IF(COUNTIF(Products!$A$2:$A$8,C378)=0,C378,"")</f>
        <v/>
      </c>
      <c r="J378">
        <f>IF(OR(E378="Prospecting",E378="Engaging"),VLOOKUP(C378,Products!$A$2:$C$8,3,FALSE),0)</f>
        <v>0</v>
      </c>
    </row>
    <row r="379" spans="1:10" x14ac:dyDescent="0.25">
      <c r="A379" t="s">
        <v>546</v>
      </c>
      <c r="B379" t="s">
        <v>207</v>
      </c>
      <c r="C379" t="s">
        <v>125</v>
      </c>
      <c r="D379" t="s">
        <v>37</v>
      </c>
      <c r="E379" t="s">
        <v>138</v>
      </c>
      <c r="F379" s="1">
        <v>42738</v>
      </c>
      <c r="G379" s="1">
        <v>42806</v>
      </c>
      <c r="H379">
        <v>3479</v>
      </c>
      <c r="I379" t="str">
        <f>IF(COUNTIF(Products!$A$2:$A$8,C379)=0,C379,"")</f>
        <v/>
      </c>
      <c r="J379">
        <f>IF(OR(E379="Prospecting",E379="Engaging"),VLOOKUP(C379,Products!$A$2:$C$8,3,FALSE),0)</f>
        <v>0</v>
      </c>
    </row>
    <row r="380" spans="1:10" x14ac:dyDescent="0.25">
      <c r="A380" t="s">
        <v>547</v>
      </c>
      <c r="B380" t="s">
        <v>171</v>
      </c>
      <c r="C380" t="s">
        <v>125</v>
      </c>
      <c r="D380" t="s">
        <v>48</v>
      </c>
      <c r="E380" t="s">
        <v>159</v>
      </c>
      <c r="F380" s="1">
        <v>42738</v>
      </c>
      <c r="G380" s="1">
        <v>42816</v>
      </c>
      <c r="H380">
        <v>0</v>
      </c>
      <c r="I380" t="str">
        <f>IF(COUNTIF(Products!$A$2:$A$8,C380)=0,C380,"")</f>
        <v/>
      </c>
      <c r="J380">
        <f>IF(OR(E380="Prospecting",E380="Engaging"),VLOOKUP(C380,Products!$A$2:$C$8,3,FALSE),0)</f>
        <v>0</v>
      </c>
    </row>
    <row r="381" spans="1:10" x14ac:dyDescent="0.25">
      <c r="A381" t="s">
        <v>548</v>
      </c>
      <c r="B381" t="s">
        <v>140</v>
      </c>
      <c r="C381" t="s">
        <v>127</v>
      </c>
      <c r="D381" t="s">
        <v>94</v>
      </c>
      <c r="E381" t="s">
        <v>138</v>
      </c>
      <c r="F381" s="1">
        <v>42738</v>
      </c>
      <c r="G381" s="1">
        <v>42815</v>
      </c>
      <c r="H381">
        <v>1012</v>
      </c>
      <c r="I381" t="str">
        <f>IF(COUNTIF(Products!$A$2:$A$8,C381)=0,C381,"")</f>
        <v/>
      </c>
      <c r="J381">
        <f>IF(OR(E381="Prospecting",E381="Engaging"),VLOOKUP(C381,Products!$A$2:$C$8,3,FALSE),0)</f>
        <v>0</v>
      </c>
    </row>
    <row r="382" spans="1:10" x14ac:dyDescent="0.25">
      <c r="A382" t="s">
        <v>549</v>
      </c>
      <c r="B382" t="s">
        <v>164</v>
      </c>
      <c r="C382" t="s">
        <v>123</v>
      </c>
      <c r="E382" t="s">
        <v>155</v>
      </c>
      <c r="F382" s="1">
        <v>42738</v>
      </c>
      <c r="I382" t="str">
        <f>IF(COUNTIF(Products!$A$2:$A$8,C382)=0,C382,"")</f>
        <v/>
      </c>
      <c r="J382">
        <f>IF(OR(E382="Prospecting",E382="Engaging"),VLOOKUP(C382,Products!$A$2:$C$8,3,FALSE),0)</f>
        <v>55</v>
      </c>
    </row>
    <row r="383" spans="1:10" x14ac:dyDescent="0.25">
      <c r="A383" t="s">
        <v>550</v>
      </c>
      <c r="B383" t="s">
        <v>154</v>
      </c>
      <c r="C383" t="s">
        <v>127</v>
      </c>
      <c r="D383" t="s">
        <v>34</v>
      </c>
      <c r="E383" t="s">
        <v>138</v>
      </c>
      <c r="F383" s="1">
        <v>42738</v>
      </c>
      <c r="G383" s="1">
        <v>42800</v>
      </c>
      <c r="H383">
        <v>990</v>
      </c>
      <c r="I383" t="str">
        <f>IF(COUNTIF(Products!$A$2:$A$8,C383)=0,C383,"")</f>
        <v/>
      </c>
      <c r="J383">
        <f>IF(OR(E383="Prospecting",E383="Engaging"),VLOOKUP(C383,Products!$A$2:$C$8,3,FALSE),0)</f>
        <v>0</v>
      </c>
    </row>
    <row r="384" spans="1:10" x14ac:dyDescent="0.25">
      <c r="A384" t="s">
        <v>551</v>
      </c>
      <c r="B384" t="s">
        <v>154</v>
      </c>
      <c r="C384" t="s">
        <v>122</v>
      </c>
      <c r="D384" t="s">
        <v>100</v>
      </c>
      <c r="E384" t="s">
        <v>138</v>
      </c>
      <c r="F384" s="1">
        <v>42738</v>
      </c>
      <c r="G384" s="1">
        <v>42812</v>
      </c>
      <c r="H384">
        <v>4374</v>
      </c>
      <c r="I384" t="str">
        <f>IF(COUNTIF(Products!$A$2:$A$8,C384)=0,C384,"")</f>
        <v/>
      </c>
      <c r="J384">
        <f>IF(OR(E384="Prospecting",E384="Engaging"),VLOOKUP(C384,Products!$A$2:$C$8,3,FALSE),0)</f>
        <v>0</v>
      </c>
    </row>
    <row r="385" spans="1:10" x14ac:dyDescent="0.25">
      <c r="A385" t="s">
        <v>552</v>
      </c>
      <c r="B385" t="s">
        <v>191</v>
      </c>
      <c r="C385" t="s">
        <v>120</v>
      </c>
      <c r="D385" t="s">
        <v>44</v>
      </c>
      <c r="E385" t="s">
        <v>159</v>
      </c>
      <c r="F385" s="1">
        <v>42738</v>
      </c>
      <c r="G385" s="1">
        <v>42811</v>
      </c>
      <c r="H385">
        <v>0</v>
      </c>
      <c r="I385" t="str">
        <f>IF(COUNTIF(Products!$A$2:$A$8,C385)=0,C385,"")</f>
        <v/>
      </c>
      <c r="J385">
        <f>IF(OR(E385="Prospecting",E385="Engaging"),VLOOKUP(C385,Products!$A$2:$C$8,3,FALSE),0)</f>
        <v>0</v>
      </c>
    </row>
    <row r="386" spans="1:10" x14ac:dyDescent="0.25">
      <c r="A386" t="s">
        <v>553</v>
      </c>
      <c r="B386" t="s">
        <v>191</v>
      </c>
      <c r="C386" t="s">
        <v>127</v>
      </c>
      <c r="D386" t="s">
        <v>107</v>
      </c>
      <c r="E386" t="s">
        <v>138</v>
      </c>
      <c r="F386" s="1">
        <v>42738</v>
      </c>
      <c r="G386" s="1">
        <v>42824</v>
      </c>
      <c r="H386">
        <v>1054</v>
      </c>
      <c r="I386" t="str">
        <f>IF(COUNTIF(Products!$A$2:$A$8,C386)=0,C386,"")</f>
        <v/>
      </c>
      <c r="J386">
        <f>IF(OR(E386="Prospecting",E386="Engaging"),VLOOKUP(C386,Products!$A$2:$C$8,3,FALSE),0)</f>
        <v>0</v>
      </c>
    </row>
    <row r="387" spans="1:10" x14ac:dyDescent="0.25">
      <c r="A387" t="s">
        <v>554</v>
      </c>
      <c r="B387" t="s">
        <v>148</v>
      </c>
      <c r="C387" t="s">
        <v>123</v>
      </c>
      <c r="D387" t="s">
        <v>90</v>
      </c>
      <c r="E387" t="s">
        <v>138</v>
      </c>
      <c r="F387" s="1">
        <v>42738</v>
      </c>
      <c r="G387" s="1">
        <v>42809</v>
      </c>
      <c r="H387">
        <v>55</v>
      </c>
      <c r="I387" t="str">
        <f>IF(COUNTIF(Products!$A$2:$A$8,C387)=0,C387,"")</f>
        <v/>
      </c>
      <c r="J387">
        <f>IF(OR(E387="Prospecting",E387="Engaging"),VLOOKUP(C387,Products!$A$2:$C$8,3,FALSE),0)</f>
        <v>0</v>
      </c>
    </row>
    <row r="388" spans="1:10" x14ac:dyDescent="0.25">
      <c r="A388" t="s">
        <v>555</v>
      </c>
      <c r="B388" t="s">
        <v>177</v>
      </c>
      <c r="C388" t="s">
        <v>123</v>
      </c>
      <c r="D388" t="s">
        <v>48</v>
      </c>
      <c r="E388" t="s">
        <v>159</v>
      </c>
      <c r="F388" s="1">
        <v>42738</v>
      </c>
      <c r="G388" s="1">
        <v>42799</v>
      </c>
      <c r="H388">
        <v>0</v>
      </c>
      <c r="I388" t="str">
        <f>IF(COUNTIF(Products!$A$2:$A$8,C388)=0,C388,"")</f>
        <v/>
      </c>
      <c r="J388">
        <f>IF(OR(E388="Prospecting",E388="Engaging"),VLOOKUP(C388,Products!$A$2:$C$8,3,FALSE),0)</f>
        <v>0</v>
      </c>
    </row>
    <row r="389" spans="1:10" x14ac:dyDescent="0.25">
      <c r="A389" t="s">
        <v>556</v>
      </c>
      <c r="B389" t="s">
        <v>222</v>
      </c>
      <c r="C389" t="s">
        <v>127</v>
      </c>
      <c r="D389" t="s">
        <v>65</v>
      </c>
      <c r="E389" t="s">
        <v>138</v>
      </c>
      <c r="F389" s="1">
        <v>42739</v>
      </c>
      <c r="G389" s="1">
        <v>42819</v>
      </c>
      <c r="H389">
        <v>1073</v>
      </c>
      <c r="I389" t="str">
        <f>IF(COUNTIF(Products!$A$2:$A$8,C389)=0,C389,"")</f>
        <v/>
      </c>
      <c r="J389">
        <f>IF(OR(E389="Prospecting",E389="Engaging"),VLOOKUP(C389,Products!$A$2:$C$8,3,FALSE),0)</f>
        <v>0</v>
      </c>
    </row>
    <row r="390" spans="1:10" x14ac:dyDescent="0.25">
      <c r="A390" t="s">
        <v>557</v>
      </c>
      <c r="B390" t="s">
        <v>264</v>
      </c>
      <c r="C390" t="s">
        <v>125</v>
      </c>
      <c r="D390" t="s">
        <v>51</v>
      </c>
      <c r="E390" t="s">
        <v>159</v>
      </c>
      <c r="F390" s="1">
        <v>42739</v>
      </c>
      <c r="G390" s="1">
        <v>42814</v>
      </c>
      <c r="H390">
        <v>0</v>
      </c>
      <c r="I390" t="str">
        <f>IF(COUNTIF(Products!$A$2:$A$8,C390)=0,C390,"")</f>
        <v/>
      </c>
      <c r="J390">
        <f>IF(OR(E390="Prospecting",E390="Engaging"),VLOOKUP(C390,Products!$A$2:$C$8,3,FALSE),0)</f>
        <v>0</v>
      </c>
    </row>
    <row r="391" spans="1:10" x14ac:dyDescent="0.25">
      <c r="A391" t="s">
        <v>558</v>
      </c>
      <c r="B391" t="s">
        <v>171</v>
      </c>
      <c r="C391" t="s">
        <v>126</v>
      </c>
      <c r="E391" t="s">
        <v>155</v>
      </c>
      <c r="F391" s="1">
        <v>42739</v>
      </c>
      <c r="I391" t="str">
        <f>IF(COUNTIF(Products!$A$2:$A$8,C391)=0,C391,"")</f>
        <v/>
      </c>
      <c r="J391">
        <f>IF(OR(E391="Prospecting",E391="Engaging"),VLOOKUP(C391,Products!$A$2:$C$8,3,FALSE),0)</f>
        <v>5482</v>
      </c>
    </row>
    <row r="392" spans="1:10" x14ac:dyDescent="0.25">
      <c r="A392" t="s">
        <v>559</v>
      </c>
      <c r="B392" t="s">
        <v>154</v>
      </c>
      <c r="C392" t="s">
        <v>125</v>
      </c>
      <c r="E392" t="s">
        <v>155</v>
      </c>
      <c r="F392" s="1">
        <v>42739</v>
      </c>
      <c r="I392" t="str">
        <f>IF(COUNTIF(Products!$A$2:$A$8,C392)=0,C392,"")</f>
        <v/>
      </c>
      <c r="J392">
        <f>IF(OR(E392="Prospecting",E392="Engaging"),VLOOKUP(C392,Products!$A$2:$C$8,3,FALSE),0)</f>
        <v>3393</v>
      </c>
    </row>
    <row r="393" spans="1:10" x14ac:dyDescent="0.25">
      <c r="A393" t="s">
        <v>560</v>
      </c>
      <c r="B393" t="s">
        <v>191</v>
      </c>
      <c r="C393" t="s">
        <v>120</v>
      </c>
      <c r="E393" t="s">
        <v>155</v>
      </c>
      <c r="F393" s="1">
        <v>42739</v>
      </c>
      <c r="I393" t="str">
        <f>IF(COUNTIF(Products!$A$2:$A$8,C393)=0,C393,"")</f>
        <v/>
      </c>
      <c r="J393">
        <f>IF(OR(E393="Prospecting",E393="Engaging"),VLOOKUP(C393,Products!$A$2:$C$8,3,FALSE),0)</f>
        <v>550</v>
      </c>
    </row>
    <row r="394" spans="1:10" x14ac:dyDescent="0.25">
      <c r="A394" t="s">
        <v>561</v>
      </c>
      <c r="B394" t="s">
        <v>191</v>
      </c>
      <c r="C394" t="s">
        <v>120</v>
      </c>
      <c r="D394" t="s">
        <v>39</v>
      </c>
      <c r="E394" t="s">
        <v>138</v>
      </c>
      <c r="F394" s="1">
        <v>42739</v>
      </c>
      <c r="G394" s="1">
        <v>42810</v>
      </c>
      <c r="H394">
        <v>586</v>
      </c>
      <c r="I394" t="str">
        <f>IF(COUNTIF(Products!$A$2:$A$8,C394)=0,C394,"")</f>
        <v/>
      </c>
      <c r="J394">
        <f>IF(OR(E394="Prospecting",E394="Engaging"),VLOOKUP(C394,Products!$A$2:$C$8,3,FALSE),0)</f>
        <v>0</v>
      </c>
    </row>
    <row r="395" spans="1:10" x14ac:dyDescent="0.25">
      <c r="A395" t="s">
        <v>562</v>
      </c>
      <c r="B395" t="s">
        <v>205</v>
      </c>
      <c r="C395" t="s">
        <v>122</v>
      </c>
      <c r="D395" t="s">
        <v>104</v>
      </c>
      <c r="E395" t="s">
        <v>138</v>
      </c>
      <c r="F395" s="1">
        <v>42739</v>
      </c>
      <c r="G395" s="1">
        <v>42860</v>
      </c>
      <c r="H395">
        <v>4667</v>
      </c>
      <c r="I395" t="str">
        <f>IF(COUNTIF(Products!$A$2:$A$8,C395)=0,C395,"")</f>
        <v/>
      </c>
      <c r="J395">
        <f>IF(OR(E395="Prospecting",E395="Engaging"),VLOOKUP(C395,Products!$A$2:$C$8,3,FALSE),0)</f>
        <v>0</v>
      </c>
    </row>
    <row r="396" spans="1:10" x14ac:dyDescent="0.25">
      <c r="A396" t="s">
        <v>563</v>
      </c>
      <c r="B396" t="s">
        <v>148</v>
      </c>
      <c r="C396" t="s">
        <v>127</v>
      </c>
      <c r="D396" t="s">
        <v>61</v>
      </c>
      <c r="E396" t="s">
        <v>138</v>
      </c>
      <c r="F396" s="1">
        <v>42739</v>
      </c>
      <c r="G396" s="1">
        <v>42822</v>
      </c>
      <c r="H396">
        <v>880</v>
      </c>
      <c r="I396" t="str">
        <f>IF(COUNTIF(Products!$A$2:$A$8,C396)=0,C396,"")</f>
        <v/>
      </c>
      <c r="J396">
        <f>IF(OR(E396="Prospecting",E396="Engaging"),VLOOKUP(C396,Products!$A$2:$C$8,3,FALSE),0)</f>
        <v>0</v>
      </c>
    </row>
    <row r="397" spans="1:10" x14ac:dyDescent="0.25">
      <c r="A397" t="s">
        <v>564</v>
      </c>
      <c r="B397" t="s">
        <v>148</v>
      </c>
      <c r="C397" t="s">
        <v>125</v>
      </c>
      <c r="D397" t="s">
        <v>82</v>
      </c>
      <c r="E397" t="s">
        <v>138</v>
      </c>
      <c r="F397" s="1">
        <v>42739</v>
      </c>
      <c r="G397" s="1">
        <v>42806</v>
      </c>
      <c r="H397">
        <v>3676</v>
      </c>
      <c r="I397" t="str">
        <f>IF(COUNTIF(Products!$A$2:$A$8,C397)=0,C397,"")</f>
        <v/>
      </c>
      <c r="J397">
        <f>IF(OR(E397="Prospecting",E397="Engaging"),VLOOKUP(C397,Products!$A$2:$C$8,3,FALSE),0)</f>
        <v>0</v>
      </c>
    </row>
    <row r="398" spans="1:10" x14ac:dyDescent="0.25">
      <c r="A398" t="s">
        <v>565</v>
      </c>
      <c r="B398" t="s">
        <v>196</v>
      </c>
      <c r="C398" t="s">
        <v>123</v>
      </c>
      <c r="E398" t="s">
        <v>155</v>
      </c>
      <c r="F398" s="1">
        <v>42739</v>
      </c>
      <c r="I398" t="str">
        <f>IF(COUNTIF(Products!$A$2:$A$8,C398)=0,C398,"")</f>
        <v/>
      </c>
      <c r="J398">
        <f>IF(OR(E398="Prospecting",E398="Engaging"),VLOOKUP(C398,Products!$A$2:$C$8,3,FALSE),0)</f>
        <v>55</v>
      </c>
    </row>
    <row r="399" spans="1:10" x14ac:dyDescent="0.25">
      <c r="A399" t="s">
        <v>566</v>
      </c>
      <c r="B399" t="s">
        <v>146</v>
      </c>
      <c r="C399" t="s">
        <v>125</v>
      </c>
      <c r="D399" t="s">
        <v>46</v>
      </c>
      <c r="E399" t="s">
        <v>159</v>
      </c>
      <c r="F399" s="1">
        <v>42740</v>
      </c>
      <c r="G399" s="1">
        <v>42819</v>
      </c>
      <c r="H399">
        <v>0</v>
      </c>
      <c r="I399" t="str">
        <f>IF(COUNTIF(Products!$A$2:$A$8,C399)=0,C399,"")</f>
        <v/>
      </c>
      <c r="J399">
        <f>IF(OR(E399="Prospecting",E399="Engaging"),VLOOKUP(C399,Products!$A$2:$C$8,3,FALSE),0)</f>
        <v>0</v>
      </c>
    </row>
    <row r="400" spans="1:10" x14ac:dyDescent="0.25">
      <c r="A400" t="s">
        <v>567</v>
      </c>
      <c r="B400" t="s">
        <v>171</v>
      </c>
      <c r="C400" t="s">
        <v>126</v>
      </c>
      <c r="E400" t="s">
        <v>155</v>
      </c>
      <c r="F400" s="1">
        <v>42740</v>
      </c>
      <c r="I400" t="str">
        <f>IF(COUNTIF(Products!$A$2:$A$8,C400)=0,C400,"")</f>
        <v/>
      </c>
      <c r="J400">
        <f>IF(OR(E400="Prospecting",E400="Engaging"),VLOOKUP(C400,Products!$A$2:$C$8,3,FALSE),0)</f>
        <v>5482</v>
      </c>
    </row>
    <row r="401" spans="1:10" x14ac:dyDescent="0.25">
      <c r="A401" t="s">
        <v>568</v>
      </c>
      <c r="B401" t="s">
        <v>140</v>
      </c>
      <c r="C401" t="s">
        <v>122</v>
      </c>
      <c r="D401" t="s">
        <v>104</v>
      </c>
      <c r="E401" t="s">
        <v>159</v>
      </c>
      <c r="F401" s="1">
        <v>42740</v>
      </c>
      <c r="G401" s="1">
        <v>42803</v>
      </c>
      <c r="H401">
        <v>0</v>
      </c>
      <c r="I401" t="str">
        <f>IF(COUNTIF(Products!$A$2:$A$8,C401)=0,C401,"")</f>
        <v/>
      </c>
      <c r="J401">
        <f>IF(OR(E401="Prospecting",E401="Engaging"),VLOOKUP(C401,Products!$A$2:$C$8,3,FALSE),0)</f>
        <v>0</v>
      </c>
    </row>
    <row r="402" spans="1:10" x14ac:dyDescent="0.25">
      <c r="A402" t="s">
        <v>569</v>
      </c>
      <c r="B402" t="s">
        <v>198</v>
      </c>
      <c r="C402" t="s">
        <v>127</v>
      </c>
      <c r="D402" t="s">
        <v>81</v>
      </c>
      <c r="E402" t="s">
        <v>159</v>
      </c>
      <c r="F402" s="1">
        <v>42740</v>
      </c>
      <c r="G402" s="1">
        <v>42820</v>
      </c>
      <c r="H402">
        <v>0</v>
      </c>
      <c r="I402" t="str">
        <f>IF(COUNTIF(Products!$A$2:$A$8,C402)=0,C402,"")</f>
        <v/>
      </c>
      <c r="J402">
        <f>IF(OR(E402="Prospecting",E402="Engaging"),VLOOKUP(C402,Products!$A$2:$C$8,3,FALSE),0)</f>
        <v>0</v>
      </c>
    </row>
    <row r="403" spans="1:10" x14ac:dyDescent="0.25">
      <c r="A403" t="s">
        <v>570</v>
      </c>
      <c r="B403" t="s">
        <v>303</v>
      </c>
      <c r="C403" t="s">
        <v>122</v>
      </c>
      <c r="D403" t="s">
        <v>104</v>
      </c>
      <c r="E403" t="s">
        <v>138</v>
      </c>
      <c r="F403" s="1">
        <v>42740</v>
      </c>
      <c r="G403" s="1">
        <v>42813</v>
      </c>
      <c r="H403">
        <v>4716</v>
      </c>
      <c r="I403" t="str">
        <f>IF(COUNTIF(Products!$A$2:$A$8,C403)=0,C403,"")</f>
        <v/>
      </c>
      <c r="J403">
        <f>IF(OR(E403="Prospecting",E403="Engaging"),VLOOKUP(C403,Products!$A$2:$C$8,3,FALSE),0)</f>
        <v>0</v>
      </c>
    </row>
    <row r="404" spans="1:10" x14ac:dyDescent="0.25">
      <c r="A404" t="s">
        <v>571</v>
      </c>
      <c r="B404" t="s">
        <v>180</v>
      </c>
      <c r="C404" t="s">
        <v>125</v>
      </c>
      <c r="E404" t="s">
        <v>155</v>
      </c>
      <c r="F404" s="1">
        <v>42740</v>
      </c>
      <c r="I404" t="str">
        <f>IF(COUNTIF(Products!$A$2:$A$8,C404)=0,C404,"")</f>
        <v/>
      </c>
      <c r="J404">
        <f>IF(OR(E404="Prospecting",E404="Engaging"),VLOOKUP(C404,Products!$A$2:$C$8,3,FALSE),0)</f>
        <v>3393</v>
      </c>
    </row>
    <row r="405" spans="1:10" x14ac:dyDescent="0.25">
      <c r="A405" t="s">
        <v>572</v>
      </c>
      <c r="B405" t="s">
        <v>191</v>
      </c>
      <c r="C405" t="s">
        <v>120</v>
      </c>
      <c r="D405" t="s">
        <v>17</v>
      </c>
      <c r="E405" t="s">
        <v>159</v>
      </c>
      <c r="F405" s="1">
        <v>42740</v>
      </c>
      <c r="G405" s="1">
        <v>42824</v>
      </c>
      <c r="H405">
        <v>0</v>
      </c>
      <c r="I405" t="str">
        <f>IF(COUNTIF(Products!$A$2:$A$8,C405)=0,C405,"")</f>
        <v/>
      </c>
      <c r="J405">
        <f>IF(OR(E405="Prospecting",E405="Engaging"),VLOOKUP(C405,Products!$A$2:$C$8,3,FALSE),0)</f>
        <v>0</v>
      </c>
    </row>
    <row r="406" spans="1:10" x14ac:dyDescent="0.25">
      <c r="A406" t="s">
        <v>573</v>
      </c>
      <c r="B406" t="s">
        <v>148</v>
      </c>
      <c r="C406" t="s">
        <v>122</v>
      </c>
      <c r="D406" t="s">
        <v>56</v>
      </c>
      <c r="E406" t="s">
        <v>138</v>
      </c>
      <c r="F406" s="1">
        <v>42740</v>
      </c>
      <c r="G406" s="1">
        <v>42817</v>
      </c>
      <c r="H406">
        <v>4211</v>
      </c>
      <c r="I406" t="str">
        <f>IF(COUNTIF(Products!$A$2:$A$8,C406)=0,C406,"")</f>
        <v/>
      </c>
      <c r="J406">
        <f>IF(OR(E406="Prospecting",E406="Engaging"),VLOOKUP(C406,Products!$A$2:$C$8,3,FALSE),0)</f>
        <v>0</v>
      </c>
    </row>
    <row r="407" spans="1:10" x14ac:dyDescent="0.25">
      <c r="A407" t="s">
        <v>574</v>
      </c>
      <c r="B407" t="s">
        <v>146</v>
      </c>
      <c r="C407" t="s">
        <v>125</v>
      </c>
      <c r="D407" t="s">
        <v>46</v>
      </c>
      <c r="E407" t="s">
        <v>159</v>
      </c>
      <c r="F407" s="1">
        <v>42741</v>
      </c>
      <c r="G407" s="1">
        <v>42815</v>
      </c>
      <c r="H407">
        <v>0</v>
      </c>
      <c r="I407" t="str">
        <f>IF(COUNTIF(Products!$A$2:$A$8,C407)=0,C407,"")</f>
        <v/>
      </c>
      <c r="J407">
        <f>IF(OR(E407="Prospecting",E407="Engaging"),VLOOKUP(C407,Products!$A$2:$C$8,3,FALSE),0)</f>
        <v>0</v>
      </c>
    </row>
    <row r="408" spans="1:10" x14ac:dyDescent="0.25">
      <c r="A408" t="s">
        <v>575</v>
      </c>
      <c r="B408" t="s">
        <v>222</v>
      </c>
      <c r="C408" t="s">
        <v>126</v>
      </c>
      <c r="E408" t="s">
        <v>155</v>
      </c>
      <c r="F408" s="1">
        <v>42741</v>
      </c>
      <c r="I408" t="str">
        <f>IF(COUNTIF(Products!$A$2:$A$8,C408)=0,C408,"")</f>
        <v/>
      </c>
      <c r="J408">
        <f>IF(OR(E408="Prospecting",E408="Engaging"),VLOOKUP(C408,Products!$A$2:$C$8,3,FALSE),0)</f>
        <v>5482</v>
      </c>
    </row>
    <row r="409" spans="1:10" x14ac:dyDescent="0.25">
      <c r="A409" t="s">
        <v>576</v>
      </c>
      <c r="B409" t="s">
        <v>140</v>
      </c>
      <c r="C409" t="s">
        <v>122</v>
      </c>
      <c r="D409" t="s">
        <v>26</v>
      </c>
      <c r="E409" t="s">
        <v>159</v>
      </c>
      <c r="F409" s="1">
        <v>42741</v>
      </c>
      <c r="G409" s="1">
        <v>42812</v>
      </c>
      <c r="H409">
        <v>0</v>
      </c>
      <c r="I409" t="str">
        <f>IF(COUNTIF(Products!$A$2:$A$8,C409)=0,C409,"")</f>
        <v/>
      </c>
      <c r="J409">
        <f>IF(OR(E409="Prospecting",E409="Engaging"),VLOOKUP(C409,Products!$A$2:$C$8,3,FALSE),0)</f>
        <v>0</v>
      </c>
    </row>
    <row r="410" spans="1:10" x14ac:dyDescent="0.25">
      <c r="A410" t="s">
        <v>577</v>
      </c>
      <c r="B410" t="s">
        <v>140</v>
      </c>
      <c r="C410" t="s">
        <v>123</v>
      </c>
      <c r="D410" t="s">
        <v>103</v>
      </c>
      <c r="E410" t="s">
        <v>138</v>
      </c>
      <c r="F410" s="1">
        <v>42741</v>
      </c>
      <c r="G410" s="1">
        <v>42811</v>
      </c>
      <c r="H410">
        <v>56</v>
      </c>
      <c r="I410" t="str">
        <f>IF(COUNTIF(Products!$A$2:$A$8,C410)=0,C410,"")</f>
        <v/>
      </c>
      <c r="J410">
        <f>IF(OR(E410="Prospecting",E410="Engaging"),VLOOKUP(C410,Products!$A$2:$C$8,3,FALSE),0)</f>
        <v>0</v>
      </c>
    </row>
    <row r="411" spans="1:10" x14ac:dyDescent="0.25">
      <c r="A411" t="s">
        <v>578</v>
      </c>
      <c r="B411" t="s">
        <v>158</v>
      </c>
      <c r="C411" t="s">
        <v>123</v>
      </c>
      <c r="D411" t="s">
        <v>89</v>
      </c>
      <c r="E411" t="s">
        <v>159</v>
      </c>
      <c r="F411" s="1">
        <v>42741</v>
      </c>
      <c r="G411" s="1">
        <v>42817</v>
      </c>
      <c r="H411">
        <v>0</v>
      </c>
      <c r="I411" t="str">
        <f>IF(COUNTIF(Products!$A$2:$A$8,C411)=0,C411,"")</f>
        <v/>
      </c>
      <c r="J411">
        <f>IF(OR(E411="Prospecting",E411="Engaging"),VLOOKUP(C411,Products!$A$2:$C$8,3,FALSE),0)</f>
        <v>0</v>
      </c>
    </row>
    <row r="412" spans="1:10" x14ac:dyDescent="0.25">
      <c r="A412" t="s">
        <v>579</v>
      </c>
      <c r="B412" t="s">
        <v>158</v>
      </c>
      <c r="C412" t="s">
        <v>123</v>
      </c>
      <c r="D412" t="s">
        <v>46</v>
      </c>
      <c r="E412" t="s">
        <v>138</v>
      </c>
      <c r="F412" s="1">
        <v>42741</v>
      </c>
      <c r="G412" s="1">
        <v>42817</v>
      </c>
      <c r="H412">
        <v>44</v>
      </c>
      <c r="I412" t="str">
        <f>IF(COUNTIF(Products!$A$2:$A$8,C412)=0,C412,"")</f>
        <v/>
      </c>
      <c r="J412">
        <f>IF(OR(E412="Prospecting",E412="Engaging"),VLOOKUP(C412,Products!$A$2:$C$8,3,FALSE),0)</f>
        <v>0</v>
      </c>
    </row>
    <row r="413" spans="1:10" x14ac:dyDescent="0.25">
      <c r="A413" t="s">
        <v>580</v>
      </c>
      <c r="B413" t="s">
        <v>191</v>
      </c>
      <c r="C413" t="s">
        <v>120</v>
      </c>
      <c r="D413" t="s">
        <v>69</v>
      </c>
      <c r="E413" t="s">
        <v>138</v>
      </c>
      <c r="F413" s="1">
        <v>42741</v>
      </c>
      <c r="G413" s="1">
        <v>42821</v>
      </c>
      <c r="H413">
        <v>532</v>
      </c>
      <c r="I413" t="str">
        <f>IF(COUNTIF(Products!$A$2:$A$8,C413)=0,C413,"")</f>
        <v/>
      </c>
      <c r="J413">
        <f>IF(OR(E413="Prospecting",E413="Engaging"),VLOOKUP(C413,Products!$A$2:$C$8,3,FALSE),0)</f>
        <v>0</v>
      </c>
    </row>
    <row r="414" spans="1:10" x14ac:dyDescent="0.25">
      <c r="A414" t="s">
        <v>581</v>
      </c>
      <c r="B414" t="s">
        <v>217</v>
      </c>
      <c r="C414" t="s">
        <v>120</v>
      </c>
      <c r="D414" t="s">
        <v>104</v>
      </c>
      <c r="E414" t="s">
        <v>159</v>
      </c>
      <c r="F414" s="1">
        <v>42741</v>
      </c>
      <c r="G414" s="1">
        <v>42865</v>
      </c>
      <c r="H414">
        <v>0</v>
      </c>
      <c r="I414" t="str">
        <f>IF(COUNTIF(Products!$A$2:$A$8,C414)=0,C414,"")</f>
        <v/>
      </c>
      <c r="J414">
        <f>IF(OR(E414="Prospecting",E414="Engaging"),VLOOKUP(C414,Products!$A$2:$C$8,3,FALSE),0)</f>
        <v>0</v>
      </c>
    </row>
    <row r="415" spans="1:10" x14ac:dyDescent="0.25">
      <c r="A415" t="s">
        <v>582</v>
      </c>
      <c r="B415" t="s">
        <v>217</v>
      </c>
      <c r="C415" t="s">
        <v>120</v>
      </c>
      <c r="D415" t="s">
        <v>116</v>
      </c>
      <c r="E415" t="s">
        <v>159</v>
      </c>
      <c r="F415" s="1">
        <v>42741</v>
      </c>
      <c r="G415" s="1">
        <v>42814</v>
      </c>
      <c r="H415">
        <v>0</v>
      </c>
      <c r="I415" t="str">
        <f>IF(COUNTIF(Products!$A$2:$A$8,C415)=0,C415,"")</f>
        <v/>
      </c>
      <c r="J415">
        <f>IF(OR(E415="Prospecting",E415="Engaging"),VLOOKUP(C415,Products!$A$2:$C$8,3,FALSE),0)</f>
        <v>0</v>
      </c>
    </row>
    <row r="416" spans="1:10" x14ac:dyDescent="0.25">
      <c r="A416" t="s">
        <v>583</v>
      </c>
      <c r="B416" t="s">
        <v>193</v>
      </c>
      <c r="C416" t="s">
        <v>122</v>
      </c>
      <c r="D416" t="s">
        <v>68</v>
      </c>
      <c r="E416" t="s">
        <v>159</v>
      </c>
      <c r="F416" s="1">
        <v>42741</v>
      </c>
      <c r="G416" s="1">
        <v>42811</v>
      </c>
      <c r="H416">
        <v>0</v>
      </c>
      <c r="I416" t="str">
        <f>IF(COUNTIF(Products!$A$2:$A$8,C416)=0,C416,"")</f>
        <v/>
      </c>
      <c r="J416">
        <f>IF(OR(E416="Prospecting",E416="Engaging"),VLOOKUP(C416,Products!$A$2:$C$8,3,FALSE),0)</f>
        <v>0</v>
      </c>
    </row>
    <row r="417" spans="1:10" x14ac:dyDescent="0.25">
      <c r="A417" t="s">
        <v>584</v>
      </c>
      <c r="B417" t="s">
        <v>169</v>
      </c>
      <c r="C417" t="s">
        <v>120</v>
      </c>
      <c r="D417" t="s">
        <v>33</v>
      </c>
      <c r="E417" t="s">
        <v>159</v>
      </c>
      <c r="F417" s="1">
        <v>42741</v>
      </c>
      <c r="G417" s="1">
        <v>42818</v>
      </c>
      <c r="H417">
        <v>0</v>
      </c>
      <c r="I417" t="str">
        <f>IF(COUNTIF(Products!$A$2:$A$8,C417)=0,C417,"")</f>
        <v/>
      </c>
      <c r="J417">
        <f>IF(OR(E417="Prospecting",E417="Engaging"),VLOOKUP(C417,Products!$A$2:$C$8,3,FALSE),0)</f>
        <v>0</v>
      </c>
    </row>
    <row r="418" spans="1:10" x14ac:dyDescent="0.25">
      <c r="A418" t="s">
        <v>585</v>
      </c>
      <c r="B418" t="s">
        <v>146</v>
      </c>
      <c r="C418" t="s">
        <v>120</v>
      </c>
      <c r="D418" t="s">
        <v>64</v>
      </c>
      <c r="E418" t="s">
        <v>138</v>
      </c>
      <c r="F418" s="1">
        <v>42742</v>
      </c>
      <c r="G418" s="1">
        <v>42802</v>
      </c>
      <c r="H418">
        <v>622</v>
      </c>
      <c r="I418" t="str">
        <f>IF(COUNTIF(Products!$A$2:$A$8,C418)=0,C418,"")</f>
        <v/>
      </c>
      <c r="J418">
        <f>IF(OR(E418="Prospecting",E418="Engaging"),VLOOKUP(C418,Products!$A$2:$C$8,3,FALSE),0)</f>
        <v>0</v>
      </c>
    </row>
    <row r="419" spans="1:10" x14ac:dyDescent="0.25">
      <c r="A419" t="s">
        <v>586</v>
      </c>
      <c r="B419" t="s">
        <v>207</v>
      </c>
      <c r="C419" t="s">
        <v>120</v>
      </c>
      <c r="E419" t="s">
        <v>155</v>
      </c>
      <c r="F419" s="1">
        <v>42742</v>
      </c>
      <c r="I419" t="str">
        <f>IF(COUNTIF(Products!$A$2:$A$8,C419)=0,C419,"")</f>
        <v/>
      </c>
      <c r="J419">
        <f>IF(OR(E419="Prospecting",E419="Engaging"),VLOOKUP(C419,Products!$A$2:$C$8,3,FALSE),0)</f>
        <v>550</v>
      </c>
    </row>
    <row r="420" spans="1:10" x14ac:dyDescent="0.25">
      <c r="A420" t="s">
        <v>587</v>
      </c>
      <c r="B420" t="s">
        <v>264</v>
      </c>
      <c r="C420" t="s">
        <v>126</v>
      </c>
      <c r="D420" t="s">
        <v>22</v>
      </c>
      <c r="E420" t="s">
        <v>159</v>
      </c>
      <c r="F420" s="1">
        <v>42742</v>
      </c>
      <c r="G420" s="1">
        <v>42799</v>
      </c>
      <c r="H420">
        <v>0</v>
      </c>
      <c r="I420" t="str">
        <f>IF(COUNTIF(Products!$A$2:$A$8,C420)=0,C420,"")</f>
        <v/>
      </c>
      <c r="J420">
        <f>IF(OR(E420="Prospecting",E420="Engaging"),VLOOKUP(C420,Products!$A$2:$C$8,3,FALSE),0)</f>
        <v>0</v>
      </c>
    </row>
    <row r="421" spans="1:10" x14ac:dyDescent="0.25">
      <c r="A421" t="s">
        <v>588</v>
      </c>
      <c r="B421" t="s">
        <v>239</v>
      </c>
      <c r="C421" t="s">
        <v>123</v>
      </c>
      <c r="E421" t="s">
        <v>155</v>
      </c>
      <c r="F421" s="1">
        <v>42742</v>
      </c>
      <c r="I421" t="str">
        <f>IF(COUNTIF(Products!$A$2:$A$8,C421)=0,C421,"")</f>
        <v/>
      </c>
      <c r="J421">
        <f>IF(OR(E421="Prospecting",E421="Engaging"),VLOOKUP(C421,Products!$A$2:$C$8,3,FALSE),0)</f>
        <v>55</v>
      </c>
    </row>
    <row r="422" spans="1:10" x14ac:dyDescent="0.25">
      <c r="A422" t="s">
        <v>589</v>
      </c>
      <c r="B422" t="s">
        <v>239</v>
      </c>
      <c r="C422" t="s">
        <v>127</v>
      </c>
      <c r="D422" t="s">
        <v>108</v>
      </c>
      <c r="E422" t="s">
        <v>138</v>
      </c>
      <c r="F422" s="1">
        <v>42742</v>
      </c>
      <c r="G422" s="1">
        <v>42810</v>
      </c>
      <c r="H422">
        <v>1257</v>
      </c>
      <c r="I422" t="str">
        <f>IF(COUNTIF(Products!$A$2:$A$8,C422)=0,C422,"")</f>
        <v/>
      </c>
      <c r="J422">
        <f>IF(OR(E422="Prospecting",E422="Engaging"),VLOOKUP(C422,Products!$A$2:$C$8,3,FALSE),0)</f>
        <v>0</v>
      </c>
    </row>
    <row r="423" spans="1:10" x14ac:dyDescent="0.25">
      <c r="A423" t="s">
        <v>590</v>
      </c>
      <c r="B423" t="s">
        <v>162</v>
      </c>
      <c r="C423" t="s">
        <v>127</v>
      </c>
      <c r="D423" t="s">
        <v>72</v>
      </c>
      <c r="E423" t="s">
        <v>138</v>
      </c>
      <c r="F423" s="1">
        <v>42742</v>
      </c>
      <c r="G423" s="1">
        <v>42819</v>
      </c>
      <c r="H423">
        <v>1135</v>
      </c>
      <c r="I423" t="str">
        <f>IF(COUNTIF(Products!$A$2:$A$8,C423)=0,C423,"")</f>
        <v/>
      </c>
      <c r="J423">
        <f>IF(OR(E423="Prospecting",E423="Engaging"),VLOOKUP(C423,Products!$A$2:$C$8,3,FALSE),0)</f>
        <v>0</v>
      </c>
    </row>
    <row r="424" spans="1:10" x14ac:dyDescent="0.25">
      <c r="A424" t="s">
        <v>591</v>
      </c>
      <c r="B424" t="s">
        <v>144</v>
      </c>
      <c r="C424" t="s">
        <v>125</v>
      </c>
      <c r="D424" t="s">
        <v>61</v>
      </c>
      <c r="E424" t="s">
        <v>159</v>
      </c>
      <c r="F424" s="1">
        <v>42742</v>
      </c>
      <c r="G424" s="1">
        <v>42822</v>
      </c>
      <c r="H424">
        <v>0</v>
      </c>
      <c r="I424" t="str">
        <f>IF(COUNTIF(Products!$A$2:$A$8,C424)=0,C424,"")</f>
        <v/>
      </c>
      <c r="J424">
        <f>IF(OR(E424="Prospecting",E424="Engaging"),VLOOKUP(C424,Products!$A$2:$C$8,3,FALSE),0)</f>
        <v>0</v>
      </c>
    </row>
    <row r="425" spans="1:10" x14ac:dyDescent="0.25">
      <c r="A425" t="s">
        <v>592</v>
      </c>
      <c r="B425" t="s">
        <v>144</v>
      </c>
      <c r="C425" t="s">
        <v>122</v>
      </c>
      <c r="D425" t="s">
        <v>78</v>
      </c>
      <c r="E425" t="s">
        <v>138</v>
      </c>
      <c r="F425" s="1">
        <v>42742</v>
      </c>
      <c r="G425" s="1">
        <v>42808</v>
      </c>
      <c r="H425">
        <v>4313</v>
      </c>
      <c r="I425" t="str">
        <f>IF(COUNTIF(Products!$A$2:$A$8,C425)=0,C425,"")</f>
        <v/>
      </c>
      <c r="J425">
        <f>IF(OR(E425="Prospecting",E425="Engaging"),VLOOKUP(C425,Products!$A$2:$C$8,3,FALSE),0)</f>
        <v>0</v>
      </c>
    </row>
    <row r="426" spans="1:10" x14ac:dyDescent="0.25">
      <c r="A426" t="s">
        <v>593</v>
      </c>
      <c r="B426" t="s">
        <v>146</v>
      </c>
      <c r="C426" t="s">
        <v>126</v>
      </c>
      <c r="D426" t="s">
        <v>30</v>
      </c>
      <c r="E426" t="s">
        <v>138</v>
      </c>
      <c r="F426" s="1">
        <v>42743</v>
      </c>
      <c r="G426" s="1">
        <v>42812</v>
      </c>
      <c r="H426">
        <v>5210</v>
      </c>
      <c r="I426" t="str">
        <f>IF(COUNTIF(Products!$A$2:$A$8,C426)=0,C426,"")</f>
        <v/>
      </c>
      <c r="J426">
        <f>IF(OR(E426="Prospecting",E426="Engaging"),VLOOKUP(C426,Products!$A$2:$C$8,3,FALSE),0)</f>
        <v>0</v>
      </c>
    </row>
    <row r="427" spans="1:10" x14ac:dyDescent="0.25">
      <c r="A427" t="s">
        <v>594</v>
      </c>
      <c r="B427" t="s">
        <v>217</v>
      </c>
      <c r="C427" t="s">
        <v>123</v>
      </c>
      <c r="D427" t="s">
        <v>88</v>
      </c>
      <c r="E427" t="s">
        <v>138</v>
      </c>
      <c r="F427" s="1">
        <v>42743</v>
      </c>
      <c r="G427" s="1">
        <v>42821</v>
      </c>
      <c r="H427">
        <v>47</v>
      </c>
      <c r="I427" t="str">
        <f>IF(COUNTIF(Products!$A$2:$A$8,C427)=0,C427,"")</f>
        <v/>
      </c>
      <c r="J427">
        <f>IF(OR(E427="Prospecting",E427="Engaging"),VLOOKUP(C427,Products!$A$2:$C$8,3,FALSE),0)</f>
        <v>0</v>
      </c>
    </row>
    <row r="428" spans="1:10" x14ac:dyDescent="0.25">
      <c r="A428" t="s">
        <v>595</v>
      </c>
      <c r="B428" t="s">
        <v>150</v>
      </c>
      <c r="C428" t="s">
        <v>125</v>
      </c>
      <c r="D428" t="s">
        <v>69</v>
      </c>
      <c r="E428" t="s">
        <v>138</v>
      </c>
      <c r="F428" s="1">
        <v>42743</v>
      </c>
      <c r="G428" s="1">
        <v>42816</v>
      </c>
      <c r="H428">
        <v>3220</v>
      </c>
      <c r="I428" t="str">
        <f>IF(COUNTIF(Products!$A$2:$A$8,C428)=0,C428,"")</f>
        <v/>
      </c>
      <c r="J428">
        <f>IF(OR(E428="Prospecting",E428="Engaging"),VLOOKUP(C428,Products!$A$2:$C$8,3,FALSE),0)</f>
        <v>0</v>
      </c>
    </row>
    <row r="429" spans="1:10" x14ac:dyDescent="0.25">
      <c r="A429" t="s">
        <v>596</v>
      </c>
      <c r="B429" t="s">
        <v>166</v>
      </c>
      <c r="C429" t="s">
        <v>120</v>
      </c>
      <c r="D429" t="s">
        <v>63</v>
      </c>
      <c r="E429" t="s">
        <v>155</v>
      </c>
      <c r="F429" s="1">
        <v>42743</v>
      </c>
      <c r="I429" t="str">
        <f>IF(COUNTIF(Products!$A$2:$A$8,C429)=0,C429,"")</f>
        <v/>
      </c>
      <c r="J429">
        <f>IF(OR(E429="Prospecting",E429="Engaging"),VLOOKUP(C429,Products!$A$2:$C$8,3,FALSE),0)</f>
        <v>550</v>
      </c>
    </row>
    <row r="430" spans="1:10" x14ac:dyDescent="0.25">
      <c r="A430" t="s">
        <v>597</v>
      </c>
      <c r="B430" t="s">
        <v>187</v>
      </c>
      <c r="C430" t="s">
        <v>123</v>
      </c>
      <c r="D430" t="s">
        <v>37</v>
      </c>
      <c r="E430" t="s">
        <v>138</v>
      </c>
      <c r="F430" s="1">
        <v>42743</v>
      </c>
      <c r="G430" s="1">
        <v>42820</v>
      </c>
      <c r="H430">
        <v>47</v>
      </c>
      <c r="I430" t="str">
        <f>IF(COUNTIF(Products!$A$2:$A$8,C430)=0,C430,"")</f>
        <v/>
      </c>
      <c r="J430">
        <f>IF(OR(E430="Prospecting",E430="Engaging"),VLOOKUP(C430,Products!$A$2:$C$8,3,FALSE),0)</f>
        <v>0</v>
      </c>
    </row>
    <row r="431" spans="1:10" x14ac:dyDescent="0.25">
      <c r="A431" t="s">
        <v>598</v>
      </c>
      <c r="B431" t="s">
        <v>177</v>
      </c>
      <c r="C431" t="s">
        <v>123</v>
      </c>
      <c r="D431" t="s">
        <v>89</v>
      </c>
      <c r="E431" t="s">
        <v>155</v>
      </c>
      <c r="F431" s="1">
        <v>42743</v>
      </c>
      <c r="I431" t="str">
        <f>IF(COUNTIF(Products!$A$2:$A$8,C431)=0,C431,"")</f>
        <v/>
      </c>
      <c r="J431">
        <f>IF(OR(E431="Prospecting",E431="Engaging"),VLOOKUP(C431,Products!$A$2:$C$8,3,FALSE),0)</f>
        <v>55</v>
      </c>
    </row>
    <row r="432" spans="1:10" x14ac:dyDescent="0.25">
      <c r="A432" t="s">
        <v>599</v>
      </c>
      <c r="B432" t="s">
        <v>177</v>
      </c>
      <c r="C432" t="s">
        <v>123</v>
      </c>
      <c r="D432" t="s">
        <v>110</v>
      </c>
      <c r="E432" t="s">
        <v>138</v>
      </c>
      <c r="F432" s="1">
        <v>42743</v>
      </c>
      <c r="G432" s="1">
        <v>42819</v>
      </c>
      <c r="H432">
        <v>63</v>
      </c>
      <c r="I432" t="str">
        <f>IF(COUNTIF(Products!$A$2:$A$8,C432)=0,C432,"")</f>
        <v/>
      </c>
      <c r="J432">
        <f>IF(OR(E432="Prospecting",E432="Engaging"),VLOOKUP(C432,Products!$A$2:$C$8,3,FALSE),0)</f>
        <v>0</v>
      </c>
    </row>
    <row r="433" spans="1:10" x14ac:dyDescent="0.25">
      <c r="A433" t="s">
        <v>600</v>
      </c>
      <c r="B433" t="s">
        <v>146</v>
      </c>
      <c r="C433" t="s">
        <v>123</v>
      </c>
      <c r="D433" t="s">
        <v>12</v>
      </c>
      <c r="E433" t="s">
        <v>138</v>
      </c>
      <c r="F433" s="1">
        <v>42744</v>
      </c>
      <c r="G433" s="1">
        <v>42809</v>
      </c>
      <c r="H433">
        <v>56</v>
      </c>
      <c r="I433" t="str">
        <f>IF(COUNTIF(Products!$A$2:$A$8,C433)=0,C433,"")</f>
        <v/>
      </c>
      <c r="J433">
        <f>IF(OR(E433="Prospecting",E433="Engaging"),VLOOKUP(C433,Products!$A$2:$C$8,3,FALSE),0)</f>
        <v>0</v>
      </c>
    </row>
    <row r="434" spans="1:10" x14ac:dyDescent="0.25">
      <c r="A434" t="s">
        <v>601</v>
      </c>
      <c r="B434" t="s">
        <v>146</v>
      </c>
      <c r="C434" t="s">
        <v>123</v>
      </c>
      <c r="D434" t="s">
        <v>89</v>
      </c>
      <c r="E434" t="s">
        <v>138</v>
      </c>
      <c r="F434" s="1">
        <v>42744</v>
      </c>
      <c r="G434" s="1">
        <v>42795</v>
      </c>
      <c r="H434">
        <v>65</v>
      </c>
      <c r="I434" t="str">
        <f>IF(COUNTIF(Products!$A$2:$A$8,C434)=0,C434,"")</f>
        <v/>
      </c>
      <c r="J434">
        <f>IF(OR(E434="Prospecting",E434="Engaging"),VLOOKUP(C434,Products!$A$2:$C$8,3,FALSE),0)</f>
        <v>0</v>
      </c>
    </row>
    <row r="435" spans="1:10" x14ac:dyDescent="0.25">
      <c r="A435" t="s">
        <v>602</v>
      </c>
      <c r="B435" t="s">
        <v>222</v>
      </c>
      <c r="C435" t="s">
        <v>126</v>
      </c>
      <c r="D435" t="s">
        <v>35</v>
      </c>
      <c r="E435" t="s">
        <v>138</v>
      </c>
      <c r="F435" s="1">
        <v>42744</v>
      </c>
      <c r="G435" s="1">
        <v>42813</v>
      </c>
      <c r="H435">
        <v>5743</v>
      </c>
      <c r="I435" t="str">
        <f>IF(COUNTIF(Products!$A$2:$A$8,C435)=0,C435,"")</f>
        <v/>
      </c>
      <c r="J435">
        <f>IF(OR(E435="Prospecting",E435="Engaging"),VLOOKUP(C435,Products!$A$2:$C$8,3,FALSE),0)</f>
        <v>0</v>
      </c>
    </row>
    <row r="436" spans="1:10" x14ac:dyDescent="0.25">
      <c r="A436" t="s">
        <v>603</v>
      </c>
      <c r="B436" t="s">
        <v>207</v>
      </c>
      <c r="C436" t="s">
        <v>123</v>
      </c>
      <c r="D436" t="s">
        <v>73</v>
      </c>
      <c r="E436" t="s">
        <v>138</v>
      </c>
      <c r="F436" s="1">
        <v>42744</v>
      </c>
      <c r="G436" s="1">
        <v>42797</v>
      </c>
      <c r="H436">
        <v>53</v>
      </c>
      <c r="I436" t="str">
        <f>IF(COUNTIF(Products!$A$2:$A$8,C436)=0,C436,"")</f>
        <v/>
      </c>
      <c r="J436">
        <f>IF(OR(E436="Prospecting",E436="Engaging"),VLOOKUP(C436,Products!$A$2:$C$8,3,FALSE),0)</f>
        <v>0</v>
      </c>
    </row>
    <row r="437" spans="1:10" x14ac:dyDescent="0.25">
      <c r="A437" t="s">
        <v>604</v>
      </c>
      <c r="B437" t="s">
        <v>239</v>
      </c>
      <c r="C437" t="s">
        <v>126</v>
      </c>
      <c r="D437" t="s">
        <v>10</v>
      </c>
      <c r="E437" t="s">
        <v>138</v>
      </c>
      <c r="F437" s="1">
        <v>42744</v>
      </c>
      <c r="G437" s="1">
        <v>42824</v>
      </c>
      <c r="H437">
        <v>4974</v>
      </c>
      <c r="I437" t="str">
        <f>IF(COUNTIF(Products!$A$2:$A$8,C437)=0,C437,"")</f>
        <v/>
      </c>
      <c r="J437">
        <f>IF(OR(E437="Prospecting",E437="Engaging"),VLOOKUP(C437,Products!$A$2:$C$8,3,FALSE),0)</f>
        <v>0</v>
      </c>
    </row>
    <row r="438" spans="1:10" x14ac:dyDescent="0.25">
      <c r="A438" t="s">
        <v>605</v>
      </c>
      <c r="B438" t="s">
        <v>224</v>
      </c>
      <c r="C438" t="s">
        <v>125</v>
      </c>
      <c r="D438" t="s">
        <v>80</v>
      </c>
      <c r="E438" t="s">
        <v>138</v>
      </c>
      <c r="F438" s="1">
        <v>42744</v>
      </c>
      <c r="G438" s="1">
        <v>42819</v>
      </c>
      <c r="H438">
        <v>3892</v>
      </c>
      <c r="I438" t="str">
        <f>IF(COUNTIF(Products!$A$2:$A$8,C438)=0,C438,"")</f>
        <v/>
      </c>
      <c r="J438">
        <f>IF(OR(E438="Prospecting",E438="Engaging"),VLOOKUP(C438,Products!$A$2:$C$8,3,FALSE),0)</f>
        <v>0</v>
      </c>
    </row>
    <row r="439" spans="1:10" x14ac:dyDescent="0.25">
      <c r="A439" t="s">
        <v>606</v>
      </c>
      <c r="B439" t="s">
        <v>198</v>
      </c>
      <c r="C439" t="s">
        <v>122</v>
      </c>
      <c r="D439" t="s">
        <v>10</v>
      </c>
      <c r="E439" t="s">
        <v>138</v>
      </c>
      <c r="F439" s="1">
        <v>42744</v>
      </c>
      <c r="G439" s="1">
        <v>42815</v>
      </c>
      <c r="H439">
        <v>3822</v>
      </c>
      <c r="I439" t="str">
        <f>IF(COUNTIF(Products!$A$2:$A$8,C439)=0,C439,"")</f>
        <v/>
      </c>
      <c r="J439">
        <f>IF(OR(E439="Prospecting",E439="Engaging"),VLOOKUP(C439,Products!$A$2:$C$8,3,FALSE),0)</f>
        <v>0</v>
      </c>
    </row>
    <row r="440" spans="1:10" x14ac:dyDescent="0.25">
      <c r="A440" t="s">
        <v>607</v>
      </c>
      <c r="B440" t="s">
        <v>303</v>
      </c>
      <c r="C440" t="s">
        <v>120</v>
      </c>
      <c r="D440" t="s">
        <v>32</v>
      </c>
      <c r="E440" t="s">
        <v>138</v>
      </c>
      <c r="F440" s="1">
        <v>42744</v>
      </c>
      <c r="G440" s="1">
        <v>42796</v>
      </c>
      <c r="H440">
        <v>504</v>
      </c>
      <c r="I440" t="str">
        <f>IF(COUNTIF(Products!$A$2:$A$8,C440)=0,C440,"")</f>
        <v/>
      </c>
      <c r="J440">
        <f>IF(OR(E440="Prospecting",E440="Engaging"),VLOOKUP(C440,Products!$A$2:$C$8,3,FALSE),0)</f>
        <v>0</v>
      </c>
    </row>
    <row r="441" spans="1:10" x14ac:dyDescent="0.25">
      <c r="A441" t="s">
        <v>608</v>
      </c>
      <c r="B441" t="s">
        <v>162</v>
      </c>
      <c r="C441" t="s">
        <v>123</v>
      </c>
      <c r="E441" t="s">
        <v>155</v>
      </c>
      <c r="F441" s="1">
        <v>42744</v>
      </c>
      <c r="I441" t="str">
        <f>IF(COUNTIF(Products!$A$2:$A$8,C441)=0,C441,"")</f>
        <v/>
      </c>
      <c r="J441">
        <f>IF(OR(E441="Prospecting",E441="Engaging"),VLOOKUP(C441,Products!$A$2:$C$8,3,FALSE),0)</f>
        <v>55</v>
      </c>
    </row>
    <row r="442" spans="1:10" x14ac:dyDescent="0.25">
      <c r="A442" t="s">
        <v>609</v>
      </c>
      <c r="B442" t="s">
        <v>166</v>
      </c>
      <c r="C442" t="s">
        <v>125</v>
      </c>
      <c r="D442" t="s">
        <v>107</v>
      </c>
      <c r="E442" t="s">
        <v>138</v>
      </c>
      <c r="F442" s="1">
        <v>42744</v>
      </c>
      <c r="G442" s="1">
        <v>42823</v>
      </c>
      <c r="H442">
        <v>3145</v>
      </c>
      <c r="I442" t="str">
        <f>IF(COUNTIF(Products!$A$2:$A$8,C442)=0,C442,"")</f>
        <v/>
      </c>
      <c r="J442">
        <f>IF(OR(E442="Prospecting",E442="Engaging"),VLOOKUP(C442,Products!$A$2:$C$8,3,FALSE),0)</f>
        <v>0</v>
      </c>
    </row>
    <row r="443" spans="1:10" x14ac:dyDescent="0.25">
      <c r="A443" t="s">
        <v>610</v>
      </c>
      <c r="B443" t="s">
        <v>148</v>
      </c>
      <c r="C443" t="s">
        <v>126</v>
      </c>
      <c r="E443" t="s">
        <v>155</v>
      </c>
      <c r="F443" s="1">
        <v>42744</v>
      </c>
      <c r="I443" t="str">
        <f>IF(COUNTIF(Products!$A$2:$A$8,C443)=0,C443,"")</f>
        <v/>
      </c>
      <c r="J443">
        <f>IF(OR(E443="Prospecting",E443="Engaging"),VLOOKUP(C443,Products!$A$2:$C$8,3,FALSE),0)</f>
        <v>5482</v>
      </c>
    </row>
    <row r="444" spans="1:10" x14ac:dyDescent="0.25">
      <c r="A444" t="s">
        <v>611</v>
      </c>
      <c r="B444" t="s">
        <v>148</v>
      </c>
      <c r="C444" t="s">
        <v>120</v>
      </c>
      <c r="D444" t="s">
        <v>44</v>
      </c>
      <c r="E444" t="s">
        <v>138</v>
      </c>
      <c r="F444" s="1">
        <v>42744</v>
      </c>
      <c r="G444" s="1">
        <v>42821</v>
      </c>
      <c r="H444">
        <v>564</v>
      </c>
      <c r="I444" t="str">
        <f>IF(COUNTIF(Products!$A$2:$A$8,C444)=0,C444,"")</f>
        <v/>
      </c>
      <c r="J444">
        <f>IF(OR(E444="Prospecting",E444="Engaging"),VLOOKUP(C444,Products!$A$2:$C$8,3,FALSE),0)</f>
        <v>0</v>
      </c>
    </row>
    <row r="445" spans="1:10" x14ac:dyDescent="0.25">
      <c r="A445" t="s">
        <v>612</v>
      </c>
      <c r="B445" t="s">
        <v>144</v>
      </c>
      <c r="C445" t="s">
        <v>127</v>
      </c>
      <c r="D445" t="s">
        <v>38</v>
      </c>
      <c r="E445" t="s">
        <v>138</v>
      </c>
      <c r="F445" s="1">
        <v>42744</v>
      </c>
      <c r="G445" s="1">
        <v>42808</v>
      </c>
      <c r="H445">
        <v>1117</v>
      </c>
      <c r="I445" t="str">
        <f>IF(COUNTIF(Products!$A$2:$A$8,C445)=0,C445,"")</f>
        <v/>
      </c>
      <c r="J445">
        <f>IF(OR(E445="Prospecting",E445="Engaging"),VLOOKUP(C445,Products!$A$2:$C$8,3,FALSE),0)</f>
        <v>0</v>
      </c>
    </row>
    <row r="446" spans="1:10" x14ac:dyDescent="0.25">
      <c r="A446" t="s">
        <v>613</v>
      </c>
      <c r="B446" t="s">
        <v>146</v>
      </c>
      <c r="C446" t="s">
        <v>123</v>
      </c>
      <c r="D446" t="s">
        <v>32</v>
      </c>
      <c r="E446" t="s">
        <v>138</v>
      </c>
      <c r="F446" s="1">
        <v>42745</v>
      </c>
      <c r="G446" s="1">
        <v>42820</v>
      </c>
      <c r="H446">
        <v>59</v>
      </c>
      <c r="I446" t="str">
        <f>IF(COUNTIF(Products!$A$2:$A$8,C446)=0,C446,"")</f>
        <v/>
      </c>
      <c r="J446">
        <f>IF(OR(E446="Prospecting",E446="Engaging"),VLOOKUP(C446,Products!$A$2:$C$8,3,FALSE),0)</f>
        <v>0</v>
      </c>
    </row>
    <row r="447" spans="1:10" x14ac:dyDescent="0.25">
      <c r="A447" t="s">
        <v>614</v>
      </c>
      <c r="B447" t="s">
        <v>140</v>
      </c>
      <c r="C447" t="s">
        <v>123</v>
      </c>
      <c r="D447" t="s">
        <v>42</v>
      </c>
      <c r="E447" t="s">
        <v>138</v>
      </c>
      <c r="F447" s="1">
        <v>42745</v>
      </c>
      <c r="G447" s="1">
        <v>42822</v>
      </c>
      <c r="H447">
        <v>52</v>
      </c>
      <c r="I447" t="str">
        <f>IF(COUNTIF(Products!$A$2:$A$8,C447)=0,C447,"")</f>
        <v/>
      </c>
      <c r="J447">
        <f>IF(OR(E447="Prospecting",E447="Engaging"),VLOOKUP(C447,Products!$A$2:$C$8,3,FALSE),0)</f>
        <v>0</v>
      </c>
    </row>
    <row r="448" spans="1:10" x14ac:dyDescent="0.25">
      <c r="A448" t="s">
        <v>615</v>
      </c>
      <c r="B448" t="s">
        <v>224</v>
      </c>
      <c r="C448" t="s">
        <v>122</v>
      </c>
      <c r="D448" t="s">
        <v>67</v>
      </c>
      <c r="E448" t="s">
        <v>138</v>
      </c>
      <c r="F448" s="1">
        <v>42745</v>
      </c>
      <c r="G448" s="1">
        <v>42818</v>
      </c>
      <c r="H448">
        <v>4694</v>
      </c>
      <c r="I448" t="str">
        <f>IF(COUNTIF(Products!$A$2:$A$8,C448)=0,C448,"")</f>
        <v/>
      </c>
      <c r="J448">
        <f>IF(OR(E448="Prospecting",E448="Engaging"),VLOOKUP(C448,Products!$A$2:$C$8,3,FALSE),0)</f>
        <v>0</v>
      </c>
    </row>
    <row r="449" spans="1:10" x14ac:dyDescent="0.25">
      <c r="A449" t="s">
        <v>616</v>
      </c>
      <c r="B449" t="s">
        <v>164</v>
      </c>
      <c r="C449" t="s">
        <v>126</v>
      </c>
      <c r="E449" t="s">
        <v>155</v>
      </c>
      <c r="F449" s="1">
        <v>42745</v>
      </c>
      <c r="I449" t="str">
        <f>IF(COUNTIF(Products!$A$2:$A$8,C449)=0,C449,"")</f>
        <v/>
      </c>
      <c r="J449">
        <f>IF(OR(E449="Prospecting",E449="Engaging"),VLOOKUP(C449,Products!$A$2:$C$8,3,FALSE),0)</f>
        <v>5482</v>
      </c>
    </row>
    <row r="450" spans="1:10" x14ac:dyDescent="0.25">
      <c r="A450" t="s">
        <v>617</v>
      </c>
      <c r="B450" t="s">
        <v>180</v>
      </c>
      <c r="C450" t="s">
        <v>122</v>
      </c>
      <c r="D450" t="s">
        <v>83</v>
      </c>
      <c r="E450" t="s">
        <v>138</v>
      </c>
      <c r="F450" s="1">
        <v>42745</v>
      </c>
      <c r="G450" s="1">
        <v>42800</v>
      </c>
      <c r="H450">
        <v>5620</v>
      </c>
      <c r="I450" t="str">
        <f>IF(COUNTIF(Products!$A$2:$A$8,C450)=0,C450,"")</f>
        <v/>
      </c>
      <c r="J450">
        <f>IF(OR(E450="Prospecting",E450="Engaging"),VLOOKUP(C450,Products!$A$2:$C$8,3,FALSE),0)</f>
        <v>0</v>
      </c>
    </row>
    <row r="451" spans="1:10" x14ac:dyDescent="0.25">
      <c r="A451" t="s">
        <v>618</v>
      </c>
      <c r="B451" t="s">
        <v>191</v>
      </c>
      <c r="C451" t="s">
        <v>127</v>
      </c>
      <c r="D451" t="s">
        <v>93</v>
      </c>
      <c r="E451" t="s">
        <v>138</v>
      </c>
      <c r="F451" s="1">
        <v>42745</v>
      </c>
      <c r="G451" s="1">
        <v>42802</v>
      </c>
      <c r="H451">
        <v>1095</v>
      </c>
      <c r="I451" t="str">
        <f>IF(COUNTIF(Products!$A$2:$A$8,C451)=0,C451,"")</f>
        <v/>
      </c>
      <c r="J451">
        <f>IF(OR(E451="Prospecting",E451="Engaging"),VLOOKUP(C451,Products!$A$2:$C$8,3,FALSE),0)</f>
        <v>0</v>
      </c>
    </row>
    <row r="452" spans="1:10" x14ac:dyDescent="0.25">
      <c r="A452" t="s">
        <v>619</v>
      </c>
      <c r="B452" t="s">
        <v>217</v>
      </c>
      <c r="C452" t="s">
        <v>120</v>
      </c>
      <c r="D452" t="s">
        <v>28</v>
      </c>
      <c r="E452" t="s">
        <v>159</v>
      </c>
      <c r="F452" s="1">
        <v>42745</v>
      </c>
      <c r="G452" s="1">
        <v>42857</v>
      </c>
      <c r="H452">
        <v>0</v>
      </c>
      <c r="I452" t="str">
        <f>IF(COUNTIF(Products!$A$2:$A$8,C452)=0,C452,"")</f>
        <v/>
      </c>
      <c r="J452">
        <f>IF(OR(E452="Prospecting",E452="Engaging"),VLOOKUP(C452,Products!$A$2:$C$8,3,FALSE),0)</f>
        <v>0</v>
      </c>
    </row>
    <row r="453" spans="1:10" x14ac:dyDescent="0.25">
      <c r="A453" t="s">
        <v>620</v>
      </c>
      <c r="B453" t="s">
        <v>217</v>
      </c>
      <c r="C453" t="s">
        <v>120</v>
      </c>
      <c r="D453" t="s">
        <v>88</v>
      </c>
      <c r="E453" t="s">
        <v>138</v>
      </c>
      <c r="F453" s="1">
        <v>42745</v>
      </c>
      <c r="G453" s="1">
        <v>42824</v>
      </c>
      <c r="H453">
        <v>489</v>
      </c>
      <c r="I453" t="str">
        <f>IF(COUNTIF(Products!$A$2:$A$8,C453)=0,C453,"")</f>
        <v/>
      </c>
      <c r="J453">
        <f>IF(OR(E453="Prospecting",E453="Engaging"),VLOOKUP(C453,Products!$A$2:$C$8,3,FALSE),0)</f>
        <v>0</v>
      </c>
    </row>
    <row r="454" spans="1:10" x14ac:dyDescent="0.25">
      <c r="A454" t="s">
        <v>621</v>
      </c>
      <c r="B454" t="s">
        <v>150</v>
      </c>
      <c r="C454" t="s">
        <v>120</v>
      </c>
      <c r="E454" t="s">
        <v>155</v>
      </c>
      <c r="F454" s="1">
        <v>42745</v>
      </c>
      <c r="I454" t="str">
        <f>IF(COUNTIF(Products!$A$2:$A$8,C454)=0,C454,"")</f>
        <v/>
      </c>
      <c r="J454">
        <f>IF(OR(E454="Prospecting",E454="Engaging"),VLOOKUP(C454,Products!$A$2:$C$8,3,FALSE),0)</f>
        <v>550</v>
      </c>
    </row>
    <row r="455" spans="1:10" x14ac:dyDescent="0.25">
      <c r="A455" t="s">
        <v>622</v>
      </c>
      <c r="B455" t="s">
        <v>150</v>
      </c>
      <c r="C455" t="s">
        <v>123</v>
      </c>
      <c r="D455" t="s">
        <v>14</v>
      </c>
      <c r="E455" t="s">
        <v>155</v>
      </c>
      <c r="F455" s="1">
        <v>42745</v>
      </c>
      <c r="I455" t="str">
        <f>IF(COUNTIF(Products!$A$2:$A$8,C455)=0,C455,"")</f>
        <v/>
      </c>
      <c r="J455">
        <f>IF(OR(E455="Prospecting",E455="Engaging"),VLOOKUP(C455,Products!$A$2:$C$8,3,FALSE),0)</f>
        <v>55</v>
      </c>
    </row>
    <row r="456" spans="1:10" x14ac:dyDescent="0.25">
      <c r="A456" t="s">
        <v>623</v>
      </c>
      <c r="B456" t="s">
        <v>150</v>
      </c>
      <c r="C456" t="s">
        <v>126</v>
      </c>
      <c r="D456" t="s">
        <v>47</v>
      </c>
      <c r="E456" t="s">
        <v>138</v>
      </c>
      <c r="F456" s="1">
        <v>42745</v>
      </c>
      <c r="G456" s="1">
        <v>42810</v>
      </c>
      <c r="H456">
        <v>5908</v>
      </c>
      <c r="I456" t="str">
        <f>IF(COUNTIF(Products!$A$2:$A$8,C456)=0,C456,"")</f>
        <v/>
      </c>
      <c r="J456">
        <f>IF(OR(E456="Prospecting",E456="Engaging"),VLOOKUP(C456,Products!$A$2:$C$8,3,FALSE),0)</f>
        <v>0</v>
      </c>
    </row>
    <row r="457" spans="1:10" x14ac:dyDescent="0.25">
      <c r="A457" t="s">
        <v>624</v>
      </c>
      <c r="B457" t="s">
        <v>150</v>
      </c>
      <c r="C457" t="s">
        <v>125</v>
      </c>
      <c r="D457" t="s">
        <v>107</v>
      </c>
      <c r="E457" t="s">
        <v>138</v>
      </c>
      <c r="F457" s="1">
        <v>42745</v>
      </c>
      <c r="G457" s="1">
        <v>42805</v>
      </c>
      <c r="H457">
        <v>3820</v>
      </c>
      <c r="I457" t="str">
        <f>IF(COUNTIF(Products!$A$2:$A$8,C457)=0,C457,"")</f>
        <v/>
      </c>
      <c r="J457">
        <f>IF(OR(E457="Prospecting",E457="Engaging"),VLOOKUP(C457,Products!$A$2:$C$8,3,FALSE),0)</f>
        <v>0</v>
      </c>
    </row>
    <row r="458" spans="1:10" x14ac:dyDescent="0.25">
      <c r="A458" t="s">
        <v>625</v>
      </c>
      <c r="B458" t="s">
        <v>162</v>
      </c>
      <c r="C458" t="s">
        <v>127</v>
      </c>
      <c r="D458" t="s">
        <v>61</v>
      </c>
      <c r="E458" t="s">
        <v>159</v>
      </c>
      <c r="F458" s="1">
        <v>42745</v>
      </c>
      <c r="G458" s="1">
        <v>42806</v>
      </c>
      <c r="H458">
        <v>0</v>
      </c>
      <c r="I458" t="str">
        <f>IF(COUNTIF(Products!$A$2:$A$8,C458)=0,C458,"")</f>
        <v/>
      </c>
      <c r="J458">
        <f>IF(OR(E458="Prospecting",E458="Engaging"),VLOOKUP(C458,Products!$A$2:$C$8,3,FALSE),0)</f>
        <v>0</v>
      </c>
    </row>
    <row r="459" spans="1:10" x14ac:dyDescent="0.25">
      <c r="A459" t="s">
        <v>626</v>
      </c>
      <c r="B459" t="s">
        <v>148</v>
      </c>
      <c r="C459" t="s">
        <v>122</v>
      </c>
      <c r="E459" t="s">
        <v>155</v>
      </c>
      <c r="F459" s="1">
        <v>42745</v>
      </c>
      <c r="I459" t="str">
        <f>IF(COUNTIF(Products!$A$2:$A$8,C459)=0,C459,"")</f>
        <v/>
      </c>
      <c r="J459">
        <f>IF(OR(E459="Prospecting",E459="Engaging"),VLOOKUP(C459,Products!$A$2:$C$8,3,FALSE),0)</f>
        <v>4821</v>
      </c>
    </row>
    <row r="460" spans="1:10" x14ac:dyDescent="0.25">
      <c r="A460" t="s">
        <v>627</v>
      </c>
      <c r="B460" t="s">
        <v>148</v>
      </c>
      <c r="C460" t="s">
        <v>120</v>
      </c>
      <c r="D460" t="s">
        <v>87</v>
      </c>
      <c r="E460" t="s">
        <v>138</v>
      </c>
      <c r="F460" s="1">
        <v>42745</v>
      </c>
      <c r="G460" s="1">
        <v>42814</v>
      </c>
      <c r="H460">
        <v>581</v>
      </c>
      <c r="I460" t="str">
        <f>IF(COUNTIF(Products!$A$2:$A$8,C460)=0,C460,"")</f>
        <v/>
      </c>
      <c r="J460">
        <f>IF(OR(E460="Prospecting",E460="Engaging"),VLOOKUP(C460,Products!$A$2:$C$8,3,FALSE),0)</f>
        <v>0</v>
      </c>
    </row>
    <row r="461" spans="1:10" x14ac:dyDescent="0.25">
      <c r="A461" t="s">
        <v>628</v>
      </c>
      <c r="B461" t="s">
        <v>177</v>
      </c>
      <c r="C461" t="s">
        <v>126</v>
      </c>
      <c r="E461" t="s">
        <v>155</v>
      </c>
      <c r="F461" s="1">
        <v>42745</v>
      </c>
      <c r="I461" t="str">
        <f>IF(COUNTIF(Products!$A$2:$A$8,C461)=0,C461,"")</f>
        <v/>
      </c>
      <c r="J461">
        <f>IF(OR(E461="Prospecting",E461="Engaging"),VLOOKUP(C461,Products!$A$2:$C$8,3,FALSE),0)</f>
        <v>5482</v>
      </c>
    </row>
    <row r="462" spans="1:10" x14ac:dyDescent="0.25">
      <c r="A462" t="s">
        <v>629</v>
      </c>
      <c r="B462" t="s">
        <v>239</v>
      </c>
      <c r="C462" t="s">
        <v>122</v>
      </c>
      <c r="D462" t="s">
        <v>75</v>
      </c>
      <c r="E462" t="s">
        <v>155</v>
      </c>
      <c r="F462" s="1">
        <v>42746</v>
      </c>
      <c r="I462" t="str">
        <f>IF(COUNTIF(Products!$A$2:$A$8,C462)=0,C462,"")</f>
        <v/>
      </c>
      <c r="J462">
        <f>IF(OR(E462="Prospecting",E462="Engaging"),VLOOKUP(C462,Products!$A$2:$C$8,3,FALSE),0)</f>
        <v>4821</v>
      </c>
    </row>
    <row r="463" spans="1:10" x14ac:dyDescent="0.25">
      <c r="A463" t="s">
        <v>630</v>
      </c>
      <c r="B463" t="s">
        <v>239</v>
      </c>
      <c r="C463" t="s">
        <v>122</v>
      </c>
      <c r="E463" t="s">
        <v>155</v>
      </c>
      <c r="F463" s="1">
        <v>42746</v>
      </c>
      <c r="I463" t="str">
        <f>IF(COUNTIF(Products!$A$2:$A$8,C463)=0,C463,"")</f>
        <v/>
      </c>
      <c r="J463">
        <f>IF(OR(E463="Prospecting",E463="Engaging"),VLOOKUP(C463,Products!$A$2:$C$8,3,FALSE),0)</f>
        <v>4821</v>
      </c>
    </row>
    <row r="464" spans="1:10" x14ac:dyDescent="0.25">
      <c r="A464" t="s">
        <v>631</v>
      </c>
      <c r="B464" t="s">
        <v>140</v>
      </c>
      <c r="C464" t="s">
        <v>126</v>
      </c>
      <c r="D464" t="s">
        <v>46</v>
      </c>
      <c r="E464" t="s">
        <v>159</v>
      </c>
      <c r="F464" s="1">
        <v>42746</v>
      </c>
      <c r="G464" s="1">
        <v>42804</v>
      </c>
      <c r="H464">
        <v>0</v>
      </c>
      <c r="I464" t="str">
        <f>IF(COUNTIF(Products!$A$2:$A$8,C464)=0,C464,"")</f>
        <v/>
      </c>
      <c r="J464">
        <f>IF(OR(E464="Prospecting",E464="Engaging"),VLOOKUP(C464,Products!$A$2:$C$8,3,FALSE),0)</f>
        <v>0</v>
      </c>
    </row>
    <row r="465" spans="1:10" x14ac:dyDescent="0.25">
      <c r="A465" t="s">
        <v>632</v>
      </c>
      <c r="B465" t="s">
        <v>303</v>
      </c>
      <c r="C465" t="s">
        <v>120</v>
      </c>
      <c r="D465" t="s">
        <v>55</v>
      </c>
      <c r="E465" t="s">
        <v>138</v>
      </c>
      <c r="F465" s="1">
        <v>42746</v>
      </c>
      <c r="G465" s="1">
        <v>42822</v>
      </c>
      <c r="H465">
        <v>585</v>
      </c>
      <c r="I465" t="str">
        <f>IF(COUNTIF(Products!$A$2:$A$8,C465)=0,C465,"")</f>
        <v/>
      </c>
      <c r="J465">
        <f>IF(OR(E465="Prospecting",E465="Engaging"),VLOOKUP(C465,Products!$A$2:$C$8,3,FALSE),0)</f>
        <v>0</v>
      </c>
    </row>
    <row r="466" spans="1:10" x14ac:dyDescent="0.25">
      <c r="A466" t="s">
        <v>633</v>
      </c>
      <c r="B466" t="s">
        <v>180</v>
      </c>
      <c r="C466" t="s">
        <v>127</v>
      </c>
      <c r="D466" t="s">
        <v>83</v>
      </c>
      <c r="E466" t="s">
        <v>155</v>
      </c>
      <c r="F466" s="1">
        <v>42746</v>
      </c>
      <c r="I466" t="str">
        <f>IF(COUNTIF(Products!$A$2:$A$8,C466)=0,C466,"")</f>
        <v/>
      </c>
      <c r="J466">
        <f>IF(OR(E466="Prospecting",E466="Engaging"),VLOOKUP(C466,Products!$A$2:$C$8,3,FALSE),0)</f>
        <v>1096</v>
      </c>
    </row>
    <row r="467" spans="1:10" x14ac:dyDescent="0.25">
      <c r="A467" t="s">
        <v>634</v>
      </c>
      <c r="B467" t="s">
        <v>180</v>
      </c>
      <c r="C467" t="s">
        <v>120</v>
      </c>
      <c r="D467" t="s">
        <v>75</v>
      </c>
      <c r="E467" t="s">
        <v>138</v>
      </c>
      <c r="F467" s="1">
        <v>42746</v>
      </c>
      <c r="G467" s="1">
        <v>42861</v>
      </c>
      <c r="H467">
        <v>572</v>
      </c>
      <c r="I467" t="str">
        <f>IF(COUNTIF(Products!$A$2:$A$8,C467)=0,C467,"")</f>
        <v/>
      </c>
      <c r="J467">
        <f>IF(OR(E467="Prospecting",E467="Engaging"),VLOOKUP(C467,Products!$A$2:$C$8,3,FALSE),0)</f>
        <v>0</v>
      </c>
    </row>
    <row r="468" spans="1:10" x14ac:dyDescent="0.25">
      <c r="A468" t="s">
        <v>635</v>
      </c>
      <c r="B468" t="s">
        <v>217</v>
      </c>
      <c r="C468" t="s">
        <v>125</v>
      </c>
      <c r="D468" t="s">
        <v>116</v>
      </c>
      <c r="E468" t="s">
        <v>138</v>
      </c>
      <c r="F468" s="1">
        <v>42746</v>
      </c>
      <c r="G468" s="1">
        <v>42806</v>
      </c>
      <c r="H468">
        <v>3669</v>
      </c>
      <c r="I468" t="str">
        <f>IF(COUNTIF(Products!$A$2:$A$8,C468)=0,C468,"")</f>
        <v/>
      </c>
      <c r="J468">
        <f>IF(OR(E468="Prospecting",E468="Engaging"),VLOOKUP(C468,Products!$A$2:$C$8,3,FALSE),0)</f>
        <v>0</v>
      </c>
    </row>
    <row r="469" spans="1:10" x14ac:dyDescent="0.25">
      <c r="A469" t="s">
        <v>636</v>
      </c>
      <c r="B469" t="s">
        <v>150</v>
      </c>
      <c r="C469" t="s">
        <v>127</v>
      </c>
      <c r="D469" t="s">
        <v>47</v>
      </c>
      <c r="E469" t="s">
        <v>138</v>
      </c>
      <c r="F469" s="1">
        <v>42746</v>
      </c>
      <c r="G469" s="1">
        <v>42810</v>
      </c>
      <c r="H469">
        <v>1091</v>
      </c>
      <c r="I469" t="str">
        <f>IF(COUNTIF(Products!$A$2:$A$8,C469)=0,C469,"")</f>
        <v/>
      </c>
      <c r="J469">
        <f>IF(OR(E469="Prospecting",E469="Engaging"),VLOOKUP(C469,Products!$A$2:$C$8,3,FALSE),0)</f>
        <v>0</v>
      </c>
    </row>
    <row r="470" spans="1:10" x14ac:dyDescent="0.25">
      <c r="A470" t="s">
        <v>637</v>
      </c>
      <c r="B470" t="s">
        <v>205</v>
      </c>
      <c r="C470" t="s">
        <v>127</v>
      </c>
      <c r="D470" t="s">
        <v>85</v>
      </c>
      <c r="E470" t="s">
        <v>159</v>
      </c>
      <c r="F470" s="1">
        <v>42746</v>
      </c>
      <c r="G470" s="1">
        <v>42825</v>
      </c>
      <c r="H470">
        <v>0</v>
      </c>
      <c r="I470" t="str">
        <f>IF(COUNTIF(Products!$A$2:$A$8,C470)=0,C470,"")</f>
        <v/>
      </c>
      <c r="J470">
        <f>IF(OR(E470="Prospecting",E470="Engaging"),VLOOKUP(C470,Products!$A$2:$C$8,3,FALSE),0)</f>
        <v>0</v>
      </c>
    </row>
    <row r="471" spans="1:10" x14ac:dyDescent="0.25">
      <c r="A471" t="s">
        <v>638</v>
      </c>
      <c r="B471" t="s">
        <v>193</v>
      </c>
      <c r="C471" t="s">
        <v>122</v>
      </c>
      <c r="D471" t="s">
        <v>35</v>
      </c>
      <c r="E471" t="s">
        <v>138</v>
      </c>
      <c r="F471" s="1">
        <v>42746</v>
      </c>
      <c r="G471" s="1">
        <v>42811</v>
      </c>
      <c r="H471">
        <v>4905</v>
      </c>
      <c r="I471" t="str">
        <f>IF(COUNTIF(Products!$A$2:$A$8,C471)=0,C471,"")</f>
        <v/>
      </c>
      <c r="J471">
        <f>IF(OR(E471="Prospecting",E471="Engaging"),VLOOKUP(C471,Products!$A$2:$C$8,3,FALSE),0)</f>
        <v>0</v>
      </c>
    </row>
    <row r="472" spans="1:10" x14ac:dyDescent="0.25">
      <c r="A472" t="s">
        <v>639</v>
      </c>
      <c r="B472" t="s">
        <v>239</v>
      </c>
      <c r="C472" t="s">
        <v>120</v>
      </c>
      <c r="D472" t="s">
        <v>106</v>
      </c>
      <c r="E472" t="s">
        <v>138</v>
      </c>
      <c r="F472" s="1">
        <v>42747</v>
      </c>
      <c r="G472" s="1">
        <v>42804</v>
      </c>
      <c r="H472">
        <v>540</v>
      </c>
      <c r="I472" t="str">
        <f>IF(COUNTIF(Products!$A$2:$A$8,C472)=0,C472,"")</f>
        <v/>
      </c>
      <c r="J472">
        <f>IF(OR(E472="Prospecting",E472="Engaging"),VLOOKUP(C472,Products!$A$2:$C$8,3,FALSE),0)</f>
        <v>0</v>
      </c>
    </row>
    <row r="473" spans="1:10" x14ac:dyDescent="0.25">
      <c r="A473" t="s">
        <v>640</v>
      </c>
      <c r="B473" t="s">
        <v>158</v>
      </c>
      <c r="C473" t="s">
        <v>123</v>
      </c>
      <c r="D473" t="s">
        <v>116</v>
      </c>
      <c r="E473" t="s">
        <v>138</v>
      </c>
      <c r="F473" s="1">
        <v>42747</v>
      </c>
      <c r="G473" s="1">
        <v>42814</v>
      </c>
      <c r="H473">
        <v>49</v>
      </c>
      <c r="I473" t="str">
        <f>IF(COUNTIF(Products!$A$2:$A$8,C473)=0,C473,"")</f>
        <v/>
      </c>
      <c r="J473">
        <f>IF(OR(E473="Prospecting",E473="Engaging"),VLOOKUP(C473,Products!$A$2:$C$8,3,FALSE),0)</f>
        <v>0</v>
      </c>
    </row>
    <row r="474" spans="1:10" x14ac:dyDescent="0.25">
      <c r="A474" t="s">
        <v>641</v>
      </c>
      <c r="B474" t="s">
        <v>303</v>
      </c>
      <c r="C474" t="s">
        <v>120</v>
      </c>
      <c r="D474" t="s">
        <v>53</v>
      </c>
      <c r="E474" t="s">
        <v>138</v>
      </c>
      <c r="F474" s="1">
        <v>42747</v>
      </c>
      <c r="G474" s="1">
        <v>42872</v>
      </c>
      <c r="H474">
        <v>513</v>
      </c>
      <c r="I474" t="str">
        <f>IF(COUNTIF(Products!$A$2:$A$8,C474)=0,C474,"")</f>
        <v/>
      </c>
      <c r="J474">
        <f>IF(OR(E474="Prospecting",E474="Engaging"),VLOOKUP(C474,Products!$A$2:$C$8,3,FALSE),0)</f>
        <v>0</v>
      </c>
    </row>
    <row r="475" spans="1:10" x14ac:dyDescent="0.25">
      <c r="A475" t="s">
        <v>642</v>
      </c>
      <c r="B475" t="s">
        <v>217</v>
      </c>
      <c r="C475" t="s">
        <v>123</v>
      </c>
      <c r="D475" t="s">
        <v>55</v>
      </c>
      <c r="E475" t="s">
        <v>138</v>
      </c>
      <c r="F475" s="1">
        <v>42747</v>
      </c>
      <c r="G475" s="1">
        <v>42824</v>
      </c>
      <c r="H475">
        <v>54</v>
      </c>
      <c r="I475" t="str">
        <f>IF(COUNTIF(Products!$A$2:$A$8,C475)=0,C475,"")</f>
        <v/>
      </c>
      <c r="J475">
        <f>IF(OR(E475="Prospecting",E475="Engaging"),VLOOKUP(C475,Products!$A$2:$C$8,3,FALSE),0)</f>
        <v>0</v>
      </c>
    </row>
    <row r="476" spans="1:10" x14ac:dyDescent="0.25">
      <c r="A476" t="s">
        <v>643</v>
      </c>
      <c r="B476" t="s">
        <v>162</v>
      </c>
      <c r="C476" t="s">
        <v>127</v>
      </c>
      <c r="E476" t="s">
        <v>155</v>
      </c>
      <c r="F476" s="1">
        <v>42747</v>
      </c>
      <c r="I476" t="str">
        <f>IF(COUNTIF(Products!$A$2:$A$8,C476)=0,C476,"")</f>
        <v/>
      </c>
      <c r="J476">
        <f>IF(OR(E476="Prospecting",E476="Engaging"),VLOOKUP(C476,Products!$A$2:$C$8,3,FALSE),0)</f>
        <v>1096</v>
      </c>
    </row>
    <row r="477" spans="1:10" x14ac:dyDescent="0.25">
      <c r="A477" t="s">
        <v>644</v>
      </c>
      <c r="B477" t="s">
        <v>177</v>
      </c>
      <c r="C477" t="s">
        <v>120</v>
      </c>
      <c r="D477" t="s">
        <v>46</v>
      </c>
      <c r="E477" t="s">
        <v>155</v>
      </c>
      <c r="F477" s="1">
        <v>42747</v>
      </c>
      <c r="I477" t="str">
        <f>IF(COUNTIF(Products!$A$2:$A$8,C477)=0,C477,"")</f>
        <v/>
      </c>
      <c r="J477">
        <f>IF(OR(E477="Prospecting",E477="Engaging"),VLOOKUP(C477,Products!$A$2:$C$8,3,FALSE),0)</f>
        <v>550</v>
      </c>
    </row>
    <row r="478" spans="1:10" x14ac:dyDescent="0.25">
      <c r="A478" t="s">
        <v>645</v>
      </c>
      <c r="B478" t="s">
        <v>177</v>
      </c>
      <c r="C478" t="s">
        <v>123</v>
      </c>
      <c r="D478" t="s">
        <v>110</v>
      </c>
      <c r="E478" t="s">
        <v>138</v>
      </c>
      <c r="F478" s="1">
        <v>42747</v>
      </c>
      <c r="G478" s="1">
        <v>42817</v>
      </c>
      <c r="H478">
        <v>56</v>
      </c>
      <c r="I478" t="str">
        <f>IF(COUNTIF(Products!$A$2:$A$8,C478)=0,C478,"")</f>
        <v/>
      </c>
      <c r="J478">
        <f>IF(OR(E478="Prospecting",E478="Engaging"),VLOOKUP(C478,Products!$A$2:$C$8,3,FALSE),0)</f>
        <v>0</v>
      </c>
    </row>
    <row r="479" spans="1:10" x14ac:dyDescent="0.25">
      <c r="A479" t="s">
        <v>646</v>
      </c>
      <c r="B479" t="s">
        <v>146</v>
      </c>
      <c r="C479" t="s">
        <v>123</v>
      </c>
      <c r="D479" t="s">
        <v>70</v>
      </c>
      <c r="E479" t="s">
        <v>138</v>
      </c>
      <c r="F479" s="1">
        <v>42748</v>
      </c>
      <c r="G479" s="1">
        <v>42810</v>
      </c>
      <c r="H479">
        <v>58</v>
      </c>
      <c r="I479" t="str">
        <f>IF(COUNTIF(Products!$A$2:$A$8,C479)=0,C479,"")</f>
        <v/>
      </c>
      <c r="J479">
        <f>IF(OR(E479="Prospecting",E479="Engaging"),VLOOKUP(C479,Products!$A$2:$C$8,3,FALSE),0)</f>
        <v>0</v>
      </c>
    </row>
    <row r="480" spans="1:10" x14ac:dyDescent="0.25">
      <c r="A480" t="s">
        <v>647</v>
      </c>
      <c r="B480" t="s">
        <v>146</v>
      </c>
      <c r="C480" t="s">
        <v>123</v>
      </c>
      <c r="D480" t="s">
        <v>104</v>
      </c>
      <c r="E480" t="s">
        <v>138</v>
      </c>
      <c r="F480" s="1">
        <v>42748</v>
      </c>
      <c r="G480" s="1">
        <v>42821</v>
      </c>
      <c r="H480">
        <v>58</v>
      </c>
      <c r="I480" t="str">
        <f>IF(COUNTIF(Products!$A$2:$A$8,C480)=0,C480,"")</f>
        <v/>
      </c>
      <c r="J480">
        <f>IF(OR(E480="Prospecting",E480="Engaging"),VLOOKUP(C480,Products!$A$2:$C$8,3,FALSE),0)</f>
        <v>0</v>
      </c>
    </row>
    <row r="481" spans="1:10" x14ac:dyDescent="0.25">
      <c r="A481" t="s">
        <v>648</v>
      </c>
      <c r="B481" t="s">
        <v>164</v>
      </c>
      <c r="C481" t="s">
        <v>125</v>
      </c>
      <c r="D481" t="s">
        <v>106</v>
      </c>
      <c r="E481" t="s">
        <v>155</v>
      </c>
      <c r="F481" s="1">
        <v>42748</v>
      </c>
      <c r="I481" t="str">
        <f>IF(COUNTIF(Products!$A$2:$A$8,C481)=0,C481,"")</f>
        <v/>
      </c>
      <c r="J481">
        <f>IF(OR(E481="Prospecting",E481="Engaging"),VLOOKUP(C481,Products!$A$2:$C$8,3,FALSE),0)</f>
        <v>3393</v>
      </c>
    </row>
    <row r="482" spans="1:10" x14ac:dyDescent="0.25">
      <c r="A482" t="s">
        <v>649</v>
      </c>
      <c r="B482" t="s">
        <v>154</v>
      </c>
      <c r="C482" t="s">
        <v>122</v>
      </c>
      <c r="D482" t="s">
        <v>65</v>
      </c>
      <c r="E482" t="s">
        <v>155</v>
      </c>
      <c r="F482" s="1">
        <v>42748</v>
      </c>
      <c r="I482" t="str">
        <f>IF(COUNTIF(Products!$A$2:$A$8,C482)=0,C482,"")</f>
        <v/>
      </c>
      <c r="J482">
        <f>IF(OR(E482="Prospecting",E482="Engaging"),VLOOKUP(C482,Products!$A$2:$C$8,3,FALSE),0)</f>
        <v>4821</v>
      </c>
    </row>
    <row r="483" spans="1:10" x14ac:dyDescent="0.25">
      <c r="A483" t="s">
        <v>650</v>
      </c>
      <c r="B483" t="s">
        <v>180</v>
      </c>
      <c r="C483" t="s">
        <v>122</v>
      </c>
      <c r="D483" t="s">
        <v>75</v>
      </c>
      <c r="E483" t="s">
        <v>138</v>
      </c>
      <c r="F483" s="1">
        <v>42748</v>
      </c>
      <c r="G483" s="1">
        <v>42815</v>
      </c>
      <c r="H483">
        <v>4453</v>
      </c>
      <c r="I483" t="str">
        <f>IF(COUNTIF(Products!$A$2:$A$8,C483)=0,C483,"")</f>
        <v/>
      </c>
      <c r="J483">
        <f>IF(OR(E483="Prospecting",E483="Engaging"),VLOOKUP(C483,Products!$A$2:$C$8,3,FALSE),0)</f>
        <v>0</v>
      </c>
    </row>
    <row r="484" spans="1:10" x14ac:dyDescent="0.25">
      <c r="A484" t="s">
        <v>651</v>
      </c>
      <c r="B484" t="s">
        <v>191</v>
      </c>
      <c r="C484" t="s">
        <v>123</v>
      </c>
      <c r="D484" t="s">
        <v>83</v>
      </c>
      <c r="E484" t="s">
        <v>159</v>
      </c>
      <c r="F484" s="1">
        <v>42748</v>
      </c>
      <c r="G484" s="1">
        <v>42863</v>
      </c>
      <c r="H484">
        <v>0</v>
      </c>
      <c r="I484" t="str">
        <f>IF(COUNTIF(Products!$A$2:$A$8,C484)=0,C484,"")</f>
        <v/>
      </c>
      <c r="J484">
        <f>IF(OR(E484="Prospecting",E484="Engaging"),VLOOKUP(C484,Products!$A$2:$C$8,3,FALSE),0)</f>
        <v>0</v>
      </c>
    </row>
    <row r="485" spans="1:10" x14ac:dyDescent="0.25">
      <c r="A485" t="s">
        <v>652</v>
      </c>
      <c r="B485" t="s">
        <v>191</v>
      </c>
      <c r="C485" t="s">
        <v>120</v>
      </c>
      <c r="D485" t="s">
        <v>75</v>
      </c>
      <c r="E485" t="s">
        <v>138</v>
      </c>
      <c r="F485" s="1">
        <v>42748</v>
      </c>
      <c r="G485" s="1">
        <v>42808</v>
      </c>
      <c r="H485">
        <v>619</v>
      </c>
      <c r="I485" t="str">
        <f>IF(COUNTIF(Products!$A$2:$A$8,C485)=0,C485,"")</f>
        <v/>
      </c>
      <c r="J485">
        <f>IF(OR(E485="Prospecting",E485="Engaging"),VLOOKUP(C485,Products!$A$2:$C$8,3,FALSE),0)</f>
        <v>0</v>
      </c>
    </row>
    <row r="486" spans="1:10" x14ac:dyDescent="0.25">
      <c r="A486" t="s">
        <v>653</v>
      </c>
      <c r="B486" t="s">
        <v>162</v>
      </c>
      <c r="C486" t="s">
        <v>126</v>
      </c>
      <c r="D486" t="s">
        <v>107</v>
      </c>
      <c r="E486" t="s">
        <v>138</v>
      </c>
      <c r="F486" s="1">
        <v>42748</v>
      </c>
      <c r="G486" s="1">
        <v>42869</v>
      </c>
      <c r="H486">
        <v>5163</v>
      </c>
      <c r="I486" t="str">
        <f>IF(COUNTIF(Products!$A$2:$A$8,C486)=0,C486,"")</f>
        <v/>
      </c>
      <c r="J486">
        <f>IF(OR(E486="Prospecting",E486="Engaging"),VLOOKUP(C486,Products!$A$2:$C$8,3,FALSE),0)</f>
        <v>0</v>
      </c>
    </row>
    <row r="487" spans="1:10" x14ac:dyDescent="0.25">
      <c r="A487" t="s">
        <v>654</v>
      </c>
      <c r="B487" t="s">
        <v>162</v>
      </c>
      <c r="C487" t="s">
        <v>122</v>
      </c>
      <c r="D487" t="s">
        <v>57</v>
      </c>
      <c r="E487" t="s">
        <v>138</v>
      </c>
      <c r="F487" s="1">
        <v>42748</v>
      </c>
      <c r="G487" s="1">
        <v>42819</v>
      </c>
      <c r="H487">
        <v>4071</v>
      </c>
      <c r="I487" t="str">
        <f>IF(COUNTIF(Products!$A$2:$A$8,C487)=0,C487,"")</f>
        <v/>
      </c>
      <c r="J487">
        <f>IF(OR(E487="Prospecting",E487="Engaging"),VLOOKUP(C487,Products!$A$2:$C$8,3,FALSE),0)</f>
        <v>0</v>
      </c>
    </row>
    <row r="488" spans="1:10" x14ac:dyDescent="0.25">
      <c r="A488" t="s">
        <v>655</v>
      </c>
      <c r="B488" t="s">
        <v>193</v>
      </c>
      <c r="C488" t="s">
        <v>123</v>
      </c>
      <c r="D488" t="s">
        <v>35</v>
      </c>
      <c r="E488" t="s">
        <v>138</v>
      </c>
      <c r="F488" s="1">
        <v>42748</v>
      </c>
      <c r="G488" s="1">
        <v>42863</v>
      </c>
      <c r="H488">
        <v>56</v>
      </c>
      <c r="I488" t="str">
        <f>IF(COUNTIF(Products!$A$2:$A$8,C488)=0,C488,"")</f>
        <v/>
      </c>
      <c r="J488">
        <f>IF(OR(E488="Prospecting",E488="Engaging"),VLOOKUP(C488,Products!$A$2:$C$8,3,FALSE),0)</f>
        <v>0</v>
      </c>
    </row>
    <row r="489" spans="1:10" x14ac:dyDescent="0.25">
      <c r="A489" t="s">
        <v>656</v>
      </c>
      <c r="B489" t="s">
        <v>148</v>
      </c>
      <c r="C489" t="s">
        <v>123</v>
      </c>
      <c r="E489" t="s">
        <v>155</v>
      </c>
      <c r="F489" s="1">
        <v>42748</v>
      </c>
      <c r="I489" t="str">
        <f>IF(COUNTIF(Products!$A$2:$A$8,C489)=0,C489,"")</f>
        <v/>
      </c>
      <c r="J489">
        <f>IF(OR(E489="Prospecting",E489="Engaging"),VLOOKUP(C489,Products!$A$2:$C$8,3,FALSE),0)</f>
        <v>55</v>
      </c>
    </row>
    <row r="490" spans="1:10" x14ac:dyDescent="0.25">
      <c r="A490" t="s">
        <v>657</v>
      </c>
      <c r="B490" t="s">
        <v>177</v>
      </c>
      <c r="C490" t="s">
        <v>125</v>
      </c>
      <c r="D490" t="s">
        <v>98</v>
      </c>
      <c r="E490" t="s">
        <v>159</v>
      </c>
      <c r="F490" s="1">
        <v>42748</v>
      </c>
      <c r="G490" s="1">
        <v>42825</v>
      </c>
      <c r="H490">
        <v>0</v>
      </c>
      <c r="I490" t="str">
        <f>IF(COUNTIF(Products!$A$2:$A$8,C490)=0,C490,"")</f>
        <v/>
      </c>
      <c r="J490">
        <f>IF(OR(E490="Prospecting",E490="Engaging"),VLOOKUP(C490,Products!$A$2:$C$8,3,FALSE),0)</f>
        <v>0</v>
      </c>
    </row>
    <row r="491" spans="1:10" x14ac:dyDescent="0.25">
      <c r="A491" t="s">
        <v>658</v>
      </c>
      <c r="B491" t="s">
        <v>224</v>
      </c>
      <c r="C491" t="s">
        <v>122</v>
      </c>
      <c r="D491" t="s">
        <v>115</v>
      </c>
      <c r="E491" t="s">
        <v>138</v>
      </c>
      <c r="F491" s="1">
        <v>42749</v>
      </c>
      <c r="G491" s="1">
        <v>42823</v>
      </c>
      <c r="H491">
        <v>4375</v>
      </c>
      <c r="I491" t="str">
        <f>IF(COUNTIF(Products!$A$2:$A$8,C491)=0,C491,"")</f>
        <v/>
      </c>
      <c r="J491">
        <f>IF(OR(E491="Prospecting",E491="Engaging"),VLOOKUP(C491,Products!$A$2:$C$8,3,FALSE),0)</f>
        <v>0</v>
      </c>
    </row>
    <row r="492" spans="1:10" x14ac:dyDescent="0.25">
      <c r="A492" t="s">
        <v>659</v>
      </c>
      <c r="B492" t="s">
        <v>154</v>
      </c>
      <c r="C492" t="s">
        <v>125</v>
      </c>
      <c r="D492" t="s">
        <v>26</v>
      </c>
      <c r="E492" t="s">
        <v>155</v>
      </c>
      <c r="F492" s="1">
        <v>42749</v>
      </c>
      <c r="I492" t="str">
        <f>IF(COUNTIF(Products!$A$2:$A$8,C492)=0,C492,"")</f>
        <v/>
      </c>
      <c r="J492">
        <f>IF(OR(E492="Prospecting",E492="Engaging"),VLOOKUP(C492,Products!$A$2:$C$8,3,FALSE),0)</f>
        <v>3393</v>
      </c>
    </row>
    <row r="493" spans="1:10" x14ac:dyDescent="0.25">
      <c r="A493" t="s">
        <v>660</v>
      </c>
      <c r="B493" t="s">
        <v>180</v>
      </c>
      <c r="C493" t="s">
        <v>120</v>
      </c>
      <c r="D493" t="s">
        <v>47</v>
      </c>
      <c r="E493" t="s">
        <v>138</v>
      </c>
      <c r="F493" s="1">
        <v>42749</v>
      </c>
      <c r="G493" s="1">
        <v>42822</v>
      </c>
      <c r="H493">
        <v>610</v>
      </c>
      <c r="I493" t="str">
        <f>IF(COUNTIF(Products!$A$2:$A$8,C493)=0,C493,"")</f>
        <v/>
      </c>
      <c r="J493">
        <f>IF(OR(E493="Prospecting",E493="Engaging"),VLOOKUP(C493,Products!$A$2:$C$8,3,FALSE),0)</f>
        <v>0</v>
      </c>
    </row>
    <row r="494" spans="1:10" x14ac:dyDescent="0.25">
      <c r="A494" t="s">
        <v>661</v>
      </c>
      <c r="B494" t="s">
        <v>148</v>
      </c>
      <c r="C494" t="s">
        <v>120</v>
      </c>
      <c r="D494" t="s">
        <v>91</v>
      </c>
      <c r="E494" t="s">
        <v>155</v>
      </c>
      <c r="F494" s="1">
        <v>42749</v>
      </c>
      <c r="I494" t="str">
        <f>IF(COUNTIF(Products!$A$2:$A$8,C494)=0,C494,"")</f>
        <v/>
      </c>
      <c r="J494">
        <f>IF(OR(E494="Prospecting",E494="Engaging"),VLOOKUP(C494,Products!$A$2:$C$8,3,FALSE),0)</f>
        <v>550</v>
      </c>
    </row>
    <row r="495" spans="1:10" x14ac:dyDescent="0.25">
      <c r="A495" t="s">
        <v>662</v>
      </c>
      <c r="B495" t="s">
        <v>148</v>
      </c>
      <c r="C495" t="s">
        <v>125</v>
      </c>
      <c r="D495" t="s">
        <v>60</v>
      </c>
      <c r="E495" t="s">
        <v>159</v>
      </c>
      <c r="F495" s="1">
        <v>42749</v>
      </c>
      <c r="G495" s="1">
        <v>42860</v>
      </c>
      <c r="H495">
        <v>0</v>
      </c>
      <c r="I495" t="str">
        <f>IF(COUNTIF(Products!$A$2:$A$8,C495)=0,C495,"")</f>
        <v/>
      </c>
      <c r="J495">
        <f>IF(OR(E495="Prospecting",E495="Engaging"),VLOOKUP(C495,Products!$A$2:$C$8,3,FALSE),0)</f>
        <v>0</v>
      </c>
    </row>
    <row r="496" spans="1:10" x14ac:dyDescent="0.25">
      <c r="A496" t="s">
        <v>663</v>
      </c>
      <c r="B496" t="s">
        <v>148</v>
      </c>
      <c r="C496" t="s">
        <v>122</v>
      </c>
      <c r="D496" t="s">
        <v>107</v>
      </c>
      <c r="E496" t="s">
        <v>138</v>
      </c>
      <c r="F496" s="1">
        <v>42749</v>
      </c>
      <c r="G496" s="1">
        <v>42811</v>
      </c>
      <c r="H496">
        <v>4554</v>
      </c>
      <c r="I496" t="str">
        <f>IF(COUNTIF(Products!$A$2:$A$8,C496)=0,C496,"")</f>
        <v/>
      </c>
      <c r="J496">
        <f>IF(OR(E496="Prospecting",E496="Engaging"),VLOOKUP(C496,Products!$A$2:$C$8,3,FALSE),0)</f>
        <v>0</v>
      </c>
    </row>
    <row r="497" spans="1:10" x14ac:dyDescent="0.25">
      <c r="A497" t="s">
        <v>664</v>
      </c>
      <c r="B497" t="s">
        <v>196</v>
      </c>
      <c r="C497" t="s">
        <v>125</v>
      </c>
      <c r="D497" t="s">
        <v>69</v>
      </c>
      <c r="E497" t="s">
        <v>138</v>
      </c>
      <c r="F497" s="1">
        <v>42749</v>
      </c>
      <c r="G497" s="1">
        <v>42873</v>
      </c>
      <c r="H497">
        <v>2880</v>
      </c>
      <c r="I497" t="str">
        <f>IF(COUNTIF(Products!$A$2:$A$8,C497)=0,C497,"")</f>
        <v/>
      </c>
      <c r="J497">
        <f>IF(OR(E497="Prospecting",E497="Engaging"),VLOOKUP(C497,Products!$A$2:$C$8,3,FALSE),0)</f>
        <v>0</v>
      </c>
    </row>
    <row r="498" spans="1:10" x14ac:dyDescent="0.25">
      <c r="A498" t="s">
        <v>665</v>
      </c>
      <c r="B498" t="s">
        <v>239</v>
      </c>
      <c r="C498" t="s">
        <v>126</v>
      </c>
      <c r="D498" t="s">
        <v>114</v>
      </c>
      <c r="E498" t="s">
        <v>155</v>
      </c>
      <c r="F498" s="1">
        <v>42750</v>
      </c>
      <c r="I498" t="str">
        <f>IF(COUNTIF(Products!$A$2:$A$8,C498)=0,C498,"")</f>
        <v/>
      </c>
      <c r="J498">
        <f>IF(OR(E498="Prospecting",E498="Engaging"),VLOOKUP(C498,Products!$A$2:$C$8,3,FALSE),0)</f>
        <v>5482</v>
      </c>
    </row>
    <row r="499" spans="1:10" x14ac:dyDescent="0.25">
      <c r="A499" t="s">
        <v>666</v>
      </c>
      <c r="B499" t="s">
        <v>239</v>
      </c>
      <c r="C499" t="s">
        <v>122</v>
      </c>
      <c r="D499" t="s">
        <v>32</v>
      </c>
      <c r="E499" t="s">
        <v>155</v>
      </c>
      <c r="F499" s="1">
        <v>42750</v>
      </c>
      <c r="I499" t="str">
        <f>IF(COUNTIF(Products!$A$2:$A$8,C499)=0,C499,"")</f>
        <v/>
      </c>
      <c r="J499">
        <f>IF(OR(E499="Prospecting",E499="Engaging"),VLOOKUP(C499,Products!$A$2:$C$8,3,FALSE),0)</f>
        <v>4821</v>
      </c>
    </row>
    <row r="500" spans="1:10" x14ac:dyDescent="0.25">
      <c r="A500" t="s">
        <v>667</v>
      </c>
      <c r="B500" t="s">
        <v>239</v>
      </c>
      <c r="C500" t="s">
        <v>127</v>
      </c>
      <c r="D500" t="s">
        <v>63</v>
      </c>
      <c r="E500" t="s">
        <v>159</v>
      </c>
      <c r="F500" s="1">
        <v>42750</v>
      </c>
      <c r="G500" s="1">
        <v>42857</v>
      </c>
      <c r="H500">
        <v>0</v>
      </c>
      <c r="I500" t="str">
        <f>IF(COUNTIF(Products!$A$2:$A$8,C500)=0,C500,"")</f>
        <v/>
      </c>
      <c r="J500">
        <f>IF(OR(E500="Prospecting",E500="Engaging"),VLOOKUP(C500,Products!$A$2:$C$8,3,FALSE),0)</f>
        <v>0</v>
      </c>
    </row>
    <row r="501" spans="1:10" x14ac:dyDescent="0.25">
      <c r="A501" t="s">
        <v>668</v>
      </c>
      <c r="B501" t="s">
        <v>173</v>
      </c>
      <c r="C501" t="s">
        <v>123</v>
      </c>
      <c r="D501" t="s">
        <v>73</v>
      </c>
      <c r="E501" t="s">
        <v>155</v>
      </c>
      <c r="F501" s="1">
        <v>42750</v>
      </c>
      <c r="I501" t="str">
        <f>IF(COUNTIF(Products!$A$2:$A$8,C501)=0,C501,"")</f>
        <v/>
      </c>
      <c r="J501">
        <f>IF(OR(E501="Prospecting",E501="Engaging"),VLOOKUP(C501,Products!$A$2:$C$8,3,FALSE),0)</f>
        <v>55</v>
      </c>
    </row>
    <row r="502" spans="1:10" x14ac:dyDescent="0.25">
      <c r="A502" t="s">
        <v>669</v>
      </c>
      <c r="B502" t="s">
        <v>150</v>
      </c>
      <c r="C502" t="s">
        <v>123</v>
      </c>
      <c r="D502" t="s">
        <v>90</v>
      </c>
      <c r="E502" t="s">
        <v>138</v>
      </c>
      <c r="F502" s="1">
        <v>42750</v>
      </c>
      <c r="G502" s="1">
        <v>42873</v>
      </c>
      <c r="H502">
        <v>60</v>
      </c>
      <c r="I502" t="str">
        <f>IF(COUNTIF(Products!$A$2:$A$8,C502)=0,C502,"")</f>
        <v/>
      </c>
      <c r="J502">
        <f>IF(OR(E502="Prospecting",E502="Engaging"),VLOOKUP(C502,Products!$A$2:$C$8,3,FALSE),0)</f>
        <v>0</v>
      </c>
    </row>
    <row r="503" spans="1:10" x14ac:dyDescent="0.25">
      <c r="A503" t="s">
        <v>670</v>
      </c>
      <c r="B503" t="s">
        <v>162</v>
      </c>
      <c r="C503" t="s">
        <v>120</v>
      </c>
      <c r="D503" t="s">
        <v>27</v>
      </c>
      <c r="E503" t="s">
        <v>138</v>
      </c>
      <c r="F503" s="1">
        <v>42750</v>
      </c>
      <c r="G503" s="1">
        <v>42815</v>
      </c>
      <c r="H503">
        <v>688</v>
      </c>
      <c r="I503" t="str">
        <f>IF(COUNTIF(Products!$A$2:$A$8,C503)=0,C503,"")</f>
        <v/>
      </c>
      <c r="J503">
        <f>IF(OR(E503="Prospecting",E503="Engaging"),VLOOKUP(C503,Products!$A$2:$C$8,3,FALSE),0)</f>
        <v>0</v>
      </c>
    </row>
    <row r="504" spans="1:10" x14ac:dyDescent="0.25">
      <c r="A504" t="s">
        <v>671</v>
      </c>
      <c r="B504" t="s">
        <v>162</v>
      </c>
      <c r="C504" t="s">
        <v>126</v>
      </c>
      <c r="D504" t="s">
        <v>56</v>
      </c>
      <c r="E504" t="s">
        <v>138</v>
      </c>
      <c r="F504" s="1">
        <v>42750</v>
      </c>
      <c r="G504" s="1">
        <v>42816</v>
      </c>
      <c r="H504">
        <v>6142</v>
      </c>
      <c r="I504" t="str">
        <f>IF(COUNTIF(Products!$A$2:$A$8,C504)=0,C504,"")</f>
        <v/>
      </c>
      <c r="J504">
        <f>IF(OR(E504="Prospecting",E504="Engaging"),VLOOKUP(C504,Products!$A$2:$C$8,3,FALSE),0)</f>
        <v>0</v>
      </c>
    </row>
    <row r="505" spans="1:10" x14ac:dyDescent="0.25">
      <c r="A505" t="s">
        <v>672</v>
      </c>
      <c r="B505" t="s">
        <v>162</v>
      </c>
      <c r="C505" t="s">
        <v>122</v>
      </c>
      <c r="D505" t="s">
        <v>57</v>
      </c>
      <c r="E505" t="s">
        <v>138</v>
      </c>
      <c r="F505" s="1">
        <v>42750</v>
      </c>
      <c r="G505" s="1">
        <v>42825</v>
      </c>
      <c r="H505">
        <v>4939</v>
      </c>
      <c r="I505" t="str">
        <f>IF(COUNTIF(Products!$A$2:$A$8,C505)=0,C505,"")</f>
        <v/>
      </c>
      <c r="J505">
        <f>IF(OR(E505="Prospecting",E505="Engaging"),VLOOKUP(C505,Products!$A$2:$C$8,3,FALSE),0)</f>
        <v>0</v>
      </c>
    </row>
    <row r="506" spans="1:10" x14ac:dyDescent="0.25">
      <c r="A506" t="s">
        <v>673</v>
      </c>
      <c r="B506" t="s">
        <v>152</v>
      </c>
      <c r="C506" t="s">
        <v>126</v>
      </c>
      <c r="D506" t="s">
        <v>77</v>
      </c>
      <c r="E506" t="s">
        <v>138</v>
      </c>
      <c r="F506" s="1">
        <v>42750</v>
      </c>
      <c r="G506" s="1">
        <v>42870</v>
      </c>
      <c r="H506">
        <v>6270</v>
      </c>
      <c r="I506" t="str">
        <f>IF(COUNTIF(Products!$A$2:$A$8,C506)=0,C506,"")</f>
        <v/>
      </c>
      <c r="J506">
        <f>IF(OR(E506="Prospecting",E506="Engaging"),VLOOKUP(C506,Products!$A$2:$C$8,3,FALSE),0)</f>
        <v>0</v>
      </c>
    </row>
    <row r="507" spans="1:10" x14ac:dyDescent="0.25">
      <c r="A507" t="s">
        <v>674</v>
      </c>
      <c r="B507" t="s">
        <v>148</v>
      </c>
      <c r="C507" t="s">
        <v>120</v>
      </c>
      <c r="E507" t="s">
        <v>155</v>
      </c>
      <c r="F507" s="1">
        <v>42750</v>
      </c>
      <c r="I507" t="str">
        <f>IF(COUNTIF(Products!$A$2:$A$8,C507)=0,C507,"")</f>
        <v/>
      </c>
      <c r="J507">
        <f>IF(OR(E507="Prospecting",E507="Engaging"),VLOOKUP(C507,Products!$A$2:$C$8,3,FALSE),0)</f>
        <v>550</v>
      </c>
    </row>
    <row r="508" spans="1:10" x14ac:dyDescent="0.25">
      <c r="A508" t="s">
        <v>675</v>
      </c>
      <c r="B508" t="s">
        <v>196</v>
      </c>
      <c r="C508" t="s">
        <v>125</v>
      </c>
      <c r="D508" t="s">
        <v>7</v>
      </c>
      <c r="E508" t="s">
        <v>138</v>
      </c>
      <c r="F508" s="1">
        <v>42750</v>
      </c>
      <c r="G508" s="1">
        <v>42823</v>
      </c>
      <c r="H508">
        <v>3833</v>
      </c>
      <c r="I508" t="str">
        <f>IF(COUNTIF(Products!$A$2:$A$8,C508)=0,C508,"")</f>
        <v/>
      </c>
      <c r="J508">
        <f>IF(OR(E508="Prospecting",E508="Engaging"),VLOOKUP(C508,Products!$A$2:$C$8,3,FALSE),0)</f>
        <v>0</v>
      </c>
    </row>
    <row r="509" spans="1:10" x14ac:dyDescent="0.25">
      <c r="A509" t="s">
        <v>676</v>
      </c>
      <c r="B509" t="s">
        <v>171</v>
      </c>
      <c r="C509" t="s">
        <v>127</v>
      </c>
      <c r="D509" t="s">
        <v>20</v>
      </c>
      <c r="E509" t="s">
        <v>159</v>
      </c>
      <c r="F509" s="1">
        <v>42751</v>
      </c>
      <c r="G509" s="1">
        <v>42822</v>
      </c>
      <c r="H509">
        <v>0</v>
      </c>
      <c r="I509" t="str">
        <f>IF(COUNTIF(Products!$A$2:$A$8,C509)=0,C509,"")</f>
        <v/>
      </c>
      <c r="J509">
        <f>IF(OR(E509="Prospecting",E509="Engaging"),VLOOKUP(C509,Products!$A$2:$C$8,3,FALSE),0)</f>
        <v>0</v>
      </c>
    </row>
    <row r="510" spans="1:10" x14ac:dyDescent="0.25">
      <c r="A510" t="s">
        <v>677</v>
      </c>
      <c r="B510" t="s">
        <v>180</v>
      </c>
      <c r="C510" t="s">
        <v>126</v>
      </c>
      <c r="D510" t="s">
        <v>7</v>
      </c>
      <c r="E510" t="s">
        <v>155</v>
      </c>
      <c r="F510" s="1">
        <v>42751</v>
      </c>
      <c r="I510" t="str">
        <f>IF(COUNTIF(Products!$A$2:$A$8,C510)=0,C510,"")</f>
        <v/>
      </c>
      <c r="J510">
        <f>IF(OR(E510="Prospecting",E510="Engaging"),VLOOKUP(C510,Products!$A$2:$C$8,3,FALSE),0)</f>
        <v>5482</v>
      </c>
    </row>
    <row r="511" spans="1:10" x14ac:dyDescent="0.25">
      <c r="A511" t="s">
        <v>678</v>
      </c>
      <c r="B511" t="s">
        <v>162</v>
      </c>
      <c r="C511" t="s">
        <v>123</v>
      </c>
      <c r="E511" t="s">
        <v>155</v>
      </c>
      <c r="F511" s="1">
        <v>42751</v>
      </c>
      <c r="I511" t="str">
        <f>IF(COUNTIF(Products!$A$2:$A$8,C511)=0,C511,"")</f>
        <v/>
      </c>
      <c r="J511">
        <f>IF(OR(E511="Prospecting",E511="Engaging"),VLOOKUP(C511,Products!$A$2:$C$8,3,FALSE),0)</f>
        <v>55</v>
      </c>
    </row>
    <row r="512" spans="1:10" x14ac:dyDescent="0.25">
      <c r="A512" t="s">
        <v>679</v>
      </c>
      <c r="B512" t="s">
        <v>137</v>
      </c>
      <c r="C512" t="s">
        <v>123</v>
      </c>
      <c r="D512" t="s">
        <v>61</v>
      </c>
      <c r="E512" t="s">
        <v>138</v>
      </c>
      <c r="F512" s="1">
        <v>42751</v>
      </c>
      <c r="G512" s="1">
        <v>42888</v>
      </c>
      <c r="H512">
        <v>57</v>
      </c>
      <c r="I512" t="str">
        <f>IF(COUNTIF(Products!$A$2:$A$8,C512)=0,C512,"")</f>
        <v/>
      </c>
      <c r="J512">
        <f>IF(OR(E512="Prospecting",E512="Engaging"),VLOOKUP(C512,Products!$A$2:$C$8,3,FALSE),0)</f>
        <v>0</v>
      </c>
    </row>
    <row r="513" spans="1:10" x14ac:dyDescent="0.25">
      <c r="A513" t="s">
        <v>680</v>
      </c>
      <c r="B513" t="s">
        <v>169</v>
      </c>
      <c r="C513" t="s">
        <v>123</v>
      </c>
      <c r="D513" t="s">
        <v>22</v>
      </c>
      <c r="E513" t="s">
        <v>138</v>
      </c>
      <c r="F513" s="1">
        <v>42751</v>
      </c>
      <c r="G513" s="1">
        <v>42811</v>
      </c>
      <c r="H513">
        <v>47</v>
      </c>
      <c r="I513" t="str">
        <f>IF(COUNTIF(Products!$A$2:$A$8,C513)=0,C513,"")</f>
        <v/>
      </c>
      <c r="J513">
        <f>IF(OR(E513="Prospecting",E513="Engaging"),VLOOKUP(C513,Products!$A$2:$C$8,3,FALSE),0)</f>
        <v>0</v>
      </c>
    </row>
    <row r="514" spans="1:10" x14ac:dyDescent="0.25">
      <c r="A514" t="s">
        <v>681</v>
      </c>
      <c r="B514" t="s">
        <v>177</v>
      </c>
      <c r="C514" t="s">
        <v>123</v>
      </c>
      <c r="D514" t="s">
        <v>37</v>
      </c>
      <c r="E514" t="s">
        <v>159</v>
      </c>
      <c r="F514" s="1">
        <v>42751</v>
      </c>
      <c r="G514" s="1">
        <v>42807</v>
      </c>
      <c r="H514">
        <v>0</v>
      </c>
      <c r="I514" t="str">
        <f>IF(COUNTIF(Products!$A$2:$A$8,C514)=0,C514,"")</f>
        <v/>
      </c>
      <c r="J514">
        <f>IF(OR(E514="Prospecting",E514="Engaging"),VLOOKUP(C514,Products!$A$2:$C$8,3,FALSE),0)</f>
        <v>0</v>
      </c>
    </row>
    <row r="515" spans="1:10" x14ac:dyDescent="0.25">
      <c r="A515" t="s">
        <v>682</v>
      </c>
      <c r="B515" t="s">
        <v>171</v>
      </c>
      <c r="C515" t="s">
        <v>125</v>
      </c>
      <c r="D515" t="s">
        <v>84</v>
      </c>
      <c r="E515" t="s">
        <v>159</v>
      </c>
      <c r="F515" s="1">
        <v>42752</v>
      </c>
      <c r="G515" s="1">
        <v>42813</v>
      </c>
      <c r="H515">
        <v>0</v>
      </c>
      <c r="I515" t="str">
        <f>IF(COUNTIF(Products!$A$2:$A$8,C515)=0,C515,"")</f>
        <v/>
      </c>
      <c r="J515">
        <f>IF(OR(E515="Prospecting",E515="Engaging"),VLOOKUP(C515,Products!$A$2:$C$8,3,FALSE),0)</f>
        <v>0</v>
      </c>
    </row>
    <row r="516" spans="1:10" x14ac:dyDescent="0.25">
      <c r="A516" t="s">
        <v>683</v>
      </c>
      <c r="B516" t="s">
        <v>158</v>
      </c>
      <c r="C516" t="s">
        <v>123</v>
      </c>
      <c r="D516" t="s">
        <v>32</v>
      </c>
      <c r="E516" t="s">
        <v>138</v>
      </c>
      <c r="F516" s="1">
        <v>42752</v>
      </c>
      <c r="G516" s="1">
        <v>42859</v>
      </c>
      <c r="H516">
        <v>57</v>
      </c>
      <c r="I516" t="str">
        <f>IF(COUNTIF(Products!$A$2:$A$8,C516)=0,C516,"")</f>
        <v/>
      </c>
      <c r="J516">
        <f>IF(OR(E516="Prospecting",E516="Engaging"),VLOOKUP(C516,Products!$A$2:$C$8,3,FALSE),0)</f>
        <v>0</v>
      </c>
    </row>
    <row r="517" spans="1:10" x14ac:dyDescent="0.25">
      <c r="A517" t="s">
        <v>684</v>
      </c>
      <c r="B517" t="s">
        <v>154</v>
      </c>
      <c r="C517" t="s">
        <v>127</v>
      </c>
      <c r="D517" t="s">
        <v>77</v>
      </c>
      <c r="E517" t="s">
        <v>155</v>
      </c>
      <c r="F517" s="1">
        <v>42752</v>
      </c>
      <c r="I517" t="str">
        <f>IF(COUNTIF(Products!$A$2:$A$8,C517)=0,C517,"")</f>
        <v/>
      </c>
      <c r="J517">
        <f>IF(OR(E517="Prospecting",E517="Engaging"),VLOOKUP(C517,Products!$A$2:$C$8,3,FALSE),0)</f>
        <v>1096</v>
      </c>
    </row>
    <row r="518" spans="1:10" x14ac:dyDescent="0.25">
      <c r="A518" t="s">
        <v>685</v>
      </c>
      <c r="B518" t="s">
        <v>303</v>
      </c>
      <c r="C518" t="s">
        <v>125</v>
      </c>
      <c r="D518" t="s">
        <v>51</v>
      </c>
      <c r="E518" t="s">
        <v>138</v>
      </c>
      <c r="F518" s="1">
        <v>42752</v>
      </c>
      <c r="G518" s="1">
        <v>42808</v>
      </c>
      <c r="H518">
        <v>3257</v>
      </c>
      <c r="I518" t="str">
        <f>IF(COUNTIF(Products!$A$2:$A$8,C518)=0,C518,"")</f>
        <v/>
      </c>
      <c r="J518">
        <f>IF(OR(E518="Prospecting",E518="Engaging"),VLOOKUP(C518,Products!$A$2:$C$8,3,FALSE),0)</f>
        <v>0</v>
      </c>
    </row>
    <row r="519" spans="1:10" x14ac:dyDescent="0.25">
      <c r="A519" t="s">
        <v>686</v>
      </c>
      <c r="B519" t="s">
        <v>180</v>
      </c>
      <c r="C519" t="s">
        <v>120</v>
      </c>
      <c r="D519" t="s">
        <v>100</v>
      </c>
      <c r="E519" t="s">
        <v>138</v>
      </c>
      <c r="F519" s="1">
        <v>42752</v>
      </c>
      <c r="G519" s="1">
        <v>42863</v>
      </c>
      <c r="H519">
        <v>511</v>
      </c>
      <c r="I519" t="str">
        <f>IF(COUNTIF(Products!$A$2:$A$8,C519)=0,C519,"")</f>
        <v/>
      </c>
      <c r="J519">
        <f>IF(OR(E519="Prospecting",E519="Engaging"),VLOOKUP(C519,Products!$A$2:$C$8,3,FALSE),0)</f>
        <v>0</v>
      </c>
    </row>
    <row r="520" spans="1:10" x14ac:dyDescent="0.25">
      <c r="A520" t="s">
        <v>687</v>
      </c>
      <c r="B520" t="s">
        <v>180</v>
      </c>
      <c r="C520" t="s">
        <v>120</v>
      </c>
      <c r="D520" t="s">
        <v>109</v>
      </c>
      <c r="E520" t="s">
        <v>138</v>
      </c>
      <c r="F520" s="1">
        <v>42752</v>
      </c>
      <c r="G520" s="1">
        <v>42808</v>
      </c>
      <c r="H520">
        <v>607</v>
      </c>
      <c r="I520" t="str">
        <f>IF(COUNTIF(Products!$A$2:$A$8,C520)=0,C520,"")</f>
        <v/>
      </c>
      <c r="J520">
        <f>IF(OR(E520="Prospecting",E520="Engaging"),VLOOKUP(C520,Products!$A$2:$C$8,3,FALSE),0)</f>
        <v>0</v>
      </c>
    </row>
    <row r="521" spans="1:10" x14ac:dyDescent="0.25">
      <c r="A521" t="s">
        <v>688</v>
      </c>
      <c r="B521" t="s">
        <v>150</v>
      </c>
      <c r="C521" t="s">
        <v>126</v>
      </c>
      <c r="D521" t="s">
        <v>23</v>
      </c>
      <c r="E521" t="s">
        <v>138</v>
      </c>
      <c r="F521" s="1">
        <v>42752</v>
      </c>
      <c r="G521" s="1">
        <v>42823</v>
      </c>
      <c r="H521">
        <v>5120</v>
      </c>
      <c r="I521" t="str">
        <f>IF(COUNTIF(Products!$A$2:$A$8,C521)=0,C521,"")</f>
        <v/>
      </c>
      <c r="J521">
        <f>IF(OR(E521="Prospecting",E521="Engaging"),VLOOKUP(C521,Products!$A$2:$C$8,3,FALSE),0)</f>
        <v>0</v>
      </c>
    </row>
    <row r="522" spans="1:10" x14ac:dyDescent="0.25">
      <c r="A522" t="s">
        <v>689</v>
      </c>
      <c r="B522" t="s">
        <v>152</v>
      </c>
      <c r="C522" t="s">
        <v>127</v>
      </c>
      <c r="D522" t="s">
        <v>61</v>
      </c>
      <c r="E522" t="s">
        <v>138</v>
      </c>
      <c r="F522" s="1">
        <v>42752</v>
      </c>
      <c r="G522" s="1">
        <v>42817</v>
      </c>
      <c r="H522">
        <v>1343</v>
      </c>
      <c r="I522" t="str">
        <f>IF(COUNTIF(Products!$A$2:$A$8,C522)=0,C522,"")</f>
        <v/>
      </c>
      <c r="J522">
        <f>IF(OR(E522="Prospecting",E522="Engaging"),VLOOKUP(C522,Products!$A$2:$C$8,3,FALSE),0)</f>
        <v>0</v>
      </c>
    </row>
    <row r="523" spans="1:10" x14ac:dyDescent="0.25">
      <c r="A523" t="s">
        <v>690</v>
      </c>
      <c r="B523" t="s">
        <v>152</v>
      </c>
      <c r="C523" t="s">
        <v>123</v>
      </c>
      <c r="D523" t="s">
        <v>89</v>
      </c>
      <c r="E523" t="s">
        <v>138</v>
      </c>
      <c r="F523" s="1">
        <v>42752</v>
      </c>
      <c r="G523" s="1">
        <v>42869</v>
      </c>
      <c r="H523">
        <v>55</v>
      </c>
      <c r="I523" t="str">
        <f>IF(COUNTIF(Products!$A$2:$A$8,C523)=0,C523,"")</f>
        <v/>
      </c>
      <c r="J523">
        <f>IF(OR(E523="Prospecting",E523="Engaging"),VLOOKUP(C523,Products!$A$2:$C$8,3,FALSE),0)</f>
        <v>0</v>
      </c>
    </row>
    <row r="524" spans="1:10" x14ac:dyDescent="0.25">
      <c r="A524" t="s">
        <v>691</v>
      </c>
      <c r="B524" t="s">
        <v>148</v>
      </c>
      <c r="C524" t="s">
        <v>123</v>
      </c>
      <c r="D524" t="s">
        <v>39</v>
      </c>
      <c r="E524" t="s">
        <v>138</v>
      </c>
      <c r="F524" s="1">
        <v>42752</v>
      </c>
      <c r="G524" s="1">
        <v>42824</v>
      </c>
      <c r="H524">
        <v>49</v>
      </c>
      <c r="I524" t="str">
        <f>IF(COUNTIF(Products!$A$2:$A$8,C524)=0,C524,"")</f>
        <v/>
      </c>
      <c r="J524">
        <f>IF(OR(E524="Prospecting",E524="Engaging"),VLOOKUP(C524,Products!$A$2:$C$8,3,FALSE),0)</f>
        <v>0</v>
      </c>
    </row>
    <row r="525" spans="1:10" x14ac:dyDescent="0.25">
      <c r="A525" t="s">
        <v>692</v>
      </c>
      <c r="B525" t="s">
        <v>222</v>
      </c>
      <c r="C525" t="s">
        <v>120</v>
      </c>
      <c r="D525" t="s">
        <v>102</v>
      </c>
      <c r="E525" t="s">
        <v>159</v>
      </c>
      <c r="F525" s="1">
        <v>42753</v>
      </c>
      <c r="G525" s="1">
        <v>42823</v>
      </c>
      <c r="H525">
        <v>0</v>
      </c>
      <c r="I525" t="str">
        <f>IF(COUNTIF(Products!$A$2:$A$8,C525)=0,C525,"")</f>
        <v/>
      </c>
      <c r="J525">
        <f>IF(OR(E525="Prospecting",E525="Engaging"),VLOOKUP(C525,Products!$A$2:$C$8,3,FALSE),0)</f>
        <v>0</v>
      </c>
    </row>
    <row r="526" spans="1:10" x14ac:dyDescent="0.25">
      <c r="A526" t="s">
        <v>693</v>
      </c>
      <c r="B526" t="s">
        <v>171</v>
      </c>
      <c r="C526" t="s">
        <v>126</v>
      </c>
      <c r="E526" t="s">
        <v>155</v>
      </c>
      <c r="F526" s="1">
        <v>42753</v>
      </c>
      <c r="I526" t="str">
        <f>IF(COUNTIF(Products!$A$2:$A$8,C526)=0,C526,"")</f>
        <v/>
      </c>
      <c r="J526">
        <f>IF(OR(E526="Prospecting",E526="Engaging"),VLOOKUP(C526,Products!$A$2:$C$8,3,FALSE),0)</f>
        <v>5482</v>
      </c>
    </row>
    <row r="527" spans="1:10" x14ac:dyDescent="0.25">
      <c r="A527" t="s">
        <v>694</v>
      </c>
      <c r="B527" t="s">
        <v>198</v>
      </c>
      <c r="C527" t="s">
        <v>122</v>
      </c>
      <c r="D527" t="s">
        <v>115</v>
      </c>
      <c r="E527" t="s">
        <v>138</v>
      </c>
      <c r="F527" s="1">
        <v>42753</v>
      </c>
      <c r="G527" s="1">
        <v>42890</v>
      </c>
      <c r="H527">
        <v>4426</v>
      </c>
      <c r="I527" t="str">
        <f>IF(COUNTIF(Products!$A$2:$A$8,C527)=0,C527,"")</f>
        <v/>
      </c>
      <c r="J527">
        <f>IF(OR(E527="Prospecting",E527="Engaging"),VLOOKUP(C527,Products!$A$2:$C$8,3,FALSE),0)</f>
        <v>0</v>
      </c>
    </row>
    <row r="528" spans="1:10" x14ac:dyDescent="0.25">
      <c r="A528" t="s">
        <v>695</v>
      </c>
      <c r="B528" t="s">
        <v>154</v>
      </c>
      <c r="C528" t="s">
        <v>126</v>
      </c>
      <c r="D528" t="s">
        <v>59</v>
      </c>
      <c r="E528" t="s">
        <v>138</v>
      </c>
      <c r="F528" s="1">
        <v>42753</v>
      </c>
      <c r="G528" s="1">
        <v>42858</v>
      </c>
      <c r="H528">
        <v>5264</v>
      </c>
      <c r="I528" t="str">
        <f>IF(COUNTIF(Products!$A$2:$A$8,C528)=0,C528,"")</f>
        <v/>
      </c>
      <c r="J528">
        <f>IF(OR(E528="Prospecting",E528="Engaging"),VLOOKUP(C528,Products!$A$2:$C$8,3,FALSE),0)</f>
        <v>0</v>
      </c>
    </row>
    <row r="529" spans="1:10" x14ac:dyDescent="0.25">
      <c r="A529" t="s">
        <v>696</v>
      </c>
      <c r="B529" t="s">
        <v>303</v>
      </c>
      <c r="C529" t="s">
        <v>122</v>
      </c>
      <c r="D529" t="s">
        <v>28</v>
      </c>
      <c r="E529" t="s">
        <v>159</v>
      </c>
      <c r="F529" s="1">
        <v>42753</v>
      </c>
      <c r="G529" s="1">
        <v>42875</v>
      </c>
      <c r="H529">
        <v>0</v>
      </c>
      <c r="I529" t="str">
        <f>IF(COUNTIF(Products!$A$2:$A$8,C529)=0,C529,"")</f>
        <v/>
      </c>
      <c r="J529">
        <f>IF(OR(E529="Prospecting",E529="Engaging"),VLOOKUP(C529,Products!$A$2:$C$8,3,FALSE),0)</f>
        <v>0</v>
      </c>
    </row>
    <row r="530" spans="1:10" x14ac:dyDescent="0.25">
      <c r="A530" t="s">
        <v>697</v>
      </c>
      <c r="B530" t="s">
        <v>191</v>
      </c>
      <c r="C530" t="s">
        <v>122</v>
      </c>
      <c r="E530" t="s">
        <v>155</v>
      </c>
      <c r="F530" s="1">
        <v>42753</v>
      </c>
      <c r="I530" t="str">
        <f>IF(COUNTIF(Products!$A$2:$A$8,C530)=0,C530,"")</f>
        <v/>
      </c>
      <c r="J530">
        <f>IF(OR(E530="Prospecting",E530="Engaging"),VLOOKUP(C530,Products!$A$2:$C$8,3,FALSE),0)</f>
        <v>4821</v>
      </c>
    </row>
    <row r="531" spans="1:10" x14ac:dyDescent="0.25">
      <c r="A531" t="s">
        <v>698</v>
      </c>
      <c r="B531" t="s">
        <v>137</v>
      </c>
      <c r="C531" t="s">
        <v>123</v>
      </c>
      <c r="D531" t="s">
        <v>36</v>
      </c>
      <c r="E531" t="s">
        <v>138</v>
      </c>
      <c r="F531" s="1">
        <v>42753</v>
      </c>
      <c r="G531" s="1">
        <v>42823</v>
      </c>
      <c r="H531">
        <v>59</v>
      </c>
      <c r="I531" t="str">
        <f>IF(COUNTIF(Products!$A$2:$A$8,C531)=0,C531,"")</f>
        <v/>
      </c>
      <c r="J531">
        <f>IF(OR(E531="Prospecting",E531="Engaging"),VLOOKUP(C531,Products!$A$2:$C$8,3,FALSE),0)</f>
        <v>0</v>
      </c>
    </row>
    <row r="532" spans="1:10" x14ac:dyDescent="0.25">
      <c r="A532" t="s">
        <v>699</v>
      </c>
      <c r="B532" t="s">
        <v>198</v>
      </c>
      <c r="C532" t="s">
        <v>120</v>
      </c>
      <c r="D532" t="s">
        <v>81</v>
      </c>
      <c r="E532" t="s">
        <v>138</v>
      </c>
      <c r="F532" s="1">
        <v>42754</v>
      </c>
      <c r="G532" s="1">
        <v>42824</v>
      </c>
      <c r="H532">
        <v>617</v>
      </c>
      <c r="I532" t="str">
        <f>IF(COUNTIF(Products!$A$2:$A$8,C532)=0,C532,"")</f>
        <v/>
      </c>
      <c r="J532">
        <f>IF(OR(E532="Prospecting",E532="Engaging"),VLOOKUP(C532,Products!$A$2:$C$8,3,FALSE),0)</f>
        <v>0</v>
      </c>
    </row>
    <row r="533" spans="1:10" x14ac:dyDescent="0.25">
      <c r="A533" t="s">
        <v>700</v>
      </c>
      <c r="B533" t="s">
        <v>158</v>
      </c>
      <c r="C533" t="s">
        <v>120</v>
      </c>
      <c r="D533" t="s">
        <v>26</v>
      </c>
      <c r="E533" t="s">
        <v>138</v>
      </c>
      <c r="F533" s="1">
        <v>42754</v>
      </c>
      <c r="G533" s="1">
        <v>42890</v>
      </c>
      <c r="H533">
        <v>565</v>
      </c>
      <c r="I533" t="str">
        <f>IF(COUNTIF(Products!$A$2:$A$8,C533)=0,C533,"")</f>
        <v/>
      </c>
      <c r="J533">
        <f>IF(OR(E533="Prospecting",E533="Engaging"),VLOOKUP(C533,Products!$A$2:$C$8,3,FALSE),0)</f>
        <v>0</v>
      </c>
    </row>
    <row r="534" spans="1:10" x14ac:dyDescent="0.25">
      <c r="A534" t="s">
        <v>701</v>
      </c>
      <c r="B534" t="s">
        <v>154</v>
      </c>
      <c r="C534" t="s">
        <v>120</v>
      </c>
      <c r="D534" t="s">
        <v>41</v>
      </c>
      <c r="E534" t="s">
        <v>138</v>
      </c>
      <c r="F534" s="1">
        <v>42754</v>
      </c>
      <c r="G534" s="1">
        <v>42795</v>
      </c>
      <c r="H534">
        <v>511</v>
      </c>
      <c r="I534" t="str">
        <f>IF(COUNTIF(Products!$A$2:$A$8,C534)=0,C534,"")</f>
        <v/>
      </c>
      <c r="J534">
        <f>IF(OR(E534="Prospecting",E534="Engaging"),VLOOKUP(C534,Products!$A$2:$C$8,3,FALSE),0)</f>
        <v>0</v>
      </c>
    </row>
    <row r="535" spans="1:10" x14ac:dyDescent="0.25">
      <c r="A535" t="s">
        <v>702</v>
      </c>
      <c r="B535" t="s">
        <v>180</v>
      </c>
      <c r="C535" t="s">
        <v>127</v>
      </c>
      <c r="D535" t="s">
        <v>87</v>
      </c>
      <c r="E535" t="s">
        <v>159</v>
      </c>
      <c r="F535" s="1">
        <v>42754</v>
      </c>
      <c r="G535" s="1">
        <v>42863</v>
      </c>
      <c r="H535">
        <v>0</v>
      </c>
      <c r="I535" t="str">
        <f>IF(COUNTIF(Products!$A$2:$A$8,C535)=0,C535,"")</f>
        <v/>
      </c>
      <c r="J535">
        <f>IF(OR(E535="Prospecting",E535="Engaging"),VLOOKUP(C535,Products!$A$2:$C$8,3,FALSE),0)</f>
        <v>0</v>
      </c>
    </row>
    <row r="536" spans="1:10" x14ac:dyDescent="0.25">
      <c r="A536" t="s">
        <v>703</v>
      </c>
      <c r="B536" t="s">
        <v>191</v>
      </c>
      <c r="C536" t="s">
        <v>123</v>
      </c>
      <c r="D536" t="s">
        <v>39</v>
      </c>
      <c r="E536" t="s">
        <v>138</v>
      </c>
      <c r="F536" s="1">
        <v>42754</v>
      </c>
      <c r="G536" s="1">
        <v>42824</v>
      </c>
      <c r="H536">
        <v>60</v>
      </c>
      <c r="I536" t="str">
        <f>IF(COUNTIF(Products!$A$2:$A$8,C536)=0,C536,"")</f>
        <v/>
      </c>
      <c r="J536">
        <f>IF(OR(E536="Prospecting",E536="Engaging"),VLOOKUP(C536,Products!$A$2:$C$8,3,FALSE),0)</f>
        <v>0</v>
      </c>
    </row>
    <row r="537" spans="1:10" x14ac:dyDescent="0.25">
      <c r="A537" t="s">
        <v>704</v>
      </c>
      <c r="B537" t="s">
        <v>191</v>
      </c>
      <c r="C537" t="s">
        <v>125</v>
      </c>
      <c r="D537" t="s">
        <v>82</v>
      </c>
      <c r="E537" t="s">
        <v>138</v>
      </c>
      <c r="F537" s="1">
        <v>42754</v>
      </c>
      <c r="G537" s="1">
        <v>42823</v>
      </c>
      <c r="H537">
        <v>3407</v>
      </c>
      <c r="I537" t="str">
        <f>IF(COUNTIF(Products!$A$2:$A$8,C537)=0,C537,"")</f>
        <v/>
      </c>
      <c r="J537">
        <f>IF(OR(E537="Prospecting",E537="Engaging"),VLOOKUP(C537,Products!$A$2:$C$8,3,FALSE),0)</f>
        <v>0</v>
      </c>
    </row>
    <row r="538" spans="1:10" x14ac:dyDescent="0.25">
      <c r="A538" t="s">
        <v>705</v>
      </c>
      <c r="B538" t="s">
        <v>191</v>
      </c>
      <c r="C538" t="s">
        <v>125</v>
      </c>
      <c r="D538" t="s">
        <v>107</v>
      </c>
      <c r="E538" t="s">
        <v>138</v>
      </c>
      <c r="F538" s="1">
        <v>42754</v>
      </c>
      <c r="G538" s="1">
        <v>42822</v>
      </c>
      <c r="H538">
        <v>3273</v>
      </c>
      <c r="I538" t="str">
        <f>IF(COUNTIF(Products!$A$2:$A$8,C538)=0,C538,"")</f>
        <v/>
      </c>
      <c r="J538">
        <f>IF(OR(E538="Prospecting",E538="Engaging"),VLOOKUP(C538,Products!$A$2:$C$8,3,FALSE),0)</f>
        <v>0</v>
      </c>
    </row>
    <row r="539" spans="1:10" x14ac:dyDescent="0.25">
      <c r="A539" t="s">
        <v>706</v>
      </c>
      <c r="B539" t="s">
        <v>150</v>
      </c>
      <c r="C539" t="s">
        <v>127</v>
      </c>
      <c r="D539" t="s">
        <v>109</v>
      </c>
      <c r="E539" t="s">
        <v>159</v>
      </c>
      <c r="F539" s="1">
        <v>42754</v>
      </c>
      <c r="G539" s="1">
        <v>42820</v>
      </c>
      <c r="H539">
        <v>0</v>
      </c>
      <c r="I539" t="str">
        <f>IF(COUNTIF(Products!$A$2:$A$8,C539)=0,C539,"")</f>
        <v/>
      </c>
      <c r="J539">
        <f>IF(OR(E539="Prospecting",E539="Engaging"),VLOOKUP(C539,Products!$A$2:$C$8,3,FALSE),0)</f>
        <v>0</v>
      </c>
    </row>
    <row r="540" spans="1:10" x14ac:dyDescent="0.25">
      <c r="A540" t="s">
        <v>707</v>
      </c>
      <c r="B540" t="s">
        <v>150</v>
      </c>
      <c r="C540" t="s">
        <v>123</v>
      </c>
      <c r="D540" t="s">
        <v>100</v>
      </c>
      <c r="E540" t="s">
        <v>159</v>
      </c>
      <c r="F540" s="1">
        <v>42754</v>
      </c>
      <c r="G540" s="1">
        <v>42860</v>
      </c>
      <c r="H540">
        <v>0</v>
      </c>
      <c r="I540" t="str">
        <f>IF(COUNTIF(Products!$A$2:$A$8,C540)=0,C540,"")</f>
        <v/>
      </c>
      <c r="J540">
        <f>IF(OR(E540="Prospecting",E540="Engaging"),VLOOKUP(C540,Products!$A$2:$C$8,3,FALSE),0)</f>
        <v>0</v>
      </c>
    </row>
    <row r="541" spans="1:10" x14ac:dyDescent="0.25">
      <c r="A541" t="s">
        <v>708</v>
      </c>
      <c r="B541" t="s">
        <v>137</v>
      </c>
      <c r="C541" t="s">
        <v>125</v>
      </c>
      <c r="D541" t="s">
        <v>55</v>
      </c>
      <c r="E541" t="s">
        <v>138</v>
      </c>
      <c r="F541" s="1">
        <v>42754</v>
      </c>
      <c r="G541" s="1">
        <v>42856</v>
      </c>
      <c r="H541">
        <v>3363</v>
      </c>
      <c r="I541" t="str">
        <f>IF(COUNTIF(Products!$A$2:$A$8,C541)=0,C541,"")</f>
        <v/>
      </c>
      <c r="J541">
        <f>IF(OR(E541="Prospecting",E541="Engaging"),VLOOKUP(C541,Products!$A$2:$C$8,3,FALSE),0)</f>
        <v>0</v>
      </c>
    </row>
    <row r="542" spans="1:10" x14ac:dyDescent="0.25">
      <c r="A542" t="s">
        <v>709</v>
      </c>
      <c r="B542" t="s">
        <v>148</v>
      </c>
      <c r="C542" t="s">
        <v>123</v>
      </c>
      <c r="E542" t="s">
        <v>155</v>
      </c>
      <c r="F542" s="1">
        <v>42754</v>
      </c>
      <c r="I542" t="str">
        <f>IF(COUNTIF(Products!$A$2:$A$8,C542)=0,C542,"")</f>
        <v/>
      </c>
      <c r="J542">
        <f>IF(OR(E542="Prospecting",E542="Engaging"),VLOOKUP(C542,Products!$A$2:$C$8,3,FALSE),0)</f>
        <v>55</v>
      </c>
    </row>
    <row r="543" spans="1:10" x14ac:dyDescent="0.25">
      <c r="A543" t="s">
        <v>710</v>
      </c>
      <c r="B543" t="s">
        <v>148</v>
      </c>
      <c r="C543" t="s">
        <v>120</v>
      </c>
      <c r="D543" t="s">
        <v>107</v>
      </c>
      <c r="E543" t="s">
        <v>138</v>
      </c>
      <c r="F543" s="1">
        <v>42754</v>
      </c>
      <c r="G543" s="1">
        <v>42825</v>
      </c>
      <c r="H543">
        <v>365</v>
      </c>
      <c r="I543" t="str">
        <f>IF(COUNTIF(Products!$A$2:$A$8,C543)=0,C543,"")</f>
        <v/>
      </c>
      <c r="J543">
        <f>IF(OR(E543="Prospecting",E543="Engaging"),VLOOKUP(C543,Products!$A$2:$C$8,3,FALSE),0)</f>
        <v>0</v>
      </c>
    </row>
    <row r="544" spans="1:10" x14ac:dyDescent="0.25">
      <c r="A544" t="s">
        <v>711</v>
      </c>
      <c r="B544" t="s">
        <v>144</v>
      </c>
      <c r="C544" t="s">
        <v>126</v>
      </c>
      <c r="D544" t="s">
        <v>72</v>
      </c>
      <c r="E544" t="s">
        <v>138</v>
      </c>
      <c r="F544" s="1">
        <v>42754</v>
      </c>
      <c r="G544" s="1">
        <v>42812</v>
      </c>
      <c r="H544">
        <v>4869</v>
      </c>
      <c r="I544" t="str">
        <f>IF(COUNTIF(Products!$A$2:$A$8,C544)=0,C544,"")</f>
        <v/>
      </c>
      <c r="J544">
        <f>IF(OR(E544="Prospecting",E544="Engaging"),VLOOKUP(C544,Products!$A$2:$C$8,3,FALSE),0)</f>
        <v>0</v>
      </c>
    </row>
    <row r="545" spans="1:10" x14ac:dyDescent="0.25">
      <c r="A545" t="s">
        <v>712</v>
      </c>
      <c r="B545" t="s">
        <v>239</v>
      </c>
      <c r="C545" t="s">
        <v>120</v>
      </c>
      <c r="D545" t="s">
        <v>80</v>
      </c>
      <c r="E545" t="s">
        <v>138</v>
      </c>
      <c r="F545" s="1">
        <v>42755</v>
      </c>
      <c r="G545" s="1">
        <v>42892</v>
      </c>
      <c r="H545">
        <v>599</v>
      </c>
      <c r="I545" t="str">
        <f>IF(COUNTIF(Products!$A$2:$A$8,C545)=0,C545,"")</f>
        <v/>
      </c>
      <c r="J545">
        <f>IF(OR(E545="Prospecting",E545="Engaging"),VLOOKUP(C545,Products!$A$2:$C$8,3,FALSE),0)</f>
        <v>0</v>
      </c>
    </row>
    <row r="546" spans="1:10" x14ac:dyDescent="0.25">
      <c r="A546" t="s">
        <v>713</v>
      </c>
      <c r="B546" t="s">
        <v>171</v>
      </c>
      <c r="C546" t="s">
        <v>125</v>
      </c>
      <c r="D546" t="s">
        <v>69</v>
      </c>
      <c r="E546" t="s">
        <v>138</v>
      </c>
      <c r="F546" s="1">
        <v>42755</v>
      </c>
      <c r="G546" s="1">
        <v>42875</v>
      </c>
      <c r="H546">
        <v>3194</v>
      </c>
      <c r="I546" t="str">
        <f>IF(COUNTIF(Products!$A$2:$A$8,C546)=0,C546,"")</f>
        <v/>
      </c>
      <c r="J546">
        <f>IF(OR(E546="Prospecting",E546="Engaging"),VLOOKUP(C546,Products!$A$2:$C$8,3,FALSE),0)</f>
        <v>0</v>
      </c>
    </row>
    <row r="547" spans="1:10" x14ac:dyDescent="0.25">
      <c r="A547" t="s">
        <v>714</v>
      </c>
      <c r="B547" t="s">
        <v>198</v>
      </c>
      <c r="C547" t="s">
        <v>126</v>
      </c>
      <c r="D547" t="s">
        <v>27</v>
      </c>
      <c r="E547" t="s">
        <v>138</v>
      </c>
      <c r="F547" s="1">
        <v>42755</v>
      </c>
      <c r="G547" s="1">
        <v>42891</v>
      </c>
      <c r="H547">
        <v>5429</v>
      </c>
      <c r="I547" t="str">
        <f>IF(COUNTIF(Products!$A$2:$A$8,C547)=0,C547,"")</f>
        <v/>
      </c>
      <c r="J547">
        <f>IF(OR(E547="Prospecting",E547="Engaging"),VLOOKUP(C547,Products!$A$2:$C$8,3,FALSE),0)</f>
        <v>0</v>
      </c>
    </row>
    <row r="548" spans="1:10" x14ac:dyDescent="0.25">
      <c r="A548" t="s">
        <v>715</v>
      </c>
      <c r="B548" t="s">
        <v>303</v>
      </c>
      <c r="C548" t="s">
        <v>122</v>
      </c>
      <c r="D548" t="s">
        <v>61</v>
      </c>
      <c r="E548" t="s">
        <v>138</v>
      </c>
      <c r="F548" s="1">
        <v>42755</v>
      </c>
      <c r="G548" s="1">
        <v>42860</v>
      </c>
      <c r="H548">
        <v>5008</v>
      </c>
      <c r="I548" t="str">
        <f>IF(COUNTIF(Products!$A$2:$A$8,C548)=0,C548,"")</f>
        <v/>
      </c>
      <c r="J548">
        <f>IF(OR(E548="Prospecting",E548="Engaging"),VLOOKUP(C548,Products!$A$2:$C$8,3,FALSE),0)</f>
        <v>0</v>
      </c>
    </row>
    <row r="549" spans="1:10" x14ac:dyDescent="0.25">
      <c r="A549" t="s">
        <v>716</v>
      </c>
      <c r="B549" t="s">
        <v>303</v>
      </c>
      <c r="C549" t="s">
        <v>125</v>
      </c>
      <c r="D549" t="s">
        <v>33</v>
      </c>
      <c r="E549" t="s">
        <v>138</v>
      </c>
      <c r="F549" s="1">
        <v>42755</v>
      </c>
      <c r="G549" s="1">
        <v>42822</v>
      </c>
      <c r="H549">
        <v>3459</v>
      </c>
      <c r="I549" t="str">
        <f>IF(COUNTIF(Products!$A$2:$A$8,C549)=0,C549,"")</f>
        <v/>
      </c>
      <c r="J549">
        <f>IF(OR(E549="Prospecting",E549="Engaging"),VLOOKUP(C549,Products!$A$2:$C$8,3,FALSE),0)</f>
        <v>0</v>
      </c>
    </row>
    <row r="550" spans="1:10" x14ac:dyDescent="0.25">
      <c r="A550" t="s">
        <v>717</v>
      </c>
      <c r="B550" t="s">
        <v>191</v>
      </c>
      <c r="C550" t="s">
        <v>122</v>
      </c>
      <c r="D550" t="s">
        <v>107</v>
      </c>
      <c r="E550" t="s">
        <v>159</v>
      </c>
      <c r="F550" s="1">
        <v>42755</v>
      </c>
      <c r="G550" s="1">
        <v>42880</v>
      </c>
      <c r="H550">
        <v>0</v>
      </c>
      <c r="I550" t="str">
        <f>IF(COUNTIF(Products!$A$2:$A$8,C550)=0,C550,"")</f>
        <v/>
      </c>
      <c r="J550">
        <f>IF(OR(E550="Prospecting",E550="Engaging"),VLOOKUP(C550,Products!$A$2:$C$8,3,FALSE),0)</f>
        <v>0</v>
      </c>
    </row>
    <row r="551" spans="1:10" x14ac:dyDescent="0.25">
      <c r="A551" t="s">
        <v>718</v>
      </c>
      <c r="B551" t="s">
        <v>191</v>
      </c>
      <c r="C551" t="s">
        <v>122</v>
      </c>
      <c r="D551" t="s">
        <v>61</v>
      </c>
      <c r="E551" t="s">
        <v>138</v>
      </c>
      <c r="F551" s="1">
        <v>42755</v>
      </c>
      <c r="G551" s="1">
        <v>42801</v>
      </c>
      <c r="H551">
        <v>4559</v>
      </c>
      <c r="I551" t="str">
        <f>IF(COUNTIF(Products!$A$2:$A$8,C551)=0,C551,"")</f>
        <v/>
      </c>
      <c r="J551">
        <f>IF(OR(E551="Prospecting",E551="Engaging"),VLOOKUP(C551,Products!$A$2:$C$8,3,FALSE),0)</f>
        <v>0</v>
      </c>
    </row>
    <row r="552" spans="1:10" x14ac:dyDescent="0.25">
      <c r="A552" t="s">
        <v>719</v>
      </c>
      <c r="B552" t="s">
        <v>191</v>
      </c>
      <c r="C552" t="s">
        <v>122</v>
      </c>
      <c r="D552" t="s">
        <v>71</v>
      </c>
      <c r="E552" t="s">
        <v>138</v>
      </c>
      <c r="F552" s="1">
        <v>42755</v>
      </c>
      <c r="G552" s="1">
        <v>42822</v>
      </c>
      <c r="H552">
        <v>4221</v>
      </c>
      <c r="I552" t="str">
        <f>IF(COUNTIF(Products!$A$2:$A$8,C552)=0,C552,"")</f>
        <v/>
      </c>
      <c r="J552">
        <f>IF(OR(E552="Prospecting",E552="Engaging"),VLOOKUP(C552,Products!$A$2:$C$8,3,FALSE),0)</f>
        <v>0</v>
      </c>
    </row>
    <row r="553" spans="1:10" x14ac:dyDescent="0.25">
      <c r="A553" t="s">
        <v>720</v>
      </c>
      <c r="B553" t="s">
        <v>217</v>
      </c>
      <c r="C553" t="s">
        <v>125</v>
      </c>
      <c r="D553" t="s">
        <v>77</v>
      </c>
      <c r="E553" t="s">
        <v>159</v>
      </c>
      <c r="F553" s="1">
        <v>42755</v>
      </c>
      <c r="G553" s="1">
        <v>42805</v>
      </c>
      <c r="H553">
        <v>0</v>
      </c>
      <c r="I553" t="str">
        <f>IF(COUNTIF(Products!$A$2:$A$8,C553)=0,C553,"")</f>
        <v/>
      </c>
      <c r="J553">
        <f>IF(OR(E553="Prospecting",E553="Engaging"),VLOOKUP(C553,Products!$A$2:$C$8,3,FALSE),0)</f>
        <v>0</v>
      </c>
    </row>
    <row r="554" spans="1:10" x14ac:dyDescent="0.25">
      <c r="A554" t="s">
        <v>721</v>
      </c>
      <c r="B554" t="s">
        <v>217</v>
      </c>
      <c r="C554" t="s">
        <v>123</v>
      </c>
      <c r="D554" t="s">
        <v>33</v>
      </c>
      <c r="E554" t="s">
        <v>138</v>
      </c>
      <c r="F554" s="1">
        <v>42755</v>
      </c>
      <c r="G554" s="1">
        <v>42800</v>
      </c>
      <c r="H554">
        <v>56</v>
      </c>
      <c r="I554" t="str">
        <f>IF(COUNTIF(Products!$A$2:$A$8,C554)=0,C554,"")</f>
        <v/>
      </c>
      <c r="J554">
        <f>IF(OR(E554="Prospecting",E554="Engaging"),VLOOKUP(C554,Products!$A$2:$C$8,3,FALSE),0)</f>
        <v>0</v>
      </c>
    </row>
    <row r="555" spans="1:10" x14ac:dyDescent="0.25">
      <c r="A555" t="s">
        <v>722</v>
      </c>
      <c r="B555" t="s">
        <v>150</v>
      </c>
      <c r="C555" t="s">
        <v>122</v>
      </c>
      <c r="D555" t="s">
        <v>75</v>
      </c>
      <c r="E555" t="s">
        <v>138</v>
      </c>
      <c r="F555" s="1">
        <v>42755</v>
      </c>
      <c r="G555" s="1">
        <v>42858</v>
      </c>
      <c r="H555">
        <v>5508</v>
      </c>
      <c r="I555" t="str">
        <f>IF(COUNTIF(Products!$A$2:$A$8,C555)=0,C555,"")</f>
        <v/>
      </c>
      <c r="J555">
        <f>IF(OR(E555="Prospecting",E555="Engaging"),VLOOKUP(C555,Products!$A$2:$C$8,3,FALSE),0)</f>
        <v>0</v>
      </c>
    </row>
    <row r="556" spans="1:10" x14ac:dyDescent="0.25">
      <c r="A556" t="s">
        <v>723</v>
      </c>
      <c r="B556" t="s">
        <v>137</v>
      </c>
      <c r="C556" t="s">
        <v>127</v>
      </c>
      <c r="D556" t="s">
        <v>26</v>
      </c>
      <c r="E556" t="s">
        <v>159</v>
      </c>
      <c r="F556" s="1">
        <v>42755</v>
      </c>
      <c r="G556" s="1">
        <v>42818</v>
      </c>
      <c r="H556">
        <v>0</v>
      </c>
      <c r="I556" t="str">
        <f>IF(COUNTIF(Products!$A$2:$A$8,C556)=0,C556,"")</f>
        <v/>
      </c>
      <c r="J556">
        <f>IF(OR(E556="Prospecting",E556="Engaging"),VLOOKUP(C556,Products!$A$2:$C$8,3,FALSE),0)</f>
        <v>0</v>
      </c>
    </row>
    <row r="557" spans="1:10" x14ac:dyDescent="0.25">
      <c r="A557" t="s">
        <v>724</v>
      </c>
      <c r="B557" t="s">
        <v>144</v>
      </c>
      <c r="C557" t="s">
        <v>120</v>
      </c>
      <c r="D557" t="s">
        <v>72</v>
      </c>
      <c r="E557" t="s">
        <v>159</v>
      </c>
      <c r="F557" s="1">
        <v>42755</v>
      </c>
      <c r="G557" s="1">
        <v>42814</v>
      </c>
      <c r="H557">
        <v>0</v>
      </c>
      <c r="I557" t="str">
        <f>IF(COUNTIF(Products!$A$2:$A$8,C557)=0,C557,"")</f>
        <v/>
      </c>
      <c r="J557">
        <f>IF(OR(E557="Prospecting",E557="Engaging"),VLOOKUP(C557,Products!$A$2:$C$8,3,FALSE),0)</f>
        <v>0</v>
      </c>
    </row>
    <row r="558" spans="1:10" x14ac:dyDescent="0.25">
      <c r="A558" t="s">
        <v>725</v>
      </c>
      <c r="B558" t="s">
        <v>146</v>
      </c>
      <c r="C558" t="s">
        <v>125</v>
      </c>
      <c r="D558" t="s">
        <v>22</v>
      </c>
      <c r="E558" t="s">
        <v>159</v>
      </c>
      <c r="F558" s="1">
        <v>42756</v>
      </c>
      <c r="G558" s="1">
        <v>42803</v>
      </c>
      <c r="H558">
        <v>0</v>
      </c>
      <c r="I558" t="str">
        <f>IF(COUNTIF(Products!$A$2:$A$8,C558)=0,C558,"")</f>
        <v/>
      </c>
      <c r="J558">
        <f>IF(OR(E558="Prospecting",E558="Engaging"),VLOOKUP(C558,Products!$A$2:$C$8,3,FALSE),0)</f>
        <v>0</v>
      </c>
    </row>
    <row r="559" spans="1:10" x14ac:dyDescent="0.25">
      <c r="A559" t="s">
        <v>726</v>
      </c>
      <c r="B559" t="s">
        <v>239</v>
      </c>
      <c r="C559" t="s">
        <v>122</v>
      </c>
      <c r="D559" t="s">
        <v>53</v>
      </c>
      <c r="E559" t="s">
        <v>155</v>
      </c>
      <c r="F559" s="1">
        <v>42756</v>
      </c>
      <c r="I559" t="str">
        <f>IF(COUNTIF(Products!$A$2:$A$8,C559)=0,C559,"")</f>
        <v/>
      </c>
      <c r="J559">
        <f>IF(OR(E559="Prospecting",E559="Engaging"),VLOOKUP(C559,Products!$A$2:$C$8,3,FALSE),0)</f>
        <v>4821</v>
      </c>
    </row>
    <row r="560" spans="1:10" x14ac:dyDescent="0.25">
      <c r="A560" t="s">
        <v>727</v>
      </c>
      <c r="B560" t="s">
        <v>140</v>
      </c>
      <c r="C560" t="s">
        <v>120</v>
      </c>
      <c r="D560" t="s">
        <v>88</v>
      </c>
      <c r="E560" t="s">
        <v>138</v>
      </c>
      <c r="F560" s="1">
        <v>42756</v>
      </c>
      <c r="G560" s="1">
        <v>42813</v>
      </c>
      <c r="H560">
        <v>657</v>
      </c>
      <c r="I560" t="str">
        <f>IF(COUNTIF(Products!$A$2:$A$8,C560)=0,C560,"")</f>
        <v/>
      </c>
      <c r="J560">
        <f>IF(OR(E560="Prospecting",E560="Engaging"),VLOOKUP(C560,Products!$A$2:$C$8,3,FALSE),0)</f>
        <v>0</v>
      </c>
    </row>
    <row r="561" spans="1:10" x14ac:dyDescent="0.25">
      <c r="A561" t="s">
        <v>728</v>
      </c>
      <c r="B561" t="s">
        <v>180</v>
      </c>
      <c r="C561" t="s">
        <v>120</v>
      </c>
      <c r="E561" t="s">
        <v>155</v>
      </c>
      <c r="F561" s="1">
        <v>42756</v>
      </c>
      <c r="I561" t="str">
        <f>IF(COUNTIF(Products!$A$2:$A$8,C561)=0,C561,"")</f>
        <v/>
      </c>
      <c r="J561">
        <f>IF(OR(E561="Prospecting",E561="Engaging"),VLOOKUP(C561,Products!$A$2:$C$8,3,FALSE),0)</f>
        <v>550</v>
      </c>
    </row>
    <row r="562" spans="1:10" x14ac:dyDescent="0.25">
      <c r="A562" t="s">
        <v>729</v>
      </c>
      <c r="B562" t="s">
        <v>180</v>
      </c>
      <c r="C562" t="s">
        <v>122</v>
      </c>
      <c r="D562" t="s">
        <v>66</v>
      </c>
      <c r="E562" t="s">
        <v>159</v>
      </c>
      <c r="F562" s="1">
        <v>42756</v>
      </c>
      <c r="G562" s="1">
        <v>42860</v>
      </c>
      <c r="H562">
        <v>0</v>
      </c>
      <c r="I562" t="str">
        <f>IF(COUNTIF(Products!$A$2:$A$8,C562)=0,C562,"")</f>
        <v/>
      </c>
      <c r="J562">
        <f>IF(OR(E562="Prospecting",E562="Engaging"),VLOOKUP(C562,Products!$A$2:$C$8,3,FALSE),0)</f>
        <v>0</v>
      </c>
    </row>
    <row r="563" spans="1:10" x14ac:dyDescent="0.25">
      <c r="A563" t="s">
        <v>730</v>
      </c>
      <c r="B563" t="s">
        <v>217</v>
      </c>
      <c r="C563" t="s">
        <v>120</v>
      </c>
      <c r="D563" t="s">
        <v>91</v>
      </c>
      <c r="E563" t="s">
        <v>138</v>
      </c>
      <c r="F563" s="1">
        <v>42756</v>
      </c>
      <c r="G563" s="1">
        <v>42819</v>
      </c>
      <c r="H563">
        <v>638</v>
      </c>
      <c r="I563" t="str">
        <f>IF(COUNTIF(Products!$A$2:$A$8,C563)=0,C563,"")</f>
        <v/>
      </c>
      <c r="J563">
        <f>IF(OR(E563="Prospecting",E563="Engaging"),VLOOKUP(C563,Products!$A$2:$C$8,3,FALSE),0)</f>
        <v>0</v>
      </c>
    </row>
    <row r="564" spans="1:10" x14ac:dyDescent="0.25">
      <c r="A564" t="s">
        <v>731</v>
      </c>
      <c r="B564" t="s">
        <v>150</v>
      </c>
      <c r="C564" t="s">
        <v>120</v>
      </c>
      <c r="E564" t="s">
        <v>155</v>
      </c>
      <c r="F564" s="1">
        <v>42756</v>
      </c>
      <c r="I564" t="str">
        <f>IF(COUNTIF(Products!$A$2:$A$8,C564)=0,C564,"")</f>
        <v/>
      </c>
      <c r="J564">
        <f>IF(OR(E564="Prospecting",E564="Engaging"),VLOOKUP(C564,Products!$A$2:$C$8,3,FALSE),0)</f>
        <v>550</v>
      </c>
    </row>
    <row r="565" spans="1:10" x14ac:dyDescent="0.25">
      <c r="A565" t="s">
        <v>732</v>
      </c>
      <c r="B565" t="s">
        <v>205</v>
      </c>
      <c r="C565" t="s">
        <v>123</v>
      </c>
      <c r="D565" t="s">
        <v>12</v>
      </c>
      <c r="E565" t="s">
        <v>138</v>
      </c>
      <c r="F565" s="1">
        <v>42756</v>
      </c>
      <c r="G565" s="1">
        <v>42892</v>
      </c>
      <c r="H565">
        <v>41</v>
      </c>
      <c r="I565" t="str">
        <f>IF(COUNTIF(Products!$A$2:$A$8,C565)=0,C565,"")</f>
        <v/>
      </c>
      <c r="J565">
        <f>IF(OR(E565="Prospecting",E565="Engaging"),VLOOKUP(C565,Products!$A$2:$C$8,3,FALSE),0)</f>
        <v>0</v>
      </c>
    </row>
    <row r="566" spans="1:10" x14ac:dyDescent="0.25">
      <c r="A566" t="s">
        <v>733</v>
      </c>
      <c r="B566" t="s">
        <v>187</v>
      </c>
      <c r="C566" t="s">
        <v>126</v>
      </c>
      <c r="D566" t="s">
        <v>63</v>
      </c>
      <c r="E566" t="s">
        <v>138</v>
      </c>
      <c r="F566" s="1">
        <v>42756</v>
      </c>
      <c r="G566" s="1">
        <v>42862</v>
      </c>
      <c r="H566">
        <v>5582</v>
      </c>
      <c r="I566" t="str">
        <f>IF(COUNTIF(Products!$A$2:$A$8,C566)=0,C566,"")</f>
        <v/>
      </c>
      <c r="J566">
        <f>IF(OR(E566="Prospecting",E566="Engaging"),VLOOKUP(C566,Products!$A$2:$C$8,3,FALSE),0)</f>
        <v>0</v>
      </c>
    </row>
    <row r="567" spans="1:10" x14ac:dyDescent="0.25">
      <c r="A567" t="s">
        <v>734</v>
      </c>
      <c r="B567" t="s">
        <v>169</v>
      </c>
      <c r="C567" t="s">
        <v>123</v>
      </c>
      <c r="D567" t="s">
        <v>70</v>
      </c>
      <c r="E567" t="s">
        <v>138</v>
      </c>
      <c r="F567" s="1">
        <v>42756</v>
      </c>
      <c r="G567" s="1">
        <v>42875</v>
      </c>
      <c r="H567">
        <v>60</v>
      </c>
      <c r="I567" t="str">
        <f>IF(COUNTIF(Products!$A$2:$A$8,C567)=0,C567,"")</f>
        <v/>
      </c>
      <c r="J567">
        <f>IF(OR(E567="Prospecting",E567="Engaging"),VLOOKUP(C567,Products!$A$2:$C$8,3,FALSE),0)</f>
        <v>0</v>
      </c>
    </row>
    <row r="568" spans="1:10" x14ac:dyDescent="0.25">
      <c r="A568" t="s">
        <v>735</v>
      </c>
      <c r="B568" t="s">
        <v>144</v>
      </c>
      <c r="C568" t="s">
        <v>127</v>
      </c>
      <c r="D568" t="s">
        <v>109</v>
      </c>
      <c r="E568" t="s">
        <v>138</v>
      </c>
      <c r="F568" s="1">
        <v>42756</v>
      </c>
      <c r="G568" s="1">
        <v>42858</v>
      </c>
      <c r="H568">
        <v>1036</v>
      </c>
      <c r="I568" t="str">
        <f>IF(COUNTIF(Products!$A$2:$A$8,C568)=0,C568,"")</f>
        <v/>
      </c>
      <c r="J568">
        <f>IF(OR(E568="Prospecting",E568="Engaging"),VLOOKUP(C568,Products!$A$2:$C$8,3,FALSE),0)</f>
        <v>0</v>
      </c>
    </row>
    <row r="569" spans="1:10" x14ac:dyDescent="0.25">
      <c r="A569" t="s">
        <v>736</v>
      </c>
      <c r="B569" t="s">
        <v>140</v>
      </c>
      <c r="C569" t="s">
        <v>127</v>
      </c>
      <c r="D569" t="s">
        <v>46</v>
      </c>
      <c r="E569" t="s">
        <v>138</v>
      </c>
      <c r="F569" s="1">
        <v>42757</v>
      </c>
      <c r="G569" s="1">
        <v>42867</v>
      </c>
      <c r="H569">
        <v>943</v>
      </c>
      <c r="I569" t="str">
        <f>IF(COUNTIF(Products!$A$2:$A$8,C569)=0,C569,"")</f>
        <v/>
      </c>
      <c r="J569">
        <f>IF(OR(E569="Prospecting",E569="Engaging"),VLOOKUP(C569,Products!$A$2:$C$8,3,FALSE),0)</f>
        <v>0</v>
      </c>
    </row>
    <row r="570" spans="1:10" x14ac:dyDescent="0.25">
      <c r="A570" t="s">
        <v>737</v>
      </c>
      <c r="B570" t="s">
        <v>173</v>
      </c>
      <c r="C570" t="s">
        <v>120</v>
      </c>
      <c r="D570" t="s">
        <v>67</v>
      </c>
      <c r="E570" t="s">
        <v>138</v>
      </c>
      <c r="F570" s="1">
        <v>42757</v>
      </c>
      <c r="G570" s="1">
        <v>42893</v>
      </c>
      <c r="H570">
        <v>581</v>
      </c>
      <c r="I570" t="str">
        <f>IF(COUNTIF(Products!$A$2:$A$8,C570)=0,C570,"")</f>
        <v/>
      </c>
      <c r="J570">
        <f>IF(OR(E570="Prospecting",E570="Engaging"),VLOOKUP(C570,Products!$A$2:$C$8,3,FALSE),0)</f>
        <v>0</v>
      </c>
    </row>
    <row r="571" spans="1:10" x14ac:dyDescent="0.25">
      <c r="A571" t="s">
        <v>738</v>
      </c>
      <c r="B571" t="s">
        <v>303</v>
      </c>
      <c r="C571" t="s">
        <v>123</v>
      </c>
      <c r="D571" t="s">
        <v>26</v>
      </c>
      <c r="E571" t="s">
        <v>159</v>
      </c>
      <c r="F571" s="1">
        <v>42757</v>
      </c>
      <c r="G571" s="1">
        <v>42870</v>
      </c>
      <c r="H571">
        <v>0</v>
      </c>
      <c r="I571" t="str">
        <f>IF(COUNTIF(Products!$A$2:$A$8,C571)=0,C571,"")</f>
        <v/>
      </c>
      <c r="J571">
        <f>IF(OR(E571="Prospecting",E571="Engaging"),VLOOKUP(C571,Products!$A$2:$C$8,3,FALSE),0)</f>
        <v>0</v>
      </c>
    </row>
    <row r="572" spans="1:10" x14ac:dyDescent="0.25">
      <c r="A572" t="s">
        <v>739</v>
      </c>
      <c r="B572" t="s">
        <v>137</v>
      </c>
      <c r="C572" t="s">
        <v>120</v>
      </c>
      <c r="D572" t="s">
        <v>103</v>
      </c>
      <c r="E572" t="s">
        <v>138</v>
      </c>
      <c r="F572" s="1">
        <v>42757</v>
      </c>
      <c r="G572" s="1">
        <v>42862</v>
      </c>
      <c r="H572">
        <v>538</v>
      </c>
      <c r="I572" t="str">
        <f>IF(COUNTIF(Products!$A$2:$A$8,C572)=0,C572,"")</f>
        <v/>
      </c>
      <c r="J572">
        <f>IF(OR(E572="Prospecting",E572="Engaging"),VLOOKUP(C572,Products!$A$2:$C$8,3,FALSE),0)</f>
        <v>0</v>
      </c>
    </row>
    <row r="573" spans="1:10" x14ac:dyDescent="0.25">
      <c r="A573" t="s">
        <v>740</v>
      </c>
      <c r="B573" t="s">
        <v>193</v>
      </c>
      <c r="C573" t="s">
        <v>127</v>
      </c>
      <c r="D573" t="s">
        <v>35</v>
      </c>
      <c r="E573" t="s">
        <v>138</v>
      </c>
      <c r="F573" s="1">
        <v>42757</v>
      </c>
      <c r="G573" s="1">
        <v>42822</v>
      </c>
      <c r="H573">
        <v>1100</v>
      </c>
      <c r="I573" t="str">
        <f>IF(COUNTIF(Products!$A$2:$A$8,C573)=0,C573,"")</f>
        <v/>
      </c>
      <c r="J573">
        <f>IF(OR(E573="Prospecting",E573="Engaging"),VLOOKUP(C573,Products!$A$2:$C$8,3,FALSE),0)</f>
        <v>0</v>
      </c>
    </row>
    <row r="574" spans="1:10" x14ac:dyDescent="0.25">
      <c r="A574" t="s">
        <v>741</v>
      </c>
      <c r="B574" t="s">
        <v>187</v>
      </c>
      <c r="C574" t="s">
        <v>125</v>
      </c>
      <c r="E574" t="s">
        <v>155</v>
      </c>
      <c r="F574" s="1">
        <v>42757</v>
      </c>
      <c r="I574" t="str">
        <f>IF(COUNTIF(Products!$A$2:$A$8,C574)=0,C574,"")</f>
        <v/>
      </c>
      <c r="J574">
        <f>IF(OR(E574="Prospecting",E574="Engaging"),VLOOKUP(C574,Products!$A$2:$C$8,3,FALSE),0)</f>
        <v>3393</v>
      </c>
    </row>
    <row r="575" spans="1:10" x14ac:dyDescent="0.25">
      <c r="A575" t="s">
        <v>742</v>
      </c>
      <c r="B575" t="s">
        <v>146</v>
      </c>
      <c r="C575" t="s">
        <v>125</v>
      </c>
      <c r="D575" t="s">
        <v>32</v>
      </c>
      <c r="E575" t="s">
        <v>159</v>
      </c>
      <c r="F575" s="1">
        <v>42758</v>
      </c>
      <c r="G575" s="1">
        <v>42860</v>
      </c>
      <c r="H575">
        <v>0</v>
      </c>
      <c r="I575" t="str">
        <f>IF(COUNTIF(Products!$A$2:$A$8,C575)=0,C575,"")</f>
        <v/>
      </c>
      <c r="J575">
        <f>IF(OR(E575="Prospecting",E575="Engaging"),VLOOKUP(C575,Products!$A$2:$C$8,3,FALSE),0)</f>
        <v>0</v>
      </c>
    </row>
    <row r="576" spans="1:10" x14ac:dyDescent="0.25">
      <c r="A576" t="s">
        <v>743</v>
      </c>
      <c r="B576" t="s">
        <v>264</v>
      </c>
      <c r="C576" t="s">
        <v>125</v>
      </c>
      <c r="D576" t="s">
        <v>42</v>
      </c>
      <c r="E576" t="s">
        <v>159</v>
      </c>
      <c r="F576" s="1">
        <v>42758</v>
      </c>
      <c r="G576" s="1">
        <v>42883</v>
      </c>
      <c r="H576">
        <v>0</v>
      </c>
      <c r="I576" t="str">
        <f>IF(COUNTIF(Products!$A$2:$A$8,C576)=0,C576,"")</f>
        <v/>
      </c>
      <c r="J576">
        <f>IF(OR(E576="Prospecting",E576="Engaging"),VLOOKUP(C576,Products!$A$2:$C$8,3,FALSE),0)</f>
        <v>0</v>
      </c>
    </row>
    <row r="577" spans="1:10" x14ac:dyDescent="0.25">
      <c r="A577" t="s">
        <v>744</v>
      </c>
      <c r="B577" t="s">
        <v>303</v>
      </c>
      <c r="C577" t="s">
        <v>127</v>
      </c>
      <c r="D577" t="s">
        <v>61</v>
      </c>
      <c r="E577" t="s">
        <v>138</v>
      </c>
      <c r="F577" s="1">
        <v>42758</v>
      </c>
      <c r="G577" s="1">
        <v>42872</v>
      </c>
      <c r="H577">
        <v>1039</v>
      </c>
      <c r="I577" t="str">
        <f>IF(COUNTIF(Products!$A$2:$A$8,C577)=0,C577,"")</f>
        <v/>
      </c>
      <c r="J577">
        <f>IF(OR(E577="Prospecting",E577="Engaging"),VLOOKUP(C577,Products!$A$2:$C$8,3,FALSE),0)</f>
        <v>0</v>
      </c>
    </row>
    <row r="578" spans="1:10" x14ac:dyDescent="0.25">
      <c r="A578" t="s">
        <v>745</v>
      </c>
      <c r="B578" t="s">
        <v>217</v>
      </c>
      <c r="C578" t="s">
        <v>123</v>
      </c>
      <c r="D578" t="s">
        <v>30</v>
      </c>
      <c r="E578" t="s">
        <v>159</v>
      </c>
      <c r="F578" s="1">
        <v>42758</v>
      </c>
      <c r="G578" s="1">
        <v>42866</v>
      </c>
      <c r="H578">
        <v>0</v>
      </c>
      <c r="I578" t="str">
        <f>IF(COUNTIF(Products!$A$2:$A$8,C578)=0,C578,"")</f>
        <v/>
      </c>
      <c r="J578">
        <f>IF(OR(E578="Prospecting",E578="Engaging"),VLOOKUP(C578,Products!$A$2:$C$8,3,FALSE),0)</f>
        <v>0</v>
      </c>
    </row>
    <row r="579" spans="1:10" x14ac:dyDescent="0.25">
      <c r="A579" t="s">
        <v>746</v>
      </c>
      <c r="B579" t="s">
        <v>193</v>
      </c>
      <c r="C579" t="s">
        <v>127</v>
      </c>
      <c r="D579" t="s">
        <v>105</v>
      </c>
      <c r="E579" t="s">
        <v>138</v>
      </c>
      <c r="F579" s="1">
        <v>42758</v>
      </c>
      <c r="G579" s="1">
        <v>42865</v>
      </c>
      <c r="H579">
        <v>1076</v>
      </c>
      <c r="I579" t="str">
        <f>IF(COUNTIF(Products!$A$2:$A$8,C579)=0,C579,"")</f>
        <v/>
      </c>
      <c r="J579">
        <f>IF(OR(E579="Prospecting",E579="Engaging"),VLOOKUP(C579,Products!$A$2:$C$8,3,FALSE),0)</f>
        <v>0</v>
      </c>
    </row>
    <row r="580" spans="1:10" x14ac:dyDescent="0.25">
      <c r="A580" t="s">
        <v>747</v>
      </c>
      <c r="B580" t="s">
        <v>166</v>
      </c>
      <c r="C580" t="s">
        <v>123</v>
      </c>
      <c r="D580" t="s">
        <v>69</v>
      </c>
      <c r="E580" t="s">
        <v>159</v>
      </c>
      <c r="F580" s="1">
        <v>42758</v>
      </c>
      <c r="G580" s="1">
        <v>42861</v>
      </c>
      <c r="H580">
        <v>0</v>
      </c>
      <c r="I580" t="str">
        <f>IF(COUNTIF(Products!$A$2:$A$8,C580)=0,C580,"")</f>
        <v/>
      </c>
      <c r="J580">
        <f>IF(OR(E580="Prospecting",E580="Engaging"),VLOOKUP(C580,Products!$A$2:$C$8,3,FALSE),0)</f>
        <v>0</v>
      </c>
    </row>
    <row r="581" spans="1:10" x14ac:dyDescent="0.25">
      <c r="A581" t="s">
        <v>748</v>
      </c>
      <c r="B581" t="s">
        <v>166</v>
      </c>
      <c r="C581" t="s">
        <v>123</v>
      </c>
      <c r="D581" t="s">
        <v>87</v>
      </c>
      <c r="E581" t="s">
        <v>159</v>
      </c>
      <c r="F581" s="1">
        <v>42758</v>
      </c>
      <c r="G581" s="1">
        <v>42878</v>
      </c>
      <c r="H581">
        <v>0</v>
      </c>
      <c r="I581" t="str">
        <f>IF(COUNTIF(Products!$A$2:$A$8,C581)=0,C581,"")</f>
        <v/>
      </c>
      <c r="J581">
        <f>IF(OR(E581="Prospecting",E581="Engaging"),VLOOKUP(C581,Products!$A$2:$C$8,3,FALSE),0)</f>
        <v>0</v>
      </c>
    </row>
    <row r="582" spans="1:10" x14ac:dyDescent="0.25">
      <c r="A582" t="s">
        <v>749</v>
      </c>
      <c r="B582" t="s">
        <v>169</v>
      </c>
      <c r="C582" t="s">
        <v>123</v>
      </c>
      <c r="D582" t="s">
        <v>89</v>
      </c>
      <c r="E582" t="s">
        <v>138</v>
      </c>
      <c r="F582" s="1">
        <v>42758</v>
      </c>
      <c r="G582" s="1">
        <v>42810</v>
      </c>
      <c r="H582">
        <v>53</v>
      </c>
      <c r="I582" t="str">
        <f>IF(COUNTIF(Products!$A$2:$A$8,C582)=0,C582,"")</f>
        <v/>
      </c>
      <c r="J582">
        <f>IF(OR(E582="Prospecting",E582="Engaging"),VLOOKUP(C582,Products!$A$2:$C$8,3,FALSE),0)</f>
        <v>0</v>
      </c>
    </row>
    <row r="583" spans="1:10" x14ac:dyDescent="0.25">
      <c r="A583" t="s">
        <v>750</v>
      </c>
      <c r="B583" t="s">
        <v>169</v>
      </c>
      <c r="C583" t="s">
        <v>125</v>
      </c>
      <c r="D583" t="s">
        <v>95</v>
      </c>
      <c r="E583" t="s">
        <v>138</v>
      </c>
      <c r="F583" s="1">
        <v>42758</v>
      </c>
      <c r="G583" s="1">
        <v>42817</v>
      </c>
      <c r="H583">
        <v>3046</v>
      </c>
      <c r="I583" t="str">
        <f>IF(COUNTIF(Products!$A$2:$A$8,C583)=0,C583,"")</f>
        <v/>
      </c>
      <c r="J583">
        <f>IF(OR(E583="Prospecting",E583="Engaging"),VLOOKUP(C583,Products!$A$2:$C$8,3,FALSE),0)</f>
        <v>0</v>
      </c>
    </row>
    <row r="584" spans="1:10" x14ac:dyDescent="0.25">
      <c r="A584" t="s">
        <v>751</v>
      </c>
      <c r="B584" t="s">
        <v>148</v>
      </c>
      <c r="C584" t="s">
        <v>127</v>
      </c>
      <c r="E584" t="s">
        <v>155</v>
      </c>
      <c r="F584" s="1">
        <v>42758</v>
      </c>
      <c r="I584" t="str">
        <f>IF(COUNTIF(Products!$A$2:$A$8,C584)=0,C584,"")</f>
        <v/>
      </c>
      <c r="J584">
        <f>IF(OR(E584="Prospecting",E584="Engaging"),VLOOKUP(C584,Products!$A$2:$C$8,3,FALSE),0)</f>
        <v>1096</v>
      </c>
    </row>
    <row r="585" spans="1:10" x14ac:dyDescent="0.25">
      <c r="A585" t="s">
        <v>752</v>
      </c>
      <c r="B585" t="s">
        <v>177</v>
      </c>
      <c r="C585" t="s">
        <v>123</v>
      </c>
      <c r="D585" t="s">
        <v>7</v>
      </c>
      <c r="E585" t="s">
        <v>159</v>
      </c>
      <c r="F585" s="1">
        <v>42758</v>
      </c>
      <c r="G585" s="1">
        <v>42861</v>
      </c>
      <c r="H585">
        <v>0</v>
      </c>
      <c r="I585" t="str">
        <f>IF(COUNTIF(Products!$A$2:$A$8,C585)=0,C585,"")</f>
        <v/>
      </c>
      <c r="J585">
        <f>IF(OR(E585="Prospecting",E585="Engaging"),VLOOKUP(C585,Products!$A$2:$C$8,3,FALSE),0)</f>
        <v>0</v>
      </c>
    </row>
    <row r="586" spans="1:10" x14ac:dyDescent="0.25">
      <c r="A586" t="s">
        <v>753</v>
      </c>
      <c r="B586" t="s">
        <v>144</v>
      </c>
      <c r="C586" t="s">
        <v>120</v>
      </c>
      <c r="D586" t="s">
        <v>90</v>
      </c>
      <c r="E586" t="s">
        <v>159</v>
      </c>
      <c r="F586" s="1">
        <v>42758</v>
      </c>
      <c r="G586" s="1">
        <v>42824</v>
      </c>
      <c r="H586">
        <v>0</v>
      </c>
      <c r="I586" t="str">
        <f>IF(COUNTIF(Products!$A$2:$A$8,C586)=0,C586,"")</f>
        <v/>
      </c>
      <c r="J586">
        <f>IF(OR(E586="Prospecting",E586="Engaging"),VLOOKUP(C586,Products!$A$2:$C$8,3,FALSE),0)</f>
        <v>0</v>
      </c>
    </row>
    <row r="587" spans="1:10" x14ac:dyDescent="0.25">
      <c r="A587" t="s">
        <v>754</v>
      </c>
      <c r="B587" t="s">
        <v>171</v>
      </c>
      <c r="C587" t="s">
        <v>122</v>
      </c>
      <c r="D587" t="s">
        <v>67</v>
      </c>
      <c r="E587" t="s">
        <v>138</v>
      </c>
      <c r="F587" s="1">
        <v>42759</v>
      </c>
      <c r="G587" s="1">
        <v>42825</v>
      </c>
      <c r="H587">
        <v>5140</v>
      </c>
      <c r="I587" t="str">
        <f>IF(COUNTIF(Products!$A$2:$A$8,C587)=0,C587,"")</f>
        <v/>
      </c>
      <c r="J587">
        <f>IF(OR(E587="Prospecting",E587="Engaging"),VLOOKUP(C587,Products!$A$2:$C$8,3,FALSE),0)</f>
        <v>0</v>
      </c>
    </row>
    <row r="588" spans="1:10" x14ac:dyDescent="0.25">
      <c r="A588" t="s">
        <v>755</v>
      </c>
      <c r="B588" t="s">
        <v>140</v>
      </c>
      <c r="C588" t="s">
        <v>127</v>
      </c>
      <c r="D588" t="s">
        <v>77</v>
      </c>
      <c r="E588" t="s">
        <v>138</v>
      </c>
      <c r="F588" s="1">
        <v>42759</v>
      </c>
      <c r="G588" s="1">
        <v>42872</v>
      </c>
      <c r="H588">
        <v>1067</v>
      </c>
      <c r="I588" t="str">
        <f>IF(COUNTIF(Products!$A$2:$A$8,C588)=0,C588,"")</f>
        <v/>
      </c>
      <c r="J588">
        <f>IF(OR(E588="Prospecting",E588="Engaging"),VLOOKUP(C588,Products!$A$2:$C$8,3,FALSE),0)</f>
        <v>0</v>
      </c>
    </row>
    <row r="589" spans="1:10" x14ac:dyDescent="0.25">
      <c r="A589" t="s">
        <v>756</v>
      </c>
      <c r="B589" t="s">
        <v>180</v>
      </c>
      <c r="C589" t="s">
        <v>120</v>
      </c>
      <c r="E589" t="s">
        <v>155</v>
      </c>
      <c r="F589" s="1">
        <v>42759</v>
      </c>
      <c r="I589" t="str">
        <f>IF(COUNTIF(Products!$A$2:$A$8,C589)=0,C589,"")</f>
        <v/>
      </c>
      <c r="J589">
        <f>IF(OR(E589="Prospecting",E589="Engaging"),VLOOKUP(C589,Products!$A$2:$C$8,3,FALSE),0)</f>
        <v>550</v>
      </c>
    </row>
    <row r="590" spans="1:10" x14ac:dyDescent="0.25">
      <c r="A590" t="s">
        <v>757</v>
      </c>
      <c r="B590" t="s">
        <v>180</v>
      </c>
      <c r="C590" t="s">
        <v>127</v>
      </c>
      <c r="D590" t="s">
        <v>60</v>
      </c>
      <c r="E590" t="s">
        <v>155</v>
      </c>
      <c r="F590" s="1">
        <v>42759</v>
      </c>
      <c r="I590" t="str">
        <f>IF(COUNTIF(Products!$A$2:$A$8,C590)=0,C590,"")</f>
        <v/>
      </c>
      <c r="J590">
        <f>IF(OR(E590="Prospecting",E590="Engaging"),VLOOKUP(C590,Products!$A$2:$C$8,3,FALSE),0)</f>
        <v>1096</v>
      </c>
    </row>
    <row r="591" spans="1:10" x14ac:dyDescent="0.25">
      <c r="A591" t="s">
        <v>758</v>
      </c>
      <c r="B591" t="s">
        <v>148</v>
      </c>
      <c r="C591" t="s">
        <v>120</v>
      </c>
      <c r="E591" t="s">
        <v>155</v>
      </c>
      <c r="F591" s="1">
        <v>42759</v>
      </c>
      <c r="I591" t="str">
        <f>IF(COUNTIF(Products!$A$2:$A$8,C591)=0,C591,"")</f>
        <v/>
      </c>
      <c r="J591">
        <f>IF(OR(E591="Prospecting",E591="Engaging"),VLOOKUP(C591,Products!$A$2:$C$8,3,FALSE),0)</f>
        <v>550</v>
      </c>
    </row>
    <row r="592" spans="1:10" x14ac:dyDescent="0.25">
      <c r="A592" t="s">
        <v>759</v>
      </c>
      <c r="B592" t="s">
        <v>207</v>
      </c>
      <c r="C592" t="s">
        <v>122</v>
      </c>
      <c r="D592" t="s">
        <v>81</v>
      </c>
      <c r="E592" t="s">
        <v>159</v>
      </c>
      <c r="F592" s="1">
        <v>42760</v>
      </c>
      <c r="G592" s="1">
        <v>42884</v>
      </c>
      <c r="H592">
        <v>0</v>
      </c>
      <c r="I592" t="str">
        <f>IF(COUNTIF(Products!$A$2:$A$8,C592)=0,C592,"")</f>
        <v/>
      </c>
      <c r="J592">
        <f>IF(OR(E592="Prospecting",E592="Engaging"),VLOOKUP(C592,Products!$A$2:$C$8,3,FALSE),0)</f>
        <v>0</v>
      </c>
    </row>
    <row r="593" spans="1:10" x14ac:dyDescent="0.25">
      <c r="A593" t="s">
        <v>760</v>
      </c>
      <c r="B593" t="s">
        <v>171</v>
      </c>
      <c r="C593" t="s">
        <v>127</v>
      </c>
      <c r="D593" t="s">
        <v>111</v>
      </c>
      <c r="E593" t="s">
        <v>138</v>
      </c>
      <c r="F593" s="1">
        <v>42760</v>
      </c>
      <c r="G593" s="1">
        <v>42815</v>
      </c>
      <c r="H593">
        <v>1065</v>
      </c>
      <c r="I593" t="str">
        <f>IF(COUNTIF(Products!$A$2:$A$8,C593)=0,C593,"")</f>
        <v/>
      </c>
      <c r="J593">
        <f>IF(OR(E593="Prospecting",E593="Engaging"),VLOOKUP(C593,Products!$A$2:$C$8,3,FALSE),0)</f>
        <v>0</v>
      </c>
    </row>
    <row r="594" spans="1:10" x14ac:dyDescent="0.25">
      <c r="A594" t="s">
        <v>761</v>
      </c>
      <c r="B594" t="s">
        <v>191</v>
      </c>
      <c r="C594" t="s">
        <v>120</v>
      </c>
      <c r="D594" t="s">
        <v>72</v>
      </c>
      <c r="E594" t="s">
        <v>138</v>
      </c>
      <c r="F594" s="1">
        <v>42760</v>
      </c>
      <c r="G594" s="1">
        <v>42861</v>
      </c>
      <c r="H594">
        <v>481</v>
      </c>
      <c r="I594" t="str">
        <f>IF(COUNTIF(Products!$A$2:$A$8,C594)=0,C594,"")</f>
        <v/>
      </c>
      <c r="J594">
        <f>IF(OR(E594="Prospecting",E594="Engaging"),VLOOKUP(C594,Products!$A$2:$C$8,3,FALSE),0)</f>
        <v>0</v>
      </c>
    </row>
    <row r="595" spans="1:10" x14ac:dyDescent="0.25">
      <c r="A595" t="s">
        <v>762</v>
      </c>
      <c r="B595" t="s">
        <v>150</v>
      </c>
      <c r="C595" t="s">
        <v>120</v>
      </c>
      <c r="D595" t="s">
        <v>66</v>
      </c>
      <c r="E595" t="s">
        <v>159</v>
      </c>
      <c r="F595" s="1">
        <v>42760</v>
      </c>
      <c r="G595" s="1">
        <v>42877</v>
      </c>
      <c r="H595">
        <v>0</v>
      </c>
      <c r="I595" t="str">
        <f>IF(COUNTIF(Products!$A$2:$A$8,C595)=0,C595,"")</f>
        <v/>
      </c>
      <c r="J595">
        <f>IF(OR(E595="Prospecting",E595="Engaging"),VLOOKUP(C595,Products!$A$2:$C$8,3,FALSE),0)</f>
        <v>0</v>
      </c>
    </row>
    <row r="596" spans="1:10" x14ac:dyDescent="0.25">
      <c r="A596" t="s">
        <v>763</v>
      </c>
      <c r="B596" t="s">
        <v>162</v>
      </c>
      <c r="C596" t="s">
        <v>120</v>
      </c>
      <c r="D596" t="s">
        <v>29</v>
      </c>
      <c r="E596" t="s">
        <v>138</v>
      </c>
      <c r="F596" s="1">
        <v>42760</v>
      </c>
      <c r="G596" s="1">
        <v>42800</v>
      </c>
      <c r="H596">
        <v>499</v>
      </c>
      <c r="I596" t="str">
        <f>IF(COUNTIF(Products!$A$2:$A$8,C596)=0,C596,"")</f>
        <v/>
      </c>
      <c r="J596">
        <f>IF(OR(E596="Prospecting",E596="Engaging"),VLOOKUP(C596,Products!$A$2:$C$8,3,FALSE),0)</f>
        <v>0</v>
      </c>
    </row>
    <row r="597" spans="1:10" x14ac:dyDescent="0.25">
      <c r="A597" t="s">
        <v>764</v>
      </c>
      <c r="B597" t="s">
        <v>193</v>
      </c>
      <c r="C597" t="s">
        <v>122</v>
      </c>
      <c r="D597" t="s">
        <v>7</v>
      </c>
      <c r="E597" t="s">
        <v>159</v>
      </c>
      <c r="F597" s="1">
        <v>42760</v>
      </c>
      <c r="G597" s="1">
        <v>42862</v>
      </c>
      <c r="H597">
        <v>0</v>
      </c>
      <c r="I597" t="str">
        <f>IF(COUNTIF(Products!$A$2:$A$8,C597)=0,C597,"")</f>
        <v/>
      </c>
      <c r="J597">
        <f>IF(OR(E597="Prospecting",E597="Engaging"),VLOOKUP(C597,Products!$A$2:$C$8,3,FALSE),0)</f>
        <v>0</v>
      </c>
    </row>
    <row r="598" spans="1:10" x14ac:dyDescent="0.25">
      <c r="A598" t="s">
        <v>765</v>
      </c>
      <c r="B598" t="s">
        <v>187</v>
      </c>
      <c r="C598" t="s">
        <v>123</v>
      </c>
      <c r="D598" t="s">
        <v>16</v>
      </c>
      <c r="E598" t="s">
        <v>138</v>
      </c>
      <c r="F598" s="1">
        <v>42760</v>
      </c>
      <c r="G598" s="1">
        <v>42802</v>
      </c>
      <c r="H598">
        <v>59</v>
      </c>
      <c r="I598" t="str">
        <f>IF(COUNTIF(Products!$A$2:$A$8,C598)=0,C598,"")</f>
        <v/>
      </c>
      <c r="J598">
        <f>IF(OR(E598="Prospecting",E598="Engaging"),VLOOKUP(C598,Products!$A$2:$C$8,3,FALSE),0)</f>
        <v>0</v>
      </c>
    </row>
    <row r="599" spans="1:10" x14ac:dyDescent="0.25">
      <c r="A599" t="s">
        <v>766</v>
      </c>
      <c r="B599" t="s">
        <v>148</v>
      </c>
      <c r="C599" t="s">
        <v>123</v>
      </c>
      <c r="D599" t="s">
        <v>61</v>
      </c>
      <c r="E599" t="s">
        <v>159</v>
      </c>
      <c r="F599" s="1">
        <v>42760</v>
      </c>
      <c r="G599" s="1">
        <v>42856</v>
      </c>
      <c r="H599">
        <v>0</v>
      </c>
      <c r="I599" t="str">
        <f>IF(COUNTIF(Products!$A$2:$A$8,C599)=0,C599,"")</f>
        <v/>
      </c>
      <c r="J599">
        <f>IF(OR(E599="Prospecting",E599="Engaging"),VLOOKUP(C599,Products!$A$2:$C$8,3,FALSE),0)</f>
        <v>0</v>
      </c>
    </row>
    <row r="600" spans="1:10" x14ac:dyDescent="0.25">
      <c r="A600" t="s">
        <v>767</v>
      </c>
      <c r="B600" t="s">
        <v>177</v>
      </c>
      <c r="C600" t="s">
        <v>123</v>
      </c>
      <c r="D600" t="s">
        <v>63</v>
      </c>
      <c r="E600" t="s">
        <v>138</v>
      </c>
      <c r="F600" s="1">
        <v>42760</v>
      </c>
      <c r="G600" s="1">
        <v>42864</v>
      </c>
      <c r="H600">
        <v>45</v>
      </c>
      <c r="I600" t="str">
        <f>IF(COUNTIF(Products!$A$2:$A$8,C600)=0,C600,"")</f>
        <v/>
      </c>
      <c r="J600">
        <f>IF(OR(E600="Prospecting",E600="Engaging"),VLOOKUP(C600,Products!$A$2:$C$8,3,FALSE),0)</f>
        <v>0</v>
      </c>
    </row>
    <row r="601" spans="1:10" x14ac:dyDescent="0.25">
      <c r="A601" t="s">
        <v>768</v>
      </c>
      <c r="B601" t="s">
        <v>196</v>
      </c>
      <c r="C601" t="s">
        <v>125</v>
      </c>
      <c r="E601" t="s">
        <v>155</v>
      </c>
      <c r="F601" s="1">
        <v>42760</v>
      </c>
      <c r="I601" t="str">
        <f>IF(COUNTIF(Products!$A$2:$A$8,C601)=0,C601,"")</f>
        <v/>
      </c>
      <c r="J601">
        <f>IF(OR(E601="Prospecting",E601="Engaging"),VLOOKUP(C601,Products!$A$2:$C$8,3,FALSE),0)</f>
        <v>3393</v>
      </c>
    </row>
    <row r="602" spans="1:10" x14ac:dyDescent="0.25">
      <c r="A602" t="s">
        <v>769</v>
      </c>
      <c r="B602" t="s">
        <v>144</v>
      </c>
      <c r="C602" t="s">
        <v>122</v>
      </c>
      <c r="D602" t="s">
        <v>41</v>
      </c>
      <c r="E602" t="s">
        <v>138</v>
      </c>
      <c r="F602" s="1">
        <v>42760</v>
      </c>
      <c r="G602" s="1">
        <v>42869</v>
      </c>
      <c r="H602">
        <v>5743</v>
      </c>
      <c r="I602" t="str">
        <f>IF(COUNTIF(Products!$A$2:$A$8,C602)=0,C602,"")</f>
        <v/>
      </c>
      <c r="J602">
        <f>IF(OR(E602="Prospecting",E602="Engaging"),VLOOKUP(C602,Products!$A$2:$C$8,3,FALSE),0)</f>
        <v>0</v>
      </c>
    </row>
    <row r="603" spans="1:10" x14ac:dyDescent="0.25">
      <c r="A603" t="s">
        <v>770</v>
      </c>
      <c r="B603" t="s">
        <v>207</v>
      </c>
      <c r="C603" t="s">
        <v>126</v>
      </c>
      <c r="D603" t="s">
        <v>106</v>
      </c>
      <c r="E603" t="s">
        <v>138</v>
      </c>
      <c r="F603" s="1">
        <v>42761</v>
      </c>
      <c r="G603" s="1">
        <v>42868</v>
      </c>
      <c r="H603">
        <v>6117</v>
      </c>
      <c r="I603" t="str">
        <f>IF(COUNTIF(Products!$A$2:$A$8,C603)=0,C603,"")</f>
        <v/>
      </c>
      <c r="J603">
        <f>IF(OR(E603="Prospecting",E603="Engaging"),VLOOKUP(C603,Products!$A$2:$C$8,3,FALSE),0)</f>
        <v>0</v>
      </c>
    </row>
    <row r="604" spans="1:10" x14ac:dyDescent="0.25">
      <c r="A604" t="s">
        <v>771</v>
      </c>
      <c r="B604" t="s">
        <v>140</v>
      </c>
      <c r="C604" t="s">
        <v>122</v>
      </c>
      <c r="D604" t="s">
        <v>33</v>
      </c>
      <c r="E604" t="s">
        <v>159</v>
      </c>
      <c r="F604" s="1">
        <v>42761</v>
      </c>
      <c r="G604" s="1">
        <v>42881</v>
      </c>
      <c r="H604">
        <v>0</v>
      </c>
      <c r="I604" t="str">
        <f>IF(COUNTIF(Products!$A$2:$A$8,C604)=0,C604,"")</f>
        <v/>
      </c>
      <c r="J604">
        <f>IF(OR(E604="Prospecting",E604="Engaging"),VLOOKUP(C604,Products!$A$2:$C$8,3,FALSE),0)</f>
        <v>0</v>
      </c>
    </row>
    <row r="605" spans="1:10" x14ac:dyDescent="0.25">
      <c r="A605" t="s">
        <v>772</v>
      </c>
      <c r="B605" t="s">
        <v>224</v>
      </c>
      <c r="C605" t="s">
        <v>127</v>
      </c>
      <c r="D605" t="s">
        <v>102</v>
      </c>
      <c r="E605" t="s">
        <v>138</v>
      </c>
      <c r="F605" s="1">
        <v>42761</v>
      </c>
      <c r="G605" s="1">
        <v>42813</v>
      </c>
      <c r="H605">
        <v>1158</v>
      </c>
      <c r="I605" t="str">
        <f>IF(COUNTIF(Products!$A$2:$A$8,C605)=0,C605,"")</f>
        <v/>
      </c>
      <c r="J605">
        <f>IF(OR(E605="Prospecting",E605="Engaging"),VLOOKUP(C605,Products!$A$2:$C$8,3,FALSE),0)</f>
        <v>0</v>
      </c>
    </row>
    <row r="606" spans="1:10" x14ac:dyDescent="0.25">
      <c r="A606" t="s">
        <v>773</v>
      </c>
      <c r="B606" t="s">
        <v>198</v>
      </c>
      <c r="C606" t="s">
        <v>123</v>
      </c>
      <c r="D606" t="s">
        <v>68</v>
      </c>
      <c r="E606" t="s">
        <v>138</v>
      </c>
      <c r="F606" s="1">
        <v>42761</v>
      </c>
      <c r="G606" s="1">
        <v>42877</v>
      </c>
      <c r="H606">
        <v>59</v>
      </c>
      <c r="I606" t="str">
        <f>IF(COUNTIF(Products!$A$2:$A$8,C606)=0,C606,"")</f>
        <v/>
      </c>
      <c r="J606">
        <f>IF(OR(E606="Prospecting",E606="Engaging"),VLOOKUP(C606,Products!$A$2:$C$8,3,FALSE),0)</f>
        <v>0</v>
      </c>
    </row>
    <row r="607" spans="1:10" x14ac:dyDescent="0.25">
      <c r="A607" t="s">
        <v>774</v>
      </c>
      <c r="B607" t="s">
        <v>180</v>
      </c>
      <c r="C607" t="s">
        <v>127</v>
      </c>
      <c r="D607" t="s">
        <v>29</v>
      </c>
      <c r="E607" t="s">
        <v>159</v>
      </c>
      <c r="F607" s="1">
        <v>42761</v>
      </c>
      <c r="G607" s="1">
        <v>42879</v>
      </c>
      <c r="H607">
        <v>0</v>
      </c>
      <c r="I607" t="str">
        <f>IF(COUNTIF(Products!$A$2:$A$8,C607)=0,C607,"")</f>
        <v/>
      </c>
      <c r="J607">
        <f>IF(OR(E607="Prospecting",E607="Engaging"),VLOOKUP(C607,Products!$A$2:$C$8,3,FALSE),0)</f>
        <v>0</v>
      </c>
    </row>
    <row r="608" spans="1:10" x14ac:dyDescent="0.25">
      <c r="A608" t="s">
        <v>775</v>
      </c>
      <c r="B608" t="s">
        <v>162</v>
      </c>
      <c r="C608" t="s">
        <v>125</v>
      </c>
      <c r="D608" t="s">
        <v>107</v>
      </c>
      <c r="E608" t="s">
        <v>138</v>
      </c>
      <c r="F608" s="1">
        <v>42761</v>
      </c>
      <c r="G608" s="1">
        <v>42818</v>
      </c>
      <c r="H608">
        <v>3106</v>
      </c>
      <c r="I608" t="str">
        <f>IF(COUNTIF(Products!$A$2:$A$8,C608)=0,C608,"")</f>
        <v/>
      </c>
      <c r="J608">
        <f>IF(OR(E608="Prospecting",E608="Engaging"),VLOOKUP(C608,Products!$A$2:$C$8,3,FALSE),0)</f>
        <v>0</v>
      </c>
    </row>
    <row r="609" spans="1:10" x14ac:dyDescent="0.25">
      <c r="A609" t="s">
        <v>776</v>
      </c>
      <c r="B609" t="s">
        <v>166</v>
      </c>
      <c r="C609" t="s">
        <v>125</v>
      </c>
      <c r="D609" t="s">
        <v>78</v>
      </c>
      <c r="E609" t="s">
        <v>138</v>
      </c>
      <c r="F609" s="1">
        <v>42761</v>
      </c>
      <c r="G609" s="1">
        <v>42813</v>
      </c>
      <c r="H609">
        <v>2982</v>
      </c>
      <c r="I609" t="str">
        <f>IF(COUNTIF(Products!$A$2:$A$8,C609)=0,C609,"")</f>
        <v/>
      </c>
      <c r="J609">
        <f>IF(OR(E609="Prospecting",E609="Engaging"),VLOOKUP(C609,Products!$A$2:$C$8,3,FALSE),0)</f>
        <v>0</v>
      </c>
    </row>
    <row r="610" spans="1:10" x14ac:dyDescent="0.25">
      <c r="A610" t="s">
        <v>777</v>
      </c>
      <c r="B610" t="s">
        <v>144</v>
      </c>
      <c r="C610" t="s">
        <v>126</v>
      </c>
      <c r="D610" t="s">
        <v>61</v>
      </c>
      <c r="E610" t="s">
        <v>138</v>
      </c>
      <c r="F610" s="1">
        <v>42761</v>
      </c>
      <c r="G610" s="1">
        <v>42810</v>
      </c>
      <c r="H610">
        <v>6101</v>
      </c>
      <c r="I610" t="str">
        <f>IF(COUNTIF(Products!$A$2:$A$8,C610)=0,C610,"")</f>
        <v/>
      </c>
      <c r="J610">
        <f>IF(OR(E610="Prospecting",E610="Engaging"),VLOOKUP(C610,Products!$A$2:$C$8,3,FALSE),0)</f>
        <v>0</v>
      </c>
    </row>
    <row r="611" spans="1:10" x14ac:dyDescent="0.25">
      <c r="A611" t="s">
        <v>778</v>
      </c>
      <c r="B611" t="s">
        <v>146</v>
      </c>
      <c r="C611" t="s">
        <v>126</v>
      </c>
      <c r="D611" t="s">
        <v>104</v>
      </c>
      <c r="E611" t="s">
        <v>138</v>
      </c>
      <c r="F611" s="1">
        <v>42762</v>
      </c>
      <c r="G611" s="1">
        <v>42863</v>
      </c>
      <c r="H611">
        <v>5883</v>
      </c>
      <c r="I611" t="str">
        <f>IF(COUNTIF(Products!$A$2:$A$8,C611)=0,C611,"")</f>
        <v/>
      </c>
      <c r="J611">
        <f>IF(OR(E611="Prospecting",E611="Engaging"),VLOOKUP(C611,Products!$A$2:$C$8,3,FALSE),0)</f>
        <v>0</v>
      </c>
    </row>
    <row r="612" spans="1:10" x14ac:dyDescent="0.25">
      <c r="A612" t="s">
        <v>779</v>
      </c>
      <c r="B612" t="s">
        <v>239</v>
      </c>
      <c r="C612" t="s">
        <v>126</v>
      </c>
      <c r="D612" t="s">
        <v>108</v>
      </c>
      <c r="E612" t="s">
        <v>138</v>
      </c>
      <c r="F612" s="1">
        <v>42762</v>
      </c>
      <c r="G612" s="1">
        <v>42877</v>
      </c>
      <c r="H612">
        <v>5051</v>
      </c>
      <c r="I612" t="str">
        <f>IF(COUNTIF(Products!$A$2:$A$8,C612)=0,C612,"")</f>
        <v/>
      </c>
      <c r="J612">
        <f>IF(OR(E612="Prospecting",E612="Engaging"),VLOOKUP(C612,Products!$A$2:$C$8,3,FALSE),0)</f>
        <v>0</v>
      </c>
    </row>
    <row r="613" spans="1:10" x14ac:dyDescent="0.25">
      <c r="A613" t="s">
        <v>780</v>
      </c>
      <c r="B613" t="s">
        <v>140</v>
      </c>
      <c r="C613" t="s">
        <v>127</v>
      </c>
      <c r="D613" t="s">
        <v>95</v>
      </c>
      <c r="E613" t="s">
        <v>138</v>
      </c>
      <c r="F613" s="1">
        <v>42762</v>
      </c>
      <c r="G613" s="1">
        <v>42866</v>
      </c>
      <c r="H613">
        <v>1155</v>
      </c>
      <c r="I613" t="str">
        <f>IF(COUNTIF(Products!$A$2:$A$8,C613)=0,C613,"")</f>
        <v/>
      </c>
      <c r="J613">
        <f>IF(OR(E613="Prospecting",E613="Engaging"),VLOOKUP(C613,Products!$A$2:$C$8,3,FALSE),0)</f>
        <v>0</v>
      </c>
    </row>
    <row r="614" spans="1:10" x14ac:dyDescent="0.25">
      <c r="A614" t="s">
        <v>781</v>
      </c>
      <c r="B614" t="s">
        <v>198</v>
      </c>
      <c r="C614" t="s">
        <v>120</v>
      </c>
      <c r="D614" t="s">
        <v>19</v>
      </c>
      <c r="E614" t="s">
        <v>159</v>
      </c>
      <c r="F614" s="1">
        <v>42762</v>
      </c>
      <c r="G614" s="1">
        <v>42865</v>
      </c>
      <c r="H614">
        <v>0</v>
      </c>
      <c r="I614" t="str">
        <f>IF(COUNTIF(Products!$A$2:$A$8,C614)=0,C614,"")</f>
        <v/>
      </c>
      <c r="J614">
        <f>IF(OR(E614="Prospecting",E614="Engaging"),VLOOKUP(C614,Products!$A$2:$C$8,3,FALSE),0)</f>
        <v>0</v>
      </c>
    </row>
    <row r="615" spans="1:10" x14ac:dyDescent="0.25">
      <c r="A615" t="s">
        <v>782</v>
      </c>
      <c r="B615" t="s">
        <v>154</v>
      </c>
      <c r="C615" t="s">
        <v>126</v>
      </c>
      <c r="D615" t="s">
        <v>23</v>
      </c>
      <c r="E615" t="s">
        <v>138</v>
      </c>
      <c r="F615" s="1">
        <v>42762</v>
      </c>
      <c r="G615" s="1">
        <v>42800</v>
      </c>
      <c r="H615">
        <v>5616</v>
      </c>
      <c r="I615" t="str">
        <f>IF(COUNTIF(Products!$A$2:$A$8,C615)=0,C615,"")</f>
        <v/>
      </c>
      <c r="J615">
        <f>IF(OR(E615="Prospecting",E615="Engaging"),VLOOKUP(C615,Products!$A$2:$C$8,3,FALSE),0)</f>
        <v>0</v>
      </c>
    </row>
    <row r="616" spans="1:10" x14ac:dyDescent="0.25">
      <c r="A616" t="s">
        <v>783</v>
      </c>
      <c r="B616" t="s">
        <v>154</v>
      </c>
      <c r="C616" t="s">
        <v>126</v>
      </c>
      <c r="D616" t="s">
        <v>47</v>
      </c>
      <c r="E616" t="s">
        <v>138</v>
      </c>
      <c r="F616" s="1">
        <v>42762</v>
      </c>
      <c r="G616" s="1">
        <v>42892</v>
      </c>
      <c r="H616">
        <v>5116</v>
      </c>
      <c r="I616" t="str">
        <f>IF(COUNTIF(Products!$A$2:$A$8,C616)=0,C616,"")</f>
        <v/>
      </c>
      <c r="J616">
        <f>IF(OR(E616="Prospecting",E616="Engaging"),VLOOKUP(C616,Products!$A$2:$C$8,3,FALSE),0)</f>
        <v>0</v>
      </c>
    </row>
    <row r="617" spans="1:10" x14ac:dyDescent="0.25">
      <c r="A617" t="s">
        <v>784</v>
      </c>
      <c r="B617" t="s">
        <v>191</v>
      </c>
      <c r="C617" t="s">
        <v>127</v>
      </c>
      <c r="D617" t="s">
        <v>27</v>
      </c>
      <c r="E617" t="s">
        <v>138</v>
      </c>
      <c r="F617" s="1">
        <v>42762</v>
      </c>
      <c r="G617" s="1">
        <v>42824</v>
      </c>
      <c r="H617">
        <v>1136</v>
      </c>
      <c r="I617" t="str">
        <f>IF(COUNTIF(Products!$A$2:$A$8,C617)=0,C617,"")</f>
        <v/>
      </c>
      <c r="J617">
        <f>IF(OR(E617="Prospecting",E617="Engaging"),VLOOKUP(C617,Products!$A$2:$C$8,3,FALSE),0)</f>
        <v>0</v>
      </c>
    </row>
    <row r="618" spans="1:10" x14ac:dyDescent="0.25">
      <c r="A618" t="s">
        <v>785</v>
      </c>
      <c r="B618" t="s">
        <v>146</v>
      </c>
      <c r="C618" t="s">
        <v>127</v>
      </c>
      <c r="D618" t="s">
        <v>42</v>
      </c>
      <c r="E618" t="s">
        <v>138</v>
      </c>
      <c r="F618" s="1">
        <v>42763</v>
      </c>
      <c r="G618" s="1">
        <v>42887</v>
      </c>
      <c r="H618">
        <v>1216</v>
      </c>
      <c r="I618" t="str">
        <f>IF(COUNTIF(Products!$A$2:$A$8,C618)=0,C618,"")</f>
        <v/>
      </c>
      <c r="J618">
        <f>IF(OR(E618="Prospecting",E618="Engaging"),VLOOKUP(C618,Products!$A$2:$C$8,3,FALSE),0)</f>
        <v>0</v>
      </c>
    </row>
    <row r="619" spans="1:10" x14ac:dyDescent="0.25">
      <c r="A619" t="s">
        <v>786</v>
      </c>
      <c r="B619" t="s">
        <v>146</v>
      </c>
      <c r="C619" t="s">
        <v>127</v>
      </c>
      <c r="D619" t="s">
        <v>61</v>
      </c>
      <c r="E619" t="s">
        <v>138</v>
      </c>
      <c r="F619" s="1">
        <v>42763</v>
      </c>
      <c r="G619" s="1">
        <v>42857</v>
      </c>
      <c r="H619">
        <v>1089</v>
      </c>
      <c r="I619" t="str">
        <f>IF(COUNTIF(Products!$A$2:$A$8,C619)=0,C619,"")</f>
        <v/>
      </c>
      <c r="J619">
        <f>IF(OR(E619="Prospecting",E619="Engaging"),VLOOKUP(C619,Products!$A$2:$C$8,3,FALSE),0)</f>
        <v>0</v>
      </c>
    </row>
    <row r="620" spans="1:10" x14ac:dyDescent="0.25">
      <c r="A620" t="s">
        <v>787</v>
      </c>
      <c r="B620" t="s">
        <v>207</v>
      </c>
      <c r="C620" t="s">
        <v>125</v>
      </c>
      <c r="D620" t="s">
        <v>27</v>
      </c>
      <c r="E620" t="s">
        <v>138</v>
      </c>
      <c r="F620" s="1">
        <v>42763</v>
      </c>
      <c r="G620" s="1">
        <v>42890</v>
      </c>
      <c r="H620">
        <v>3908</v>
      </c>
      <c r="I620" t="str">
        <f>IF(COUNTIF(Products!$A$2:$A$8,C620)=0,C620,"")</f>
        <v/>
      </c>
      <c r="J620">
        <f>IF(OR(E620="Prospecting",E620="Engaging"),VLOOKUP(C620,Products!$A$2:$C$8,3,FALSE),0)</f>
        <v>0</v>
      </c>
    </row>
    <row r="621" spans="1:10" x14ac:dyDescent="0.25">
      <c r="A621" t="s">
        <v>788</v>
      </c>
      <c r="B621" t="s">
        <v>239</v>
      </c>
      <c r="C621" t="s">
        <v>127</v>
      </c>
      <c r="D621" t="s">
        <v>103</v>
      </c>
      <c r="E621" t="s">
        <v>155</v>
      </c>
      <c r="F621" s="1">
        <v>42763</v>
      </c>
      <c r="I621" t="str">
        <f>IF(COUNTIF(Products!$A$2:$A$8,C621)=0,C621,"")</f>
        <v/>
      </c>
      <c r="J621">
        <f>IF(OR(E621="Prospecting",E621="Engaging"),VLOOKUP(C621,Products!$A$2:$C$8,3,FALSE),0)</f>
        <v>1096</v>
      </c>
    </row>
    <row r="622" spans="1:10" x14ac:dyDescent="0.25">
      <c r="A622" t="s">
        <v>789</v>
      </c>
      <c r="B622" t="s">
        <v>140</v>
      </c>
      <c r="C622" t="s">
        <v>122</v>
      </c>
      <c r="D622" t="s">
        <v>36</v>
      </c>
      <c r="E622" t="s">
        <v>159</v>
      </c>
      <c r="F622" s="1">
        <v>42763</v>
      </c>
      <c r="G622" s="1">
        <v>42882</v>
      </c>
      <c r="H622">
        <v>0</v>
      </c>
      <c r="I622" t="str">
        <f>IF(COUNTIF(Products!$A$2:$A$8,C622)=0,C622,"")</f>
        <v/>
      </c>
      <c r="J622">
        <f>IF(OR(E622="Prospecting",E622="Engaging"),VLOOKUP(C622,Products!$A$2:$C$8,3,FALSE),0)</f>
        <v>0</v>
      </c>
    </row>
    <row r="623" spans="1:10" x14ac:dyDescent="0.25">
      <c r="A623" t="s">
        <v>790</v>
      </c>
      <c r="B623" t="s">
        <v>140</v>
      </c>
      <c r="C623" t="s">
        <v>122</v>
      </c>
      <c r="D623" t="s">
        <v>42</v>
      </c>
      <c r="E623" t="s">
        <v>159</v>
      </c>
      <c r="F623" s="1">
        <v>42763</v>
      </c>
      <c r="G623" s="1">
        <v>42873</v>
      </c>
      <c r="H623">
        <v>0</v>
      </c>
      <c r="I623" t="str">
        <f>IF(COUNTIF(Products!$A$2:$A$8,C623)=0,C623,"")</f>
        <v/>
      </c>
      <c r="J623">
        <f>IF(OR(E623="Prospecting",E623="Engaging"),VLOOKUP(C623,Products!$A$2:$C$8,3,FALSE),0)</f>
        <v>0</v>
      </c>
    </row>
    <row r="624" spans="1:10" x14ac:dyDescent="0.25">
      <c r="A624" t="s">
        <v>791</v>
      </c>
      <c r="B624" t="s">
        <v>140</v>
      </c>
      <c r="C624" t="s">
        <v>125</v>
      </c>
      <c r="D624" t="s">
        <v>96</v>
      </c>
      <c r="E624" t="s">
        <v>138</v>
      </c>
      <c r="F624" s="1">
        <v>42763</v>
      </c>
      <c r="G624" s="1">
        <v>42862</v>
      </c>
      <c r="H624">
        <v>3369</v>
      </c>
      <c r="I624" t="str">
        <f>IF(COUNTIF(Products!$A$2:$A$8,C624)=0,C624,"")</f>
        <v/>
      </c>
      <c r="J624">
        <f>IF(OR(E624="Prospecting",E624="Engaging"),VLOOKUP(C624,Products!$A$2:$C$8,3,FALSE),0)</f>
        <v>0</v>
      </c>
    </row>
    <row r="625" spans="1:10" x14ac:dyDescent="0.25">
      <c r="A625" t="s">
        <v>792</v>
      </c>
      <c r="B625" t="s">
        <v>154</v>
      </c>
      <c r="C625" t="s">
        <v>122</v>
      </c>
      <c r="D625" t="s">
        <v>17</v>
      </c>
      <c r="E625" t="s">
        <v>155</v>
      </c>
      <c r="F625" s="1">
        <v>42763</v>
      </c>
      <c r="I625" t="str">
        <f>IF(COUNTIF(Products!$A$2:$A$8,C625)=0,C625,"")</f>
        <v/>
      </c>
      <c r="J625">
        <f>IF(OR(E625="Prospecting",E625="Engaging"),VLOOKUP(C625,Products!$A$2:$C$8,3,FALSE),0)</f>
        <v>4821</v>
      </c>
    </row>
    <row r="626" spans="1:10" x14ac:dyDescent="0.25">
      <c r="A626" t="s">
        <v>793</v>
      </c>
      <c r="B626" t="s">
        <v>154</v>
      </c>
      <c r="C626" t="s">
        <v>126</v>
      </c>
      <c r="D626" t="s">
        <v>66</v>
      </c>
      <c r="E626" t="s">
        <v>138</v>
      </c>
      <c r="F626" s="1">
        <v>42763</v>
      </c>
      <c r="G626" s="1">
        <v>42875</v>
      </c>
      <c r="H626">
        <v>5259</v>
      </c>
      <c r="I626" t="str">
        <f>IF(COUNTIF(Products!$A$2:$A$8,C626)=0,C626,"")</f>
        <v/>
      </c>
      <c r="J626">
        <f>IF(OR(E626="Prospecting",E626="Engaging"),VLOOKUP(C626,Products!$A$2:$C$8,3,FALSE),0)</f>
        <v>0</v>
      </c>
    </row>
    <row r="627" spans="1:10" x14ac:dyDescent="0.25">
      <c r="A627" t="s">
        <v>794</v>
      </c>
      <c r="B627" t="s">
        <v>162</v>
      </c>
      <c r="C627" t="s">
        <v>122</v>
      </c>
      <c r="E627" t="s">
        <v>155</v>
      </c>
      <c r="F627" s="1">
        <v>42763</v>
      </c>
      <c r="I627" t="str">
        <f>IF(COUNTIF(Products!$A$2:$A$8,C627)=0,C627,"")</f>
        <v/>
      </c>
      <c r="J627">
        <f>IF(OR(E627="Prospecting",E627="Engaging"),VLOOKUP(C627,Products!$A$2:$C$8,3,FALSE),0)</f>
        <v>4821</v>
      </c>
    </row>
    <row r="628" spans="1:10" x14ac:dyDescent="0.25">
      <c r="A628" t="s">
        <v>795</v>
      </c>
      <c r="B628" t="s">
        <v>162</v>
      </c>
      <c r="C628" t="s">
        <v>127</v>
      </c>
      <c r="D628" t="s">
        <v>109</v>
      </c>
      <c r="E628" t="s">
        <v>159</v>
      </c>
      <c r="F628" s="1">
        <v>42763</v>
      </c>
      <c r="G628" s="1">
        <v>42863</v>
      </c>
      <c r="H628">
        <v>0</v>
      </c>
      <c r="I628" t="str">
        <f>IF(COUNTIF(Products!$A$2:$A$8,C628)=0,C628,"")</f>
        <v/>
      </c>
      <c r="J628">
        <f>IF(OR(E628="Prospecting",E628="Engaging"),VLOOKUP(C628,Products!$A$2:$C$8,3,FALSE),0)</f>
        <v>0</v>
      </c>
    </row>
    <row r="629" spans="1:10" x14ac:dyDescent="0.25">
      <c r="A629" t="s">
        <v>796</v>
      </c>
      <c r="B629" t="s">
        <v>193</v>
      </c>
      <c r="C629" t="s">
        <v>125</v>
      </c>
      <c r="D629" t="s">
        <v>20</v>
      </c>
      <c r="E629" t="s">
        <v>159</v>
      </c>
      <c r="F629" s="1">
        <v>42763</v>
      </c>
      <c r="G629" s="1">
        <v>42824</v>
      </c>
      <c r="H629">
        <v>0</v>
      </c>
      <c r="I629" t="str">
        <f>IF(COUNTIF(Products!$A$2:$A$8,C629)=0,C629,"")</f>
        <v/>
      </c>
      <c r="J629">
        <f>IF(OR(E629="Prospecting",E629="Engaging"),VLOOKUP(C629,Products!$A$2:$C$8,3,FALSE),0)</f>
        <v>0</v>
      </c>
    </row>
    <row r="630" spans="1:10" x14ac:dyDescent="0.25">
      <c r="A630" t="s">
        <v>797</v>
      </c>
      <c r="B630" t="s">
        <v>144</v>
      </c>
      <c r="C630" t="s">
        <v>123</v>
      </c>
      <c r="D630" t="s">
        <v>70</v>
      </c>
      <c r="E630" t="s">
        <v>155</v>
      </c>
      <c r="F630" s="1">
        <v>42763</v>
      </c>
      <c r="I630" t="str">
        <f>IF(COUNTIF(Products!$A$2:$A$8,C630)=0,C630,"")</f>
        <v/>
      </c>
      <c r="J630">
        <f>IF(OR(E630="Prospecting",E630="Engaging"),VLOOKUP(C630,Products!$A$2:$C$8,3,FALSE),0)</f>
        <v>55</v>
      </c>
    </row>
    <row r="631" spans="1:10" x14ac:dyDescent="0.25">
      <c r="A631" t="s">
        <v>798</v>
      </c>
      <c r="B631" t="s">
        <v>146</v>
      </c>
      <c r="C631" t="s">
        <v>123</v>
      </c>
      <c r="D631" t="s">
        <v>27</v>
      </c>
      <c r="E631" t="s">
        <v>138</v>
      </c>
      <c r="F631" s="1">
        <v>42764</v>
      </c>
      <c r="G631" s="1">
        <v>42880</v>
      </c>
      <c r="H631">
        <v>52</v>
      </c>
      <c r="I631" t="str">
        <f>IF(COUNTIF(Products!$A$2:$A$8,C631)=0,C631,"")</f>
        <v/>
      </c>
      <c r="J631">
        <f>IF(OR(E631="Prospecting",E631="Engaging"),VLOOKUP(C631,Products!$A$2:$C$8,3,FALSE),0)</f>
        <v>0</v>
      </c>
    </row>
    <row r="632" spans="1:10" x14ac:dyDescent="0.25">
      <c r="A632" t="s">
        <v>799</v>
      </c>
      <c r="B632" t="s">
        <v>222</v>
      </c>
      <c r="C632" t="s">
        <v>126</v>
      </c>
      <c r="D632" t="s">
        <v>7</v>
      </c>
      <c r="E632" t="s">
        <v>138</v>
      </c>
      <c r="F632" s="1">
        <v>42764</v>
      </c>
      <c r="G632" s="1">
        <v>42866</v>
      </c>
      <c r="H632">
        <v>5772</v>
      </c>
      <c r="I632" t="str">
        <f>IF(COUNTIF(Products!$A$2:$A$8,C632)=0,C632,"")</f>
        <v/>
      </c>
      <c r="J632">
        <f>IF(OR(E632="Prospecting",E632="Engaging"),VLOOKUP(C632,Products!$A$2:$C$8,3,FALSE),0)</f>
        <v>0</v>
      </c>
    </row>
    <row r="633" spans="1:10" x14ac:dyDescent="0.25">
      <c r="A633" t="s">
        <v>800</v>
      </c>
      <c r="B633" t="s">
        <v>207</v>
      </c>
      <c r="C633" t="s">
        <v>122</v>
      </c>
      <c r="D633" t="s">
        <v>105</v>
      </c>
      <c r="E633" t="s">
        <v>159</v>
      </c>
      <c r="F633" s="1">
        <v>42764</v>
      </c>
      <c r="G633" s="1">
        <v>42807</v>
      </c>
      <c r="H633">
        <v>0</v>
      </c>
      <c r="I633" t="str">
        <f>IF(COUNTIF(Products!$A$2:$A$8,C633)=0,C633,"")</f>
        <v/>
      </c>
      <c r="J633">
        <f>IF(OR(E633="Prospecting",E633="Engaging"),VLOOKUP(C633,Products!$A$2:$C$8,3,FALSE),0)</f>
        <v>0</v>
      </c>
    </row>
    <row r="634" spans="1:10" x14ac:dyDescent="0.25">
      <c r="A634" t="s">
        <v>801</v>
      </c>
      <c r="B634" t="s">
        <v>264</v>
      </c>
      <c r="C634" t="s">
        <v>125</v>
      </c>
      <c r="D634" t="s">
        <v>33</v>
      </c>
      <c r="E634" t="s">
        <v>138</v>
      </c>
      <c r="F634" s="1">
        <v>42764</v>
      </c>
      <c r="G634" s="1">
        <v>42815</v>
      </c>
      <c r="H634">
        <v>3496</v>
      </c>
      <c r="I634" t="str">
        <f>IF(COUNTIF(Products!$A$2:$A$8,C634)=0,C634,"")</f>
        <v/>
      </c>
      <c r="J634">
        <f>IF(OR(E634="Prospecting",E634="Engaging"),VLOOKUP(C634,Products!$A$2:$C$8,3,FALSE),0)</f>
        <v>0</v>
      </c>
    </row>
    <row r="635" spans="1:10" x14ac:dyDescent="0.25">
      <c r="A635" t="s">
        <v>802</v>
      </c>
      <c r="B635" t="s">
        <v>173</v>
      </c>
      <c r="C635" t="s">
        <v>125</v>
      </c>
      <c r="D635" t="s">
        <v>44</v>
      </c>
      <c r="E635" t="s">
        <v>138</v>
      </c>
      <c r="F635" s="1">
        <v>42764</v>
      </c>
      <c r="G635" s="1">
        <v>42806</v>
      </c>
      <c r="H635">
        <v>3602</v>
      </c>
      <c r="I635" t="str">
        <f>IF(COUNTIF(Products!$A$2:$A$8,C635)=0,C635,"")</f>
        <v/>
      </c>
      <c r="J635">
        <f>IF(OR(E635="Prospecting",E635="Engaging"),VLOOKUP(C635,Products!$A$2:$C$8,3,FALSE),0)</f>
        <v>0</v>
      </c>
    </row>
    <row r="636" spans="1:10" x14ac:dyDescent="0.25">
      <c r="A636" t="s">
        <v>803</v>
      </c>
      <c r="B636" t="s">
        <v>198</v>
      </c>
      <c r="C636" t="s">
        <v>123</v>
      </c>
      <c r="D636" t="s">
        <v>110</v>
      </c>
      <c r="E636" t="s">
        <v>138</v>
      </c>
      <c r="F636" s="1">
        <v>42764</v>
      </c>
      <c r="G636" s="1">
        <v>42803</v>
      </c>
      <c r="H636">
        <v>57</v>
      </c>
      <c r="I636" t="str">
        <f>IF(COUNTIF(Products!$A$2:$A$8,C636)=0,C636,"")</f>
        <v/>
      </c>
      <c r="J636">
        <f>IF(OR(E636="Prospecting",E636="Engaging"),VLOOKUP(C636,Products!$A$2:$C$8,3,FALSE),0)</f>
        <v>0</v>
      </c>
    </row>
    <row r="637" spans="1:10" x14ac:dyDescent="0.25">
      <c r="A637" t="s">
        <v>804</v>
      </c>
      <c r="B637" t="s">
        <v>158</v>
      </c>
      <c r="C637" t="s">
        <v>123</v>
      </c>
      <c r="D637" t="s">
        <v>46</v>
      </c>
      <c r="E637" t="s">
        <v>138</v>
      </c>
      <c r="F637" s="1">
        <v>42764</v>
      </c>
      <c r="G637" s="1">
        <v>42866</v>
      </c>
      <c r="H637">
        <v>51</v>
      </c>
      <c r="I637" t="str">
        <f>IF(COUNTIF(Products!$A$2:$A$8,C637)=0,C637,"")</f>
        <v/>
      </c>
      <c r="J637">
        <f>IF(OR(E637="Prospecting",E637="Engaging"),VLOOKUP(C637,Products!$A$2:$C$8,3,FALSE),0)</f>
        <v>0</v>
      </c>
    </row>
    <row r="638" spans="1:10" x14ac:dyDescent="0.25">
      <c r="A638" t="s">
        <v>805</v>
      </c>
      <c r="B638" t="s">
        <v>164</v>
      </c>
      <c r="C638" t="s">
        <v>125</v>
      </c>
      <c r="D638" t="s">
        <v>41</v>
      </c>
      <c r="E638" t="s">
        <v>138</v>
      </c>
      <c r="F638" s="1">
        <v>42764</v>
      </c>
      <c r="G638" s="1">
        <v>42900</v>
      </c>
      <c r="H638">
        <v>3689</v>
      </c>
      <c r="I638" t="str">
        <f>IF(COUNTIF(Products!$A$2:$A$8,C638)=0,C638,"")</f>
        <v/>
      </c>
      <c r="J638">
        <f>IF(OR(E638="Prospecting",E638="Engaging"),VLOOKUP(C638,Products!$A$2:$C$8,3,FALSE),0)</f>
        <v>0</v>
      </c>
    </row>
    <row r="639" spans="1:10" x14ac:dyDescent="0.25">
      <c r="A639" t="s">
        <v>806</v>
      </c>
      <c r="B639" t="s">
        <v>154</v>
      </c>
      <c r="C639" t="s">
        <v>127</v>
      </c>
      <c r="D639" t="s">
        <v>107</v>
      </c>
      <c r="E639" t="s">
        <v>138</v>
      </c>
      <c r="F639" s="1">
        <v>42764</v>
      </c>
      <c r="G639" s="1">
        <v>42858</v>
      </c>
      <c r="H639">
        <v>1170</v>
      </c>
      <c r="I639" t="str">
        <f>IF(COUNTIF(Products!$A$2:$A$8,C639)=0,C639,"")</f>
        <v/>
      </c>
      <c r="J639">
        <f>IF(OR(E639="Prospecting",E639="Engaging"),VLOOKUP(C639,Products!$A$2:$C$8,3,FALSE),0)</f>
        <v>0</v>
      </c>
    </row>
    <row r="640" spans="1:10" x14ac:dyDescent="0.25">
      <c r="A640" t="s">
        <v>807</v>
      </c>
      <c r="B640" t="s">
        <v>303</v>
      </c>
      <c r="C640" t="s">
        <v>120</v>
      </c>
      <c r="D640" t="s">
        <v>89</v>
      </c>
      <c r="E640" t="s">
        <v>159</v>
      </c>
      <c r="F640" s="1">
        <v>42764</v>
      </c>
      <c r="G640" s="1">
        <v>42800</v>
      </c>
      <c r="H640">
        <v>0</v>
      </c>
      <c r="I640" t="str">
        <f>IF(COUNTIF(Products!$A$2:$A$8,C640)=0,C640,"")</f>
        <v/>
      </c>
      <c r="J640">
        <f>IF(OR(E640="Prospecting",E640="Engaging"),VLOOKUP(C640,Products!$A$2:$C$8,3,FALSE),0)</f>
        <v>0</v>
      </c>
    </row>
    <row r="641" spans="1:10" x14ac:dyDescent="0.25">
      <c r="A641" t="s">
        <v>808</v>
      </c>
      <c r="B641" t="s">
        <v>303</v>
      </c>
      <c r="C641" t="s">
        <v>122</v>
      </c>
      <c r="D641" t="s">
        <v>85</v>
      </c>
      <c r="E641" t="s">
        <v>138</v>
      </c>
      <c r="F641" s="1">
        <v>42764</v>
      </c>
      <c r="G641" s="1">
        <v>42861</v>
      </c>
      <c r="H641">
        <v>4736</v>
      </c>
      <c r="I641" t="str">
        <f>IF(COUNTIF(Products!$A$2:$A$8,C641)=0,C641,"")</f>
        <v/>
      </c>
      <c r="J641">
        <f>IF(OR(E641="Prospecting",E641="Engaging"),VLOOKUP(C641,Products!$A$2:$C$8,3,FALSE),0)</f>
        <v>0</v>
      </c>
    </row>
    <row r="642" spans="1:10" x14ac:dyDescent="0.25">
      <c r="A642" t="s">
        <v>809</v>
      </c>
      <c r="B642" t="s">
        <v>180</v>
      </c>
      <c r="C642" t="s">
        <v>125</v>
      </c>
      <c r="E642" t="s">
        <v>155</v>
      </c>
      <c r="F642" s="1">
        <v>42764</v>
      </c>
      <c r="I642" t="str">
        <f>IF(COUNTIF(Products!$A$2:$A$8,C642)=0,C642,"")</f>
        <v/>
      </c>
      <c r="J642">
        <f>IF(OR(E642="Prospecting",E642="Engaging"),VLOOKUP(C642,Products!$A$2:$C$8,3,FALSE),0)</f>
        <v>3393</v>
      </c>
    </row>
    <row r="643" spans="1:10" x14ac:dyDescent="0.25">
      <c r="A643" t="s">
        <v>810</v>
      </c>
      <c r="B643" t="s">
        <v>150</v>
      </c>
      <c r="C643" t="s">
        <v>120</v>
      </c>
      <c r="E643" t="s">
        <v>155</v>
      </c>
      <c r="F643" s="1">
        <v>42764</v>
      </c>
      <c r="I643" t="str">
        <f>IF(COUNTIF(Products!$A$2:$A$8,C643)=0,C643,"")</f>
        <v/>
      </c>
      <c r="J643">
        <f>IF(OR(E643="Prospecting",E643="Engaging"),VLOOKUP(C643,Products!$A$2:$C$8,3,FALSE),0)</f>
        <v>550</v>
      </c>
    </row>
    <row r="644" spans="1:10" x14ac:dyDescent="0.25">
      <c r="A644" t="s">
        <v>811</v>
      </c>
      <c r="B644" t="s">
        <v>162</v>
      </c>
      <c r="C644" t="s">
        <v>127</v>
      </c>
      <c r="E644" t="s">
        <v>155</v>
      </c>
      <c r="F644" s="1">
        <v>42764</v>
      </c>
      <c r="I644" t="str">
        <f>IF(COUNTIF(Products!$A$2:$A$8,C644)=0,C644,"")</f>
        <v/>
      </c>
      <c r="J644">
        <f>IF(OR(E644="Prospecting",E644="Engaging"),VLOOKUP(C644,Products!$A$2:$C$8,3,FALSE),0)</f>
        <v>1096</v>
      </c>
    </row>
    <row r="645" spans="1:10" x14ac:dyDescent="0.25">
      <c r="A645" t="s">
        <v>812</v>
      </c>
      <c r="B645" t="s">
        <v>152</v>
      </c>
      <c r="C645" t="s">
        <v>123</v>
      </c>
      <c r="D645" t="s">
        <v>51</v>
      </c>
      <c r="E645" t="s">
        <v>159</v>
      </c>
      <c r="F645" s="1">
        <v>42764</v>
      </c>
      <c r="G645" s="1">
        <v>42860</v>
      </c>
      <c r="H645">
        <v>0</v>
      </c>
      <c r="I645" t="str">
        <f>IF(COUNTIF(Products!$A$2:$A$8,C645)=0,C645,"")</f>
        <v/>
      </c>
      <c r="J645">
        <f>IF(OR(E645="Prospecting",E645="Engaging"),VLOOKUP(C645,Products!$A$2:$C$8,3,FALSE),0)</f>
        <v>0</v>
      </c>
    </row>
    <row r="646" spans="1:10" x14ac:dyDescent="0.25">
      <c r="A646" t="s">
        <v>813</v>
      </c>
      <c r="B646" t="s">
        <v>169</v>
      </c>
      <c r="C646" t="s">
        <v>123</v>
      </c>
      <c r="D646" t="s">
        <v>116</v>
      </c>
      <c r="E646" t="s">
        <v>159</v>
      </c>
      <c r="F646" s="1">
        <v>42764</v>
      </c>
      <c r="G646" s="1">
        <v>42877</v>
      </c>
      <c r="H646">
        <v>0</v>
      </c>
      <c r="I646" t="str">
        <f>IF(COUNTIF(Products!$A$2:$A$8,C646)=0,C646,"")</f>
        <v/>
      </c>
      <c r="J646">
        <f>IF(OR(E646="Prospecting",E646="Engaging"),VLOOKUP(C646,Products!$A$2:$C$8,3,FALSE),0)</f>
        <v>0</v>
      </c>
    </row>
    <row r="647" spans="1:10" x14ac:dyDescent="0.25">
      <c r="A647" t="s">
        <v>814</v>
      </c>
      <c r="B647" t="s">
        <v>148</v>
      </c>
      <c r="C647" t="s">
        <v>123</v>
      </c>
      <c r="D647" t="s">
        <v>60</v>
      </c>
      <c r="E647" t="s">
        <v>138</v>
      </c>
      <c r="F647" s="1">
        <v>42764</v>
      </c>
      <c r="G647" s="1">
        <v>42880</v>
      </c>
      <c r="H647">
        <v>64</v>
      </c>
      <c r="I647" t="str">
        <f>IF(COUNTIF(Products!$A$2:$A$8,C647)=0,C647,"")</f>
        <v/>
      </c>
      <c r="J647">
        <f>IF(OR(E647="Prospecting",E647="Engaging"),VLOOKUP(C647,Products!$A$2:$C$8,3,FALSE),0)</f>
        <v>0</v>
      </c>
    </row>
    <row r="648" spans="1:10" x14ac:dyDescent="0.25">
      <c r="A648" t="s">
        <v>815</v>
      </c>
      <c r="B648" t="s">
        <v>148</v>
      </c>
      <c r="C648" t="s">
        <v>123</v>
      </c>
      <c r="D648" t="s">
        <v>66</v>
      </c>
      <c r="E648" t="s">
        <v>138</v>
      </c>
      <c r="F648" s="1">
        <v>42764</v>
      </c>
      <c r="G648" s="1">
        <v>42891</v>
      </c>
      <c r="H648">
        <v>55</v>
      </c>
      <c r="I648" t="str">
        <f>IF(COUNTIF(Products!$A$2:$A$8,C648)=0,C648,"")</f>
        <v/>
      </c>
      <c r="J648">
        <f>IF(OR(E648="Prospecting",E648="Engaging"),VLOOKUP(C648,Products!$A$2:$C$8,3,FALSE),0)</f>
        <v>0</v>
      </c>
    </row>
    <row r="649" spans="1:10" x14ac:dyDescent="0.25">
      <c r="A649" t="s">
        <v>816</v>
      </c>
      <c r="B649" t="s">
        <v>148</v>
      </c>
      <c r="C649" t="s">
        <v>125</v>
      </c>
      <c r="D649" t="s">
        <v>56</v>
      </c>
      <c r="E649" t="s">
        <v>138</v>
      </c>
      <c r="F649" s="1">
        <v>42764</v>
      </c>
      <c r="G649" s="1">
        <v>42807</v>
      </c>
      <c r="H649">
        <v>2970</v>
      </c>
      <c r="I649" t="str">
        <f>IF(COUNTIF(Products!$A$2:$A$8,C649)=0,C649,"")</f>
        <v/>
      </c>
      <c r="J649">
        <f>IF(OR(E649="Prospecting",E649="Engaging"),VLOOKUP(C649,Products!$A$2:$C$8,3,FALSE),0)</f>
        <v>0</v>
      </c>
    </row>
    <row r="650" spans="1:10" x14ac:dyDescent="0.25">
      <c r="A650" t="s">
        <v>817</v>
      </c>
      <c r="B650" t="s">
        <v>144</v>
      </c>
      <c r="C650" t="s">
        <v>122</v>
      </c>
      <c r="E650" t="s">
        <v>155</v>
      </c>
      <c r="F650" s="1">
        <v>42764</v>
      </c>
      <c r="I650" t="str">
        <f>IF(COUNTIF(Products!$A$2:$A$8,C650)=0,C650,"")</f>
        <v/>
      </c>
      <c r="J650">
        <f>IF(OR(E650="Prospecting",E650="Engaging"),VLOOKUP(C650,Products!$A$2:$C$8,3,FALSE),0)</f>
        <v>4821</v>
      </c>
    </row>
    <row r="651" spans="1:10" x14ac:dyDescent="0.25">
      <c r="A651" t="s">
        <v>818</v>
      </c>
      <c r="B651" t="s">
        <v>264</v>
      </c>
      <c r="C651" t="s">
        <v>123</v>
      </c>
      <c r="D651" t="s">
        <v>91</v>
      </c>
      <c r="E651" t="s">
        <v>159</v>
      </c>
      <c r="F651" s="1">
        <v>42765</v>
      </c>
      <c r="G651" s="1">
        <v>42874</v>
      </c>
      <c r="H651">
        <v>0</v>
      </c>
      <c r="I651" t="str">
        <f>IF(COUNTIF(Products!$A$2:$A$8,C651)=0,C651,"")</f>
        <v/>
      </c>
      <c r="J651">
        <f>IF(OR(E651="Prospecting",E651="Engaging"),VLOOKUP(C651,Products!$A$2:$C$8,3,FALSE),0)</f>
        <v>0</v>
      </c>
    </row>
    <row r="652" spans="1:10" x14ac:dyDescent="0.25">
      <c r="A652" t="s">
        <v>819</v>
      </c>
      <c r="B652" t="s">
        <v>239</v>
      </c>
      <c r="C652" t="s">
        <v>122</v>
      </c>
      <c r="D652" t="s">
        <v>20</v>
      </c>
      <c r="E652" t="s">
        <v>138</v>
      </c>
      <c r="F652" s="1">
        <v>42765</v>
      </c>
      <c r="G652" s="1">
        <v>42868</v>
      </c>
      <c r="H652">
        <v>5035</v>
      </c>
      <c r="I652" t="str">
        <f>IF(COUNTIF(Products!$A$2:$A$8,C652)=0,C652,"")</f>
        <v/>
      </c>
      <c r="J652">
        <f>IF(OR(E652="Prospecting",E652="Engaging"),VLOOKUP(C652,Products!$A$2:$C$8,3,FALSE),0)</f>
        <v>0</v>
      </c>
    </row>
    <row r="653" spans="1:10" x14ac:dyDescent="0.25">
      <c r="A653" t="s">
        <v>820</v>
      </c>
      <c r="B653" t="s">
        <v>140</v>
      </c>
      <c r="C653" t="s">
        <v>122</v>
      </c>
      <c r="D653" t="s">
        <v>33</v>
      </c>
      <c r="E653" t="s">
        <v>159</v>
      </c>
      <c r="F653" s="1">
        <v>42765</v>
      </c>
      <c r="G653" s="1">
        <v>42886</v>
      </c>
      <c r="H653">
        <v>0</v>
      </c>
      <c r="I653" t="str">
        <f>IF(COUNTIF(Products!$A$2:$A$8,C653)=0,C653,"")</f>
        <v/>
      </c>
      <c r="J653">
        <f>IF(OR(E653="Prospecting",E653="Engaging"),VLOOKUP(C653,Products!$A$2:$C$8,3,FALSE),0)</f>
        <v>0</v>
      </c>
    </row>
    <row r="654" spans="1:10" x14ac:dyDescent="0.25">
      <c r="A654" t="s">
        <v>821</v>
      </c>
      <c r="B654" t="s">
        <v>140</v>
      </c>
      <c r="C654" t="s">
        <v>122</v>
      </c>
      <c r="D654" t="s">
        <v>46</v>
      </c>
      <c r="E654" t="s">
        <v>138</v>
      </c>
      <c r="F654" s="1">
        <v>42765</v>
      </c>
      <c r="G654" s="1">
        <v>42804</v>
      </c>
      <c r="H654">
        <v>4774</v>
      </c>
      <c r="I654" t="str">
        <f>IF(COUNTIF(Products!$A$2:$A$8,C654)=0,C654,"")</f>
        <v/>
      </c>
      <c r="J654">
        <f>IF(OR(E654="Prospecting",E654="Engaging"),VLOOKUP(C654,Products!$A$2:$C$8,3,FALSE),0)</f>
        <v>0</v>
      </c>
    </row>
    <row r="655" spans="1:10" x14ac:dyDescent="0.25">
      <c r="A655" t="s">
        <v>822</v>
      </c>
      <c r="B655" t="s">
        <v>173</v>
      </c>
      <c r="C655" t="s">
        <v>128</v>
      </c>
      <c r="E655" t="s">
        <v>155</v>
      </c>
      <c r="F655" s="1">
        <v>42765</v>
      </c>
      <c r="I655" t="str">
        <f>IF(COUNTIF(Products!$A$2:$A$8,C655)=0,C655,"")</f>
        <v/>
      </c>
      <c r="J655">
        <f>IF(OR(E655="Prospecting",E655="Engaging"),VLOOKUP(C655,Products!$A$2:$C$8,3,FALSE),0)</f>
        <v>26768</v>
      </c>
    </row>
    <row r="656" spans="1:10" x14ac:dyDescent="0.25">
      <c r="A656" t="s">
        <v>823</v>
      </c>
      <c r="B656" t="s">
        <v>154</v>
      </c>
      <c r="C656" t="s">
        <v>126</v>
      </c>
      <c r="D656" t="s">
        <v>67</v>
      </c>
      <c r="E656" t="s">
        <v>138</v>
      </c>
      <c r="F656" s="1">
        <v>42765</v>
      </c>
      <c r="G656" s="1">
        <v>42871</v>
      </c>
      <c r="H656">
        <v>5390</v>
      </c>
      <c r="I656" t="str">
        <f>IF(COUNTIF(Products!$A$2:$A$8,C656)=0,C656,"")</f>
        <v/>
      </c>
      <c r="J656">
        <f>IF(OR(E656="Prospecting",E656="Engaging"),VLOOKUP(C656,Products!$A$2:$C$8,3,FALSE),0)</f>
        <v>0</v>
      </c>
    </row>
    <row r="657" spans="1:10" x14ac:dyDescent="0.25">
      <c r="A657" t="s">
        <v>824</v>
      </c>
      <c r="B657" t="s">
        <v>205</v>
      </c>
      <c r="C657" t="s">
        <v>127</v>
      </c>
      <c r="D657" t="s">
        <v>26</v>
      </c>
      <c r="E657" t="s">
        <v>138</v>
      </c>
      <c r="F657" s="1">
        <v>42765</v>
      </c>
      <c r="G657" s="1">
        <v>42892</v>
      </c>
      <c r="H657">
        <v>1190</v>
      </c>
      <c r="I657" t="str">
        <f>IF(COUNTIF(Products!$A$2:$A$8,C657)=0,C657,"")</f>
        <v/>
      </c>
      <c r="J657">
        <f>IF(OR(E657="Prospecting",E657="Engaging"),VLOOKUP(C657,Products!$A$2:$C$8,3,FALSE),0)</f>
        <v>0</v>
      </c>
    </row>
    <row r="658" spans="1:10" x14ac:dyDescent="0.25">
      <c r="A658" t="s">
        <v>825</v>
      </c>
      <c r="B658" t="s">
        <v>137</v>
      </c>
      <c r="C658" t="s">
        <v>126</v>
      </c>
      <c r="D658" t="s">
        <v>12</v>
      </c>
      <c r="E658" t="s">
        <v>138</v>
      </c>
      <c r="F658" s="1">
        <v>42765</v>
      </c>
      <c r="G658" s="1">
        <v>42869</v>
      </c>
      <c r="H658">
        <v>5755</v>
      </c>
      <c r="I658" t="str">
        <f>IF(COUNTIF(Products!$A$2:$A$8,C658)=0,C658,"")</f>
        <v/>
      </c>
      <c r="J658">
        <f>IF(OR(E658="Prospecting",E658="Engaging"),VLOOKUP(C658,Products!$A$2:$C$8,3,FALSE),0)</f>
        <v>0</v>
      </c>
    </row>
    <row r="659" spans="1:10" x14ac:dyDescent="0.25">
      <c r="A659" t="s">
        <v>826</v>
      </c>
      <c r="B659" t="s">
        <v>166</v>
      </c>
      <c r="C659" t="s">
        <v>122</v>
      </c>
      <c r="D659" t="s">
        <v>90</v>
      </c>
      <c r="E659" t="s">
        <v>138</v>
      </c>
      <c r="F659" s="1">
        <v>42765</v>
      </c>
      <c r="G659" s="1">
        <v>42899</v>
      </c>
      <c r="H659">
        <v>4933</v>
      </c>
      <c r="I659" t="str">
        <f>IF(COUNTIF(Products!$A$2:$A$8,C659)=0,C659,"")</f>
        <v/>
      </c>
      <c r="J659">
        <f>IF(OR(E659="Prospecting",E659="Engaging"),VLOOKUP(C659,Products!$A$2:$C$8,3,FALSE),0)</f>
        <v>0</v>
      </c>
    </row>
    <row r="660" spans="1:10" x14ac:dyDescent="0.25">
      <c r="A660" t="s">
        <v>827</v>
      </c>
      <c r="B660" t="s">
        <v>169</v>
      </c>
      <c r="C660" t="s">
        <v>125</v>
      </c>
      <c r="D660" t="s">
        <v>88</v>
      </c>
      <c r="E660" t="s">
        <v>138</v>
      </c>
      <c r="F660" s="1">
        <v>42765</v>
      </c>
      <c r="G660" s="1">
        <v>42890</v>
      </c>
      <c r="H660">
        <v>3642</v>
      </c>
      <c r="I660" t="str">
        <f>IF(COUNTIF(Products!$A$2:$A$8,C660)=0,C660,"")</f>
        <v/>
      </c>
      <c r="J660">
        <f>IF(OR(E660="Prospecting",E660="Engaging"),VLOOKUP(C660,Products!$A$2:$C$8,3,FALSE),0)</f>
        <v>0</v>
      </c>
    </row>
    <row r="661" spans="1:10" x14ac:dyDescent="0.25">
      <c r="A661" t="s">
        <v>828</v>
      </c>
      <c r="B661" t="s">
        <v>148</v>
      </c>
      <c r="C661" t="s">
        <v>123</v>
      </c>
      <c r="D661" t="s">
        <v>17</v>
      </c>
      <c r="E661" t="s">
        <v>159</v>
      </c>
      <c r="F661" s="1">
        <v>42765</v>
      </c>
      <c r="G661" s="1">
        <v>42862</v>
      </c>
      <c r="H661">
        <v>0</v>
      </c>
      <c r="I661" t="str">
        <f>IF(COUNTIF(Products!$A$2:$A$8,C661)=0,C661,"")</f>
        <v/>
      </c>
      <c r="J661">
        <f>IF(OR(E661="Prospecting",E661="Engaging"),VLOOKUP(C661,Products!$A$2:$C$8,3,FALSE),0)</f>
        <v>0</v>
      </c>
    </row>
    <row r="662" spans="1:10" x14ac:dyDescent="0.25">
      <c r="A662" t="s">
        <v>829</v>
      </c>
      <c r="B662" t="s">
        <v>207</v>
      </c>
      <c r="C662" t="s">
        <v>125</v>
      </c>
      <c r="D662" t="s">
        <v>67</v>
      </c>
      <c r="E662" t="s">
        <v>138</v>
      </c>
      <c r="F662" s="1">
        <v>42766</v>
      </c>
      <c r="G662" s="1">
        <v>42811</v>
      </c>
      <c r="H662">
        <v>2923</v>
      </c>
      <c r="I662" t="str">
        <f>IF(COUNTIF(Products!$A$2:$A$8,C662)=0,C662,"")</f>
        <v/>
      </c>
      <c r="J662">
        <f>IF(OR(E662="Prospecting",E662="Engaging"),VLOOKUP(C662,Products!$A$2:$C$8,3,FALSE),0)</f>
        <v>0</v>
      </c>
    </row>
    <row r="663" spans="1:10" x14ac:dyDescent="0.25">
      <c r="A663" t="s">
        <v>830</v>
      </c>
      <c r="B663" t="s">
        <v>239</v>
      </c>
      <c r="C663" t="s">
        <v>120</v>
      </c>
      <c r="E663" t="s">
        <v>155</v>
      </c>
      <c r="F663" s="1">
        <v>42766</v>
      </c>
      <c r="I663" t="str">
        <f>IF(COUNTIF(Products!$A$2:$A$8,C663)=0,C663,"")</f>
        <v/>
      </c>
      <c r="J663">
        <f>IF(OR(E663="Prospecting",E663="Engaging"),VLOOKUP(C663,Products!$A$2:$C$8,3,FALSE),0)</f>
        <v>550</v>
      </c>
    </row>
    <row r="664" spans="1:10" x14ac:dyDescent="0.25">
      <c r="A664" t="s">
        <v>831</v>
      </c>
      <c r="B664" t="s">
        <v>171</v>
      </c>
      <c r="C664" t="s">
        <v>127</v>
      </c>
      <c r="D664" t="s">
        <v>111</v>
      </c>
      <c r="E664" t="s">
        <v>155</v>
      </c>
      <c r="F664" s="1">
        <v>42766</v>
      </c>
      <c r="I664" t="str">
        <f>IF(COUNTIF(Products!$A$2:$A$8,C664)=0,C664,"")</f>
        <v/>
      </c>
      <c r="J664">
        <f>IF(OR(E664="Prospecting",E664="Engaging"),VLOOKUP(C664,Products!$A$2:$C$8,3,FALSE),0)</f>
        <v>1096</v>
      </c>
    </row>
    <row r="665" spans="1:10" x14ac:dyDescent="0.25">
      <c r="A665" t="s">
        <v>832</v>
      </c>
      <c r="B665" t="s">
        <v>171</v>
      </c>
      <c r="C665" t="s">
        <v>127</v>
      </c>
      <c r="E665" t="s">
        <v>155</v>
      </c>
      <c r="F665" s="1">
        <v>42766</v>
      </c>
      <c r="I665" t="str">
        <f>IF(COUNTIF(Products!$A$2:$A$8,C665)=0,C665,"")</f>
        <v/>
      </c>
      <c r="J665">
        <f>IF(OR(E665="Prospecting",E665="Engaging"),VLOOKUP(C665,Products!$A$2:$C$8,3,FALSE),0)</f>
        <v>1096</v>
      </c>
    </row>
    <row r="666" spans="1:10" x14ac:dyDescent="0.25">
      <c r="A666" t="s">
        <v>833</v>
      </c>
      <c r="B666" t="s">
        <v>140</v>
      </c>
      <c r="C666" t="s">
        <v>122</v>
      </c>
      <c r="D666" t="s">
        <v>116</v>
      </c>
      <c r="E666" t="s">
        <v>138</v>
      </c>
      <c r="F666" s="1">
        <v>42766</v>
      </c>
      <c r="G666" s="1">
        <v>42804</v>
      </c>
      <c r="H666">
        <v>5035</v>
      </c>
      <c r="I666" t="str">
        <f>IF(COUNTIF(Products!$A$2:$A$8,C666)=0,C666,"")</f>
        <v/>
      </c>
      <c r="J666">
        <f>IF(OR(E666="Prospecting",E666="Engaging"),VLOOKUP(C666,Products!$A$2:$C$8,3,FALSE),0)</f>
        <v>0</v>
      </c>
    </row>
    <row r="667" spans="1:10" x14ac:dyDescent="0.25">
      <c r="A667" t="s">
        <v>834</v>
      </c>
      <c r="B667" t="s">
        <v>162</v>
      </c>
      <c r="C667" t="s">
        <v>122</v>
      </c>
      <c r="D667" t="s">
        <v>114</v>
      </c>
      <c r="E667" t="s">
        <v>159</v>
      </c>
      <c r="F667" s="1">
        <v>42766</v>
      </c>
      <c r="G667" s="1">
        <v>42881</v>
      </c>
      <c r="H667">
        <v>0</v>
      </c>
      <c r="I667" t="str">
        <f>IF(COUNTIF(Products!$A$2:$A$8,C667)=0,C667,"")</f>
        <v/>
      </c>
      <c r="J667">
        <f>IF(OR(E667="Prospecting",E667="Engaging"),VLOOKUP(C667,Products!$A$2:$C$8,3,FALSE),0)</f>
        <v>0</v>
      </c>
    </row>
    <row r="668" spans="1:10" x14ac:dyDescent="0.25">
      <c r="A668" t="s">
        <v>835</v>
      </c>
      <c r="B668" t="s">
        <v>169</v>
      </c>
      <c r="C668" t="s">
        <v>123</v>
      </c>
      <c r="D668" t="s">
        <v>30</v>
      </c>
      <c r="E668" t="s">
        <v>138</v>
      </c>
      <c r="F668" s="1">
        <v>42766</v>
      </c>
      <c r="G668" s="1">
        <v>42875</v>
      </c>
      <c r="H668">
        <v>54</v>
      </c>
      <c r="I668" t="str">
        <f>IF(COUNTIF(Products!$A$2:$A$8,C668)=0,C668,"")</f>
        <v/>
      </c>
      <c r="J668">
        <f>IF(OR(E668="Prospecting",E668="Engaging"),VLOOKUP(C668,Products!$A$2:$C$8,3,FALSE),0)</f>
        <v>0</v>
      </c>
    </row>
    <row r="669" spans="1:10" x14ac:dyDescent="0.25">
      <c r="A669" t="s">
        <v>836</v>
      </c>
      <c r="B669" t="s">
        <v>169</v>
      </c>
      <c r="C669" t="s">
        <v>123</v>
      </c>
      <c r="D669" t="s">
        <v>70</v>
      </c>
      <c r="E669" t="s">
        <v>138</v>
      </c>
      <c r="F669" s="1">
        <v>42766</v>
      </c>
      <c r="G669" s="1">
        <v>42856</v>
      </c>
      <c r="H669">
        <v>54</v>
      </c>
      <c r="I669" t="str">
        <f>IF(COUNTIF(Products!$A$2:$A$8,C669)=0,C669,"")</f>
        <v/>
      </c>
      <c r="J669">
        <f>IF(OR(E669="Prospecting",E669="Engaging"),VLOOKUP(C669,Products!$A$2:$C$8,3,FALSE),0)</f>
        <v>0</v>
      </c>
    </row>
    <row r="670" spans="1:10" x14ac:dyDescent="0.25">
      <c r="A670" t="s">
        <v>837</v>
      </c>
      <c r="B670" t="s">
        <v>177</v>
      </c>
      <c r="C670" t="s">
        <v>127</v>
      </c>
      <c r="E670" t="s">
        <v>155</v>
      </c>
      <c r="F670" s="1">
        <v>42766</v>
      </c>
      <c r="I670" t="str">
        <f>IF(COUNTIF(Products!$A$2:$A$8,C670)=0,C670,"")</f>
        <v/>
      </c>
      <c r="J670">
        <f>IF(OR(E670="Prospecting",E670="Engaging"),VLOOKUP(C670,Products!$A$2:$C$8,3,FALSE),0)</f>
        <v>1096</v>
      </c>
    </row>
    <row r="671" spans="1:10" x14ac:dyDescent="0.25">
      <c r="A671" t="s">
        <v>838</v>
      </c>
      <c r="B671" t="s">
        <v>196</v>
      </c>
      <c r="C671" t="s">
        <v>120</v>
      </c>
      <c r="D671" t="s">
        <v>63</v>
      </c>
      <c r="E671" t="s">
        <v>138</v>
      </c>
      <c r="F671" s="1">
        <v>42766</v>
      </c>
      <c r="G671" s="1">
        <v>42881</v>
      </c>
      <c r="H671">
        <v>592</v>
      </c>
      <c r="I671" t="str">
        <f>IF(COUNTIF(Products!$A$2:$A$8,C671)=0,C671,"")</f>
        <v/>
      </c>
      <c r="J671">
        <f>IF(OR(E671="Prospecting",E671="Engaging"),VLOOKUP(C671,Products!$A$2:$C$8,3,FALSE),0)</f>
        <v>0</v>
      </c>
    </row>
    <row r="672" spans="1:10" x14ac:dyDescent="0.25">
      <c r="A672" t="s">
        <v>839</v>
      </c>
      <c r="B672" t="s">
        <v>140</v>
      </c>
      <c r="C672" t="s">
        <v>120</v>
      </c>
      <c r="D672" t="s">
        <v>103</v>
      </c>
      <c r="E672" t="s">
        <v>138</v>
      </c>
      <c r="F672" s="1">
        <v>42767</v>
      </c>
      <c r="G672" s="1">
        <v>42871</v>
      </c>
      <c r="H672">
        <v>640</v>
      </c>
      <c r="I672" t="str">
        <f>IF(COUNTIF(Products!$A$2:$A$8,C672)=0,C672,"")</f>
        <v/>
      </c>
      <c r="J672">
        <f>IF(OR(E672="Prospecting",E672="Engaging"),VLOOKUP(C672,Products!$A$2:$C$8,3,FALSE),0)</f>
        <v>0</v>
      </c>
    </row>
    <row r="673" spans="1:10" x14ac:dyDescent="0.25">
      <c r="A673" t="s">
        <v>840</v>
      </c>
      <c r="B673" t="s">
        <v>140</v>
      </c>
      <c r="C673" t="s">
        <v>122</v>
      </c>
      <c r="D673" t="s">
        <v>36</v>
      </c>
      <c r="E673" t="s">
        <v>138</v>
      </c>
      <c r="F673" s="1">
        <v>42767</v>
      </c>
      <c r="G673" s="1">
        <v>42860</v>
      </c>
      <c r="H673">
        <v>5127</v>
      </c>
      <c r="I673" t="str">
        <f>IF(COUNTIF(Products!$A$2:$A$8,C673)=0,C673,"")</f>
        <v/>
      </c>
      <c r="J673">
        <f>IF(OR(E673="Prospecting",E673="Engaging"),VLOOKUP(C673,Products!$A$2:$C$8,3,FALSE),0)</f>
        <v>0</v>
      </c>
    </row>
    <row r="674" spans="1:10" x14ac:dyDescent="0.25">
      <c r="A674" t="s">
        <v>841</v>
      </c>
      <c r="B674" t="s">
        <v>140</v>
      </c>
      <c r="C674" t="s">
        <v>125</v>
      </c>
      <c r="D674" t="s">
        <v>12</v>
      </c>
      <c r="E674" t="s">
        <v>138</v>
      </c>
      <c r="F674" s="1">
        <v>42767</v>
      </c>
      <c r="G674" s="1">
        <v>42903</v>
      </c>
      <c r="H674">
        <v>3822</v>
      </c>
      <c r="I674" t="str">
        <f>IF(COUNTIF(Products!$A$2:$A$8,C674)=0,C674,"")</f>
        <v/>
      </c>
      <c r="J674">
        <f>IF(OR(E674="Prospecting",E674="Engaging"),VLOOKUP(C674,Products!$A$2:$C$8,3,FALSE),0)</f>
        <v>0</v>
      </c>
    </row>
    <row r="675" spans="1:10" x14ac:dyDescent="0.25">
      <c r="A675" t="s">
        <v>842</v>
      </c>
      <c r="B675" t="s">
        <v>158</v>
      </c>
      <c r="C675" t="s">
        <v>125</v>
      </c>
      <c r="D675" t="s">
        <v>36</v>
      </c>
      <c r="E675" t="s">
        <v>159</v>
      </c>
      <c r="F675" s="1">
        <v>42767</v>
      </c>
      <c r="G675" s="1">
        <v>42903</v>
      </c>
      <c r="H675">
        <v>0</v>
      </c>
      <c r="I675" t="str">
        <f>IF(COUNTIF(Products!$A$2:$A$8,C675)=0,C675,"")</f>
        <v/>
      </c>
      <c r="J675">
        <f>IF(OR(E675="Prospecting",E675="Engaging"),VLOOKUP(C675,Products!$A$2:$C$8,3,FALSE),0)</f>
        <v>0</v>
      </c>
    </row>
    <row r="676" spans="1:10" x14ac:dyDescent="0.25">
      <c r="A676" t="s">
        <v>843</v>
      </c>
      <c r="B676" t="s">
        <v>180</v>
      </c>
      <c r="C676" t="s">
        <v>123</v>
      </c>
      <c r="D676" t="s">
        <v>17</v>
      </c>
      <c r="E676" t="s">
        <v>159</v>
      </c>
      <c r="F676" s="1">
        <v>42767</v>
      </c>
      <c r="G676" s="1">
        <v>42899</v>
      </c>
      <c r="H676">
        <v>0</v>
      </c>
      <c r="I676" t="str">
        <f>IF(COUNTIF(Products!$A$2:$A$8,C676)=0,C676,"")</f>
        <v/>
      </c>
      <c r="J676">
        <f>IF(OR(E676="Prospecting",E676="Engaging"),VLOOKUP(C676,Products!$A$2:$C$8,3,FALSE),0)</f>
        <v>0</v>
      </c>
    </row>
    <row r="677" spans="1:10" x14ac:dyDescent="0.25">
      <c r="A677" t="s">
        <v>844</v>
      </c>
      <c r="B677" t="s">
        <v>217</v>
      </c>
      <c r="C677" t="s">
        <v>120</v>
      </c>
      <c r="D677" t="s">
        <v>55</v>
      </c>
      <c r="E677" t="s">
        <v>138</v>
      </c>
      <c r="F677" s="1">
        <v>42767</v>
      </c>
      <c r="G677" s="1">
        <v>42857</v>
      </c>
      <c r="H677">
        <v>574</v>
      </c>
      <c r="I677" t="str">
        <f>IF(COUNTIF(Products!$A$2:$A$8,C677)=0,C677,"")</f>
        <v/>
      </c>
      <c r="J677">
        <f>IF(OR(E677="Prospecting",E677="Engaging"),VLOOKUP(C677,Products!$A$2:$C$8,3,FALSE),0)</f>
        <v>0</v>
      </c>
    </row>
    <row r="678" spans="1:10" x14ac:dyDescent="0.25">
      <c r="A678" t="s">
        <v>845</v>
      </c>
      <c r="B678" t="s">
        <v>217</v>
      </c>
      <c r="C678" t="s">
        <v>125</v>
      </c>
      <c r="D678" t="s">
        <v>26</v>
      </c>
      <c r="E678" t="s">
        <v>138</v>
      </c>
      <c r="F678" s="1">
        <v>42767</v>
      </c>
      <c r="G678" s="1">
        <v>42904</v>
      </c>
      <c r="H678">
        <v>2525</v>
      </c>
      <c r="I678" t="str">
        <f>IF(COUNTIF(Products!$A$2:$A$8,C678)=0,C678,"")</f>
        <v/>
      </c>
      <c r="J678">
        <f>IF(OR(E678="Prospecting",E678="Engaging"),VLOOKUP(C678,Products!$A$2:$C$8,3,FALSE),0)</f>
        <v>0</v>
      </c>
    </row>
    <row r="679" spans="1:10" x14ac:dyDescent="0.25">
      <c r="A679" t="s">
        <v>846</v>
      </c>
      <c r="B679" t="s">
        <v>166</v>
      </c>
      <c r="C679" t="s">
        <v>128</v>
      </c>
      <c r="D679" t="s">
        <v>59</v>
      </c>
      <c r="E679" t="s">
        <v>138</v>
      </c>
      <c r="F679" s="1">
        <v>42767</v>
      </c>
      <c r="G679" s="1">
        <v>42893</v>
      </c>
      <c r="H679">
        <v>30288</v>
      </c>
      <c r="I679" t="str">
        <f>IF(COUNTIF(Products!$A$2:$A$8,C679)=0,C679,"")</f>
        <v/>
      </c>
      <c r="J679">
        <f>IF(OR(E679="Prospecting",E679="Engaging"),VLOOKUP(C679,Products!$A$2:$C$8,3,FALSE),0)</f>
        <v>0</v>
      </c>
    </row>
    <row r="680" spans="1:10" x14ac:dyDescent="0.25">
      <c r="A680" t="s">
        <v>847</v>
      </c>
      <c r="B680" t="s">
        <v>148</v>
      </c>
      <c r="C680" t="s">
        <v>126</v>
      </c>
      <c r="D680" t="s">
        <v>56</v>
      </c>
      <c r="E680" t="s">
        <v>159</v>
      </c>
      <c r="F680" s="1">
        <v>42767</v>
      </c>
      <c r="G680" s="1">
        <v>42873</v>
      </c>
      <c r="H680">
        <v>0</v>
      </c>
      <c r="I680" t="str">
        <f>IF(COUNTIF(Products!$A$2:$A$8,C680)=0,C680,"")</f>
        <v/>
      </c>
      <c r="J680">
        <f>IF(OR(E680="Prospecting",E680="Engaging"),VLOOKUP(C680,Products!$A$2:$C$8,3,FALSE),0)</f>
        <v>0</v>
      </c>
    </row>
    <row r="681" spans="1:10" x14ac:dyDescent="0.25">
      <c r="A681" t="s">
        <v>848</v>
      </c>
      <c r="B681" t="s">
        <v>144</v>
      </c>
      <c r="C681" t="s">
        <v>120</v>
      </c>
      <c r="D681" t="s">
        <v>90</v>
      </c>
      <c r="E681" t="s">
        <v>159</v>
      </c>
      <c r="F681" s="1">
        <v>42767</v>
      </c>
      <c r="G681" s="1">
        <v>42823</v>
      </c>
      <c r="H681">
        <v>0</v>
      </c>
      <c r="I681" t="str">
        <f>IF(COUNTIF(Products!$A$2:$A$8,C681)=0,C681,"")</f>
        <v/>
      </c>
      <c r="J681">
        <f>IF(OR(E681="Prospecting",E681="Engaging"),VLOOKUP(C681,Products!$A$2:$C$8,3,FALSE),0)</f>
        <v>0</v>
      </c>
    </row>
    <row r="682" spans="1:10" x14ac:dyDescent="0.25">
      <c r="A682" t="s">
        <v>849</v>
      </c>
      <c r="B682" t="s">
        <v>222</v>
      </c>
      <c r="C682" t="s">
        <v>127</v>
      </c>
      <c r="E682" t="s">
        <v>155</v>
      </c>
      <c r="F682" s="1">
        <v>42768</v>
      </c>
      <c r="I682" t="str">
        <f>IF(COUNTIF(Products!$A$2:$A$8,C682)=0,C682,"")</f>
        <v/>
      </c>
      <c r="J682">
        <f>IF(OR(E682="Prospecting",E682="Engaging"),VLOOKUP(C682,Products!$A$2:$C$8,3,FALSE),0)</f>
        <v>1096</v>
      </c>
    </row>
    <row r="683" spans="1:10" x14ac:dyDescent="0.25">
      <c r="A683" t="s">
        <v>850</v>
      </c>
      <c r="B683" t="s">
        <v>173</v>
      </c>
      <c r="C683" t="s">
        <v>128</v>
      </c>
      <c r="D683" t="s">
        <v>23</v>
      </c>
      <c r="E683" t="s">
        <v>159</v>
      </c>
      <c r="F683" s="1">
        <v>42768</v>
      </c>
      <c r="G683" s="1">
        <v>42864</v>
      </c>
      <c r="H683">
        <v>0</v>
      </c>
      <c r="I683" t="str">
        <f>IF(COUNTIF(Products!$A$2:$A$8,C683)=0,C683,"")</f>
        <v/>
      </c>
      <c r="J683">
        <f>IF(OR(E683="Prospecting",E683="Engaging"),VLOOKUP(C683,Products!$A$2:$C$8,3,FALSE),0)</f>
        <v>0</v>
      </c>
    </row>
    <row r="684" spans="1:10" x14ac:dyDescent="0.25">
      <c r="A684" t="s">
        <v>851</v>
      </c>
      <c r="B684" t="s">
        <v>173</v>
      </c>
      <c r="C684" t="s">
        <v>123</v>
      </c>
      <c r="D684" t="s">
        <v>67</v>
      </c>
      <c r="E684" t="s">
        <v>159</v>
      </c>
      <c r="F684" s="1">
        <v>42768</v>
      </c>
      <c r="G684" s="1">
        <v>42856</v>
      </c>
      <c r="H684">
        <v>0</v>
      </c>
      <c r="I684" t="str">
        <f>IF(COUNTIF(Products!$A$2:$A$8,C684)=0,C684,"")</f>
        <v/>
      </c>
      <c r="J684">
        <f>IF(OR(E684="Prospecting",E684="Engaging"),VLOOKUP(C684,Products!$A$2:$C$8,3,FALSE),0)</f>
        <v>0</v>
      </c>
    </row>
    <row r="685" spans="1:10" x14ac:dyDescent="0.25">
      <c r="A685" t="s">
        <v>852</v>
      </c>
      <c r="B685" t="s">
        <v>158</v>
      </c>
      <c r="C685" t="s">
        <v>125</v>
      </c>
      <c r="D685" t="s">
        <v>32</v>
      </c>
      <c r="E685" t="s">
        <v>138</v>
      </c>
      <c r="F685" s="1">
        <v>42768</v>
      </c>
      <c r="G685" s="1">
        <v>42869</v>
      </c>
      <c r="H685">
        <v>3581</v>
      </c>
      <c r="I685" t="str">
        <f>IF(COUNTIF(Products!$A$2:$A$8,C685)=0,C685,"")</f>
        <v/>
      </c>
      <c r="J685">
        <f>IF(OR(E685="Prospecting",E685="Engaging"),VLOOKUP(C685,Products!$A$2:$C$8,3,FALSE),0)</f>
        <v>0</v>
      </c>
    </row>
    <row r="686" spans="1:10" x14ac:dyDescent="0.25">
      <c r="A686" t="s">
        <v>853</v>
      </c>
      <c r="B686" t="s">
        <v>303</v>
      </c>
      <c r="C686" t="s">
        <v>127</v>
      </c>
      <c r="D686" t="s">
        <v>77</v>
      </c>
      <c r="E686" t="s">
        <v>159</v>
      </c>
      <c r="F686" s="1">
        <v>42768</v>
      </c>
      <c r="G686" s="1">
        <v>42806</v>
      </c>
      <c r="H686">
        <v>0</v>
      </c>
      <c r="I686" t="str">
        <f>IF(COUNTIF(Products!$A$2:$A$8,C686)=0,C686,"")</f>
        <v/>
      </c>
      <c r="J686">
        <f>IF(OR(E686="Prospecting",E686="Engaging"),VLOOKUP(C686,Products!$A$2:$C$8,3,FALSE),0)</f>
        <v>0</v>
      </c>
    </row>
    <row r="687" spans="1:10" x14ac:dyDescent="0.25">
      <c r="A687" t="s">
        <v>854</v>
      </c>
      <c r="B687" t="s">
        <v>180</v>
      </c>
      <c r="C687" t="s">
        <v>127</v>
      </c>
      <c r="E687" t="s">
        <v>155</v>
      </c>
      <c r="F687" s="1">
        <v>42768</v>
      </c>
      <c r="I687" t="str">
        <f>IF(COUNTIF(Products!$A$2:$A$8,C687)=0,C687,"")</f>
        <v/>
      </c>
      <c r="J687">
        <f>IF(OR(E687="Prospecting",E687="Engaging"),VLOOKUP(C687,Products!$A$2:$C$8,3,FALSE),0)</f>
        <v>1096</v>
      </c>
    </row>
    <row r="688" spans="1:10" x14ac:dyDescent="0.25">
      <c r="A688" t="s">
        <v>855</v>
      </c>
      <c r="B688" t="s">
        <v>152</v>
      </c>
      <c r="C688" t="s">
        <v>122</v>
      </c>
      <c r="D688" t="s">
        <v>28</v>
      </c>
      <c r="E688" t="s">
        <v>159</v>
      </c>
      <c r="F688" s="1">
        <v>42768</v>
      </c>
      <c r="G688" s="1">
        <v>42860</v>
      </c>
      <c r="H688">
        <v>0</v>
      </c>
      <c r="I688" t="str">
        <f>IF(COUNTIF(Products!$A$2:$A$8,C688)=0,C688,"")</f>
        <v/>
      </c>
      <c r="J688">
        <f>IF(OR(E688="Prospecting",E688="Engaging"),VLOOKUP(C688,Products!$A$2:$C$8,3,FALSE),0)</f>
        <v>0</v>
      </c>
    </row>
    <row r="689" spans="1:10" x14ac:dyDescent="0.25">
      <c r="A689" t="s">
        <v>856</v>
      </c>
      <c r="B689" t="s">
        <v>169</v>
      </c>
      <c r="C689" t="s">
        <v>123</v>
      </c>
      <c r="D689" t="s">
        <v>42</v>
      </c>
      <c r="E689" t="s">
        <v>138</v>
      </c>
      <c r="F689" s="1">
        <v>42768</v>
      </c>
      <c r="G689" s="1">
        <v>42824</v>
      </c>
      <c r="H689">
        <v>54</v>
      </c>
      <c r="I689" t="str">
        <f>IF(COUNTIF(Products!$A$2:$A$8,C689)=0,C689,"")</f>
        <v/>
      </c>
      <c r="J689">
        <f>IF(OR(E689="Prospecting",E689="Engaging"),VLOOKUP(C689,Products!$A$2:$C$8,3,FALSE),0)</f>
        <v>0</v>
      </c>
    </row>
    <row r="690" spans="1:10" x14ac:dyDescent="0.25">
      <c r="A690" t="s">
        <v>857</v>
      </c>
      <c r="B690" t="s">
        <v>148</v>
      </c>
      <c r="C690" t="s">
        <v>127</v>
      </c>
      <c r="D690" t="s">
        <v>27</v>
      </c>
      <c r="E690" t="s">
        <v>155</v>
      </c>
      <c r="F690" s="1">
        <v>42768</v>
      </c>
      <c r="I690" t="str">
        <f>IF(COUNTIF(Products!$A$2:$A$8,C690)=0,C690,"")</f>
        <v/>
      </c>
      <c r="J690">
        <f>IF(OR(E690="Prospecting",E690="Engaging"),VLOOKUP(C690,Products!$A$2:$C$8,3,FALSE),0)</f>
        <v>1096</v>
      </c>
    </row>
    <row r="691" spans="1:10" x14ac:dyDescent="0.25">
      <c r="A691" t="s">
        <v>858</v>
      </c>
      <c r="B691" t="s">
        <v>222</v>
      </c>
      <c r="C691" t="s">
        <v>127</v>
      </c>
      <c r="D691" t="s">
        <v>69</v>
      </c>
      <c r="E691" t="s">
        <v>138</v>
      </c>
      <c r="F691" s="1">
        <v>42769</v>
      </c>
      <c r="G691" s="1">
        <v>42889</v>
      </c>
      <c r="H691">
        <v>1121</v>
      </c>
      <c r="I691" t="str">
        <f>IF(COUNTIF(Products!$A$2:$A$8,C691)=0,C691,"")</f>
        <v/>
      </c>
      <c r="J691">
        <f>IF(OR(E691="Prospecting",E691="Engaging"),VLOOKUP(C691,Products!$A$2:$C$8,3,FALSE),0)</f>
        <v>0</v>
      </c>
    </row>
    <row r="692" spans="1:10" x14ac:dyDescent="0.25">
      <c r="A692" t="s">
        <v>859</v>
      </c>
      <c r="B692" t="s">
        <v>207</v>
      </c>
      <c r="C692" t="s">
        <v>120</v>
      </c>
      <c r="D692" t="s">
        <v>92</v>
      </c>
      <c r="E692" t="s">
        <v>138</v>
      </c>
      <c r="F692" s="1">
        <v>42769</v>
      </c>
      <c r="G692" s="1">
        <v>42890</v>
      </c>
      <c r="H692">
        <v>477</v>
      </c>
      <c r="I692" t="str">
        <f>IF(COUNTIF(Products!$A$2:$A$8,C692)=0,C692,"")</f>
        <v/>
      </c>
      <c r="J692">
        <f>IF(OR(E692="Prospecting",E692="Engaging"),VLOOKUP(C692,Products!$A$2:$C$8,3,FALSE),0)</f>
        <v>0</v>
      </c>
    </row>
    <row r="693" spans="1:10" x14ac:dyDescent="0.25">
      <c r="A693" t="s">
        <v>860</v>
      </c>
      <c r="B693" t="s">
        <v>239</v>
      </c>
      <c r="C693" t="s">
        <v>120</v>
      </c>
      <c r="D693" t="s">
        <v>27</v>
      </c>
      <c r="E693" t="s">
        <v>138</v>
      </c>
      <c r="F693" s="1">
        <v>42769</v>
      </c>
      <c r="G693" s="1">
        <v>42860</v>
      </c>
      <c r="H693">
        <v>515</v>
      </c>
      <c r="I693" t="str">
        <f>IF(COUNTIF(Products!$A$2:$A$8,C693)=0,C693,"")</f>
        <v/>
      </c>
      <c r="J693">
        <f>IF(OR(E693="Prospecting",E693="Engaging"),VLOOKUP(C693,Products!$A$2:$C$8,3,FALSE),0)</f>
        <v>0</v>
      </c>
    </row>
    <row r="694" spans="1:10" x14ac:dyDescent="0.25">
      <c r="A694" t="s">
        <v>861</v>
      </c>
      <c r="B694" t="s">
        <v>171</v>
      </c>
      <c r="C694" t="s">
        <v>123</v>
      </c>
      <c r="D694" t="s">
        <v>48</v>
      </c>
      <c r="E694" t="s">
        <v>159</v>
      </c>
      <c r="F694" s="1">
        <v>42769</v>
      </c>
      <c r="G694" s="1">
        <v>42856</v>
      </c>
      <c r="H694">
        <v>0</v>
      </c>
      <c r="I694" t="str">
        <f>IF(COUNTIF(Products!$A$2:$A$8,C694)=0,C694,"")</f>
        <v/>
      </c>
      <c r="J694">
        <f>IF(OR(E694="Prospecting",E694="Engaging"),VLOOKUP(C694,Products!$A$2:$C$8,3,FALSE),0)</f>
        <v>0</v>
      </c>
    </row>
    <row r="695" spans="1:10" x14ac:dyDescent="0.25">
      <c r="A695" t="s">
        <v>862</v>
      </c>
      <c r="B695" t="s">
        <v>224</v>
      </c>
      <c r="C695" t="s">
        <v>125</v>
      </c>
      <c r="D695" t="s">
        <v>105</v>
      </c>
      <c r="E695" t="s">
        <v>159</v>
      </c>
      <c r="F695" s="1">
        <v>42769</v>
      </c>
      <c r="G695" s="1">
        <v>42866</v>
      </c>
      <c r="H695">
        <v>0</v>
      </c>
      <c r="I695" t="str">
        <f>IF(COUNTIF(Products!$A$2:$A$8,C695)=0,C695,"")</f>
        <v/>
      </c>
      <c r="J695">
        <f>IF(OR(E695="Prospecting",E695="Engaging"),VLOOKUP(C695,Products!$A$2:$C$8,3,FALSE),0)</f>
        <v>0</v>
      </c>
    </row>
    <row r="696" spans="1:10" x14ac:dyDescent="0.25">
      <c r="A696" t="s">
        <v>863</v>
      </c>
      <c r="B696" t="s">
        <v>164</v>
      </c>
      <c r="C696" t="s">
        <v>127</v>
      </c>
      <c r="D696" t="s">
        <v>56</v>
      </c>
      <c r="E696" t="s">
        <v>138</v>
      </c>
      <c r="F696" s="1">
        <v>42769</v>
      </c>
      <c r="G696" s="1">
        <v>42906</v>
      </c>
      <c r="H696">
        <v>975</v>
      </c>
      <c r="I696" t="str">
        <f>IF(COUNTIF(Products!$A$2:$A$8,C696)=0,C696,"")</f>
        <v/>
      </c>
      <c r="J696">
        <f>IF(OR(E696="Prospecting",E696="Engaging"),VLOOKUP(C696,Products!$A$2:$C$8,3,FALSE),0)</f>
        <v>0</v>
      </c>
    </row>
    <row r="697" spans="1:10" x14ac:dyDescent="0.25">
      <c r="A697" t="s">
        <v>864</v>
      </c>
      <c r="B697" t="s">
        <v>164</v>
      </c>
      <c r="C697" t="s">
        <v>125</v>
      </c>
      <c r="D697" t="s">
        <v>100</v>
      </c>
      <c r="E697" t="s">
        <v>138</v>
      </c>
      <c r="F697" s="1">
        <v>42769</v>
      </c>
      <c r="G697" s="1">
        <v>42856</v>
      </c>
      <c r="H697">
        <v>3376</v>
      </c>
      <c r="I697" t="str">
        <f>IF(COUNTIF(Products!$A$2:$A$8,C697)=0,C697,"")</f>
        <v/>
      </c>
      <c r="J697">
        <f>IF(OR(E697="Prospecting",E697="Engaging"),VLOOKUP(C697,Products!$A$2:$C$8,3,FALSE),0)</f>
        <v>0</v>
      </c>
    </row>
    <row r="698" spans="1:10" x14ac:dyDescent="0.25">
      <c r="A698" t="s">
        <v>865</v>
      </c>
      <c r="B698" t="s">
        <v>154</v>
      </c>
      <c r="C698" t="s">
        <v>120</v>
      </c>
      <c r="D698" t="s">
        <v>38</v>
      </c>
      <c r="E698" t="s">
        <v>138</v>
      </c>
      <c r="F698" s="1">
        <v>42769</v>
      </c>
      <c r="G698" s="1">
        <v>42806</v>
      </c>
      <c r="H698">
        <v>458</v>
      </c>
      <c r="I698" t="str">
        <f>IF(COUNTIF(Products!$A$2:$A$8,C698)=0,C698,"")</f>
        <v/>
      </c>
      <c r="J698">
        <f>IF(OR(E698="Prospecting",E698="Engaging"),VLOOKUP(C698,Products!$A$2:$C$8,3,FALSE),0)</f>
        <v>0</v>
      </c>
    </row>
    <row r="699" spans="1:10" x14ac:dyDescent="0.25">
      <c r="A699" t="s">
        <v>866</v>
      </c>
      <c r="B699" t="s">
        <v>303</v>
      </c>
      <c r="C699" t="s">
        <v>120</v>
      </c>
      <c r="D699" t="s">
        <v>53</v>
      </c>
      <c r="E699" t="s">
        <v>159</v>
      </c>
      <c r="F699" s="1">
        <v>42769</v>
      </c>
      <c r="G699" s="1">
        <v>42871</v>
      </c>
      <c r="H699">
        <v>0</v>
      </c>
      <c r="I699" t="str">
        <f>IF(COUNTIF(Products!$A$2:$A$8,C699)=0,C699,"")</f>
        <v/>
      </c>
      <c r="J699">
        <f>IF(OR(E699="Prospecting",E699="Engaging"),VLOOKUP(C699,Products!$A$2:$C$8,3,FALSE),0)</f>
        <v>0</v>
      </c>
    </row>
    <row r="700" spans="1:10" x14ac:dyDescent="0.25">
      <c r="A700" t="s">
        <v>867</v>
      </c>
      <c r="B700" t="s">
        <v>180</v>
      </c>
      <c r="C700" t="s">
        <v>120</v>
      </c>
      <c r="D700" t="s">
        <v>47</v>
      </c>
      <c r="E700" t="s">
        <v>159</v>
      </c>
      <c r="F700" s="1">
        <v>42769</v>
      </c>
      <c r="G700" s="1">
        <v>42878</v>
      </c>
      <c r="H700">
        <v>0</v>
      </c>
      <c r="I700" t="str">
        <f>IF(COUNTIF(Products!$A$2:$A$8,C700)=0,C700,"")</f>
        <v/>
      </c>
      <c r="J700">
        <f>IF(OR(E700="Prospecting",E700="Engaging"),VLOOKUP(C700,Products!$A$2:$C$8,3,FALSE),0)</f>
        <v>0</v>
      </c>
    </row>
    <row r="701" spans="1:10" x14ac:dyDescent="0.25">
      <c r="A701" t="s">
        <v>868</v>
      </c>
      <c r="B701" t="s">
        <v>180</v>
      </c>
      <c r="C701" t="s">
        <v>120</v>
      </c>
      <c r="D701" t="s">
        <v>47</v>
      </c>
      <c r="E701" t="s">
        <v>138</v>
      </c>
      <c r="F701" s="1">
        <v>42769</v>
      </c>
      <c r="G701" s="1">
        <v>42808</v>
      </c>
      <c r="H701">
        <v>622</v>
      </c>
      <c r="I701" t="str">
        <f>IF(COUNTIF(Products!$A$2:$A$8,C701)=0,C701,"")</f>
        <v/>
      </c>
      <c r="J701">
        <f>IF(OR(E701="Prospecting",E701="Engaging"),VLOOKUP(C701,Products!$A$2:$C$8,3,FALSE),0)</f>
        <v>0</v>
      </c>
    </row>
    <row r="702" spans="1:10" x14ac:dyDescent="0.25">
      <c r="A702" t="s">
        <v>869</v>
      </c>
      <c r="B702" t="s">
        <v>180</v>
      </c>
      <c r="C702" t="s">
        <v>120</v>
      </c>
      <c r="D702" t="s">
        <v>72</v>
      </c>
      <c r="E702" t="s">
        <v>138</v>
      </c>
      <c r="F702" s="1">
        <v>42769</v>
      </c>
      <c r="G702" s="1">
        <v>42895</v>
      </c>
      <c r="H702">
        <v>441</v>
      </c>
      <c r="I702" t="str">
        <f>IF(COUNTIF(Products!$A$2:$A$8,C702)=0,C702,"")</f>
        <v/>
      </c>
      <c r="J702">
        <f>IF(OR(E702="Prospecting",E702="Engaging"),VLOOKUP(C702,Products!$A$2:$C$8,3,FALSE),0)</f>
        <v>0</v>
      </c>
    </row>
    <row r="703" spans="1:10" x14ac:dyDescent="0.25">
      <c r="A703" t="s">
        <v>870</v>
      </c>
      <c r="B703" t="s">
        <v>191</v>
      </c>
      <c r="C703" t="s">
        <v>122</v>
      </c>
      <c r="D703" t="s">
        <v>69</v>
      </c>
      <c r="E703" t="s">
        <v>159</v>
      </c>
      <c r="F703" s="1">
        <v>42769</v>
      </c>
      <c r="G703" s="1">
        <v>42870</v>
      </c>
      <c r="H703">
        <v>0</v>
      </c>
      <c r="I703" t="str">
        <f>IF(COUNTIF(Products!$A$2:$A$8,C703)=0,C703,"")</f>
        <v/>
      </c>
      <c r="J703">
        <f>IF(OR(E703="Prospecting",E703="Engaging"),VLOOKUP(C703,Products!$A$2:$C$8,3,FALSE),0)</f>
        <v>0</v>
      </c>
    </row>
    <row r="704" spans="1:10" x14ac:dyDescent="0.25">
      <c r="A704" t="s">
        <v>871</v>
      </c>
      <c r="B704" t="s">
        <v>205</v>
      </c>
      <c r="C704" t="s">
        <v>120</v>
      </c>
      <c r="D704" t="s">
        <v>88</v>
      </c>
      <c r="E704" t="s">
        <v>138</v>
      </c>
      <c r="F704" s="1">
        <v>42769</v>
      </c>
      <c r="G704" s="1">
        <v>42876</v>
      </c>
      <c r="H704">
        <v>538</v>
      </c>
      <c r="I704" t="str">
        <f>IF(COUNTIF(Products!$A$2:$A$8,C704)=0,C704,"")</f>
        <v/>
      </c>
      <c r="J704">
        <f>IF(OR(E704="Prospecting",E704="Engaging"),VLOOKUP(C704,Products!$A$2:$C$8,3,FALSE),0)</f>
        <v>0</v>
      </c>
    </row>
    <row r="705" spans="1:10" x14ac:dyDescent="0.25">
      <c r="A705" t="s">
        <v>872</v>
      </c>
      <c r="B705" t="s">
        <v>162</v>
      </c>
      <c r="C705" t="s">
        <v>126</v>
      </c>
      <c r="D705" t="s">
        <v>56</v>
      </c>
      <c r="E705" t="s">
        <v>138</v>
      </c>
      <c r="F705" s="1">
        <v>42769</v>
      </c>
      <c r="G705" s="1">
        <v>42823</v>
      </c>
      <c r="H705">
        <v>4667</v>
      </c>
      <c r="I705" t="str">
        <f>IF(COUNTIF(Products!$A$2:$A$8,C705)=0,C705,"")</f>
        <v/>
      </c>
      <c r="J705">
        <f>IF(OR(E705="Prospecting",E705="Engaging"),VLOOKUP(C705,Products!$A$2:$C$8,3,FALSE),0)</f>
        <v>0</v>
      </c>
    </row>
    <row r="706" spans="1:10" x14ac:dyDescent="0.25">
      <c r="A706" t="s">
        <v>873</v>
      </c>
      <c r="B706" t="s">
        <v>152</v>
      </c>
      <c r="C706" t="s">
        <v>127</v>
      </c>
      <c r="D706" t="s">
        <v>26</v>
      </c>
      <c r="E706" t="s">
        <v>138</v>
      </c>
      <c r="F706" s="1">
        <v>42769</v>
      </c>
      <c r="G706" s="1">
        <v>42901</v>
      </c>
      <c r="H706">
        <v>1018</v>
      </c>
      <c r="I706" t="str">
        <f>IF(COUNTIF(Products!$A$2:$A$8,C706)=0,C706,"")</f>
        <v/>
      </c>
      <c r="J706">
        <f>IF(OR(E706="Prospecting",E706="Engaging"),VLOOKUP(C706,Products!$A$2:$C$8,3,FALSE),0)</f>
        <v>0</v>
      </c>
    </row>
    <row r="707" spans="1:10" x14ac:dyDescent="0.25">
      <c r="A707" t="s">
        <v>874</v>
      </c>
      <c r="B707" t="s">
        <v>193</v>
      </c>
      <c r="C707" t="s">
        <v>122</v>
      </c>
      <c r="D707" t="s">
        <v>19</v>
      </c>
      <c r="E707" t="s">
        <v>138</v>
      </c>
      <c r="F707" s="1">
        <v>42769</v>
      </c>
      <c r="G707" s="1">
        <v>42864</v>
      </c>
      <c r="H707">
        <v>4671</v>
      </c>
      <c r="I707" t="str">
        <f>IF(COUNTIF(Products!$A$2:$A$8,C707)=0,C707,"")</f>
        <v/>
      </c>
      <c r="J707">
        <f>IF(OR(E707="Prospecting",E707="Engaging"),VLOOKUP(C707,Products!$A$2:$C$8,3,FALSE),0)</f>
        <v>0</v>
      </c>
    </row>
    <row r="708" spans="1:10" x14ac:dyDescent="0.25">
      <c r="A708" t="s">
        <v>875</v>
      </c>
      <c r="B708" t="s">
        <v>148</v>
      </c>
      <c r="C708" t="s">
        <v>123</v>
      </c>
      <c r="E708" t="s">
        <v>155</v>
      </c>
      <c r="F708" s="1">
        <v>42769</v>
      </c>
      <c r="I708" t="str">
        <f>IF(COUNTIF(Products!$A$2:$A$8,C708)=0,C708,"")</f>
        <v/>
      </c>
      <c r="J708">
        <f>IF(OR(E708="Prospecting",E708="Engaging"),VLOOKUP(C708,Products!$A$2:$C$8,3,FALSE),0)</f>
        <v>55</v>
      </c>
    </row>
    <row r="709" spans="1:10" x14ac:dyDescent="0.25">
      <c r="A709" t="s">
        <v>876</v>
      </c>
      <c r="B709" t="s">
        <v>177</v>
      </c>
      <c r="C709" t="s">
        <v>122</v>
      </c>
      <c r="D709" t="s">
        <v>20</v>
      </c>
      <c r="E709" t="s">
        <v>138</v>
      </c>
      <c r="F709" s="1">
        <v>42769</v>
      </c>
      <c r="G709" s="1">
        <v>42871</v>
      </c>
      <c r="H709">
        <v>4634</v>
      </c>
      <c r="I709" t="str">
        <f>IF(COUNTIF(Products!$A$2:$A$8,C709)=0,C709,"")</f>
        <v/>
      </c>
      <c r="J709">
        <f>IF(OR(E709="Prospecting",E709="Engaging"),VLOOKUP(C709,Products!$A$2:$C$8,3,FALSE),0)</f>
        <v>0</v>
      </c>
    </row>
    <row r="710" spans="1:10" x14ac:dyDescent="0.25">
      <c r="A710" t="s">
        <v>877</v>
      </c>
      <c r="B710" t="s">
        <v>144</v>
      </c>
      <c r="C710" t="s">
        <v>127</v>
      </c>
      <c r="D710" t="s">
        <v>66</v>
      </c>
      <c r="E710" t="s">
        <v>159</v>
      </c>
      <c r="F710" s="1">
        <v>42769</v>
      </c>
      <c r="G710" s="1">
        <v>42896</v>
      </c>
      <c r="H710">
        <v>0</v>
      </c>
      <c r="I710" t="str">
        <f>IF(COUNTIF(Products!$A$2:$A$8,C710)=0,C710,"")</f>
        <v/>
      </c>
      <c r="J710">
        <f>IF(OR(E710="Prospecting",E710="Engaging"),VLOOKUP(C710,Products!$A$2:$C$8,3,FALSE),0)</f>
        <v>0</v>
      </c>
    </row>
    <row r="711" spans="1:10" x14ac:dyDescent="0.25">
      <c r="A711" t="s">
        <v>878</v>
      </c>
      <c r="B711" t="s">
        <v>264</v>
      </c>
      <c r="C711" t="s">
        <v>125</v>
      </c>
      <c r="D711" t="s">
        <v>77</v>
      </c>
      <c r="E711" t="s">
        <v>138</v>
      </c>
      <c r="F711" s="1">
        <v>42770</v>
      </c>
      <c r="G711" s="1">
        <v>42864</v>
      </c>
      <c r="H711">
        <v>3470</v>
      </c>
      <c r="I711" t="str">
        <f>IF(COUNTIF(Products!$A$2:$A$8,C711)=0,C711,"")</f>
        <v/>
      </c>
      <c r="J711">
        <f>IF(OR(E711="Prospecting",E711="Engaging"),VLOOKUP(C711,Products!$A$2:$C$8,3,FALSE),0)</f>
        <v>0</v>
      </c>
    </row>
    <row r="712" spans="1:10" x14ac:dyDescent="0.25">
      <c r="A712" t="s">
        <v>879</v>
      </c>
      <c r="B712" t="s">
        <v>239</v>
      </c>
      <c r="C712" t="s">
        <v>120</v>
      </c>
      <c r="D712" t="s">
        <v>36</v>
      </c>
      <c r="E712" t="s">
        <v>155</v>
      </c>
      <c r="F712" s="1">
        <v>42770</v>
      </c>
      <c r="I712" t="str">
        <f>IF(COUNTIF(Products!$A$2:$A$8,C712)=0,C712,"")</f>
        <v/>
      </c>
      <c r="J712">
        <f>IF(OR(E712="Prospecting",E712="Engaging"),VLOOKUP(C712,Products!$A$2:$C$8,3,FALSE),0)</f>
        <v>550</v>
      </c>
    </row>
    <row r="713" spans="1:10" x14ac:dyDescent="0.25">
      <c r="A713" t="s">
        <v>880</v>
      </c>
      <c r="B713" t="s">
        <v>171</v>
      </c>
      <c r="C713" t="s">
        <v>127</v>
      </c>
      <c r="D713" t="s">
        <v>92</v>
      </c>
      <c r="E713" t="s">
        <v>159</v>
      </c>
      <c r="F713" s="1">
        <v>42770</v>
      </c>
      <c r="G713" s="1">
        <v>42873</v>
      </c>
      <c r="H713">
        <v>0</v>
      </c>
      <c r="I713" t="str">
        <f>IF(COUNTIF(Products!$A$2:$A$8,C713)=0,C713,"")</f>
        <v/>
      </c>
      <c r="J713">
        <f>IF(OR(E713="Prospecting",E713="Engaging"),VLOOKUP(C713,Products!$A$2:$C$8,3,FALSE),0)</f>
        <v>0</v>
      </c>
    </row>
    <row r="714" spans="1:10" x14ac:dyDescent="0.25">
      <c r="A714" t="s">
        <v>881</v>
      </c>
      <c r="B714" t="s">
        <v>224</v>
      </c>
      <c r="C714" t="s">
        <v>126</v>
      </c>
      <c r="D714" t="s">
        <v>7</v>
      </c>
      <c r="E714" t="s">
        <v>138</v>
      </c>
      <c r="F714" s="1">
        <v>42770</v>
      </c>
      <c r="G714" s="1">
        <v>42885</v>
      </c>
      <c r="H714">
        <v>5366</v>
      </c>
      <c r="I714" t="str">
        <f>IF(COUNTIF(Products!$A$2:$A$8,C714)=0,C714,"")</f>
        <v/>
      </c>
      <c r="J714">
        <f>IF(OR(E714="Prospecting",E714="Engaging"),VLOOKUP(C714,Products!$A$2:$C$8,3,FALSE),0)</f>
        <v>0</v>
      </c>
    </row>
    <row r="715" spans="1:10" x14ac:dyDescent="0.25">
      <c r="A715" t="s">
        <v>882</v>
      </c>
      <c r="B715" t="s">
        <v>158</v>
      </c>
      <c r="C715" t="s">
        <v>127</v>
      </c>
      <c r="D715" t="s">
        <v>89</v>
      </c>
      <c r="E715" t="s">
        <v>159</v>
      </c>
      <c r="F715" s="1">
        <v>42770</v>
      </c>
      <c r="G715" s="1">
        <v>42881</v>
      </c>
      <c r="H715">
        <v>0</v>
      </c>
      <c r="I715" t="str">
        <f>IF(COUNTIF(Products!$A$2:$A$8,C715)=0,C715,"")</f>
        <v/>
      </c>
      <c r="J715">
        <f>IF(OR(E715="Prospecting",E715="Engaging"),VLOOKUP(C715,Products!$A$2:$C$8,3,FALSE),0)</f>
        <v>0</v>
      </c>
    </row>
    <row r="716" spans="1:10" x14ac:dyDescent="0.25">
      <c r="A716" t="s">
        <v>883</v>
      </c>
      <c r="B716" t="s">
        <v>164</v>
      </c>
      <c r="C716" t="s">
        <v>127</v>
      </c>
      <c r="D716" t="s">
        <v>23</v>
      </c>
      <c r="E716" t="s">
        <v>155</v>
      </c>
      <c r="F716" s="1">
        <v>42770</v>
      </c>
      <c r="I716" t="str">
        <f>IF(COUNTIF(Products!$A$2:$A$8,C716)=0,C716,"")</f>
        <v/>
      </c>
      <c r="J716">
        <f>IF(OR(E716="Prospecting",E716="Engaging"),VLOOKUP(C716,Products!$A$2:$C$8,3,FALSE),0)</f>
        <v>1096</v>
      </c>
    </row>
    <row r="717" spans="1:10" x14ac:dyDescent="0.25">
      <c r="A717" t="s">
        <v>884</v>
      </c>
      <c r="B717" t="s">
        <v>191</v>
      </c>
      <c r="C717" t="s">
        <v>126</v>
      </c>
      <c r="E717" t="s">
        <v>155</v>
      </c>
      <c r="F717" s="1">
        <v>42770</v>
      </c>
      <c r="I717" t="str">
        <f>IF(COUNTIF(Products!$A$2:$A$8,C717)=0,C717,"")</f>
        <v/>
      </c>
      <c r="J717">
        <f>IF(OR(E717="Prospecting",E717="Engaging"),VLOOKUP(C717,Products!$A$2:$C$8,3,FALSE),0)</f>
        <v>5482</v>
      </c>
    </row>
    <row r="718" spans="1:10" x14ac:dyDescent="0.25">
      <c r="A718" t="s">
        <v>885</v>
      </c>
      <c r="B718" t="s">
        <v>191</v>
      </c>
      <c r="C718" t="s">
        <v>120</v>
      </c>
      <c r="D718" t="s">
        <v>59</v>
      </c>
      <c r="E718" t="s">
        <v>138</v>
      </c>
      <c r="F718" s="1">
        <v>42770</v>
      </c>
      <c r="G718" s="1">
        <v>42872</v>
      </c>
      <c r="H718">
        <v>582</v>
      </c>
      <c r="I718" t="str">
        <f>IF(COUNTIF(Products!$A$2:$A$8,C718)=0,C718,"")</f>
        <v/>
      </c>
      <c r="J718">
        <f>IF(OR(E718="Prospecting",E718="Engaging"),VLOOKUP(C718,Products!$A$2:$C$8,3,FALSE),0)</f>
        <v>0</v>
      </c>
    </row>
    <row r="719" spans="1:10" x14ac:dyDescent="0.25">
      <c r="A719" t="s">
        <v>886</v>
      </c>
      <c r="B719" t="s">
        <v>191</v>
      </c>
      <c r="C719" t="s">
        <v>120</v>
      </c>
      <c r="D719" t="s">
        <v>100</v>
      </c>
      <c r="E719" t="s">
        <v>138</v>
      </c>
      <c r="F719" s="1">
        <v>42770</v>
      </c>
      <c r="G719" s="1">
        <v>42857</v>
      </c>
      <c r="H719">
        <v>583</v>
      </c>
      <c r="I719" t="str">
        <f>IF(COUNTIF(Products!$A$2:$A$8,C719)=0,C719,"")</f>
        <v/>
      </c>
      <c r="J719">
        <f>IF(OR(E719="Prospecting",E719="Engaging"),VLOOKUP(C719,Products!$A$2:$C$8,3,FALSE),0)</f>
        <v>0</v>
      </c>
    </row>
    <row r="720" spans="1:10" x14ac:dyDescent="0.25">
      <c r="A720" t="s">
        <v>887</v>
      </c>
      <c r="B720" t="s">
        <v>152</v>
      </c>
      <c r="C720" t="s">
        <v>120</v>
      </c>
      <c r="D720" t="s">
        <v>30</v>
      </c>
      <c r="E720" t="s">
        <v>159</v>
      </c>
      <c r="F720" s="1">
        <v>42770</v>
      </c>
      <c r="G720" s="1">
        <v>42871</v>
      </c>
      <c r="H720">
        <v>0</v>
      </c>
      <c r="I720" t="str">
        <f>IF(COUNTIF(Products!$A$2:$A$8,C720)=0,C720,"")</f>
        <v/>
      </c>
      <c r="J720">
        <f>IF(OR(E720="Prospecting",E720="Engaging"),VLOOKUP(C720,Products!$A$2:$C$8,3,FALSE),0)</f>
        <v>0</v>
      </c>
    </row>
    <row r="721" spans="1:10" x14ac:dyDescent="0.25">
      <c r="A721" t="s">
        <v>888</v>
      </c>
      <c r="B721" t="s">
        <v>148</v>
      </c>
      <c r="C721" t="s">
        <v>126</v>
      </c>
      <c r="D721" t="s">
        <v>38</v>
      </c>
      <c r="E721" t="s">
        <v>138</v>
      </c>
      <c r="F721" s="1">
        <v>42770</v>
      </c>
      <c r="G721" s="1">
        <v>42874</v>
      </c>
      <c r="H721">
        <v>6079</v>
      </c>
      <c r="I721" t="str">
        <f>IF(COUNTIF(Products!$A$2:$A$8,C721)=0,C721,"")</f>
        <v/>
      </c>
      <c r="J721">
        <f>IF(OR(E721="Prospecting",E721="Engaging"),VLOOKUP(C721,Products!$A$2:$C$8,3,FALSE),0)</f>
        <v>0</v>
      </c>
    </row>
    <row r="722" spans="1:10" x14ac:dyDescent="0.25">
      <c r="A722" t="s">
        <v>889</v>
      </c>
      <c r="B722" t="s">
        <v>144</v>
      </c>
      <c r="C722" t="s">
        <v>127</v>
      </c>
      <c r="D722" t="s">
        <v>38</v>
      </c>
      <c r="E722" t="s">
        <v>159</v>
      </c>
      <c r="F722" s="1">
        <v>42770</v>
      </c>
      <c r="G722" s="1">
        <v>42862</v>
      </c>
      <c r="H722">
        <v>0</v>
      </c>
      <c r="I722" t="str">
        <f>IF(COUNTIF(Products!$A$2:$A$8,C722)=0,C722,"")</f>
        <v/>
      </c>
      <c r="J722">
        <f>IF(OR(E722="Prospecting",E722="Engaging"),VLOOKUP(C722,Products!$A$2:$C$8,3,FALSE),0)</f>
        <v>0</v>
      </c>
    </row>
    <row r="723" spans="1:10" x14ac:dyDescent="0.25">
      <c r="A723" t="s">
        <v>890</v>
      </c>
      <c r="B723" t="s">
        <v>144</v>
      </c>
      <c r="C723" t="s">
        <v>127</v>
      </c>
      <c r="D723" t="s">
        <v>69</v>
      </c>
      <c r="E723" t="s">
        <v>138</v>
      </c>
      <c r="F723" s="1">
        <v>42770</v>
      </c>
      <c r="G723" s="1">
        <v>42888</v>
      </c>
      <c r="H723">
        <v>1068</v>
      </c>
      <c r="I723" t="str">
        <f>IF(COUNTIF(Products!$A$2:$A$8,C723)=0,C723,"")</f>
        <v/>
      </c>
      <c r="J723">
        <f>IF(OR(E723="Prospecting",E723="Engaging"),VLOOKUP(C723,Products!$A$2:$C$8,3,FALSE),0)</f>
        <v>0</v>
      </c>
    </row>
    <row r="724" spans="1:10" x14ac:dyDescent="0.25">
      <c r="A724" t="s">
        <v>891</v>
      </c>
      <c r="B724" t="s">
        <v>146</v>
      </c>
      <c r="C724" t="s">
        <v>123</v>
      </c>
      <c r="D724" t="s">
        <v>22</v>
      </c>
      <c r="E724" t="s">
        <v>138</v>
      </c>
      <c r="F724" s="1">
        <v>42771</v>
      </c>
      <c r="G724" s="1">
        <v>42859</v>
      </c>
      <c r="H724">
        <v>55</v>
      </c>
      <c r="I724" t="str">
        <f>IF(COUNTIF(Products!$A$2:$A$8,C724)=0,C724,"")</f>
        <v/>
      </c>
      <c r="J724">
        <f>IF(OR(E724="Prospecting",E724="Engaging"),VLOOKUP(C724,Products!$A$2:$C$8,3,FALSE),0)</f>
        <v>0</v>
      </c>
    </row>
    <row r="725" spans="1:10" x14ac:dyDescent="0.25">
      <c r="A725" t="s">
        <v>892</v>
      </c>
      <c r="B725" t="s">
        <v>207</v>
      </c>
      <c r="C725" t="s">
        <v>120</v>
      </c>
      <c r="D725" t="s">
        <v>98</v>
      </c>
      <c r="E725" t="s">
        <v>155</v>
      </c>
      <c r="F725" s="1">
        <v>42771</v>
      </c>
      <c r="I725" t="str">
        <f>IF(COUNTIF(Products!$A$2:$A$8,C725)=0,C725,"")</f>
        <v/>
      </c>
      <c r="J725">
        <f>IF(OR(E725="Prospecting",E725="Engaging"),VLOOKUP(C725,Products!$A$2:$C$8,3,FALSE),0)</f>
        <v>550</v>
      </c>
    </row>
    <row r="726" spans="1:10" x14ac:dyDescent="0.25">
      <c r="A726" t="s">
        <v>893</v>
      </c>
      <c r="B726" t="s">
        <v>207</v>
      </c>
      <c r="C726" t="s">
        <v>125</v>
      </c>
      <c r="D726" t="s">
        <v>110</v>
      </c>
      <c r="E726" t="s">
        <v>159</v>
      </c>
      <c r="F726" s="1">
        <v>42771</v>
      </c>
      <c r="G726" s="1">
        <v>42857</v>
      </c>
      <c r="H726">
        <v>0</v>
      </c>
      <c r="I726" t="str">
        <f>IF(COUNTIF(Products!$A$2:$A$8,C726)=0,C726,"")</f>
        <v/>
      </c>
      <c r="J726">
        <f>IF(OR(E726="Prospecting",E726="Engaging"),VLOOKUP(C726,Products!$A$2:$C$8,3,FALSE),0)</f>
        <v>0</v>
      </c>
    </row>
    <row r="727" spans="1:10" x14ac:dyDescent="0.25">
      <c r="A727" t="s">
        <v>894</v>
      </c>
      <c r="B727" t="s">
        <v>207</v>
      </c>
      <c r="C727" t="s">
        <v>120</v>
      </c>
      <c r="D727" t="s">
        <v>10</v>
      </c>
      <c r="E727" t="s">
        <v>138</v>
      </c>
      <c r="F727" s="1">
        <v>42771</v>
      </c>
      <c r="G727" s="1">
        <v>42821</v>
      </c>
      <c r="H727">
        <v>493</v>
      </c>
      <c r="I727" t="str">
        <f>IF(COUNTIF(Products!$A$2:$A$8,C727)=0,C727,"")</f>
        <v/>
      </c>
      <c r="J727">
        <f>IF(OR(E727="Prospecting",E727="Engaging"),VLOOKUP(C727,Products!$A$2:$C$8,3,FALSE),0)</f>
        <v>0</v>
      </c>
    </row>
    <row r="728" spans="1:10" x14ac:dyDescent="0.25">
      <c r="A728" t="s">
        <v>895</v>
      </c>
      <c r="B728" t="s">
        <v>140</v>
      </c>
      <c r="C728" t="s">
        <v>127</v>
      </c>
      <c r="D728" t="s">
        <v>88</v>
      </c>
      <c r="E728" t="s">
        <v>159</v>
      </c>
      <c r="F728" s="1">
        <v>42771</v>
      </c>
      <c r="G728" s="1">
        <v>42906</v>
      </c>
      <c r="H728">
        <v>0</v>
      </c>
      <c r="I728" t="str">
        <f>IF(COUNTIF(Products!$A$2:$A$8,C728)=0,C728,"")</f>
        <v/>
      </c>
      <c r="J728">
        <f>IF(OR(E728="Prospecting",E728="Engaging"),VLOOKUP(C728,Products!$A$2:$C$8,3,FALSE),0)</f>
        <v>0</v>
      </c>
    </row>
    <row r="729" spans="1:10" x14ac:dyDescent="0.25">
      <c r="A729" t="s">
        <v>896</v>
      </c>
      <c r="B729" t="s">
        <v>140</v>
      </c>
      <c r="C729" t="s">
        <v>122</v>
      </c>
      <c r="D729" t="s">
        <v>27</v>
      </c>
      <c r="E729" t="s">
        <v>138</v>
      </c>
      <c r="F729" s="1">
        <v>42771</v>
      </c>
      <c r="G729" s="1">
        <v>42819</v>
      </c>
      <c r="H729">
        <v>5559</v>
      </c>
      <c r="I729" t="str">
        <f>IF(COUNTIF(Products!$A$2:$A$8,C729)=0,C729,"")</f>
        <v/>
      </c>
      <c r="J729">
        <f>IF(OR(E729="Prospecting",E729="Engaging"),VLOOKUP(C729,Products!$A$2:$C$8,3,FALSE),0)</f>
        <v>0</v>
      </c>
    </row>
    <row r="730" spans="1:10" x14ac:dyDescent="0.25">
      <c r="A730" t="s">
        <v>897</v>
      </c>
      <c r="B730" t="s">
        <v>173</v>
      </c>
      <c r="C730" t="s">
        <v>123</v>
      </c>
      <c r="D730" t="s">
        <v>73</v>
      </c>
      <c r="E730" t="s">
        <v>155</v>
      </c>
      <c r="F730" s="1">
        <v>42771</v>
      </c>
      <c r="I730" t="str">
        <f>IF(COUNTIF(Products!$A$2:$A$8,C730)=0,C730,"")</f>
        <v/>
      </c>
      <c r="J730">
        <f>IF(OR(E730="Prospecting",E730="Engaging"),VLOOKUP(C730,Products!$A$2:$C$8,3,FALSE),0)</f>
        <v>55</v>
      </c>
    </row>
    <row r="731" spans="1:10" x14ac:dyDescent="0.25">
      <c r="A731" t="s">
        <v>898</v>
      </c>
      <c r="B731" t="s">
        <v>173</v>
      </c>
      <c r="C731" t="s">
        <v>125</v>
      </c>
      <c r="D731" t="s">
        <v>90</v>
      </c>
      <c r="E731" t="s">
        <v>138</v>
      </c>
      <c r="F731" s="1">
        <v>42771</v>
      </c>
      <c r="G731" s="1">
        <v>42864</v>
      </c>
      <c r="H731">
        <v>3351</v>
      </c>
      <c r="I731" t="str">
        <f>IF(COUNTIF(Products!$A$2:$A$8,C731)=0,C731,"")</f>
        <v/>
      </c>
      <c r="J731">
        <f>IF(OR(E731="Prospecting",E731="Engaging"),VLOOKUP(C731,Products!$A$2:$C$8,3,FALSE),0)</f>
        <v>0</v>
      </c>
    </row>
    <row r="732" spans="1:10" x14ac:dyDescent="0.25">
      <c r="A732" t="s">
        <v>899</v>
      </c>
      <c r="B732" t="s">
        <v>217</v>
      </c>
      <c r="C732" t="s">
        <v>120</v>
      </c>
      <c r="D732" t="s">
        <v>64</v>
      </c>
      <c r="E732" t="s">
        <v>138</v>
      </c>
      <c r="F732" s="1">
        <v>42771</v>
      </c>
      <c r="G732" s="1">
        <v>42868</v>
      </c>
      <c r="H732">
        <v>501</v>
      </c>
      <c r="I732" t="str">
        <f>IF(COUNTIF(Products!$A$2:$A$8,C732)=0,C732,"")</f>
        <v/>
      </c>
      <c r="J732">
        <f>IF(OR(E732="Prospecting",E732="Engaging"),VLOOKUP(C732,Products!$A$2:$C$8,3,FALSE),0)</f>
        <v>0</v>
      </c>
    </row>
    <row r="733" spans="1:10" x14ac:dyDescent="0.25">
      <c r="A733" t="s">
        <v>900</v>
      </c>
      <c r="B733" t="s">
        <v>162</v>
      </c>
      <c r="C733" t="s">
        <v>123</v>
      </c>
      <c r="E733" t="s">
        <v>155</v>
      </c>
      <c r="F733" s="1">
        <v>42771</v>
      </c>
      <c r="I733" t="str">
        <f>IF(COUNTIF(Products!$A$2:$A$8,C733)=0,C733,"")</f>
        <v/>
      </c>
      <c r="J733">
        <f>IF(OR(E733="Prospecting",E733="Engaging"),VLOOKUP(C733,Products!$A$2:$C$8,3,FALSE),0)</f>
        <v>55</v>
      </c>
    </row>
    <row r="734" spans="1:10" x14ac:dyDescent="0.25">
      <c r="A734" t="s">
        <v>901</v>
      </c>
      <c r="B734" t="s">
        <v>137</v>
      </c>
      <c r="C734" t="s">
        <v>123</v>
      </c>
      <c r="D734" t="s">
        <v>32</v>
      </c>
      <c r="E734" t="s">
        <v>159</v>
      </c>
      <c r="F734" s="1">
        <v>42771</v>
      </c>
      <c r="G734" s="1">
        <v>42863</v>
      </c>
      <c r="H734">
        <v>0</v>
      </c>
      <c r="I734" t="str">
        <f>IF(COUNTIF(Products!$A$2:$A$8,C734)=0,C734,"")</f>
        <v/>
      </c>
      <c r="J734">
        <f>IF(OR(E734="Prospecting",E734="Engaging"),VLOOKUP(C734,Products!$A$2:$C$8,3,FALSE),0)</f>
        <v>0</v>
      </c>
    </row>
    <row r="735" spans="1:10" x14ac:dyDescent="0.25">
      <c r="A735" t="s">
        <v>902</v>
      </c>
      <c r="B735" t="s">
        <v>193</v>
      </c>
      <c r="C735" t="s">
        <v>120</v>
      </c>
      <c r="D735" t="s">
        <v>73</v>
      </c>
      <c r="E735" t="s">
        <v>138</v>
      </c>
      <c r="F735" s="1">
        <v>42771</v>
      </c>
      <c r="G735" s="1">
        <v>42862</v>
      </c>
      <c r="H735">
        <v>532</v>
      </c>
      <c r="I735" t="str">
        <f>IF(COUNTIF(Products!$A$2:$A$8,C735)=0,C735,"")</f>
        <v/>
      </c>
      <c r="J735">
        <f>IF(OR(E735="Prospecting",E735="Engaging"),VLOOKUP(C735,Products!$A$2:$C$8,3,FALSE),0)</f>
        <v>0</v>
      </c>
    </row>
    <row r="736" spans="1:10" x14ac:dyDescent="0.25">
      <c r="A736" t="s">
        <v>903</v>
      </c>
      <c r="B736" t="s">
        <v>148</v>
      </c>
      <c r="C736" t="s">
        <v>123</v>
      </c>
      <c r="D736" t="s">
        <v>41</v>
      </c>
      <c r="E736" t="s">
        <v>159</v>
      </c>
      <c r="F736" s="1">
        <v>42771</v>
      </c>
      <c r="G736" s="1">
        <v>42879</v>
      </c>
      <c r="H736">
        <v>0</v>
      </c>
      <c r="I736" t="str">
        <f>IF(COUNTIF(Products!$A$2:$A$8,C736)=0,C736,"")</f>
        <v/>
      </c>
      <c r="J736">
        <f>IF(OR(E736="Prospecting",E736="Engaging"),VLOOKUP(C736,Products!$A$2:$C$8,3,FALSE),0)</f>
        <v>0</v>
      </c>
    </row>
    <row r="737" spans="1:10" x14ac:dyDescent="0.25">
      <c r="A737" t="s">
        <v>904</v>
      </c>
      <c r="B737" t="s">
        <v>148</v>
      </c>
      <c r="C737" t="s">
        <v>125</v>
      </c>
      <c r="D737" t="s">
        <v>57</v>
      </c>
      <c r="E737" t="s">
        <v>138</v>
      </c>
      <c r="F737" s="1">
        <v>42771</v>
      </c>
      <c r="G737" s="1">
        <v>42859</v>
      </c>
      <c r="H737">
        <v>3103</v>
      </c>
      <c r="I737" t="str">
        <f>IF(COUNTIF(Products!$A$2:$A$8,C737)=0,C737,"")</f>
        <v/>
      </c>
      <c r="J737">
        <f>IF(OR(E737="Prospecting",E737="Engaging"),VLOOKUP(C737,Products!$A$2:$C$8,3,FALSE),0)</f>
        <v>0</v>
      </c>
    </row>
    <row r="738" spans="1:10" x14ac:dyDescent="0.25">
      <c r="A738" t="s">
        <v>905</v>
      </c>
      <c r="B738" t="s">
        <v>196</v>
      </c>
      <c r="C738" t="s">
        <v>120</v>
      </c>
      <c r="E738" t="s">
        <v>155</v>
      </c>
      <c r="F738" s="1">
        <v>42771</v>
      </c>
      <c r="I738" t="str">
        <f>IF(COUNTIF(Products!$A$2:$A$8,C738)=0,C738,"")</f>
        <v/>
      </c>
      <c r="J738">
        <f>IF(OR(E738="Prospecting",E738="Engaging"),VLOOKUP(C738,Products!$A$2:$C$8,3,FALSE),0)</f>
        <v>550</v>
      </c>
    </row>
    <row r="739" spans="1:10" x14ac:dyDescent="0.25">
      <c r="A739" t="s">
        <v>906</v>
      </c>
      <c r="B739" t="s">
        <v>239</v>
      </c>
      <c r="C739" t="s">
        <v>126</v>
      </c>
      <c r="D739" t="s">
        <v>50</v>
      </c>
      <c r="E739" t="s">
        <v>138</v>
      </c>
      <c r="F739" s="1">
        <v>42772</v>
      </c>
      <c r="G739" s="1">
        <v>42877</v>
      </c>
      <c r="H739">
        <v>5505</v>
      </c>
      <c r="I739" t="str">
        <f>IF(COUNTIF(Products!$A$2:$A$8,C739)=0,C739,"")</f>
        <v/>
      </c>
      <c r="J739">
        <f>IF(OR(E739="Prospecting",E739="Engaging"),VLOOKUP(C739,Products!$A$2:$C$8,3,FALSE),0)</f>
        <v>0</v>
      </c>
    </row>
    <row r="740" spans="1:10" x14ac:dyDescent="0.25">
      <c r="A740" t="s">
        <v>907</v>
      </c>
      <c r="B740" t="s">
        <v>164</v>
      </c>
      <c r="C740" t="s">
        <v>123</v>
      </c>
      <c r="D740" t="s">
        <v>64</v>
      </c>
      <c r="E740" t="s">
        <v>155</v>
      </c>
      <c r="F740" s="1">
        <v>42772</v>
      </c>
      <c r="I740" t="str">
        <f>IF(COUNTIF(Products!$A$2:$A$8,C740)=0,C740,"")</f>
        <v/>
      </c>
      <c r="J740">
        <f>IF(OR(E740="Prospecting",E740="Engaging"),VLOOKUP(C740,Products!$A$2:$C$8,3,FALSE),0)</f>
        <v>55</v>
      </c>
    </row>
    <row r="741" spans="1:10" x14ac:dyDescent="0.25">
      <c r="A741" t="s">
        <v>908</v>
      </c>
      <c r="B741" t="s">
        <v>180</v>
      </c>
      <c r="C741" t="s">
        <v>122</v>
      </c>
      <c r="D741" t="s">
        <v>114</v>
      </c>
      <c r="E741" t="s">
        <v>155</v>
      </c>
      <c r="F741" s="1">
        <v>42772</v>
      </c>
      <c r="I741" t="str">
        <f>IF(COUNTIF(Products!$A$2:$A$8,C741)=0,C741,"")</f>
        <v/>
      </c>
      <c r="J741">
        <f>IF(OR(E741="Prospecting",E741="Engaging"),VLOOKUP(C741,Products!$A$2:$C$8,3,FALSE),0)</f>
        <v>4821</v>
      </c>
    </row>
    <row r="742" spans="1:10" x14ac:dyDescent="0.25">
      <c r="A742" t="s">
        <v>909</v>
      </c>
      <c r="B742" t="s">
        <v>180</v>
      </c>
      <c r="C742" t="s">
        <v>127</v>
      </c>
      <c r="D742" t="s">
        <v>109</v>
      </c>
      <c r="E742" t="s">
        <v>159</v>
      </c>
      <c r="F742" s="1">
        <v>42772</v>
      </c>
      <c r="G742" s="1">
        <v>42877</v>
      </c>
      <c r="H742">
        <v>0</v>
      </c>
      <c r="I742" t="str">
        <f>IF(COUNTIF(Products!$A$2:$A$8,C742)=0,C742,"")</f>
        <v/>
      </c>
      <c r="J742">
        <f>IF(OR(E742="Prospecting",E742="Engaging"),VLOOKUP(C742,Products!$A$2:$C$8,3,FALSE),0)</f>
        <v>0</v>
      </c>
    </row>
    <row r="743" spans="1:10" x14ac:dyDescent="0.25">
      <c r="A743" t="s">
        <v>910</v>
      </c>
      <c r="B743" t="s">
        <v>162</v>
      </c>
      <c r="C743" t="s">
        <v>123</v>
      </c>
      <c r="E743" t="s">
        <v>155</v>
      </c>
      <c r="F743" s="1">
        <v>42772</v>
      </c>
      <c r="I743" t="str">
        <f>IF(COUNTIF(Products!$A$2:$A$8,C743)=0,C743,"")</f>
        <v/>
      </c>
      <c r="J743">
        <f>IF(OR(E743="Prospecting",E743="Engaging"),VLOOKUP(C743,Products!$A$2:$C$8,3,FALSE),0)</f>
        <v>55</v>
      </c>
    </row>
    <row r="744" spans="1:10" x14ac:dyDescent="0.25">
      <c r="A744" t="s">
        <v>911</v>
      </c>
      <c r="B744" t="s">
        <v>137</v>
      </c>
      <c r="C744" t="s">
        <v>127</v>
      </c>
      <c r="D744" t="s">
        <v>85</v>
      </c>
      <c r="E744" t="s">
        <v>138</v>
      </c>
      <c r="F744" s="1">
        <v>42772</v>
      </c>
      <c r="G744" s="1">
        <v>42870</v>
      </c>
      <c r="H744">
        <v>1068</v>
      </c>
      <c r="I744" t="str">
        <f>IF(COUNTIF(Products!$A$2:$A$8,C744)=0,C744,"")</f>
        <v/>
      </c>
      <c r="J744">
        <f>IF(OR(E744="Prospecting",E744="Engaging"),VLOOKUP(C744,Products!$A$2:$C$8,3,FALSE),0)</f>
        <v>0</v>
      </c>
    </row>
    <row r="745" spans="1:10" x14ac:dyDescent="0.25">
      <c r="A745" t="s">
        <v>912</v>
      </c>
      <c r="B745" t="s">
        <v>148</v>
      </c>
      <c r="C745" t="s">
        <v>125</v>
      </c>
      <c r="D745" t="s">
        <v>23</v>
      </c>
      <c r="E745" t="s">
        <v>138</v>
      </c>
      <c r="F745" s="1">
        <v>42772</v>
      </c>
      <c r="G745" s="1">
        <v>42859</v>
      </c>
      <c r="H745">
        <v>3357</v>
      </c>
      <c r="I745" t="str">
        <f>IF(COUNTIF(Products!$A$2:$A$8,C745)=0,C745,"")</f>
        <v/>
      </c>
      <c r="J745">
        <f>IF(OR(E745="Prospecting",E745="Engaging"),VLOOKUP(C745,Products!$A$2:$C$8,3,FALSE),0)</f>
        <v>0</v>
      </c>
    </row>
    <row r="746" spans="1:10" x14ac:dyDescent="0.25">
      <c r="A746" t="s">
        <v>913</v>
      </c>
      <c r="B746" t="s">
        <v>177</v>
      </c>
      <c r="C746" t="s">
        <v>123</v>
      </c>
      <c r="D746" t="s">
        <v>73</v>
      </c>
      <c r="E746" t="s">
        <v>159</v>
      </c>
      <c r="F746" s="1">
        <v>42772</v>
      </c>
      <c r="G746" s="1">
        <v>42861</v>
      </c>
      <c r="H746">
        <v>0</v>
      </c>
      <c r="I746" t="str">
        <f>IF(COUNTIF(Products!$A$2:$A$8,C746)=0,C746,"")</f>
        <v/>
      </c>
      <c r="J746">
        <f>IF(OR(E746="Prospecting",E746="Engaging"),VLOOKUP(C746,Products!$A$2:$C$8,3,FALSE),0)</f>
        <v>0</v>
      </c>
    </row>
    <row r="747" spans="1:10" x14ac:dyDescent="0.25">
      <c r="A747" t="s">
        <v>914</v>
      </c>
      <c r="B747" t="s">
        <v>144</v>
      </c>
      <c r="C747" t="s">
        <v>120</v>
      </c>
      <c r="D747" t="s">
        <v>41</v>
      </c>
      <c r="E747" t="s">
        <v>159</v>
      </c>
      <c r="F747" s="1">
        <v>42772</v>
      </c>
      <c r="G747" s="1">
        <v>42882</v>
      </c>
      <c r="H747">
        <v>0</v>
      </c>
      <c r="I747" t="str">
        <f>IF(COUNTIF(Products!$A$2:$A$8,C747)=0,C747,"")</f>
        <v/>
      </c>
      <c r="J747">
        <f>IF(OR(E747="Prospecting",E747="Engaging"),VLOOKUP(C747,Products!$A$2:$C$8,3,FALSE),0)</f>
        <v>0</v>
      </c>
    </row>
    <row r="748" spans="1:10" x14ac:dyDescent="0.25">
      <c r="A748" t="s">
        <v>915</v>
      </c>
      <c r="B748" t="s">
        <v>144</v>
      </c>
      <c r="C748" t="s">
        <v>120</v>
      </c>
      <c r="D748" t="s">
        <v>44</v>
      </c>
      <c r="E748" t="s">
        <v>138</v>
      </c>
      <c r="F748" s="1">
        <v>42772</v>
      </c>
      <c r="G748" s="1">
        <v>42909</v>
      </c>
      <c r="H748">
        <v>532</v>
      </c>
      <c r="I748" t="str">
        <f>IF(COUNTIF(Products!$A$2:$A$8,C748)=0,C748,"")</f>
        <v/>
      </c>
      <c r="J748">
        <f>IF(OR(E748="Prospecting",E748="Engaging"),VLOOKUP(C748,Products!$A$2:$C$8,3,FALSE),0)</f>
        <v>0</v>
      </c>
    </row>
    <row r="749" spans="1:10" x14ac:dyDescent="0.25">
      <c r="A749" t="s">
        <v>916</v>
      </c>
      <c r="B749" t="s">
        <v>207</v>
      </c>
      <c r="C749" t="s">
        <v>122</v>
      </c>
      <c r="E749" t="s">
        <v>155</v>
      </c>
      <c r="F749" s="1">
        <v>42773</v>
      </c>
      <c r="I749" t="str">
        <f>IF(COUNTIF(Products!$A$2:$A$8,C749)=0,C749,"")</f>
        <v/>
      </c>
      <c r="J749">
        <f>IF(OR(E749="Prospecting",E749="Engaging"),VLOOKUP(C749,Products!$A$2:$C$8,3,FALSE),0)</f>
        <v>4821</v>
      </c>
    </row>
    <row r="750" spans="1:10" x14ac:dyDescent="0.25">
      <c r="A750" t="s">
        <v>917</v>
      </c>
      <c r="B750" t="s">
        <v>171</v>
      </c>
      <c r="C750" t="s">
        <v>122</v>
      </c>
      <c r="E750" t="s">
        <v>155</v>
      </c>
      <c r="F750" s="1">
        <v>42773</v>
      </c>
      <c r="I750" t="str">
        <f>IF(COUNTIF(Products!$A$2:$A$8,C750)=0,C750,"")</f>
        <v/>
      </c>
      <c r="J750">
        <f>IF(OR(E750="Prospecting",E750="Engaging"),VLOOKUP(C750,Products!$A$2:$C$8,3,FALSE),0)</f>
        <v>4821</v>
      </c>
    </row>
    <row r="751" spans="1:10" x14ac:dyDescent="0.25">
      <c r="A751" t="s">
        <v>918</v>
      </c>
      <c r="B751" t="s">
        <v>171</v>
      </c>
      <c r="C751" t="s">
        <v>125</v>
      </c>
      <c r="D751" t="s">
        <v>27</v>
      </c>
      <c r="E751" t="s">
        <v>159</v>
      </c>
      <c r="F751" s="1">
        <v>42773</v>
      </c>
      <c r="G751" s="1">
        <v>42861</v>
      </c>
      <c r="H751">
        <v>0</v>
      </c>
      <c r="I751" t="str">
        <f>IF(COUNTIF(Products!$A$2:$A$8,C751)=0,C751,"")</f>
        <v/>
      </c>
      <c r="J751">
        <f>IF(OR(E751="Prospecting",E751="Engaging"),VLOOKUP(C751,Products!$A$2:$C$8,3,FALSE),0)</f>
        <v>0</v>
      </c>
    </row>
    <row r="752" spans="1:10" x14ac:dyDescent="0.25">
      <c r="A752" t="s">
        <v>919</v>
      </c>
      <c r="B752" t="s">
        <v>140</v>
      </c>
      <c r="C752" t="s">
        <v>126</v>
      </c>
      <c r="D752" t="s">
        <v>46</v>
      </c>
      <c r="E752" t="s">
        <v>138</v>
      </c>
      <c r="F752" s="1">
        <v>42773</v>
      </c>
      <c r="G752" s="1">
        <v>42860</v>
      </c>
      <c r="H752">
        <v>5786</v>
      </c>
      <c r="I752" t="str">
        <f>IF(COUNTIF(Products!$A$2:$A$8,C752)=0,C752,"")</f>
        <v/>
      </c>
      <c r="J752">
        <f>IF(OR(E752="Prospecting",E752="Engaging"),VLOOKUP(C752,Products!$A$2:$C$8,3,FALSE),0)</f>
        <v>0</v>
      </c>
    </row>
    <row r="753" spans="1:10" x14ac:dyDescent="0.25">
      <c r="A753" t="s">
        <v>920</v>
      </c>
      <c r="B753" t="s">
        <v>173</v>
      </c>
      <c r="C753" t="s">
        <v>128</v>
      </c>
      <c r="E753" t="s">
        <v>155</v>
      </c>
      <c r="F753" s="1">
        <v>42773</v>
      </c>
      <c r="I753" t="str">
        <f>IF(COUNTIF(Products!$A$2:$A$8,C753)=0,C753,"")</f>
        <v/>
      </c>
      <c r="J753">
        <f>IF(OR(E753="Prospecting",E753="Engaging"),VLOOKUP(C753,Products!$A$2:$C$8,3,FALSE),0)</f>
        <v>26768</v>
      </c>
    </row>
    <row r="754" spans="1:10" x14ac:dyDescent="0.25">
      <c r="A754" t="s">
        <v>921</v>
      </c>
      <c r="B754" t="s">
        <v>164</v>
      </c>
      <c r="C754" t="s">
        <v>127</v>
      </c>
      <c r="D754" t="s">
        <v>41</v>
      </c>
      <c r="E754" t="s">
        <v>159</v>
      </c>
      <c r="F754" s="1">
        <v>42773</v>
      </c>
      <c r="G754" s="1">
        <v>42866</v>
      </c>
      <c r="H754">
        <v>0</v>
      </c>
      <c r="I754" t="str">
        <f>IF(COUNTIF(Products!$A$2:$A$8,C754)=0,C754,"")</f>
        <v/>
      </c>
      <c r="J754">
        <f>IF(OR(E754="Prospecting",E754="Engaging"),VLOOKUP(C754,Products!$A$2:$C$8,3,FALSE),0)</f>
        <v>0</v>
      </c>
    </row>
    <row r="755" spans="1:10" x14ac:dyDescent="0.25">
      <c r="A755" t="s">
        <v>922</v>
      </c>
      <c r="B755" t="s">
        <v>303</v>
      </c>
      <c r="C755" t="s">
        <v>127</v>
      </c>
      <c r="D755" t="s">
        <v>96</v>
      </c>
      <c r="E755" t="s">
        <v>138</v>
      </c>
      <c r="F755" s="1">
        <v>42773</v>
      </c>
      <c r="G755" s="1">
        <v>42874</v>
      </c>
      <c r="H755">
        <v>1131</v>
      </c>
      <c r="I755" t="str">
        <f>IF(COUNTIF(Products!$A$2:$A$8,C755)=0,C755,"")</f>
        <v/>
      </c>
      <c r="J755">
        <f>IF(OR(E755="Prospecting",E755="Engaging"),VLOOKUP(C755,Products!$A$2:$C$8,3,FALSE),0)</f>
        <v>0</v>
      </c>
    </row>
    <row r="756" spans="1:10" x14ac:dyDescent="0.25">
      <c r="A756" t="s">
        <v>923</v>
      </c>
      <c r="B756" t="s">
        <v>180</v>
      </c>
      <c r="C756" t="s">
        <v>120</v>
      </c>
      <c r="D756" t="s">
        <v>109</v>
      </c>
      <c r="E756" t="s">
        <v>155</v>
      </c>
      <c r="F756" s="1">
        <v>42773</v>
      </c>
      <c r="I756" t="str">
        <f>IF(COUNTIF(Products!$A$2:$A$8,C756)=0,C756,"")</f>
        <v/>
      </c>
      <c r="J756">
        <f>IF(OR(E756="Prospecting",E756="Engaging"),VLOOKUP(C756,Products!$A$2:$C$8,3,FALSE),0)</f>
        <v>550</v>
      </c>
    </row>
    <row r="757" spans="1:10" x14ac:dyDescent="0.25">
      <c r="A757" t="s">
        <v>924</v>
      </c>
      <c r="B757" t="s">
        <v>180</v>
      </c>
      <c r="C757" t="s">
        <v>122</v>
      </c>
      <c r="D757" t="s">
        <v>105</v>
      </c>
      <c r="E757" t="s">
        <v>155</v>
      </c>
      <c r="F757" s="1">
        <v>42773</v>
      </c>
      <c r="I757" t="str">
        <f>IF(COUNTIF(Products!$A$2:$A$8,C757)=0,C757,"")</f>
        <v/>
      </c>
      <c r="J757">
        <f>IF(OR(E757="Prospecting",E757="Engaging"),VLOOKUP(C757,Products!$A$2:$C$8,3,FALSE),0)</f>
        <v>4821</v>
      </c>
    </row>
    <row r="758" spans="1:10" x14ac:dyDescent="0.25">
      <c r="A758" t="s">
        <v>925</v>
      </c>
      <c r="B758" t="s">
        <v>180</v>
      </c>
      <c r="C758" t="s">
        <v>126</v>
      </c>
      <c r="D758" t="s">
        <v>90</v>
      </c>
      <c r="E758" t="s">
        <v>138</v>
      </c>
      <c r="F758" s="1">
        <v>42773</v>
      </c>
      <c r="G758" s="1">
        <v>42870</v>
      </c>
      <c r="H758">
        <v>5401</v>
      </c>
      <c r="I758" t="str">
        <f>IF(COUNTIF(Products!$A$2:$A$8,C758)=0,C758,"")</f>
        <v/>
      </c>
      <c r="J758">
        <f>IF(OR(E758="Prospecting",E758="Engaging"),VLOOKUP(C758,Products!$A$2:$C$8,3,FALSE),0)</f>
        <v>0</v>
      </c>
    </row>
    <row r="759" spans="1:10" x14ac:dyDescent="0.25">
      <c r="A759" t="s">
        <v>926</v>
      </c>
      <c r="B759" t="s">
        <v>205</v>
      </c>
      <c r="C759" t="s">
        <v>127</v>
      </c>
      <c r="D759" t="s">
        <v>70</v>
      </c>
      <c r="E759" t="s">
        <v>138</v>
      </c>
      <c r="F759" s="1">
        <v>42773</v>
      </c>
      <c r="G759" s="1">
        <v>42822</v>
      </c>
      <c r="H759">
        <v>1062</v>
      </c>
      <c r="I759" t="str">
        <f>IF(COUNTIF(Products!$A$2:$A$8,C759)=0,C759,"")</f>
        <v/>
      </c>
      <c r="J759">
        <f>IF(OR(E759="Prospecting",E759="Engaging"),VLOOKUP(C759,Products!$A$2:$C$8,3,FALSE),0)</f>
        <v>0</v>
      </c>
    </row>
    <row r="760" spans="1:10" x14ac:dyDescent="0.25">
      <c r="A760" t="s">
        <v>927</v>
      </c>
      <c r="B760" t="s">
        <v>162</v>
      </c>
      <c r="C760" t="s">
        <v>127</v>
      </c>
      <c r="E760" t="s">
        <v>155</v>
      </c>
      <c r="F760" s="1">
        <v>42773</v>
      </c>
      <c r="I760" t="str">
        <f>IF(COUNTIF(Products!$A$2:$A$8,C760)=0,C760,"")</f>
        <v/>
      </c>
      <c r="J760">
        <f>IF(OR(E760="Prospecting",E760="Engaging"),VLOOKUP(C760,Products!$A$2:$C$8,3,FALSE),0)</f>
        <v>1096</v>
      </c>
    </row>
    <row r="761" spans="1:10" x14ac:dyDescent="0.25">
      <c r="A761" t="s">
        <v>928</v>
      </c>
      <c r="B761" t="s">
        <v>193</v>
      </c>
      <c r="C761" t="s">
        <v>125</v>
      </c>
      <c r="D761" t="s">
        <v>115</v>
      </c>
      <c r="E761" t="s">
        <v>138</v>
      </c>
      <c r="F761" s="1">
        <v>42773</v>
      </c>
      <c r="G761" s="1">
        <v>42817</v>
      </c>
      <c r="H761">
        <v>3695</v>
      </c>
      <c r="I761" t="str">
        <f>IF(COUNTIF(Products!$A$2:$A$8,C761)=0,C761,"")</f>
        <v/>
      </c>
      <c r="J761">
        <f>IF(OR(E761="Prospecting",E761="Engaging"),VLOOKUP(C761,Products!$A$2:$C$8,3,FALSE),0)</f>
        <v>0</v>
      </c>
    </row>
    <row r="762" spans="1:10" x14ac:dyDescent="0.25">
      <c r="A762" t="s">
        <v>929</v>
      </c>
      <c r="B762" t="s">
        <v>187</v>
      </c>
      <c r="C762" t="s">
        <v>123</v>
      </c>
      <c r="D762" t="s">
        <v>27</v>
      </c>
      <c r="E762" t="s">
        <v>159</v>
      </c>
      <c r="F762" s="1">
        <v>42773</v>
      </c>
      <c r="G762" s="1">
        <v>42890</v>
      </c>
      <c r="H762">
        <v>0</v>
      </c>
      <c r="I762" t="str">
        <f>IF(COUNTIF(Products!$A$2:$A$8,C762)=0,C762,"")</f>
        <v/>
      </c>
      <c r="J762">
        <f>IF(OR(E762="Prospecting",E762="Engaging"),VLOOKUP(C762,Products!$A$2:$C$8,3,FALSE),0)</f>
        <v>0</v>
      </c>
    </row>
    <row r="763" spans="1:10" x14ac:dyDescent="0.25">
      <c r="A763" t="s">
        <v>930</v>
      </c>
      <c r="B763" t="s">
        <v>169</v>
      </c>
      <c r="C763" t="s">
        <v>123</v>
      </c>
      <c r="D763" t="s">
        <v>42</v>
      </c>
      <c r="E763" t="s">
        <v>138</v>
      </c>
      <c r="F763" s="1">
        <v>42773</v>
      </c>
      <c r="G763" s="1">
        <v>42889</v>
      </c>
      <c r="H763">
        <v>60</v>
      </c>
      <c r="I763" t="str">
        <f>IF(COUNTIF(Products!$A$2:$A$8,C763)=0,C763,"")</f>
        <v/>
      </c>
      <c r="J763">
        <f>IF(OR(E763="Prospecting",E763="Engaging"),VLOOKUP(C763,Products!$A$2:$C$8,3,FALSE),0)</f>
        <v>0</v>
      </c>
    </row>
    <row r="764" spans="1:10" x14ac:dyDescent="0.25">
      <c r="A764" t="s">
        <v>931</v>
      </c>
      <c r="B764" t="s">
        <v>148</v>
      </c>
      <c r="C764" t="s">
        <v>122</v>
      </c>
      <c r="D764" t="s">
        <v>59</v>
      </c>
      <c r="E764" t="s">
        <v>159</v>
      </c>
      <c r="F764" s="1">
        <v>42773</v>
      </c>
      <c r="G764" s="1">
        <v>42883</v>
      </c>
      <c r="H764">
        <v>0</v>
      </c>
      <c r="I764" t="str">
        <f>IF(COUNTIF(Products!$A$2:$A$8,C764)=0,C764,"")</f>
        <v/>
      </c>
      <c r="J764">
        <f>IF(OR(E764="Prospecting",E764="Engaging"),VLOOKUP(C764,Products!$A$2:$C$8,3,FALSE),0)</f>
        <v>0</v>
      </c>
    </row>
    <row r="765" spans="1:10" x14ac:dyDescent="0.25">
      <c r="A765" t="s">
        <v>932</v>
      </c>
      <c r="B765" t="s">
        <v>148</v>
      </c>
      <c r="C765" t="s">
        <v>125</v>
      </c>
      <c r="D765" t="s">
        <v>93</v>
      </c>
      <c r="E765" t="s">
        <v>138</v>
      </c>
      <c r="F765" s="1">
        <v>42773</v>
      </c>
      <c r="G765" s="1">
        <v>42899</v>
      </c>
      <c r="H765">
        <v>2919</v>
      </c>
      <c r="I765" t="str">
        <f>IF(COUNTIF(Products!$A$2:$A$8,C765)=0,C765,"")</f>
        <v/>
      </c>
      <c r="J765">
        <f>IF(OR(E765="Prospecting",E765="Engaging"),VLOOKUP(C765,Products!$A$2:$C$8,3,FALSE),0)</f>
        <v>0</v>
      </c>
    </row>
    <row r="766" spans="1:10" x14ac:dyDescent="0.25">
      <c r="A766" t="s">
        <v>933</v>
      </c>
      <c r="B766" t="s">
        <v>207</v>
      </c>
      <c r="C766" t="s">
        <v>126</v>
      </c>
      <c r="E766" t="s">
        <v>155</v>
      </c>
      <c r="F766" s="1">
        <v>42774</v>
      </c>
      <c r="I766" t="str">
        <f>IF(COUNTIF(Products!$A$2:$A$8,C766)=0,C766,"")</f>
        <v/>
      </c>
      <c r="J766">
        <f>IF(OR(E766="Prospecting",E766="Engaging"),VLOOKUP(C766,Products!$A$2:$C$8,3,FALSE),0)</f>
        <v>5482</v>
      </c>
    </row>
    <row r="767" spans="1:10" x14ac:dyDescent="0.25">
      <c r="A767" t="s">
        <v>934</v>
      </c>
      <c r="B767" t="s">
        <v>207</v>
      </c>
      <c r="C767" t="s">
        <v>123</v>
      </c>
      <c r="D767" t="s">
        <v>12</v>
      </c>
      <c r="E767" t="s">
        <v>155</v>
      </c>
      <c r="F767" s="1">
        <v>42774</v>
      </c>
      <c r="I767" t="str">
        <f>IF(COUNTIF(Products!$A$2:$A$8,C767)=0,C767,"")</f>
        <v/>
      </c>
      <c r="J767">
        <f>IF(OR(E767="Prospecting",E767="Engaging"),VLOOKUP(C767,Products!$A$2:$C$8,3,FALSE),0)</f>
        <v>55</v>
      </c>
    </row>
    <row r="768" spans="1:10" x14ac:dyDescent="0.25">
      <c r="A768" t="s">
        <v>935</v>
      </c>
      <c r="B768" t="s">
        <v>207</v>
      </c>
      <c r="C768" t="s">
        <v>125</v>
      </c>
      <c r="E768" t="s">
        <v>155</v>
      </c>
      <c r="F768" s="1">
        <v>42774</v>
      </c>
      <c r="I768" t="str">
        <f>IF(COUNTIF(Products!$A$2:$A$8,C768)=0,C768,"")</f>
        <v/>
      </c>
      <c r="J768">
        <f>IF(OR(E768="Prospecting",E768="Engaging"),VLOOKUP(C768,Products!$A$2:$C$8,3,FALSE),0)</f>
        <v>3393</v>
      </c>
    </row>
    <row r="769" spans="1:10" x14ac:dyDescent="0.25">
      <c r="A769" t="s">
        <v>936</v>
      </c>
      <c r="B769" t="s">
        <v>207</v>
      </c>
      <c r="C769" t="s">
        <v>120</v>
      </c>
      <c r="D769" t="s">
        <v>84</v>
      </c>
      <c r="E769" t="s">
        <v>138</v>
      </c>
      <c r="F769" s="1">
        <v>42774</v>
      </c>
      <c r="G769" s="1">
        <v>42856</v>
      </c>
      <c r="H769">
        <v>623</v>
      </c>
      <c r="I769" t="str">
        <f>IF(COUNTIF(Products!$A$2:$A$8,C769)=0,C769,"")</f>
        <v/>
      </c>
      <c r="J769">
        <f>IF(OR(E769="Prospecting",E769="Engaging"),VLOOKUP(C769,Products!$A$2:$C$8,3,FALSE),0)</f>
        <v>0</v>
      </c>
    </row>
    <row r="770" spans="1:10" x14ac:dyDescent="0.25">
      <c r="A770" t="s">
        <v>937</v>
      </c>
      <c r="B770" t="s">
        <v>239</v>
      </c>
      <c r="C770" t="s">
        <v>123</v>
      </c>
      <c r="D770" t="s">
        <v>105</v>
      </c>
      <c r="E770" t="s">
        <v>159</v>
      </c>
      <c r="F770" s="1">
        <v>42774</v>
      </c>
      <c r="G770" s="1">
        <v>42825</v>
      </c>
      <c r="H770">
        <v>0</v>
      </c>
      <c r="I770" t="str">
        <f>IF(COUNTIF(Products!$A$2:$A$8,C770)=0,C770,"")</f>
        <v/>
      </c>
      <c r="J770">
        <f>IF(OR(E770="Prospecting",E770="Engaging"),VLOOKUP(C770,Products!$A$2:$C$8,3,FALSE),0)</f>
        <v>0</v>
      </c>
    </row>
    <row r="771" spans="1:10" x14ac:dyDescent="0.25">
      <c r="A771" t="s">
        <v>938</v>
      </c>
      <c r="B771" t="s">
        <v>140</v>
      </c>
      <c r="C771" t="s">
        <v>125</v>
      </c>
      <c r="D771" t="s">
        <v>91</v>
      </c>
      <c r="E771" t="s">
        <v>159</v>
      </c>
      <c r="F771" s="1">
        <v>42774</v>
      </c>
      <c r="G771" s="1">
        <v>42859</v>
      </c>
      <c r="H771">
        <v>0</v>
      </c>
      <c r="I771" t="str">
        <f>IF(COUNTIF(Products!$A$2:$A$8,C771)=0,C771,"")</f>
        <v/>
      </c>
      <c r="J771">
        <f>IF(OR(E771="Prospecting",E771="Engaging"),VLOOKUP(C771,Products!$A$2:$C$8,3,FALSE),0)</f>
        <v>0</v>
      </c>
    </row>
    <row r="772" spans="1:10" x14ac:dyDescent="0.25">
      <c r="A772" t="s">
        <v>939</v>
      </c>
      <c r="B772" t="s">
        <v>173</v>
      </c>
      <c r="C772" t="s">
        <v>120</v>
      </c>
      <c r="D772" t="s">
        <v>51</v>
      </c>
      <c r="E772" t="s">
        <v>155</v>
      </c>
      <c r="F772" s="1">
        <v>42774</v>
      </c>
      <c r="I772" t="str">
        <f>IF(COUNTIF(Products!$A$2:$A$8,C772)=0,C772,"")</f>
        <v/>
      </c>
      <c r="J772">
        <f>IF(OR(E772="Prospecting",E772="Engaging"),VLOOKUP(C772,Products!$A$2:$C$8,3,FALSE),0)</f>
        <v>550</v>
      </c>
    </row>
    <row r="773" spans="1:10" x14ac:dyDescent="0.25">
      <c r="A773" t="s">
        <v>940</v>
      </c>
      <c r="B773" t="s">
        <v>154</v>
      </c>
      <c r="C773" t="s">
        <v>123</v>
      </c>
      <c r="D773" t="s">
        <v>90</v>
      </c>
      <c r="E773" t="s">
        <v>138</v>
      </c>
      <c r="F773" s="1">
        <v>42774</v>
      </c>
      <c r="G773" s="1">
        <v>42859</v>
      </c>
      <c r="H773">
        <v>49</v>
      </c>
      <c r="I773" t="str">
        <f>IF(COUNTIF(Products!$A$2:$A$8,C773)=0,C773,"")</f>
        <v/>
      </c>
      <c r="J773">
        <f>IF(OR(E773="Prospecting",E773="Engaging"),VLOOKUP(C773,Products!$A$2:$C$8,3,FALSE),0)</f>
        <v>0</v>
      </c>
    </row>
    <row r="774" spans="1:10" x14ac:dyDescent="0.25">
      <c r="A774" t="s">
        <v>941</v>
      </c>
      <c r="B774" t="s">
        <v>303</v>
      </c>
      <c r="C774" t="s">
        <v>120</v>
      </c>
      <c r="D774" t="s">
        <v>94</v>
      </c>
      <c r="E774" t="s">
        <v>159</v>
      </c>
      <c r="F774" s="1">
        <v>42774</v>
      </c>
      <c r="G774" s="1">
        <v>42879</v>
      </c>
      <c r="H774">
        <v>0</v>
      </c>
      <c r="I774" t="str">
        <f>IF(COUNTIF(Products!$A$2:$A$8,C774)=0,C774,"")</f>
        <v/>
      </c>
      <c r="J774">
        <f>IF(OR(E774="Prospecting",E774="Engaging"),VLOOKUP(C774,Products!$A$2:$C$8,3,FALSE),0)</f>
        <v>0</v>
      </c>
    </row>
    <row r="775" spans="1:10" x14ac:dyDescent="0.25">
      <c r="A775" t="s">
        <v>942</v>
      </c>
      <c r="B775" t="s">
        <v>303</v>
      </c>
      <c r="C775" t="s">
        <v>120</v>
      </c>
      <c r="D775" t="s">
        <v>26</v>
      </c>
      <c r="E775" t="s">
        <v>138</v>
      </c>
      <c r="F775" s="1">
        <v>42774</v>
      </c>
      <c r="G775" s="1">
        <v>42859</v>
      </c>
      <c r="H775">
        <v>612</v>
      </c>
      <c r="I775" t="str">
        <f>IF(COUNTIF(Products!$A$2:$A$8,C775)=0,C775,"")</f>
        <v/>
      </c>
      <c r="J775">
        <f>IF(OR(E775="Prospecting",E775="Engaging"),VLOOKUP(C775,Products!$A$2:$C$8,3,FALSE),0)</f>
        <v>0</v>
      </c>
    </row>
    <row r="776" spans="1:10" x14ac:dyDescent="0.25">
      <c r="A776" t="s">
        <v>943</v>
      </c>
      <c r="B776" t="s">
        <v>180</v>
      </c>
      <c r="C776" t="s">
        <v>127</v>
      </c>
      <c r="E776" t="s">
        <v>155</v>
      </c>
      <c r="F776" s="1">
        <v>42774</v>
      </c>
      <c r="I776" t="str">
        <f>IF(COUNTIF(Products!$A$2:$A$8,C776)=0,C776,"")</f>
        <v/>
      </c>
      <c r="J776">
        <f>IF(OR(E776="Prospecting",E776="Engaging"),VLOOKUP(C776,Products!$A$2:$C$8,3,FALSE),0)</f>
        <v>1096</v>
      </c>
    </row>
    <row r="777" spans="1:10" x14ac:dyDescent="0.25">
      <c r="A777" t="s">
        <v>944</v>
      </c>
      <c r="B777" t="s">
        <v>180</v>
      </c>
      <c r="C777" t="s">
        <v>120</v>
      </c>
      <c r="D777" t="s">
        <v>61</v>
      </c>
      <c r="E777" t="s">
        <v>138</v>
      </c>
      <c r="F777" s="1">
        <v>42774</v>
      </c>
      <c r="G777" s="1">
        <v>42812</v>
      </c>
      <c r="H777">
        <v>534</v>
      </c>
      <c r="I777" t="str">
        <f>IF(COUNTIF(Products!$A$2:$A$8,C777)=0,C777,"")</f>
        <v/>
      </c>
      <c r="J777">
        <f>IF(OR(E777="Prospecting",E777="Engaging"),VLOOKUP(C777,Products!$A$2:$C$8,3,FALSE),0)</f>
        <v>0</v>
      </c>
    </row>
    <row r="778" spans="1:10" x14ac:dyDescent="0.25">
      <c r="A778" t="s">
        <v>945</v>
      </c>
      <c r="B778" t="s">
        <v>180</v>
      </c>
      <c r="C778" t="s">
        <v>127</v>
      </c>
      <c r="D778" t="s">
        <v>27</v>
      </c>
      <c r="E778" t="s">
        <v>138</v>
      </c>
      <c r="F778" s="1">
        <v>42774</v>
      </c>
      <c r="G778" s="1">
        <v>42893</v>
      </c>
      <c r="H778">
        <v>1103</v>
      </c>
      <c r="I778" t="str">
        <f>IF(COUNTIF(Products!$A$2:$A$8,C778)=0,C778,"")</f>
        <v/>
      </c>
      <c r="J778">
        <f>IF(OR(E778="Prospecting",E778="Engaging"),VLOOKUP(C778,Products!$A$2:$C$8,3,FALSE),0)</f>
        <v>0</v>
      </c>
    </row>
    <row r="779" spans="1:10" x14ac:dyDescent="0.25">
      <c r="A779" t="s">
        <v>946</v>
      </c>
      <c r="B779" t="s">
        <v>191</v>
      </c>
      <c r="C779" t="s">
        <v>122</v>
      </c>
      <c r="E779" t="s">
        <v>155</v>
      </c>
      <c r="F779" s="1">
        <v>42774</v>
      </c>
      <c r="I779" t="str">
        <f>IF(COUNTIF(Products!$A$2:$A$8,C779)=0,C779,"")</f>
        <v/>
      </c>
      <c r="J779">
        <f>IF(OR(E779="Prospecting",E779="Engaging"),VLOOKUP(C779,Products!$A$2:$C$8,3,FALSE),0)</f>
        <v>4821</v>
      </c>
    </row>
    <row r="780" spans="1:10" x14ac:dyDescent="0.25">
      <c r="A780" t="s">
        <v>947</v>
      </c>
      <c r="B780" t="s">
        <v>217</v>
      </c>
      <c r="C780" t="s">
        <v>120</v>
      </c>
      <c r="D780" t="s">
        <v>28</v>
      </c>
      <c r="E780" t="s">
        <v>138</v>
      </c>
      <c r="F780" s="1">
        <v>42774</v>
      </c>
      <c r="G780" s="1">
        <v>42865</v>
      </c>
      <c r="H780">
        <v>582</v>
      </c>
      <c r="I780" t="str">
        <f>IF(COUNTIF(Products!$A$2:$A$8,C780)=0,C780,"")</f>
        <v/>
      </c>
      <c r="J780">
        <f>IF(OR(E780="Prospecting",E780="Engaging"),VLOOKUP(C780,Products!$A$2:$C$8,3,FALSE),0)</f>
        <v>0</v>
      </c>
    </row>
    <row r="781" spans="1:10" x14ac:dyDescent="0.25">
      <c r="A781" t="s">
        <v>948</v>
      </c>
      <c r="B781" t="s">
        <v>205</v>
      </c>
      <c r="C781" t="s">
        <v>125</v>
      </c>
      <c r="D781" t="s">
        <v>27</v>
      </c>
      <c r="E781" t="s">
        <v>159</v>
      </c>
      <c r="F781" s="1">
        <v>42774</v>
      </c>
      <c r="G781" s="1">
        <v>42868</v>
      </c>
      <c r="H781">
        <v>0</v>
      </c>
      <c r="I781" t="str">
        <f>IF(COUNTIF(Products!$A$2:$A$8,C781)=0,C781,"")</f>
        <v/>
      </c>
      <c r="J781">
        <f>IF(OR(E781="Prospecting",E781="Engaging"),VLOOKUP(C781,Products!$A$2:$C$8,3,FALSE),0)</f>
        <v>0</v>
      </c>
    </row>
    <row r="782" spans="1:10" x14ac:dyDescent="0.25">
      <c r="A782" t="s">
        <v>949</v>
      </c>
      <c r="B782" t="s">
        <v>205</v>
      </c>
      <c r="C782" t="s">
        <v>126</v>
      </c>
      <c r="D782" t="s">
        <v>22</v>
      </c>
      <c r="E782" t="s">
        <v>138</v>
      </c>
      <c r="F782" s="1">
        <v>42774</v>
      </c>
      <c r="G782" s="1">
        <v>42859</v>
      </c>
      <c r="H782">
        <v>6292</v>
      </c>
      <c r="I782" t="str">
        <f>IF(COUNTIF(Products!$A$2:$A$8,C782)=0,C782,"")</f>
        <v/>
      </c>
      <c r="J782">
        <f>IF(OR(E782="Prospecting",E782="Engaging"),VLOOKUP(C782,Products!$A$2:$C$8,3,FALSE),0)</f>
        <v>0</v>
      </c>
    </row>
    <row r="783" spans="1:10" x14ac:dyDescent="0.25">
      <c r="A783" t="s">
        <v>950</v>
      </c>
      <c r="B783" t="s">
        <v>152</v>
      </c>
      <c r="C783" t="s">
        <v>123</v>
      </c>
      <c r="D783" t="s">
        <v>46</v>
      </c>
      <c r="E783" t="s">
        <v>159</v>
      </c>
      <c r="F783" s="1">
        <v>42774</v>
      </c>
      <c r="G783" s="1">
        <v>42911</v>
      </c>
      <c r="H783">
        <v>0</v>
      </c>
      <c r="I783" t="str">
        <f>IF(COUNTIF(Products!$A$2:$A$8,C783)=0,C783,"")</f>
        <v/>
      </c>
      <c r="J783">
        <f>IF(OR(E783="Prospecting",E783="Engaging"),VLOOKUP(C783,Products!$A$2:$C$8,3,FALSE),0)</f>
        <v>0</v>
      </c>
    </row>
    <row r="784" spans="1:10" x14ac:dyDescent="0.25">
      <c r="A784" t="s">
        <v>951</v>
      </c>
      <c r="B784" t="s">
        <v>166</v>
      </c>
      <c r="C784" t="s">
        <v>123</v>
      </c>
      <c r="D784" t="s">
        <v>59</v>
      </c>
      <c r="E784" t="s">
        <v>138</v>
      </c>
      <c r="F784" s="1">
        <v>42774</v>
      </c>
      <c r="G784" s="1">
        <v>42879</v>
      </c>
      <c r="H784">
        <v>63</v>
      </c>
      <c r="I784" t="str">
        <f>IF(COUNTIF(Products!$A$2:$A$8,C784)=0,C784,"")</f>
        <v/>
      </c>
      <c r="J784">
        <f>IF(OR(E784="Prospecting",E784="Engaging"),VLOOKUP(C784,Products!$A$2:$C$8,3,FALSE),0)</f>
        <v>0</v>
      </c>
    </row>
    <row r="785" spans="1:10" x14ac:dyDescent="0.25">
      <c r="A785" t="s">
        <v>952</v>
      </c>
      <c r="B785" t="s">
        <v>169</v>
      </c>
      <c r="C785" t="s">
        <v>125</v>
      </c>
      <c r="D785" t="s">
        <v>53</v>
      </c>
      <c r="E785" t="s">
        <v>138</v>
      </c>
      <c r="F785" s="1">
        <v>42774</v>
      </c>
      <c r="G785" s="1">
        <v>42868</v>
      </c>
      <c r="H785">
        <v>3522</v>
      </c>
      <c r="I785" t="str">
        <f>IF(COUNTIF(Products!$A$2:$A$8,C785)=0,C785,"")</f>
        <v/>
      </c>
      <c r="J785">
        <f>IF(OR(E785="Prospecting",E785="Engaging"),VLOOKUP(C785,Products!$A$2:$C$8,3,FALSE),0)</f>
        <v>0</v>
      </c>
    </row>
    <row r="786" spans="1:10" x14ac:dyDescent="0.25">
      <c r="A786" t="s">
        <v>953</v>
      </c>
      <c r="B786" t="s">
        <v>148</v>
      </c>
      <c r="C786" t="s">
        <v>123</v>
      </c>
      <c r="D786" t="s">
        <v>69</v>
      </c>
      <c r="E786" t="s">
        <v>159</v>
      </c>
      <c r="F786" s="1">
        <v>42774</v>
      </c>
      <c r="G786" s="1">
        <v>42884</v>
      </c>
      <c r="H786">
        <v>0</v>
      </c>
      <c r="I786" t="str">
        <f>IF(COUNTIF(Products!$A$2:$A$8,C786)=0,C786,"")</f>
        <v/>
      </c>
      <c r="J786">
        <f>IF(OR(E786="Prospecting",E786="Engaging"),VLOOKUP(C786,Products!$A$2:$C$8,3,FALSE),0)</f>
        <v>0</v>
      </c>
    </row>
    <row r="787" spans="1:10" x14ac:dyDescent="0.25">
      <c r="A787" t="s">
        <v>954</v>
      </c>
      <c r="B787" t="s">
        <v>148</v>
      </c>
      <c r="C787" t="s">
        <v>120</v>
      </c>
      <c r="D787" t="s">
        <v>82</v>
      </c>
      <c r="E787" t="s">
        <v>138</v>
      </c>
      <c r="F787" s="1">
        <v>42774</v>
      </c>
      <c r="G787" s="1">
        <v>42859</v>
      </c>
      <c r="H787">
        <v>532</v>
      </c>
      <c r="I787" t="str">
        <f>IF(COUNTIF(Products!$A$2:$A$8,C787)=0,C787,"")</f>
        <v/>
      </c>
      <c r="J787">
        <f>IF(OR(E787="Prospecting",E787="Engaging"),VLOOKUP(C787,Products!$A$2:$C$8,3,FALSE),0)</f>
        <v>0</v>
      </c>
    </row>
    <row r="788" spans="1:10" x14ac:dyDescent="0.25">
      <c r="A788" t="s">
        <v>955</v>
      </c>
      <c r="B788" t="s">
        <v>177</v>
      </c>
      <c r="C788" t="s">
        <v>123</v>
      </c>
      <c r="D788" t="s">
        <v>65</v>
      </c>
      <c r="E788" t="s">
        <v>159</v>
      </c>
      <c r="F788" s="1">
        <v>42774</v>
      </c>
      <c r="G788" s="1">
        <v>42859</v>
      </c>
      <c r="H788">
        <v>0</v>
      </c>
      <c r="I788" t="str">
        <f>IF(COUNTIF(Products!$A$2:$A$8,C788)=0,C788,"")</f>
        <v/>
      </c>
      <c r="J788">
        <f>IF(OR(E788="Prospecting",E788="Engaging"),VLOOKUP(C788,Products!$A$2:$C$8,3,FALSE),0)</f>
        <v>0</v>
      </c>
    </row>
    <row r="789" spans="1:10" x14ac:dyDescent="0.25">
      <c r="A789" t="s">
        <v>956</v>
      </c>
      <c r="B789" t="s">
        <v>196</v>
      </c>
      <c r="C789" t="s">
        <v>125</v>
      </c>
      <c r="D789" t="s">
        <v>68</v>
      </c>
      <c r="E789" t="s">
        <v>138</v>
      </c>
      <c r="F789" s="1">
        <v>42774</v>
      </c>
      <c r="G789" s="1">
        <v>42877</v>
      </c>
      <c r="H789">
        <v>3645</v>
      </c>
      <c r="I789" t="str">
        <f>IF(COUNTIF(Products!$A$2:$A$8,C789)=0,C789,"")</f>
        <v/>
      </c>
      <c r="J789">
        <f>IF(OR(E789="Prospecting",E789="Engaging"),VLOOKUP(C789,Products!$A$2:$C$8,3,FALSE),0)</f>
        <v>0</v>
      </c>
    </row>
    <row r="790" spans="1:10" x14ac:dyDescent="0.25">
      <c r="A790" t="s">
        <v>957</v>
      </c>
      <c r="B790" t="s">
        <v>144</v>
      </c>
      <c r="C790" t="s">
        <v>122</v>
      </c>
      <c r="D790" t="s">
        <v>109</v>
      </c>
      <c r="E790" t="s">
        <v>159</v>
      </c>
      <c r="F790" s="1">
        <v>42774</v>
      </c>
      <c r="G790" s="1">
        <v>42865</v>
      </c>
      <c r="H790">
        <v>0</v>
      </c>
      <c r="I790" t="str">
        <f>IF(COUNTIF(Products!$A$2:$A$8,C790)=0,C790,"")</f>
        <v/>
      </c>
      <c r="J790">
        <f>IF(OR(E790="Prospecting",E790="Engaging"),VLOOKUP(C790,Products!$A$2:$C$8,3,FALSE),0)</f>
        <v>0</v>
      </c>
    </row>
    <row r="791" spans="1:10" x14ac:dyDescent="0.25">
      <c r="A791" t="s">
        <v>958</v>
      </c>
      <c r="B791" t="s">
        <v>146</v>
      </c>
      <c r="C791" t="s">
        <v>126</v>
      </c>
      <c r="D791" t="s">
        <v>55</v>
      </c>
      <c r="E791" t="s">
        <v>138</v>
      </c>
      <c r="F791" s="1">
        <v>42775</v>
      </c>
      <c r="G791" s="1">
        <v>42795</v>
      </c>
      <c r="H791">
        <v>4760</v>
      </c>
      <c r="I791" t="str">
        <f>IF(COUNTIF(Products!$A$2:$A$8,C791)=0,C791,"")</f>
        <v/>
      </c>
      <c r="J791">
        <f>IF(OR(E791="Prospecting",E791="Engaging"),VLOOKUP(C791,Products!$A$2:$C$8,3,FALSE),0)</f>
        <v>0</v>
      </c>
    </row>
    <row r="792" spans="1:10" x14ac:dyDescent="0.25">
      <c r="A792" t="s">
        <v>959</v>
      </c>
      <c r="B792" t="s">
        <v>239</v>
      </c>
      <c r="C792" t="s">
        <v>120</v>
      </c>
      <c r="D792" t="s">
        <v>10</v>
      </c>
      <c r="E792" t="s">
        <v>138</v>
      </c>
      <c r="F792" s="1">
        <v>42775</v>
      </c>
      <c r="G792" s="1">
        <v>42880</v>
      </c>
      <c r="H792">
        <v>603</v>
      </c>
      <c r="I792" t="str">
        <f>IF(COUNTIF(Products!$A$2:$A$8,C792)=0,C792,"")</f>
        <v/>
      </c>
      <c r="J792">
        <f>IF(OR(E792="Prospecting",E792="Engaging"),VLOOKUP(C792,Products!$A$2:$C$8,3,FALSE),0)</f>
        <v>0</v>
      </c>
    </row>
    <row r="793" spans="1:10" x14ac:dyDescent="0.25">
      <c r="A793" t="s">
        <v>960</v>
      </c>
      <c r="B793" t="s">
        <v>171</v>
      </c>
      <c r="C793" t="s">
        <v>120</v>
      </c>
      <c r="D793" t="s">
        <v>16</v>
      </c>
      <c r="E793" t="s">
        <v>159</v>
      </c>
      <c r="F793" s="1">
        <v>42775</v>
      </c>
      <c r="G793" s="1">
        <v>42877</v>
      </c>
      <c r="H793">
        <v>0</v>
      </c>
      <c r="I793" t="str">
        <f>IF(COUNTIF(Products!$A$2:$A$8,C793)=0,C793,"")</f>
        <v/>
      </c>
      <c r="J793">
        <f>IF(OR(E793="Prospecting",E793="Engaging"),VLOOKUP(C793,Products!$A$2:$C$8,3,FALSE),0)</f>
        <v>0</v>
      </c>
    </row>
    <row r="794" spans="1:10" x14ac:dyDescent="0.25">
      <c r="A794" t="s">
        <v>961</v>
      </c>
      <c r="B794" t="s">
        <v>171</v>
      </c>
      <c r="C794" t="s">
        <v>125</v>
      </c>
      <c r="D794" t="s">
        <v>110</v>
      </c>
      <c r="E794" t="s">
        <v>138</v>
      </c>
      <c r="F794" s="1">
        <v>42775</v>
      </c>
      <c r="G794" s="1">
        <v>42796</v>
      </c>
      <c r="H794">
        <v>3249</v>
      </c>
      <c r="I794" t="str">
        <f>IF(COUNTIF(Products!$A$2:$A$8,C794)=0,C794,"")</f>
        <v/>
      </c>
      <c r="J794">
        <f>IF(OR(E794="Prospecting",E794="Engaging"),VLOOKUP(C794,Products!$A$2:$C$8,3,FALSE),0)</f>
        <v>0</v>
      </c>
    </row>
    <row r="795" spans="1:10" x14ac:dyDescent="0.25">
      <c r="A795" t="s">
        <v>962</v>
      </c>
      <c r="B795" t="s">
        <v>140</v>
      </c>
      <c r="C795" t="s">
        <v>122</v>
      </c>
      <c r="D795" t="s">
        <v>36</v>
      </c>
      <c r="E795" t="s">
        <v>159</v>
      </c>
      <c r="F795" s="1">
        <v>42775</v>
      </c>
      <c r="G795" s="1">
        <v>42811</v>
      </c>
      <c r="H795">
        <v>0</v>
      </c>
      <c r="I795" t="str">
        <f>IF(COUNTIF(Products!$A$2:$A$8,C795)=0,C795,"")</f>
        <v/>
      </c>
      <c r="J795">
        <f>IF(OR(E795="Prospecting",E795="Engaging"),VLOOKUP(C795,Products!$A$2:$C$8,3,FALSE),0)</f>
        <v>0</v>
      </c>
    </row>
    <row r="796" spans="1:10" x14ac:dyDescent="0.25">
      <c r="A796" t="s">
        <v>963</v>
      </c>
      <c r="B796" t="s">
        <v>140</v>
      </c>
      <c r="C796" t="s">
        <v>122</v>
      </c>
      <c r="D796" t="s">
        <v>95</v>
      </c>
      <c r="E796" t="s">
        <v>159</v>
      </c>
      <c r="F796" s="1">
        <v>42775</v>
      </c>
      <c r="G796" s="1">
        <v>42873</v>
      </c>
      <c r="H796">
        <v>0</v>
      </c>
      <c r="I796" t="str">
        <f>IF(COUNTIF(Products!$A$2:$A$8,C796)=0,C796,"")</f>
        <v/>
      </c>
      <c r="J796">
        <f>IF(OR(E796="Prospecting",E796="Engaging"),VLOOKUP(C796,Products!$A$2:$C$8,3,FALSE),0)</f>
        <v>0</v>
      </c>
    </row>
    <row r="797" spans="1:10" x14ac:dyDescent="0.25">
      <c r="A797" t="s">
        <v>964</v>
      </c>
      <c r="B797" t="s">
        <v>140</v>
      </c>
      <c r="C797" t="s">
        <v>122</v>
      </c>
      <c r="D797" t="s">
        <v>116</v>
      </c>
      <c r="E797" t="s">
        <v>159</v>
      </c>
      <c r="F797" s="1">
        <v>42775</v>
      </c>
      <c r="G797" s="1">
        <v>42864</v>
      </c>
      <c r="H797">
        <v>0</v>
      </c>
      <c r="I797" t="str">
        <f>IF(COUNTIF(Products!$A$2:$A$8,C797)=0,C797,"")</f>
        <v/>
      </c>
      <c r="J797">
        <f>IF(OR(E797="Prospecting",E797="Engaging"),VLOOKUP(C797,Products!$A$2:$C$8,3,FALSE),0)</f>
        <v>0</v>
      </c>
    </row>
    <row r="798" spans="1:10" x14ac:dyDescent="0.25">
      <c r="A798" t="s">
        <v>965</v>
      </c>
      <c r="B798" t="s">
        <v>224</v>
      </c>
      <c r="C798" t="s">
        <v>126</v>
      </c>
      <c r="D798" t="s">
        <v>7</v>
      </c>
      <c r="E798" t="s">
        <v>138</v>
      </c>
      <c r="F798" s="1">
        <v>42775</v>
      </c>
      <c r="G798" s="1">
        <v>42897</v>
      </c>
      <c r="H798">
        <v>5724</v>
      </c>
      <c r="I798" t="str">
        <f>IF(COUNTIF(Products!$A$2:$A$8,C798)=0,C798,"")</f>
        <v/>
      </c>
      <c r="J798">
        <f>IF(OR(E798="Prospecting",E798="Engaging"),VLOOKUP(C798,Products!$A$2:$C$8,3,FALSE),0)</f>
        <v>0</v>
      </c>
    </row>
    <row r="799" spans="1:10" x14ac:dyDescent="0.25">
      <c r="A799" t="s">
        <v>966</v>
      </c>
      <c r="B799" t="s">
        <v>164</v>
      </c>
      <c r="C799" t="s">
        <v>127</v>
      </c>
      <c r="D799" t="s">
        <v>59</v>
      </c>
      <c r="E799" t="s">
        <v>159</v>
      </c>
      <c r="F799" s="1">
        <v>42775</v>
      </c>
      <c r="G799" s="1">
        <v>42857</v>
      </c>
      <c r="H799">
        <v>0</v>
      </c>
      <c r="I799" t="str">
        <f>IF(COUNTIF(Products!$A$2:$A$8,C799)=0,C799,"")</f>
        <v/>
      </c>
      <c r="J799">
        <f>IF(OR(E799="Prospecting",E799="Engaging"),VLOOKUP(C799,Products!$A$2:$C$8,3,FALSE),0)</f>
        <v>0</v>
      </c>
    </row>
    <row r="800" spans="1:10" x14ac:dyDescent="0.25">
      <c r="A800" t="s">
        <v>967</v>
      </c>
      <c r="B800" t="s">
        <v>164</v>
      </c>
      <c r="C800" t="s">
        <v>127</v>
      </c>
      <c r="D800" t="s">
        <v>82</v>
      </c>
      <c r="E800" t="s">
        <v>159</v>
      </c>
      <c r="F800" s="1">
        <v>42775</v>
      </c>
      <c r="G800" s="1">
        <v>42866</v>
      </c>
      <c r="H800">
        <v>0</v>
      </c>
      <c r="I800" t="str">
        <f>IF(COUNTIF(Products!$A$2:$A$8,C800)=0,C800,"")</f>
        <v/>
      </c>
      <c r="J800">
        <f>IF(OR(E800="Prospecting",E800="Engaging"),VLOOKUP(C800,Products!$A$2:$C$8,3,FALSE),0)</f>
        <v>0</v>
      </c>
    </row>
    <row r="801" spans="1:10" x14ac:dyDescent="0.25">
      <c r="A801" t="s">
        <v>968</v>
      </c>
      <c r="B801" t="s">
        <v>191</v>
      </c>
      <c r="C801" t="s">
        <v>120</v>
      </c>
      <c r="D801" t="s">
        <v>39</v>
      </c>
      <c r="E801" t="s">
        <v>138</v>
      </c>
      <c r="F801" s="1">
        <v>42775</v>
      </c>
      <c r="G801" s="1">
        <v>42857</v>
      </c>
      <c r="H801">
        <v>516</v>
      </c>
      <c r="I801" t="str">
        <f>IF(COUNTIF(Products!$A$2:$A$8,C801)=0,C801,"")</f>
        <v/>
      </c>
      <c r="J801">
        <f>IF(OR(E801="Prospecting",E801="Engaging"),VLOOKUP(C801,Products!$A$2:$C$8,3,FALSE),0)</f>
        <v>0</v>
      </c>
    </row>
    <row r="802" spans="1:10" x14ac:dyDescent="0.25">
      <c r="A802" t="s">
        <v>969</v>
      </c>
      <c r="B802" t="s">
        <v>205</v>
      </c>
      <c r="C802" t="s">
        <v>127</v>
      </c>
      <c r="D802" t="s">
        <v>85</v>
      </c>
      <c r="E802" t="s">
        <v>138</v>
      </c>
      <c r="F802" s="1">
        <v>42775</v>
      </c>
      <c r="G802" s="1">
        <v>42882</v>
      </c>
      <c r="H802">
        <v>1050</v>
      </c>
      <c r="I802" t="str">
        <f>IF(COUNTIF(Products!$A$2:$A$8,C802)=0,C802,"")</f>
        <v/>
      </c>
      <c r="J802">
        <f>IF(OR(E802="Prospecting",E802="Engaging"),VLOOKUP(C802,Products!$A$2:$C$8,3,FALSE),0)</f>
        <v>0</v>
      </c>
    </row>
    <row r="803" spans="1:10" x14ac:dyDescent="0.25">
      <c r="A803" t="s">
        <v>970</v>
      </c>
      <c r="B803" t="s">
        <v>162</v>
      </c>
      <c r="C803" t="s">
        <v>126</v>
      </c>
      <c r="D803" t="s">
        <v>82</v>
      </c>
      <c r="E803" t="s">
        <v>138</v>
      </c>
      <c r="F803" s="1">
        <v>42775</v>
      </c>
      <c r="G803" s="1">
        <v>42878</v>
      </c>
      <c r="H803">
        <v>4519</v>
      </c>
      <c r="I803" t="str">
        <f>IF(COUNTIF(Products!$A$2:$A$8,C803)=0,C803,"")</f>
        <v/>
      </c>
      <c r="J803">
        <f>IF(OR(E803="Prospecting",E803="Engaging"),VLOOKUP(C803,Products!$A$2:$C$8,3,FALSE),0)</f>
        <v>0</v>
      </c>
    </row>
    <row r="804" spans="1:10" x14ac:dyDescent="0.25">
      <c r="A804" t="s">
        <v>971</v>
      </c>
      <c r="B804" t="s">
        <v>152</v>
      </c>
      <c r="C804" t="s">
        <v>120</v>
      </c>
      <c r="D804" t="s">
        <v>46</v>
      </c>
      <c r="E804" t="s">
        <v>159</v>
      </c>
      <c r="F804" s="1">
        <v>42775</v>
      </c>
      <c r="G804" s="1">
        <v>42880</v>
      </c>
      <c r="H804">
        <v>0</v>
      </c>
      <c r="I804" t="str">
        <f>IF(COUNTIF(Products!$A$2:$A$8,C804)=0,C804,"")</f>
        <v/>
      </c>
      <c r="J804">
        <f>IF(OR(E804="Prospecting",E804="Engaging"),VLOOKUP(C804,Products!$A$2:$C$8,3,FALSE),0)</f>
        <v>0</v>
      </c>
    </row>
    <row r="805" spans="1:10" x14ac:dyDescent="0.25">
      <c r="A805" t="s">
        <v>972</v>
      </c>
      <c r="B805" t="s">
        <v>152</v>
      </c>
      <c r="C805" t="s">
        <v>120</v>
      </c>
      <c r="D805" t="s">
        <v>36</v>
      </c>
      <c r="E805" t="s">
        <v>138</v>
      </c>
      <c r="F805" s="1">
        <v>42775</v>
      </c>
      <c r="G805" s="1">
        <v>42891</v>
      </c>
      <c r="H805">
        <v>672</v>
      </c>
      <c r="I805" t="str">
        <f>IF(COUNTIF(Products!$A$2:$A$8,C805)=0,C805,"")</f>
        <v/>
      </c>
      <c r="J805">
        <f>IF(OR(E805="Prospecting",E805="Engaging"),VLOOKUP(C805,Products!$A$2:$C$8,3,FALSE),0)</f>
        <v>0</v>
      </c>
    </row>
    <row r="806" spans="1:10" x14ac:dyDescent="0.25">
      <c r="A806" t="s">
        <v>973</v>
      </c>
      <c r="B806" t="s">
        <v>193</v>
      </c>
      <c r="C806" t="s">
        <v>127</v>
      </c>
      <c r="D806" t="s">
        <v>73</v>
      </c>
      <c r="E806" t="s">
        <v>138</v>
      </c>
      <c r="F806" s="1">
        <v>42775</v>
      </c>
      <c r="G806" s="1">
        <v>42814</v>
      </c>
      <c r="H806">
        <v>896</v>
      </c>
      <c r="I806" t="str">
        <f>IF(COUNTIF(Products!$A$2:$A$8,C806)=0,C806,"")</f>
        <v/>
      </c>
      <c r="J806">
        <f>IF(OR(E806="Prospecting",E806="Engaging"),VLOOKUP(C806,Products!$A$2:$C$8,3,FALSE),0)</f>
        <v>0</v>
      </c>
    </row>
    <row r="807" spans="1:10" x14ac:dyDescent="0.25">
      <c r="A807" t="s">
        <v>974</v>
      </c>
      <c r="B807" t="s">
        <v>148</v>
      </c>
      <c r="C807" t="s">
        <v>120</v>
      </c>
      <c r="D807" t="s">
        <v>69</v>
      </c>
      <c r="E807" t="s">
        <v>138</v>
      </c>
      <c r="F807" s="1">
        <v>42775</v>
      </c>
      <c r="G807" s="1">
        <v>42817</v>
      </c>
      <c r="H807">
        <v>587</v>
      </c>
      <c r="I807" t="str">
        <f>IF(COUNTIF(Products!$A$2:$A$8,C807)=0,C807,"")</f>
        <v/>
      </c>
      <c r="J807">
        <f>IF(OR(E807="Prospecting",E807="Engaging"),VLOOKUP(C807,Products!$A$2:$C$8,3,FALSE),0)</f>
        <v>0</v>
      </c>
    </row>
    <row r="808" spans="1:10" x14ac:dyDescent="0.25">
      <c r="A808" t="s">
        <v>975</v>
      </c>
      <c r="B808" t="s">
        <v>148</v>
      </c>
      <c r="C808" t="s">
        <v>125</v>
      </c>
      <c r="D808" t="s">
        <v>41</v>
      </c>
      <c r="E808" t="s">
        <v>138</v>
      </c>
      <c r="F808" s="1">
        <v>42775</v>
      </c>
      <c r="G808" s="1">
        <v>42899</v>
      </c>
      <c r="H808">
        <v>3426</v>
      </c>
      <c r="I808" t="str">
        <f>IF(COUNTIF(Products!$A$2:$A$8,C808)=0,C808,"")</f>
        <v/>
      </c>
      <c r="J808">
        <f>IF(OR(E808="Prospecting",E808="Engaging"),VLOOKUP(C808,Products!$A$2:$C$8,3,FALSE),0)</f>
        <v>0</v>
      </c>
    </row>
    <row r="809" spans="1:10" x14ac:dyDescent="0.25">
      <c r="A809" t="s">
        <v>976</v>
      </c>
      <c r="B809" t="s">
        <v>222</v>
      </c>
      <c r="C809" t="s">
        <v>125</v>
      </c>
      <c r="D809" t="s">
        <v>47</v>
      </c>
      <c r="E809" t="s">
        <v>155</v>
      </c>
      <c r="F809" s="1">
        <v>42776</v>
      </c>
      <c r="I809" t="str">
        <f>IF(COUNTIF(Products!$A$2:$A$8,C809)=0,C809,"")</f>
        <v/>
      </c>
      <c r="J809">
        <f>IF(OR(E809="Prospecting",E809="Engaging"),VLOOKUP(C809,Products!$A$2:$C$8,3,FALSE),0)</f>
        <v>3393</v>
      </c>
    </row>
    <row r="810" spans="1:10" x14ac:dyDescent="0.25">
      <c r="A810" t="s">
        <v>977</v>
      </c>
      <c r="B810" t="s">
        <v>207</v>
      </c>
      <c r="C810" t="s">
        <v>122</v>
      </c>
      <c r="D810" t="s">
        <v>80</v>
      </c>
      <c r="E810" t="s">
        <v>138</v>
      </c>
      <c r="F810" s="1">
        <v>42776</v>
      </c>
      <c r="G810" s="1">
        <v>42814</v>
      </c>
      <c r="H810">
        <v>5021</v>
      </c>
      <c r="I810" t="str">
        <f>IF(COUNTIF(Products!$A$2:$A$8,C810)=0,C810,"")</f>
        <v/>
      </c>
      <c r="J810">
        <f>IF(OR(E810="Prospecting",E810="Engaging"),VLOOKUP(C810,Products!$A$2:$C$8,3,FALSE),0)</f>
        <v>0</v>
      </c>
    </row>
    <row r="811" spans="1:10" x14ac:dyDescent="0.25">
      <c r="A811" t="s">
        <v>978</v>
      </c>
      <c r="B811" t="s">
        <v>140</v>
      </c>
      <c r="C811" t="s">
        <v>127</v>
      </c>
      <c r="D811" t="s">
        <v>85</v>
      </c>
      <c r="E811" t="s">
        <v>138</v>
      </c>
      <c r="F811" s="1">
        <v>42776</v>
      </c>
      <c r="G811" s="1">
        <v>42824</v>
      </c>
      <c r="H811">
        <v>1126</v>
      </c>
      <c r="I811" t="str">
        <f>IF(COUNTIF(Products!$A$2:$A$8,C811)=0,C811,"")</f>
        <v/>
      </c>
      <c r="J811">
        <f>IF(OR(E811="Prospecting",E811="Engaging"),VLOOKUP(C811,Products!$A$2:$C$8,3,FALSE),0)</f>
        <v>0</v>
      </c>
    </row>
    <row r="812" spans="1:10" x14ac:dyDescent="0.25">
      <c r="A812" t="s">
        <v>979</v>
      </c>
      <c r="B812" t="s">
        <v>224</v>
      </c>
      <c r="C812" t="s">
        <v>122</v>
      </c>
      <c r="D812" t="s">
        <v>105</v>
      </c>
      <c r="E812" t="s">
        <v>138</v>
      </c>
      <c r="F812" s="1">
        <v>42776</v>
      </c>
      <c r="G812" s="1">
        <v>42870</v>
      </c>
      <c r="H812">
        <v>5473</v>
      </c>
      <c r="I812" t="str">
        <f>IF(COUNTIF(Products!$A$2:$A$8,C812)=0,C812,"")</f>
        <v/>
      </c>
      <c r="J812">
        <f>IF(OR(E812="Prospecting",E812="Engaging"),VLOOKUP(C812,Products!$A$2:$C$8,3,FALSE),0)</f>
        <v>0</v>
      </c>
    </row>
    <row r="813" spans="1:10" x14ac:dyDescent="0.25">
      <c r="A813" t="s">
        <v>980</v>
      </c>
      <c r="B813" t="s">
        <v>173</v>
      </c>
      <c r="C813" t="s">
        <v>123</v>
      </c>
      <c r="D813" t="s">
        <v>100</v>
      </c>
      <c r="E813" t="s">
        <v>159</v>
      </c>
      <c r="F813" s="1">
        <v>42776</v>
      </c>
      <c r="G813" s="1">
        <v>42885</v>
      </c>
      <c r="H813">
        <v>0</v>
      </c>
      <c r="I813" t="str">
        <f>IF(COUNTIF(Products!$A$2:$A$8,C813)=0,C813,"")</f>
        <v/>
      </c>
      <c r="J813">
        <f>IF(OR(E813="Prospecting",E813="Engaging"),VLOOKUP(C813,Products!$A$2:$C$8,3,FALSE),0)</f>
        <v>0</v>
      </c>
    </row>
    <row r="814" spans="1:10" x14ac:dyDescent="0.25">
      <c r="A814" t="s">
        <v>981</v>
      </c>
      <c r="B814" t="s">
        <v>173</v>
      </c>
      <c r="C814" t="s">
        <v>123</v>
      </c>
      <c r="D814" t="s">
        <v>87</v>
      </c>
      <c r="E814" t="s">
        <v>138</v>
      </c>
      <c r="F814" s="1">
        <v>42776</v>
      </c>
      <c r="G814" s="1">
        <v>42864</v>
      </c>
      <c r="H814">
        <v>51</v>
      </c>
      <c r="I814" t="str">
        <f>IF(COUNTIF(Products!$A$2:$A$8,C814)=0,C814,"")</f>
        <v/>
      </c>
      <c r="J814">
        <f>IF(OR(E814="Prospecting",E814="Engaging"),VLOOKUP(C814,Products!$A$2:$C$8,3,FALSE),0)</f>
        <v>0</v>
      </c>
    </row>
    <row r="815" spans="1:10" x14ac:dyDescent="0.25">
      <c r="A815" t="s">
        <v>982</v>
      </c>
      <c r="B815" t="s">
        <v>180</v>
      </c>
      <c r="C815" t="s">
        <v>120</v>
      </c>
      <c r="D815" t="s">
        <v>90</v>
      </c>
      <c r="E815" t="s">
        <v>155</v>
      </c>
      <c r="F815" s="1">
        <v>42776</v>
      </c>
      <c r="I815" t="str">
        <f>IF(COUNTIF(Products!$A$2:$A$8,C815)=0,C815,"")</f>
        <v/>
      </c>
      <c r="J815">
        <f>IF(OR(E815="Prospecting",E815="Engaging"),VLOOKUP(C815,Products!$A$2:$C$8,3,FALSE),0)</f>
        <v>550</v>
      </c>
    </row>
    <row r="816" spans="1:10" x14ac:dyDescent="0.25">
      <c r="A816" t="s">
        <v>983</v>
      </c>
      <c r="B816" t="s">
        <v>180</v>
      </c>
      <c r="C816" t="s">
        <v>120</v>
      </c>
      <c r="D816" t="s">
        <v>41</v>
      </c>
      <c r="E816" t="s">
        <v>138</v>
      </c>
      <c r="F816" s="1">
        <v>42776</v>
      </c>
      <c r="G816" s="1">
        <v>42800</v>
      </c>
      <c r="H816">
        <v>563</v>
      </c>
      <c r="I816" t="str">
        <f>IF(COUNTIF(Products!$A$2:$A$8,C816)=0,C816,"")</f>
        <v/>
      </c>
      <c r="J816">
        <f>IF(OR(E816="Prospecting",E816="Engaging"),VLOOKUP(C816,Products!$A$2:$C$8,3,FALSE),0)</f>
        <v>0</v>
      </c>
    </row>
    <row r="817" spans="1:10" x14ac:dyDescent="0.25">
      <c r="A817" t="s">
        <v>984</v>
      </c>
      <c r="B817" t="s">
        <v>217</v>
      </c>
      <c r="C817" t="s">
        <v>120</v>
      </c>
      <c r="D817" t="s">
        <v>64</v>
      </c>
      <c r="E817" t="s">
        <v>159</v>
      </c>
      <c r="F817" s="1">
        <v>42776</v>
      </c>
      <c r="G817" s="1">
        <v>42881</v>
      </c>
      <c r="H817">
        <v>0</v>
      </c>
      <c r="I817" t="str">
        <f>IF(COUNTIF(Products!$A$2:$A$8,C817)=0,C817,"")</f>
        <v/>
      </c>
      <c r="J817">
        <f>IF(OR(E817="Prospecting",E817="Engaging"),VLOOKUP(C817,Products!$A$2:$C$8,3,FALSE),0)</f>
        <v>0</v>
      </c>
    </row>
    <row r="818" spans="1:10" x14ac:dyDescent="0.25">
      <c r="A818" t="s">
        <v>985</v>
      </c>
      <c r="B818" t="s">
        <v>193</v>
      </c>
      <c r="C818" t="s">
        <v>120</v>
      </c>
      <c r="D818" t="s">
        <v>81</v>
      </c>
      <c r="E818" t="s">
        <v>159</v>
      </c>
      <c r="F818" s="1">
        <v>42776</v>
      </c>
      <c r="G818" s="1">
        <v>42869</v>
      </c>
      <c r="H818">
        <v>0</v>
      </c>
      <c r="I818" t="str">
        <f>IF(COUNTIF(Products!$A$2:$A$8,C818)=0,C818,"")</f>
        <v/>
      </c>
      <c r="J818">
        <f>IF(OR(E818="Prospecting",E818="Engaging"),VLOOKUP(C818,Products!$A$2:$C$8,3,FALSE),0)</f>
        <v>0</v>
      </c>
    </row>
    <row r="819" spans="1:10" x14ac:dyDescent="0.25">
      <c r="A819" t="s">
        <v>986</v>
      </c>
      <c r="B819" t="s">
        <v>193</v>
      </c>
      <c r="C819" t="s">
        <v>125</v>
      </c>
      <c r="D819" t="s">
        <v>67</v>
      </c>
      <c r="E819" t="s">
        <v>138</v>
      </c>
      <c r="F819" s="1">
        <v>42776</v>
      </c>
      <c r="G819" s="1">
        <v>42901</v>
      </c>
      <c r="H819">
        <v>2928</v>
      </c>
      <c r="I819" t="str">
        <f>IF(COUNTIF(Products!$A$2:$A$8,C819)=0,C819,"")</f>
        <v/>
      </c>
      <c r="J819">
        <f>IF(OR(E819="Prospecting",E819="Engaging"),VLOOKUP(C819,Products!$A$2:$C$8,3,FALSE),0)</f>
        <v>0</v>
      </c>
    </row>
    <row r="820" spans="1:10" x14ac:dyDescent="0.25">
      <c r="A820" t="s">
        <v>987</v>
      </c>
      <c r="B820" t="s">
        <v>193</v>
      </c>
      <c r="C820" t="s">
        <v>125</v>
      </c>
      <c r="D820" t="s">
        <v>111</v>
      </c>
      <c r="E820" t="s">
        <v>138</v>
      </c>
      <c r="F820" s="1">
        <v>42776</v>
      </c>
      <c r="G820" s="1">
        <v>42891</v>
      </c>
      <c r="H820">
        <v>3618</v>
      </c>
      <c r="I820" t="str">
        <f>IF(COUNTIF(Products!$A$2:$A$8,C820)=0,C820,"")</f>
        <v/>
      </c>
      <c r="J820">
        <f>IF(OR(E820="Prospecting",E820="Engaging"),VLOOKUP(C820,Products!$A$2:$C$8,3,FALSE),0)</f>
        <v>0</v>
      </c>
    </row>
    <row r="821" spans="1:10" x14ac:dyDescent="0.25">
      <c r="A821" t="s">
        <v>988</v>
      </c>
      <c r="B821" t="s">
        <v>140</v>
      </c>
      <c r="C821" t="s">
        <v>127</v>
      </c>
      <c r="D821" t="s">
        <v>32</v>
      </c>
      <c r="E821" t="s">
        <v>138</v>
      </c>
      <c r="F821" s="1">
        <v>42777</v>
      </c>
      <c r="G821" s="1">
        <v>42871</v>
      </c>
      <c r="H821">
        <v>1189</v>
      </c>
      <c r="I821" t="str">
        <f>IF(COUNTIF(Products!$A$2:$A$8,C821)=0,C821,"")</f>
        <v/>
      </c>
      <c r="J821">
        <f>IF(OR(E821="Prospecting",E821="Engaging"),VLOOKUP(C821,Products!$A$2:$C$8,3,FALSE),0)</f>
        <v>0</v>
      </c>
    </row>
    <row r="822" spans="1:10" x14ac:dyDescent="0.25">
      <c r="A822" t="s">
        <v>989</v>
      </c>
      <c r="B822" t="s">
        <v>224</v>
      </c>
      <c r="C822" t="s">
        <v>120</v>
      </c>
      <c r="D822" t="s">
        <v>35</v>
      </c>
      <c r="E822" t="s">
        <v>159</v>
      </c>
      <c r="F822" s="1">
        <v>42777</v>
      </c>
      <c r="G822" s="1">
        <v>42862</v>
      </c>
      <c r="H822">
        <v>0</v>
      </c>
      <c r="I822" t="str">
        <f>IF(COUNTIF(Products!$A$2:$A$8,C822)=0,C822,"")</f>
        <v/>
      </c>
      <c r="J822">
        <f>IF(OR(E822="Prospecting",E822="Engaging"),VLOOKUP(C822,Products!$A$2:$C$8,3,FALSE),0)</f>
        <v>0</v>
      </c>
    </row>
    <row r="823" spans="1:10" x14ac:dyDescent="0.25">
      <c r="A823" t="s">
        <v>990</v>
      </c>
      <c r="B823" t="s">
        <v>173</v>
      </c>
      <c r="C823" t="s">
        <v>123</v>
      </c>
      <c r="D823" t="s">
        <v>60</v>
      </c>
      <c r="E823" t="s">
        <v>138</v>
      </c>
      <c r="F823" s="1">
        <v>42777</v>
      </c>
      <c r="G823" s="1">
        <v>42877</v>
      </c>
      <c r="H823">
        <v>60</v>
      </c>
      <c r="I823" t="str">
        <f>IF(COUNTIF(Products!$A$2:$A$8,C823)=0,C823,"")</f>
        <v/>
      </c>
      <c r="J823">
        <f>IF(OR(E823="Prospecting",E823="Engaging"),VLOOKUP(C823,Products!$A$2:$C$8,3,FALSE),0)</f>
        <v>0</v>
      </c>
    </row>
    <row r="824" spans="1:10" x14ac:dyDescent="0.25">
      <c r="A824" t="s">
        <v>991</v>
      </c>
      <c r="B824" t="s">
        <v>154</v>
      </c>
      <c r="C824" t="s">
        <v>126</v>
      </c>
      <c r="E824" t="s">
        <v>155</v>
      </c>
      <c r="F824" s="1">
        <v>42777</v>
      </c>
      <c r="I824" t="str">
        <f>IF(COUNTIF(Products!$A$2:$A$8,C824)=0,C824,"")</f>
        <v/>
      </c>
      <c r="J824">
        <f>IF(OR(E824="Prospecting",E824="Engaging"),VLOOKUP(C824,Products!$A$2:$C$8,3,FALSE),0)</f>
        <v>5482</v>
      </c>
    </row>
    <row r="825" spans="1:10" x14ac:dyDescent="0.25">
      <c r="A825" t="s">
        <v>992</v>
      </c>
      <c r="B825" t="s">
        <v>303</v>
      </c>
      <c r="C825" t="s">
        <v>127</v>
      </c>
      <c r="D825" t="s">
        <v>95</v>
      </c>
      <c r="E825" t="s">
        <v>159</v>
      </c>
      <c r="F825" s="1">
        <v>42777</v>
      </c>
      <c r="G825" s="1">
        <v>42866</v>
      </c>
      <c r="H825">
        <v>0</v>
      </c>
      <c r="I825" t="str">
        <f>IF(COUNTIF(Products!$A$2:$A$8,C825)=0,C825,"")</f>
        <v/>
      </c>
      <c r="J825">
        <f>IF(OR(E825="Prospecting",E825="Engaging"),VLOOKUP(C825,Products!$A$2:$C$8,3,FALSE),0)</f>
        <v>0</v>
      </c>
    </row>
    <row r="826" spans="1:10" x14ac:dyDescent="0.25">
      <c r="A826" t="s">
        <v>993</v>
      </c>
      <c r="B826" t="s">
        <v>180</v>
      </c>
      <c r="C826" t="s">
        <v>120</v>
      </c>
      <c r="D826" t="s">
        <v>23</v>
      </c>
      <c r="E826" t="s">
        <v>138</v>
      </c>
      <c r="F826" s="1">
        <v>42777</v>
      </c>
      <c r="G826" s="1">
        <v>42908</v>
      </c>
      <c r="H826">
        <v>545</v>
      </c>
      <c r="I826" t="str">
        <f>IF(COUNTIF(Products!$A$2:$A$8,C826)=0,C826,"")</f>
        <v/>
      </c>
      <c r="J826">
        <f>IF(OR(E826="Prospecting",E826="Engaging"),VLOOKUP(C826,Products!$A$2:$C$8,3,FALSE),0)</f>
        <v>0</v>
      </c>
    </row>
    <row r="827" spans="1:10" x14ac:dyDescent="0.25">
      <c r="A827" t="s">
        <v>994</v>
      </c>
      <c r="B827" t="s">
        <v>180</v>
      </c>
      <c r="C827" t="s">
        <v>125</v>
      </c>
      <c r="D827" t="s">
        <v>71</v>
      </c>
      <c r="E827" t="s">
        <v>138</v>
      </c>
      <c r="F827" s="1">
        <v>42777</v>
      </c>
      <c r="G827" s="1">
        <v>42867</v>
      </c>
      <c r="H827">
        <v>3035</v>
      </c>
      <c r="I827" t="str">
        <f>IF(COUNTIF(Products!$A$2:$A$8,C827)=0,C827,"")</f>
        <v/>
      </c>
      <c r="J827">
        <f>IF(OR(E827="Prospecting",E827="Engaging"),VLOOKUP(C827,Products!$A$2:$C$8,3,FALSE),0)</f>
        <v>0</v>
      </c>
    </row>
    <row r="828" spans="1:10" x14ac:dyDescent="0.25">
      <c r="A828" t="s">
        <v>995</v>
      </c>
      <c r="B828" t="s">
        <v>191</v>
      </c>
      <c r="C828" t="s">
        <v>120</v>
      </c>
      <c r="E828" t="s">
        <v>155</v>
      </c>
      <c r="F828" s="1">
        <v>42777</v>
      </c>
      <c r="I828" t="str">
        <f>IF(COUNTIF(Products!$A$2:$A$8,C828)=0,C828,"")</f>
        <v/>
      </c>
      <c r="J828">
        <f>IF(OR(E828="Prospecting",E828="Engaging"),VLOOKUP(C828,Products!$A$2:$C$8,3,FALSE),0)</f>
        <v>550</v>
      </c>
    </row>
    <row r="829" spans="1:10" x14ac:dyDescent="0.25">
      <c r="A829" t="s">
        <v>996</v>
      </c>
      <c r="B829" t="s">
        <v>191</v>
      </c>
      <c r="C829" t="s">
        <v>120</v>
      </c>
      <c r="D829" t="s">
        <v>69</v>
      </c>
      <c r="E829" t="s">
        <v>138</v>
      </c>
      <c r="F829" s="1">
        <v>42777</v>
      </c>
      <c r="G829" s="1">
        <v>42909</v>
      </c>
      <c r="H829">
        <v>584</v>
      </c>
      <c r="I829" t="str">
        <f>IF(COUNTIF(Products!$A$2:$A$8,C829)=0,C829,"")</f>
        <v/>
      </c>
      <c r="J829">
        <f>IF(OR(E829="Prospecting",E829="Engaging"),VLOOKUP(C829,Products!$A$2:$C$8,3,FALSE),0)</f>
        <v>0</v>
      </c>
    </row>
    <row r="830" spans="1:10" x14ac:dyDescent="0.25">
      <c r="A830" t="s">
        <v>997</v>
      </c>
      <c r="B830" t="s">
        <v>150</v>
      </c>
      <c r="C830" t="s">
        <v>123</v>
      </c>
      <c r="D830" t="s">
        <v>90</v>
      </c>
      <c r="E830" t="s">
        <v>159</v>
      </c>
      <c r="F830" s="1">
        <v>42777</v>
      </c>
      <c r="G830" s="1">
        <v>42870</v>
      </c>
      <c r="H830">
        <v>0</v>
      </c>
      <c r="I830" t="str">
        <f>IF(COUNTIF(Products!$A$2:$A$8,C830)=0,C830,"")</f>
        <v/>
      </c>
      <c r="J830">
        <f>IF(OR(E830="Prospecting",E830="Engaging"),VLOOKUP(C830,Products!$A$2:$C$8,3,FALSE),0)</f>
        <v>0</v>
      </c>
    </row>
    <row r="831" spans="1:10" x14ac:dyDescent="0.25">
      <c r="A831" t="s">
        <v>998</v>
      </c>
      <c r="B831" t="s">
        <v>162</v>
      </c>
      <c r="C831" t="s">
        <v>127</v>
      </c>
      <c r="D831" t="s">
        <v>23</v>
      </c>
      <c r="E831" t="s">
        <v>138</v>
      </c>
      <c r="F831" s="1">
        <v>42777</v>
      </c>
      <c r="G831" s="1">
        <v>42909</v>
      </c>
      <c r="H831">
        <v>1069</v>
      </c>
      <c r="I831" t="str">
        <f>IF(COUNTIF(Products!$A$2:$A$8,C831)=0,C831,"")</f>
        <v/>
      </c>
      <c r="J831">
        <f>IF(OR(E831="Prospecting",E831="Engaging"),VLOOKUP(C831,Products!$A$2:$C$8,3,FALSE),0)</f>
        <v>0</v>
      </c>
    </row>
    <row r="832" spans="1:10" x14ac:dyDescent="0.25">
      <c r="A832" t="s">
        <v>999</v>
      </c>
      <c r="B832" t="s">
        <v>162</v>
      </c>
      <c r="C832" t="s">
        <v>127</v>
      </c>
      <c r="D832" t="s">
        <v>107</v>
      </c>
      <c r="E832" t="s">
        <v>138</v>
      </c>
      <c r="F832" s="1">
        <v>42777</v>
      </c>
      <c r="G832" s="1">
        <v>42908</v>
      </c>
      <c r="H832">
        <v>1035</v>
      </c>
      <c r="I832" t="str">
        <f>IF(COUNTIF(Products!$A$2:$A$8,C832)=0,C832,"")</f>
        <v/>
      </c>
      <c r="J832">
        <f>IF(OR(E832="Prospecting",E832="Engaging"),VLOOKUP(C832,Products!$A$2:$C$8,3,FALSE),0)</f>
        <v>0</v>
      </c>
    </row>
    <row r="833" spans="1:10" x14ac:dyDescent="0.25">
      <c r="A833" t="s">
        <v>1000</v>
      </c>
      <c r="B833" t="s">
        <v>166</v>
      </c>
      <c r="C833" t="s">
        <v>125</v>
      </c>
      <c r="D833" t="s">
        <v>47</v>
      </c>
      <c r="E833" t="s">
        <v>155</v>
      </c>
      <c r="F833" s="1">
        <v>42777</v>
      </c>
      <c r="I833" t="str">
        <f>IF(COUNTIF(Products!$A$2:$A$8,C833)=0,C833,"")</f>
        <v/>
      </c>
      <c r="J833">
        <f>IF(OR(E833="Prospecting",E833="Engaging"),VLOOKUP(C833,Products!$A$2:$C$8,3,FALSE),0)</f>
        <v>3393</v>
      </c>
    </row>
    <row r="834" spans="1:10" x14ac:dyDescent="0.25">
      <c r="A834" t="s">
        <v>1001</v>
      </c>
      <c r="B834" t="s">
        <v>187</v>
      </c>
      <c r="C834" t="s">
        <v>122</v>
      </c>
      <c r="D834" t="s">
        <v>48</v>
      </c>
      <c r="E834" t="s">
        <v>159</v>
      </c>
      <c r="F834" s="1">
        <v>42777</v>
      </c>
      <c r="G834" s="1">
        <v>42796</v>
      </c>
      <c r="H834">
        <v>0</v>
      </c>
      <c r="I834" t="str">
        <f>IF(COUNTIF(Products!$A$2:$A$8,C834)=0,C834,"")</f>
        <v/>
      </c>
      <c r="J834">
        <f>IF(OR(E834="Prospecting",E834="Engaging"),VLOOKUP(C834,Products!$A$2:$C$8,3,FALSE),0)</f>
        <v>0</v>
      </c>
    </row>
    <row r="835" spans="1:10" x14ac:dyDescent="0.25">
      <c r="A835" t="s">
        <v>1002</v>
      </c>
      <c r="B835" t="s">
        <v>148</v>
      </c>
      <c r="C835" t="s">
        <v>122</v>
      </c>
      <c r="D835" t="s">
        <v>90</v>
      </c>
      <c r="E835" t="s">
        <v>138</v>
      </c>
      <c r="F835" s="1">
        <v>42777</v>
      </c>
      <c r="G835" s="1">
        <v>42818</v>
      </c>
      <c r="H835">
        <v>4510</v>
      </c>
      <c r="I835" t="str">
        <f>IF(COUNTIF(Products!$A$2:$A$8,C835)=0,C835,"")</f>
        <v/>
      </c>
      <c r="J835">
        <f>IF(OR(E835="Prospecting",E835="Engaging"),VLOOKUP(C835,Products!$A$2:$C$8,3,FALSE),0)</f>
        <v>0</v>
      </c>
    </row>
    <row r="836" spans="1:10" x14ac:dyDescent="0.25">
      <c r="A836" t="s">
        <v>1003</v>
      </c>
      <c r="B836" t="s">
        <v>177</v>
      </c>
      <c r="C836" t="s">
        <v>127</v>
      </c>
      <c r="D836" t="s">
        <v>106</v>
      </c>
      <c r="E836" t="s">
        <v>159</v>
      </c>
      <c r="F836" s="1">
        <v>42777</v>
      </c>
      <c r="G836" s="1">
        <v>42891</v>
      </c>
      <c r="H836">
        <v>0</v>
      </c>
      <c r="I836" t="str">
        <f>IF(COUNTIF(Products!$A$2:$A$8,C836)=0,C836,"")</f>
        <v/>
      </c>
      <c r="J836">
        <f>IF(OR(E836="Prospecting",E836="Engaging"),VLOOKUP(C836,Products!$A$2:$C$8,3,FALSE),0)</f>
        <v>0</v>
      </c>
    </row>
    <row r="837" spans="1:10" x14ac:dyDescent="0.25">
      <c r="A837" t="s">
        <v>1004</v>
      </c>
      <c r="B837" t="s">
        <v>177</v>
      </c>
      <c r="C837" t="s">
        <v>123</v>
      </c>
      <c r="D837" t="s">
        <v>115</v>
      </c>
      <c r="E837" t="s">
        <v>138</v>
      </c>
      <c r="F837" s="1">
        <v>42777</v>
      </c>
      <c r="G837" s="1">
        <v>42863</v>
      </c>
      <c r="H837">
        <v>49</v>
      </c>
      <c r="I837" t="str">
        <f>IF(COUNTIF(Products!$A$2:$A$8,C837)=0,C837,"")</f>
        <v/>
      </c>
      <c r="J837">
        <f>IF(OR(E837="Prospecting",E837="Engaging"),VLOOKUP(C837,Products!$A$2:$C$8,3,FALSE),0)</f>
        <v>0</v>
      </c>
    </row>
    <row r="838" spans="1:10" x14ac:dyDescent="0.25">
      <c r="A838" t="s">
        <v>1005</v>
      </c>
      <c r="B838" t="s">
        <v>146</v>
      </c>
      <c r="C838" t="s">
        <v>123</v>
      </c>
      <c r="D838" t="s">
        <v>89</v>
      </c>
      <c r="E838" t="s">
        <v>138</v>
      </c>
      <c r="F838" s="1">
        <v>42778</v>
      </c>
      <c r="G838" s="1">
        <v>42893</v>
      </c>
      <c r="H838">
        <v>59</v>
      </c>
      <c r="I838" t="str">
        <f>IF(COUNTIF(Products!$A$2:$A$8,C838)=0,C838,"")</f>
        <v/>
      </c>
      <c r="J838">
        <f>IF(OR(E838="Prospecting",E838="Engaging"),VLOOKUP(C838,Products!$A$2:$C$8,3,FALSE),0)</f>
        <v>0</v>
      </c>
    </row>
    <row r="839" spans="1:10" x14ac:dyDescent="0.25">
      <c r="A839" t="s">
        <v>1006</v>
      </c>
      <c r="B839" t="s">
        <v>207</v>
      </c>
      <c r="C839" t="s">
        <v>122</v>
      </c>
      <c r="D839" t="s">
        <v>67</v>
      </c>
      <c r="E839" t="s">
        <v>138</v>
      </c>
      <c r="F839" s="1">
        <v>42778</v>
      </c>
      <c r="G839" s="1">
        <v>42798</v>
      </c>
      <c r="H839">
        <v>4705</v>
      </c>
      <c r="I839" t="str">
        <f>IF(COUNTIF(Products!$A$2:$A$8,C839)=0,C839,"")</f>
        <v/>
      </c>
      <c r="J839">
        <f>IF(OR(E839="Prospecting",E839="Engaging"),VLOOKUP(C839,Products!$A$2:$C$8,3,FALSE),0)</f>
        <v>0</v>
      </c>
    </row>
    <row r="840" spans="1:10" x14ac:dyDescent="0.25">
      <c r="A840" t="s">
        <v>1007</v>
      </c>
      <c r="B840" t="s">
        <v>264</v>
      </c>
      <c r="C840" t="s">
        <v>126</v>
      </c>
      <c r="D840" t="s">
        <v>116</v>
      </c>
      <c r="E840" t="s">
        <v>138</v>
      </c>
      <c r="F840" s="1">
        <v>42778</v>
      </c>
      <c r="G840" s="1">
        <v>42889</v>
      </c>
      <c r="H840">
        <v>5148</v>
      </c>
      <c r="I840" t="str">
        <f>IF(COUNTIF(Products!$A$2:$A$8,C840)=0,C840,"")</f>
        <v/>
      </c>
      <c r="J840">
        <f>IF(OR(E840="Prospecting",E840="Engaging"),VLOOKUP(C840,Products!$A$2:$C$8,3,FALSE),0)</f>
        <v>0</v>
      </c>
    </row>
    <row r="841" spans="1:10" x14ac:dyDescent="0.25">
      <c r="A841" t="s">
        <v>1008</v>
      </c>
      <c r="B841" t="s">
        <v>239</v>
      </c>
      <c r="C841" t="s">
        <v>122</v>
      </c>
      <c r="D841" t="s">
        <v>48</v>
      </c>
      <c r="E841" t="s">
        <v>138</v>
      </c>
      <c r="F841" s="1">
        <v>42778</v>
      </c>
      <c r="G841" s="1">
        <v>42863</v>
      </c>
      <c r="H841">
        <v>4833</v>
      </c>
      <c r="I841" t="str">
        <f>IF(COUNTIF(Products!$A$2:$A$8,C841)=0,C841,"")</f>
        <v/>
      </c>
      <c r="J841">
        <f>IF(OR(E841="Prospecting",E841="Engaging"),VLOOKUP(C841,Products!$A$2:$C$8,3,FALSE),0)</f>
        <v>0</v>
      </c>
    </row>
    <row r="842" spans="1:10" x14ac:dyDescent="0.25">
      <c r="A842" t="s">
        <v>1009</v>
      </c>
      <c r="B842" t="s">
        <v>171</v>
      </c>
      <c r="C842" t="s">
        <v>122</v>
      </c>
      <c r="D842" t="s">
        <v>73</v>
      </c>
      <c r="E842" t="s">
        <v>138</v>
      </c>
      <c r="F842" s="1">
        <v>42778</v>
      </c>
      <c r="G842" s="1">
        <v>42886</v>
      </c>
      <c r="H842">
        <v>4664</v>
      </c>
      <c r="I842" t="str">
        <f>IF(COUNTIF(Products!$A$2:$A$8,C842)=0,C842,"")</f>
        <v/>
      </c>
      <c r="J842">
        <f>IF(OR(E842="Prospecting",E842="Engaging"),VLOOKUP(C842,Products!$A$2:$C$8,3,FALSE),0)</f>
        <v>0</v>
      </c>
    </row>
    <row r="843" spans="1:10" x14ac:dyDescent="0.25">
      <c r="A843" t="s">
        <v>1010</v>
      </c>
      <c r="B843" t="s">
        <v>224</v>
      </c>
      <c r="C843" t="s">
        <v>120</v>
      </c>
      <c r="D843" t="s">
        <v>84</v>
      </c>
      <c r="E843" t="s">
        <v>138</v>
      </c>
      <c r="F843" s="1">
        <v>42778</v>
      </c>
      <c r="G843" s="1">
        <v>42867</v>
      </c>
      <c r="H843">
        <v>475</v>
      </c>
      <c r="I843" t="str">
        <f>IF(COUNTIF(Products!$A$2:$A$8,C843)=0,C843,"")</f>
        <v/>
      </c>
      <c r="J843">
        <f>IF(OR(E843="Prospecting",E843="Engaging"),VLOOKUP(C843,Products!$A$2:$C$8,3,FALSE),0)</f>
        <v>0</v>
      </c>
    </row>
    <row r="844" spans="1:10" x14ac:dyDescent="0.25">
      <c r="A844" t="s">
        <v>1011</v>
      </c>
      <c r="B844" t="s">
        <v>164</v>
      </c>
      <c r="C844" t="s">
        <v>127</v>
      </c>
      <c r="E844" t="s">
        <v>155</v>
      </c>
      <c r="F844" s="1">
        <v>42778</v>
      </c>
      <c r="I844" t="str">
        <f>IF(COUNTIF(Products!$A$2:$A$8,C844)=0,C844,"")</f>
        <v/>
      </c>
      <c r="J844">
        <f>IF(OR(E844="Prospecting",E844="Engaging"),VLOOKUP(C844,Products!$A$2:$C$8,3,FALSE),0)</f>
        <v>1096</v>
      </c>
    </row>
    <row r="845" spans="1:10" x14ac:dyDescent="0.25">
      <c r="A845" t="s">
        <v>1012</v>
      </c>
      <c r="B845" t="s">
        <v>164</v>
      </c>
      <c r="C845" t="s">
        <v>125</v>
      </c>
      <c r="D845" t="s">
        <v>71</v>
      </c>
      <c r="E845" t="s">
        <v>138</v>
      </c>
      <c r="F845" s="1">
        <v>42778</v>
      </c>
      <c r="G845" s="1">
        <v>42899</v>
      </c>
      <c r="H845">
        <v>3807</v>
      </c>
      <c r="I845" t="str">
        <f>IF(COUNTIF(Products!$A$2:$A$8,C845)=0,C845,"")</f>
        <v/>
      </c>
      <c r="J845">
        <f>IF(OR(E845="Prospecting",E845="Engaging"),VLOOKUP(C845,Products!$A$2:$C$8,3,FALSE),0)</f>
        <v>0</v>
      </c>
    </row>
    <row r="846" spans="1:10" x14ac:dyDescent="0.25">
      <c r="A846" t="s">
        <v>1013</v>
      </c>
      <c r="B846" t="s">
        <v>154</v>
      </c>
      <c r="C846" t="s">
        <v>120</v>
      </c>
      <c r="D846" t="s">
        <v>39</v>
      </c>
      <c r="E846" t="s">
        <v>155</v>
      </c>
      <c r="F846" s="1">
        <v>42778</v>
      </c>
      <c r="I846" t="str">
        <f>IF(COUNTIF(Products!$A$2:$A$8,C846)=0,C846,"")</f>
        <v/>
      </c>
      <c r="J846">
        <f>IF(OR(E846="Prospecting",E846="Engaging"),VLOOKUP(C846,Products!$A$2:$C$8,3,FALSE),0)</f>
        <v>550</v>
      </c>
    </row>
    <row r="847" spans="1:10" x14ac:dyDescent="0.25">
      <c r="A847" t="s">
        <v>1014</v>
      </c>
      <c r="B847" t="s">
        <v>303</v>
      </c>
      <c r="C847" t="s">
        <v>120</v>
      </c>
      <c r="D847" t="s">
        <v>94</v>
      </c>
      <c r="E847" t="s">
        <v>138</v>
      </c>
      <c r="F847" s="1">
        <v>42778</v>
      </c>
      <c r="G847" s="1">
        <v>42876</v>
      </c>
      <c r="H847">
        <v>518</v>
      </c>
      <c r="I847" t="str">
        <f>IF(COUNTIF(Products!$A$2:$A$8,C847)=0,C847,"")</f>
        <v/>
      </c>
      <c r="J847">
        <f>IF(OR(E847="Prospecting",E847="Engaging"),VLOOKUP(C847,Products!$A$2:$C$8,3,FALSE),0)</f>
        <v>0</v>
      </c>
    </row>
    <row r="848" spans="1:10" x14ac:dyDescent="0.25">
      <c r="A848" t="s">
        <v>1015</v>
      </c>
      <c r="B848" t="s">
        <v>180</v>
      </c>
      <c r="C848" t="s">
        <v>127</v>
      </c>
      <c r="D848" t="s">
        <v>29</v>
      </c>
      <c r="E848" t="s">
        <v>138</v>
      </c>
      <c r="F848" s="1">
        <v>42778</v>
      </c>
      <c r="G848" s="1">
        <v>42864</v>
      </c>
      <c r="H848">
        <v>1050</v>
      </c>
      <c r="I848" t="str">
        <f>IF(COUNTIF(Products!$A$2:$A$8,C848)=0,C848,"")</f>
        <v/>
      </c>
      <c r="J848">
        <f>IF(OR(E848="Prospecting",E848="Engaging"),VLOOKUP(C848,Products!$A$2:$C$8,3,FALSE),0)</f>
        <v>0</v>
      </c>
    </row>
    <row r="849" spans="1:10" x14ac:dyDescent="0.25">
      <c r="A849" t="s">
        <v>1016</v>
      </c>
      <c r="B849" t="s">
        <v>162</v>
      </c>
      <c r="C849" t="s">
        <v>122</v>
      </c>
      <c r="D849" t="s">
        <v>109</v>
      </c>
      <c r="E849" t="s">
        <v>138</v>
      </c>
      <c r="F849" s="1">
        <v>42778</v>
      </c>
      <c r="G849" s="1">
        <v>42879</v>
      </c>
      <c r="H849">
        <v>4596</v>
      </c>
      <c r="I849" t="str">
        <f>IF(COUNTIF(Products!$A$2:$A$8,C849)=0,C849,"")</f>
        <v/>
      </c>
      <c r="J849">
        <f>IF(OR(E849="Prospecting",E849="Engaging"),VLOOKUP(C849,Products!$A$2:$C$8,3,FALSE),0)</f>
        <v>0</v>
      </c>
    </row>
    <row r="850" spans="1:10" x14ac:dyDescent="0.25">
      <c r="A850" t="s">
        <v>1017</v>
      </c>
      <c r="B850" t="s">
        <v>166</v>
      </c>
      <c r="C850" t="s">
        <v>125</v>
      </c>
      <c r="D850" t="s">
        <v>23</v>
      </c>
      <c r="E850" t="s">
        <v>155</v>
      </c>
      <c r="F850" s="1">
        <v>42778</v>
      </c>
      <c r="I850" t="str">
        <f>IF(COUNTIF(Products!$A$2:$A$8,C850)=0,C850,"")</f>
        <v/>
      </c>
      <c r="J850">
        <f>IF(OR(E850="Prospecting",E850="Engaging"),VLOOKUP(C850,Products!$A$2:$C$8,3,FALSE),0)</f>
        <v>3393</v>
      </c>
    </row>
    <row r="851" spans="1:10" x14ac:dyDescent="0.25">
      <c r="A851" t="s">
        <v>1018</v>
      </c>
      <c r="B851" t="s">
        <v>177</v>
      </c>
      <c r="C851" t="s">
        <v>123</v>
      </c>
      <c r="E851" t="s">
        <v>155</v>
      </c>
      <c r="F851" s="1">
        <v>42778</v>
      </c>
      <c r="I851" t="str">
        <f>IF(COUNTIF(Products!$A$2:$A$8,C851)=0,C851,"")</f>
        <v/>
      </c>
      <c r="J851">
        <f>IF(OR(E851="Prospecting",E851="Engaging"),VLOOKUP(C851,Products!$A$2:$C$8,3,FALSE),0)</f>
        <v>55</v>
      </c>
    </row>
    <row r="852" spans="1:10" x14ac:dyDescent="0.25">
      <c r="A852" t="s">
        <v>1019</v>
      </c>
      <c r="B852" t="s">
        <v>144</v>
      </c>
      <c r="C852" t="s">
        <v>120</v>
      </c>
      <c r="D852" t="s">
        <v>109</v>
      </c>
      <c r="E852" t="s">
        <v>138</v>
      </c>
      <c r="F852" s="1">
        <v>42778</v>
      </c>
      <c r="G852" s="1">
        <v>42860</v>
      </c>
      <c r="H852">
        <v>618</v>
      </c>
      <c r="I852" t="str">
        <f>IF(COUNTIF(Products!$A$2:$A$8,C852)=0,C852,"")</f>
        <v/>
      </c>
      <c r="J852">
        <f>IF(OR(E852="Prospecting",E852="Engaging"),VLOOKUP(C852,Products!$A$2:$C$8,3,FALSE),0)</f>
        <v>0</v>
      </c>
    </row>
    <row r="853" spans="1:10" x14ac:dyDescent="0.25">
      <c r="A853" t="s">
        <v>1020</v>
      </c>
      <c r="B853" t="s">
        <v>144</v>
      </c>
      <c r="C853" t="s">
        <v>125</v>
      </c>
      <c r="D853" t="s">
        <v>93</v>
      </c>
      <c r="E853" t="s">
        <v>138</v>
      </c>
      <c r="F853" s="1">
        <v>42778</v>
      </c>
      <c r="G853" s="1">
        <v>42857</v>
      </c>
      <c r="H853">
        <v>3460</v>
      </c>
      <c r="I853" t="str">
        <f>IF(COUNTIF(Products!$A$2:$A$8,C853)=0,C853,"")</f>
        <v/>
      </c>
      <c r="J853">
        <f>IF(OR(E853="Prospecting",E853="Engaging"),VLOOKUP(C853,Products!$A$2:$C$8,3,FALSE),0)</f>
        <v>0</v>
      </c>
    </row>
    <row r="854" spans="1:10" x14ac:dyDescent="0.25">
      <c r="A854" t="s">
        <v>1021</v>
      </c>
      <c r="B854" t="s">
        <v>171</v>
      </c>
      <c r="C854" t="s">
        <v>126</v>
      </c>
      <c r="D854" t="s">
        <v>80</v>
      </c>
      <c r="E854" t="s">
        <v>138</v>
      </c>
      <c r="F854" s="1">
        <v>42779</v>
      </c>
      <c r="G854" s="1">
        <v>42876</v>
      </c>
      <c r="H854">
        <v>5751</v>
      </c>
      <c r="I854" t="str">
        <f>IF(COUNTIF(Products!$A$2:$A$8,C854)=0,C854,"")</f>
        <v/>
      </c>
      <c r="J854">
        <f>IF(OR(E854="Prospecting",E854="Engaging"),VLOOKUP(C854,Products!$A$2:$C$8,3,FALSE),0)</f>
        <v>0</v>
      </c>
    </row>
    <row r="855" spans="1:10" x14ac:dyDescent="0.25">
      <c r="A855" t="s">
        <v>1022</v>
      </c>
      <c r="B855" t="s">
        <v>140</v>
      </c>
      <c r="C855" t="s">
        <v>126</v>
      </c>
      <c r="D855" t="s">
        <v>70</v>
      </c>
      <c r="E855" t="s">
        <v>138</v>
      </c>
      <c r="F855" s="1">
        <v>42779</v>
      </c>
      <c r="G855" s="1">
        <v>42883</v>
      </c>
      <c r="H855">
        <v>5639</v>
      </c>
      <c r="I855" t="str">
        <f>IF(COUNTIF(Products!$A$2:$A$8,C855)=0,C855,"")</f>
        <v/>
      </c>
      <c r="J855">
        <f>IF(OR(E855="Prospecting",E855="Engaging"),VLOOKUP(C855,Products!$A$2:$C$8,3,FALSE),0)</f>
        <v>0</v>
      </c>
    </row>
    <row r="856" spans="1:10" x14ac:dyDescent="0.25">
      <c r="A856" t="s">
        <v>1023</v>
      </c>
      <c r="B856" t="s">
        <v>224</v>
      </c>
      <c r="C856" t="s">
        <v>126</v>
      </c>
      <c r="D856" t="s">
        <v>16</v>
      </c>
      <c r="E856" t="s">
        <v>159</v>
      </c>
      <c r="F856" s="1">
        <v>42779</v>
      </c>
      <c r="G856" s="1">
        <v>42888</v>
      </c>
      <c r="H856">
        <v>0</v>
      </c>
      <c r="I856" t="str">
        <f>IF(COUNTIF(Products!$A$2:$A$8,C856)=0,C856,"")</f>
        <v/>
      </c>
      <c r="J856">
        <f>IF(OR(E856="Prospecting",E856="Engaging"),VLOOKUP(C856,Products!$A$2:$C$8,3,FALSE),0)</f>
        <v>0</v>
      </c>
    </row>
    <row r="857" spans="1:10" x14ac:dyDescent="0.25">
      <c r="A857" t="s">
        <v>1024</v>
      </c>
      <c r="B857" t="s">
        <v>198</v>
      </c>
      <c r="C857" t="s">
        <v>126</v>
      </c>
      <c r="D857" t="s">
        <v>112</v>
      </c>
      <c r="E857" t="s">
        <v>138</v>
      </c>
      <c r="F857" s="1">
        <v>42779</v>
      </c>
      <c r="G857" s="1">
        <v>42873</v>
      </c>
      <c r="H857">
        <v>4766</v>
      </c>
      <c r="I857" t="str">
        <f>IF(COUNTIF(Products!$A$2:$A$8,C857)=0,C857,"")</f>
        <v/>
      </c>
      <c r="J857">
        <f>IF(OR(E857="Prospecting",E857="Engaging"),VLOOKUP(C857,Products!$A$2:$C$8,3,FALSE),0)</f>
        <v>0</v>
      </c>
    </row>
    <row r="858" spans="1:10" x14ac:dyDescent="0.25">
      <c r="A858" t="s">
        <v>1025</v>
      </c>
      <c r="B858" t="s">
        <v>164</v>
      </c>
      <c r="C858" t="s">
        <v>125</v>
      </c>
      <c r="D858" t="s">
        <v>81</v>
      </c>
      <c r="E858" t="s">
        <v>155</v>
      </c>
      <c r="F858" s="1">
        <v>42779</v>
      </c>
      <c r="I858" t="str">
        <f>IF(COUNTIF(Products!$A$2:$A$8,C858)=0,C858,"")</f>
        <v/>
      </c>
      <c r="J858">
        <f>IF(OR(E858="Prospecting",E858="Engaging"),VLOOKUP(C858,Products!$A$2:$C$8,3,FALSE),0)</f>
        <v>3393</v>
      </c>
    </row>
    <row r="859" spans="1:10" x14ac:dyDescent="0.25">
      <c r="A859" t="s">
        <v>1026</v>
      </c>
      <c r="B859" t="s">
        <v>180</v>
      </c>
      <c r="C859" t="s">
        <v>127</v>
      </c>
      <c r="D859" t="s">
        <v>90</v>
      </c>
      <c r="E859" t="s">
        <v>159</v>
      </c>
      <c r="F859" s="1">
        <v>42779</v>
      </c>
      <c r="G859" s="1">
        <v>42864</v>
      </c>
      <c r="H859">
        <v>0</v>
      </c>
      <c r="I859" t="str">
        <f>IF(COUNTIF(Products!$A$2:$A$8,C859)=0,C859,"")</f>
        <v/>
      </c>
      <c r="J859">
        <f>IF(OR(E859="Prospecting",E859="Engaging"),VLOOKUP(C859,Products!$A$2:$C$8,3,FALSE),0)</f>
        <v>0</v>
      </c>
    </row>
    <row r="860" spans="1:10" x14ac:dyDescent="0.25">
      <c r="A860" t="s">
        <v>1027</v>
      </c>
      <c r="B860" t="s">
        <v>191</v>
      </c>
      <c r="C860" t="s">
        <v>120</v>
      </c>
      <c r="D860" t="s">
        <v>93</v>
      </c>
      <c r="E860" t="s">
        <v>138</v>
      </c>
      <c r="F860" s="1">
        <v>42779</v>
      </c>
      <c r="G860" s="1">
        <v>42866</v>
      </c>
      <c r="H860">
        <v>589</v>
      </c>
      <c r="I860" t="str">
        <f>IF(COUNTIF(Products!$A$2:$A$8,C860)=0,C860,"")</f>
        <v/>
      </c>
      <c r="J860">
        <f>IF(OR(E860="Prospecting",E860="Engaging"),VLOOKUP(C860,Products!$A$2:$C$8,3,FALSE),0)</f>
        <v>0</v>
      </c>
    </row>
    <row r="861" spans="1:10" x14ac:dyDescent="0.25">
      <c r="A861" t="s">
        <v>1028</v>
      </c>
      <c r="B861" t="s">
        <v>205</v>
      </c>
      <c r="C861" t="s">
        <v>126</v>
      </c>
      <c r="D861" t="s">
        <v>42</v>
      </c>
      <c r="E861" t="s">
        <v>159</v>
      </c>
      <c r="F861" s="1">
        <v>42779</v>
      </c>
      <c r="G861" s="1">
        <v>42886</v>
      </c>
      <c r="H861">
        <v>0</v>
      </c>
      <c r="I861" t="str">
        <f>IF(COUNTIF(Products!$A$2:$A$8,C861)=0,C861,"")</f>
        <v/>
      </c>
      <c r="J861">
        <f>IF(OR(E861="Prospecting",E861="Engaging"),VLOOKUP(C861,Products!$A$2:$C$8,3,FALSE),0)</f>
        <v>0</v>
      </c>
    </row>
    <row r="862" spans="1:10" x14ac:dyDescent="0.25">
      <c r="A862" t="s">
        <v>1029</v>
      </c>
      <c r="B862" t="s">
        <v>137</v>
      </c>
      <c r="C862" t="s">
        <v>120</v>
      </c>
      <c r="D862" t="s">
        <v>61</v>
      </c>
      <c r="E862" t="s">
        <v>159</v>
      </c>
      <c r="F862" s="1">
        <v>42779</v>
      </c>
      <c r="G862" s="1">
        <v>42871</v>
      </c>
      <c r="H862">
        <v>0</v>
      </c>
      <c r="I862" t="str">
        <f>IF(COUNTIF(Products!$A$2:$A$8,C862)=0,C862,"")</f>
        <v/>
      </c>
      <c r="J862">
        <f>IF(OR(E862="Prospecting",E862="Engaging"),VLOOKUP(C862,Products!$A$2:$C$8,3,FALSE),0)</f>
        <v>0</v>
      </c>
    </row>
    <row r="863" spans="1:10" x14ac:dyDescent="0.25">
      <c r="A863" t="s">
        <v>1030</v>
      </c>
      <c r="B863" t="s">
        <v>148</v>
      </c>
      <c r="C863" t="s">
        <v>122</v>
      </c>
      <c r="D863" t="s">
        <v>39</v>
      </c>
      <c r="E863" t="s">
        <v>155</v>
      </c>
      <c r="F863" s="1">
        <v>42779</v>
      </c>
      <c r="I863" t="str">
        <f>IF(COUNTIF(Products!$A$2:$A$8,C863)=0,C863,"")</f>
        <v/>
      </c>
      <c r="J863">
        <f>IF(OR(E863="Prospecting",E863="Engaging"),VLOOKUP(C863,Products!$A$2:$C$8,3,FALSE),0)</f>
        <v>4821</v>
      </c>
    </row>
    <row r="864" spans="1:10" x14ac:dyDescent="0.25">
      <c r="A864" t="s">
        <v>1031</v>
      </c>
      <c r="B864" t="s">
        <v>177</v>
      </c>
      <c r="C864" t="s">
        <v>120</v>
      </c>
      <c r="E864" t="s">
        <v>155</v>
      </c>
      <c r="F864" s="1">
        <v>42779</v>
      </c>
      <c r="I864" t="str">
        <f>IF(COUNTIF(Products!$A$2:$A$8,C864)=0,C864,"")</f>
        <v/>
      </c>
      <c r="J864">
        <f>IF(OR(E864="Prospecting",E864="Engaging"),VLOOKUP(C864,Products!$A$2:$C$8,3,FALSE),0)</f>
        <v>550</v>
      </c>
    </row>
    <row r="865" spans="1:10" x14ac:dyDescent="0.25">
      <c r="A865" t="s">
        <v>1032</v>
      </c>
      <c r="B865" t="s">
        <v>177</v>
      </c>
      <c r="C865" t="s">
        <v>120</v>
      </c>
      <c r="D865" t="s">
        <v>25</v>
      </c>
      <c r="E865" t="s">
        <v>138</v>
      </c>
      <c r="F865" s="1">
        <v>42779</v>
      </c>
      <c r="G865" s="1">
        <v>42873</v>
      </c>
      <c r="H865">
        <v>533</v>
      </c>
      <c r="I865" t="str">
        <f>IF(COUNTIF(Products!$A$2:$A$8,C865)=0,C865,"")</f>
        <v/>
      </c>
      <c r="J865">
        <f>IF(OR(E865="Prospecting",E865="Engaging"),VLOOKUP(C865,Products!$A$2:$C$8,3,FALSE),0)</f>
        <v>0</v>
      </c>
    </row>
    <row r="866" spans="1:10" x14ac:dyDescent="0.25">
      <c r="A866" t="s">
        <v>1033</v>
      </c>
      <c r="B866" t="s">
        <v>146</v>
      </c>
      <c r="C866" t="s">
        <v>120</v>
      </c>
      <c r="D866" t="s">
        <v>28</v>
      </c>
      <c r="E866" t="s">
        <v>159</v>
      </c>
      <c r="F866" s="1">
        <v>42780</v>
      </c>
      <c r="G866" s="1">
        <v>42860</v>
      </c>
      <c r="H866">
        <v>0</v>
      </c>
      <c r="I866" t="str">
        <f>IF(COUNTIF(Products!$A$2:$A$8,C866)=0,C866,"")</f>
        <v/>
      </c>
      <c r="J866">
        <f>IF(OR(E866="Prospecting",E866="Engaging"),VLOOKUP(C866,Products!$A$2:$C$8,3,FALSE),0)</f>
        <v>0</v>
      </c>
    </row>
    <row r="867" spans="1:10" x14ac:dyDescent="0.25">
      <c r="A867" t="s">
        <v>1034</v>
      </c>
      <c r="B867" t="s">
        <v>146</v>
      </c>
      <c r="C867" t="s">
        <v>123</v>
      </c>
      <c r="D867" t="s">
        <v>33</v>
      </c>
      <c r="E867" t="s">
        <v>138</v>
      </c>
      <c r="F867" s="1">
        <v>42780</v>
      </c>
      <c r="G867" s="1">
        <v>42885</v>
      </c>
      <c r="H867">
        <v>63</v>
      </c>
      <c r="I867" t="str">
        <f>IF(COUNTIF(Products!$A$2:$A$8,C867)=0,C867,"")</f>
        <v/>
      </c>
      <c r="J867">
        <f>IF(OR(E867="Prospecting",E867="Engaging"),VLOOKUP(C867,Products!$A$2:$C$8,3,FALSE),0)</f>
        <v>0</v>
      </c>
    </row>
    <row r="868" spans="1:10" x14ac:dyDescent="0.25">
      <c r="A868" t="s">
        <v>1035</v>
      </c>
      <c r="B868" t="s">
        <v>207</v>
      </c>
      <c r="C868" t="s">
        <v>122</v>
      </c>
      <c r="D868" t="s">
        <v>16</v>
      </c>
      <c r="E868" t="s">
        <v>138</v>
      </c>
      <c r="F868" s="1">
        <v>42780</v>
      </c>
      <c r="G868" s="1">
        <v>42863</v>
      </c>
      <c r="H868">
        <v>4942</v>
      </c>
      <c r="I868" t="str">
        <f>IF(COUNTIF(Products!$A$2:$A$8,C868)=0,C868,"")</f>
        <v/>
      </c>
      <c r="J868">
        <f>IF(OR(E868="Prospecting",E868="Engaging"),VLOOKUP(C868,Products!$A$2:$C$8,3,FALSE),0)</f>
        <v>0</v>
      </c>
    </row>
    <row r="869" spans="1:10" x14ac:dyDescent="0.25">
      <c r="A869" t="s">
        <v>1036</v>
      </c>
      <c r="B869" t="s">
        <v>140</v>
      </c>
      <c r="C869" t="s">
        <v>122</v>
      </c>
      <c r="D869" t="s">
        <v>30</v>
      </c>
      <c r="E869" t="s">
        <v>138</v>
      </c>
      <c r="F869" s="1">
        <v>42780</v>
      </c>
      <c r="G869" s="1">
        <v>42898</v>
      </c>
      <c r="H869">
        <v>4650</v>
      </c>
      <c r="I869" t="str">
        <f>IF(COUNTIF(Products!$A$2:$A$8,C869)=0,C869,"")</f>
        <v/>
      </c>
      <c r="J869">
        <f>IF(OR(E869="Prospecting",E869="Engaging"),VLOOKUP(C869,Products!$A$2:$C$8,3,FALSE),0)</f>
        <v>0</v>
      </c>
    </row>
    <row r="870" spans="1:10" x14ac:dyDescent="0.25">
      <c r="A870" t="s">
        <v>1037</v>
      </c>
      <c r="B870" t="s">
        <v>140</v>
      </c>
      <c r="C870" t="s">
        <v>122</v>
      </c>
      <c r="D870" t="s">
        <v>70</v>
      </c>
      <c r="E870" t="s">
        <v>138</v>
      </c>
      <c r="F870" s="1">
        <v>42780</v>
      </c>
      <c r="G870" s="1">
        <v>42902</v>
      </c>
      <c r="H870">
        <v>4829</v>
      </c>
      <c r="I870" t="str">
        <f>IF(COUNTIF(Products!$A$2:$A$8,C870)=0,C870,"")</f>
        <v/>
      </c>
      <c r="J870">
        <f>IF(OR(E870="Prospecting",E870="Engaging"),VLOOKUP(C870,Products!$A$2:$C$8,3,FALSE),0)</f>
        <v>0</v>
      </c>
    </row>
    <row r="871" spans="1:10" x14ac:dyDescent="0.25">
      <c r="A871" t="s">
        <v>1038</v>
      </c>
      <c r="B871" t="s">
        <v>224</v>
      </c>
      <c r="C871" t="s">
        <v>127</v>
      </c>
      <c r="D871" t="s">
        <v>10</v>
      </c>
      <c r="E871" t="s">
        <v>138</v>
      </c>
      <c r="F871" s="1">
        <v>42780</v>
      </c>
      <c r="G871" s="1">
        <v>42884</v>
      </c>
      <c r="H871">
        <v>987</v>
      </c>
      <c r="I871" t="str">
        <f>IF(COUNTIF(Products!$A$2:$A$8,C871)=0,C871,"")</f>
        <v/>
      </c>
      <c r="J871">
        <f>IF(OR(E871="Prospecting",E871="Engaging"),VLOOKUP(C871,Products!$A$2:$C$8,3,FALSE),0)</f>
        <v>0</v>
      </c>
    </row>
    <row r="872" spans="1:10" x14ac:dyDescent="0.25">
      <c r="A872" t="s">
        <v>1039</v>
      </c>
      <c r="B872" t="s">
        <v>224</v>
      </c>
      <c r="C872" t="s">
        <v>126</v>
      </c>
      <c r="D872" t="s">
        <v>50</v>
      </c>
      <c r="E872" t="s">
        <v>138</v>
      </c>
      <c r="F872" s="1">
        <v>42780</v>
      </c>
      <c r="G872" s="1">
        <v>42796</v>
      </c>
      <c r="H872">
        <v>4246</v>
      </c>
      <c r="I872" t="str">
        <f>IF(COUNTIF(Products!$A$2:$A$8,C872)=0,C872,"")</f>
        <v/>
      </c>
      <c r="J872">
        <f>IF(OR(E872="Prospecting",E872="Engaging"),VLOOKUP(C872,Products!$A$2:$C$8,3,FALSE),0)</f>
        <v>0</v>
      </c>
    </row>
    <row r="873" spans="1:10" x14ac:dyDescent="0.25">
      <c r="A873" t="s">
        <v>1040</v>
      </c>
      <c r="B873" t="s">
        <v>224</v>
      </c>
      <c r="C873" t="s">
        <v>126</v>
      </c>
      <c r="D873" t="s">
        <v>65</v>
      </c>
      <c r="E873" t="s">
        <v>138</v>
      </c>
      <c r="F873" s="1">
        <v>42780</v>
      </c>
      <c r="G873" s="1">
        <v>42861</v>
      </c>
      <c r="H873">
        <v>5702</v>
      </c>
      <c r="I873" t="str">
        <f>IF(COUNTIF(Products!$A$2:$A$8,C873)=0,C873,"")</f>
        <v/>
      </c>
      <c r="J873">
        <f>IF(OR(E873="Prospecting",E873="Engaging"),VLOOKUP(C873,Products!$A$2:$C$8,3,FALSE),0)</f>
        <v>0</v>
      </c>
    </row>
    <row r="874" spans="1:10" x14ac:dyDescent="0.25">
      <c r="A874" t="s">
        <v>1041</v>
      </c>
      <c r="B874" t="s">
        <v>224</v>
      </c>
      <c r="C874" t="s">
        <v>125</v>
      </c>
      <c r="D874" t="s">
        <v>92</v>
      </c>
      <c r="E874" t="s">
        <v>138</v>
      </c>
      <c r="F874" s="1">
        <v>42780</v>
      </c>
      <c r="G874" s="1">
        <v>42900</v>
      </c>
      <c r="H874">
        <v>2981</v>
      </c>
      <c r="I874" t="str">
        <f>IF(COUNTIF(Products!$A$2:$A$8,C874)=0,C874,"")</f>
        <v/>
      </c>
      <c r="J874">
        <f>IF(OR(E874="Prospecting",E874="Engaging"),VLOOKUP(C874,Products!$A$2:$C$8,3,FALSE),0)</f>
        <v>0</v>
      </c>
    </row>
    <row r="875" spans="1:10" x14ac:dyDescent="0.25">
      <c r="A875" t="s">
        <v>1042</v>
      </c>
      <c r="B875" t="s">
        <v>158</v>
      </c>
      <c r="C875" t="s">
        <v>125</v>
      </c>
      <c r="D875" t="s">
        <v>61</v>
      </c>
      <c r="E875" t="s">
        <v>159</v>
      </c>
      <c r="F875" s="1">
        <v>42780</v>
      </c>
      <c r="G875" s="1">
        <v>42868</v>
      </c>
      <c r="H875">
        <v>0</v>
      </c>
      <c r="I875" t="str">
        <f>IF(COUNTIF(Products!$A$2:$A$8,C875)=0,C875,"")</f>
        <v/>
      </c>
      <c r="J875">
        <f>IF(OR(E875="Prospecting",E875="Engaging"),VLOOKUP(C875,Products!$A$2:$C$8,3,FALSE),0)</f>
        <v>0</v>
      </c>
    </row>
    <row r="876" spans="1:10" x14ac:dyDescent="0.25">
      <c r="A876" t="s">
        <v>1043</v>
      </c>
      <c r="B876" t="s">
        <v>164</v>
      </c>
      <c r="C876" t="s">
        <v>125</v>
      </c>
      <c r="D876" t="s">
        <v>69</v>
      </c>
      <c r="E876" t="s">
        <v>138</v>
      </c>
      <c r="F876" s="1">
        <v>42780</v>
      </c>
      <c r="G876" s="1">
        <v>42856</v>
      </c>
      <c r="H876">
        <v>2873</v>
      </c>
      <c r="I876" t="str">
        <f>IF(COUNTIF(Products!$A$2:$A$8,C876)=0,C876,"")</f>
        <v/>
      </c>
      <c r="J876">
        <f>IF(OR(E876="Prospecting",E876="Engaging"),VLOOKUP(C876,Products!$A$2:$C$8,3,FALSE),0)</f>
        <v>0</v>
      </c>
    </row>
    <row r="877" spans="1:10" x14ac:dyDescent="0.25">
      <c r="A877" t="s">
        <v>1044</v>
      </c>
      <c r="B877" t="s">
        <v>303</v>
      </c>
      <c r="C877" t="s">
        <v>125</v>
      </c>
      <c r="D877" t="s">
        <v>104</v>
      </c>
      <c r="E877" t="s">
        <v>159</v>
      </c>
      <c r="F877" s="1">
        <v>42780</v>
      </c>
      <c r="G877" s="1">
        <v>42866</v>
      </c>
      <c r="H877">
        <v>0</v>
      </c>
      <c r="I877" t="str">
        <f>IF(COUNTIF(Products!$A$2:$A$8,C877)=0,C877,"")</f>
        <v/>
      </c>
      <c r="J877">
        <f>IF(OR(E877="Prospecting",E877="Engaging"),VLOOKUP(C877,Products!$A$2:$C$8,3,FALSE),0)</f>
        <v>0</v>
      </c>
    </row>
    <row r="878" spans="1:10" x14ac:dyDescent="0.25">
      <c r="A878" t="s">
        <v>1045</v>
      </c>
      <c r="B878" t="s">
        <v>150</v>
      </c>
      <c r="C878" t="s">
        <v>128</v>
      </c>
      <c r="D878" t="s">
        <v>106</v>
      </c>
      <c r="E878" t="s">
        <v>155</v>
      </c>
      <c r="F878" s="1">
        <v>42780</v>
      </c>
      <c r="I878" t="str">
        <f>IF(COUNTIF(Products!$A$2:$A$8,C878)=0,C878,"")</f>
        <v/>
      </c>
      <c r="J878">
        <f>IF(OR(E878="Prospecting",E878="Engaging"),VLOOKUP(C878,Products!$A$2:$C$8,3,FALSE),0)</f>
        <v>26768</v>
      </c>
    </row>
    <row r="879" spans="1:10" x14ac:dyDescent="0.25">
      <c r="A879" t="s">
        <v>1046</v>
      </c>
      <c r="B879" t="s">
        <v>150</v>
      </c>
      <c r="C879" t="s">
        <v>125</v>
      </c>
      <c r="D879" t="s">
        <v>14</v>
      </c>
      <c r="E879" t="s">
        <v>155</v>
      </c>
      <c r="F879" s="1">
        <v>42780</v>
      </c>
      <c r="I879" t="str">
        <f>IF(COUNTIF(Products!$A$2:$A$8,C879)=0,C879,"")</f>
        <v/>
      </c>
      <c r="J879">
        <f>IF(OR(E879="Prospecting",E879="Engaging"),VLOOKUP(C879,Products!$A$2:$C$8,3,FALSE),0)</f>
        <v>3393</v>
      </c>
    </row>
    <row r="880" spans="1:10" x14ac:dyDescent="0.25">
      <c r="A880" t="s">
        <v>1047</v>
      </c>
      <c r="B880" t="s">
        <v>187</v>
      </c>
      <c r="C880" t="s">
        <v>123</v>
      </c>
      <c r="D880" t="s">
        <v>102</v>
      </c>
      <c r="E880" t="s">
        <v>159</v>
      </c>
      <c r="F880" s="1">
        <v>42780</v>
      </c>
      <c r="G880" s="1">
        <v>42862</v>
      </c>
      <c r="H880">
        <v>0</v>
      </c>
      <c r="I880" t="str">
        <f>IF(COUNTIF(Products!$A$2:$A$8,C880)=0,C880,"")</f>
        <v/>
      </c>
      <c r="J880">
        <f>IF(OR(E880="Prospecting",E880="Engaging"),VLOOKUP(C880,Products!$A$2:$C$8,3,FALSE),0)</f>
        <v>0</v>
      </c>
    </row>
    <row r="881" spans="1:10" x14ac:dyDescent="0.25">
      <c r="A881" t="s">
        <v>1048</v>
      </c>
      <c r="B881" t="s">
        <v>169</v>
      </c>
      <c r="C881" t="s">
        <v>120</v>
      </c>
      <c r="D881" t="s">
        <v>55</v>
      </c>
      <c r="E881" t="s">
        <v>138</v>
      </c>
      <c r="F881" s="1">
        <v>42780</v>
      </c>
      <c r="G881" s="1">
        <v>42889</v>
      </c>
      <c r="H881">
        <v>528</v>
      </c>
      <c r="I881" t="str">
        <f>IF(COUNTIF(Products!$A$2:$A$8,C881)=0,C881,"")</f>
        <v/>
      </c>
      <c r="J881">
        <f>IF(OR(E881="Prospecting",E881="Engaging"),VLOOKUP(C881,Products!$A$2:$C$8,3,FALSE),0)</f>
        <v>0</v>
      </c>
    </row>
    <row r="882" spans="1:10" x14ac:dyDescent="0.25">
      <c r="A882" t="s">
        <v>1049</v>
      </c>
      <c r="B882" t="s">
        <v>169</v>
      </c>
      <c r="C882" t="s">
        <v>127</v>
      </c>
      <c r="D882" t="s">
        <v>91</v>
      </c>
      <c r="E882" t="s">
        <v>138</v>
      </c>
      <c r="F882" s="1">
        <v>42780</v>
      </c>
      <c r="G882" s="1">
        <v>42904</v>
      </c>
      <c r="H882">
        <v>1199</v>
      </c>
      <c r="I882" t="str">
        <f>IF(COUNTIF(Products!$A$2:$A$8,C882)=0,C882,"")</f>
        <v/>
      </c>
      <c r="J882">
        <f>IF(OR(E882="Prospecting",E882="Engaging"),VLOOKUP(C882,Products!$A$2:$C$8,3,FALSE),0)</f>
        <v>0</v>
      </c>
    </row>
    <row r="883" spans="1:10" x14ac:dyDescent="0.25">
      <c r="A883" t="s">
        <v>1050</v>
      </c>
      <c r="B883" t="s">
        <v>144</v>
      </c>
      <c r="C883" t="s">
        <v>122</v>
      </c>
      <c r="D883" t="s">
        <v>114</v>
      </c>
      <c r="E883" t="s">
        <v>159</v>
      </c>
      <c r="F883" s="1">
        <v>42780</v>
      </c>
      <c r="G883" s="1">
        <v>42795</v>
      </c>
      <c r="H883">
        <v>0</v>
      </c>
      <c r="I883" t="str">
        <f>IF(COUNTIF(Products!$A$2:$A$8,C883)=0,C883,"")</f>
        <v/>
      </c>
      <c r="J883">
        <f>IF(OR(E883="Prospecting",E883="Engaging"),VLOOKUP(C883,Products!$A$2:$C$8,3,FALSE),0)</f>
        <v>0</v>
      </c>
    </row>
    <row r="884" spans="1:10" x14ac:dyDescent="0.25">
      <c r="A884" t="s">
        <v>1051</v>
      </c>
      <c r="B884" t="s">
        <v>146</v>
      </c>
      <c r="C884" t="s">
        <v>120</v>
      </c>
      <c r="D884" t="s">
        <v>96</v>
      </c>
      <c r="E884" t="s">
        <v>159</v>
      </c>
      <c r="F884" s="1">
        <v>42781</v>
      </c>
      <c r="G884" s="1">
        <v>42868</v>
      </c>
      <c r="H884">
        <v>0</v>
      </c>
      <c r="I884" t="str">
        <f>IF(COUNTIF(Products!$A$2:$A$8,C884)=0,C884,"")</f>
        <v/>
      </c>
      <c r="J884">
        <f>IF(OR(E884="Prospecting",E884="Engaging"),VLOOKUP(C884,Products!$A$2:$C$8,3,FALSE),0)</f>
        <v>0</v>
      </c>
    </row>
    <row r="885" spans="1:10" x14ac:dyDescent="0.25">
      <c r="A885" t="s">
        <v>1052</v>
      </c>
      <c r="B885" t="s">
        <v>239</v>
      </c>
      <c r="C885" t="s">
        <v>126</v>
      </c>
      <c r="E885" t="s">
        <v>155</v>
      </c>
      <c r="F885" s="1">
        <v>42781</v>
      </c>
      <c r="I885" t="str">
        <f>IF(COUNTIF(Products!$A$2:$A$8,C885)=0,C885,"")</f>
        <v/>
      </c>
      <c r="J885">
        <f>IF(OR(E885="Prospecting",E885="Engaging"),VLOOKUP(C885,Products!$A$2:$C$8,3,FALSE),0)</f>
        <v>5482</v>
      </c>
    </row>
    <row r="886" spans="1:10" x14ac:dyDescent="0.25">
      <c r="A886" t="s">
        <v>1053</v>
      </c>
      <c r="B886" t="s">
        <v>140</v>
      </c>
      <c r="C886" t="s">
        <v>126</v>
      </c>
      <c r="D886" t="s">
        <v>96</v>
      </c>
      <c r="E886" t="s">
        <v>159</v>
      </c>
      <c r="F886" s="1">
        <v>42781</v>
      </c>
      <c r="G886" s="1">
        <v>42863</v>
      </c>
      <c r="H886">
        <v>0</v>
      </c>
      <c r="I886" t="str">
        <f>IF(COUNTIF(Products!$A$2:$A$8,C886)=0,C886,"")</f>
        <v/>
      </c>
      <c r="J886">
        <f>IF(OR(E886="Prospecting",E886="Engaging"),VLOOKUP(C886,Products!$A$2:$C$8,3,FALSE),0)</f>
        <v>0</v>
      </c>
    </row>
    <row r="887" spans="1:10" x14ac:dyDescent="0.25">
      <c r="A887" t="s">
        <v>1054</v>
      </c>
      <c r="B887" t="s">
        <v>198</v>
      </c>
      <c r="C887" t="s">
        <v>120</v>
      </c>
      <c r="D887" t="s">
        <v>19</v>
      </c>
      <c r="E887" t="s">
        <v>159</v>
      </c>
      <c r="F887" s="1">
        <v>42781</v>
      </c>
      <c r="G887" s="1">
        <v>42817</v>
      </c>
      <c r="H887">
        <v>0</v>
      </c>
      <c r="I887" t="str">
        <f>IF(COUNTIF(Products!$A$2:$A$8,C887)=0,C887,"")</f>
        <v/>
      </c>
      <c r="J887">
        <f>IF(OR(E887="Prospecting",E887="Engaging"),VLOOKUP(C887,Products!$A$2:$C$8,3,FALSE),0)</f>
        <v>0</v>
      </c>
    </row>
    <row r="888" spans="1:10" x14ac:dyDescent="0.25">
      <c r="A888" t="s">
        <v>1055</v>
      </c>
      <c r="B888" t="s">
        <v>198</v>
      </c>
      <c r="C888" t="s">
        <v>126</v>
      </c>
      <c r="D888" t="s">
        <v>80</v>
      </c>
      <c r="E888" t="s">
        <v>159</v>
      </c>
      <c r="F888" s="1">
        <v>42781</v>
      </c>
      <c r="G888" s="1">
        <v>42798</v>
      </c>
      <c r="H888">
        <v>0</v>
      </c>
      <c r="I888" t="str">
        <f>IF(COUNTIF(Products!$A$2:$A$8,C888)=0,C888,"")</f>
        <v/>
      </c>
      <c r="J888">
        <f>IF(OR(E888="Prospecting",E888="Engaging"),VLOOKUP(C888,Products!$A$2:$C$8,3,FALSE),0)</f>
        <v>0</v>
      </c>
    </row>
    <row r="889" spans="1:10" x14ac:dyDescent="0.25">
      <c r="A889" t="s">
        <v>1056</v>
      </c>
      <c r="B889" t="s">
        <v>198</v>
      </c>
      <c r="C889" t="s">
        <v>125</v>
      </c>
      <c r="D889" t="s">
        <v>48</v>
      </c>
      <c r="E889" t="s">
        <v>138</v>
      </c>
      <c r="F889" s="1">
        <v>42781</v>
      </c>
      <c r="G889" s="1">
        <v>42800</v>
      </c>
      <c r="H889">
        <v>3507</v>
      </c>
      <c r="I889" t="str">
        <f>IF(COUNTIF(Products!$A$2:$A$8,C889)=0,C889,"")</f>
        <v/>
      </c>
      <c r="J889">
        <f>IF(OR(E889="Prospecting",E889="Engaging"),VLOOKUP(C889,Products!$A$2:$C$8,3,FALSE),0)</f>
        <v>0</v>
      </c>
    </row>
    <row r="890" spans="1:10" x14ac:dyDescent="0.25">
      <c r="A890" t="s">
        <v>1057</v>
      </c>
      <c r="B890" t="s">
        <v>154</v>
      </c>
      <c r="C890" t="s">
        <v>120</v>
      </c>
      <c r="D890" t="s">
        <v>38</v>
      </c>
      <c r="E890" t="s">
        <v>159</v>
      </c>
      <c r="F890" s="1">
        <v>42781</v>
      </c>
      <c r="G890" s="1">
        <v>42875</v>
      </c>
      <c r="H890">
        <v>0</v>
      </c>
      <c r="I890" t="str">
        <f>IF(COUNTIF(Products!$A$2:$A$8,C890)=0,C890,"")</f>
        <v/>
      </c>
      <c r="J890">
        <f>IF(OR(E890="Prospecting",E890="Engaging"),VLOOKUP(C890,Products!$A$2:$C$8,3,FALSE),0)</f>
        <v>0</v>
      </c>
    </row>
    <row r="891" spans="1:10" x14ac:dyDescent="0.25">
      <c r="A891" t="s">
        <v>1058</v>
      </c>
      <c r="B891" t="s">
        <v>154</v>
      </c>
      <c r="C891" t="s">
        <v>122</v>
      </c>
      <c r="D891" t="s">
        <v>57</v>
      </c>
      <c r="E891" t="s">
        <v>138</v>
      </c>
      <c r="F891" s="1">
        <v>42781</v>
      </c>
      <c r="G891" s="1">
        <v>42876</v>
      </c>
      <c r="H891">
        <v>4542</v>
      </c>
      <c r="I891" t="str">
        <f>IF(COUNTIF(Products!$A$2:$A$8,C891)=0,C891,"")</f>
        <v/>
      </c>
      <c r="J891">
        <f>IF(OR(E891="Prospecting",E891="Engaging"),VLOOKUP(C891,Products!$A$2:$C$8,3,FALSE),0)</f>
        <v>0</v>
      </c>
    </row>
    <row r="892" spans="1:10" x14ac:dyDescent="0.25">
      <c r="A892" t="s">
        <v>1059</v>
      </c>
      <c r="B892" t="s">
        <v>303</v>
      </c>
      <c r="C892" t="s">
        <v>120</v>
      </c>
      <c r="D892" t="s">
        <v>53</v>
      </c>
      <c r="E892" t="s">
        <v>138</v>
      </c>
      <c r="F892" s="1">
        <v>42781</v>
      </c>
      <c r="G892" s="1">
        <v>42883</v>
      </c>
      <c r="H892">
        <v>505</v>
      </c>
      <c r="I892" t="str">
        <f>IF(COUNTIF(Products!$A$2:$A$8,C892)=0,C892,"")</f>
        <v/>
      </c>
      <c r="J892">
        <f>IF(OR(E892="Prospecting",E892="Engaging"),VLOOKUP(C892,Products!$A$2:$C$8,3,FALSE),0)</f>
        <v>0</v>
      </c>
    </row>
    <row r="893" spans="1:10" x14ac:dyDescent="0.25">
      <c r="A893" t="s">
        <v>1060</v>
      </c>
      <c r="B893" t="s">
        <v>180</v>
      </c>
      <c r="C893" t="s">
        <v>126</v>
      </c>
      <c r="E893" t="s">
        <v>155</v>
      </c>
      <c r="F893" s="1">
        <v>42781</v>
      </c>
      <c r="I893" t="str">
        <f>IF(COUNTIF(Products!$A$2:$A$8,C893)=0,C893,"")</f>
        <v/>
      </c>
      <c r="J893">
        <f>IF(OR(E893="Prospecting",E893="Engaging"),VLOOKUP(C893,Products!$A$2:$C$8,3,FALSE),0)</f>
        <v>5482</v>
      </c>
    </row>
    <row r="894" spans="1:10" x14ac:dyDescent="0.25">
      <c r="A894" t="s">
        <v>1061</v>
      </c>
      <c r="B894" t="s">
        <v>191</v>
      </c>
      <c r="C894" t="s">
        <v>120</v>
      </c>
      <c r="E894" t="s">
        <v>155</v>
      </c>
      <c r="F894" s="1">
        <v>42781</v>
      </c>
      <c r="I894" t="str">
        <f>IF(COUNTIF(Products!$A$2:$A$8,C894)=0,C894,"")</f>
        <v/>
      </c>
      <c r="J894">
        <f>IF(OR(E894="Prospecting",E894="Engaging"),VLOOKUP(C894,Products!$A$2:$C$8,3,FALSE),0)</f>
        <v>550</v>
      </c>
    </row>
    <row r="895" spans="1:10" x14ac:dyDescent="0.25">
      <c r="A895" t="s">
        <v>1062</v>
      </c>
      <c r="B895" t="s">
        <v>191</v>
      </c>
      <c r="C895" t="s">
        <v>127</v>
      </c>
      <c r="D895" t="s">
        <v>23</v>
      </c>
      <c r="E895" t="s">
        <v>159</v>
      </c>
      <c r="F895" s="1">
        <v>42781</v>
      </c>
      <c r="G895" s="1">
        <v>42862</v>
      </c>
      <c r="H895">
        <v>0</v>
      </c>
      <c r="I895" t="str">
        <f>IF(COUNTIF(Products!$A$2:$A$8,C895)=0,C895,"")</f>
        <v/>
      </c>
      <c r="J895">
        <f>IF(OR(E895="Prospecting",E895="Engaging"),VLOOKUP(C895,Products!$A$2:$C$8,3,FALSE),0)</f>
        <v>0</v>
      </c>
    </row>
    <row r="896" spans="1:10" x14ac:dyDescent="0.25">
      <c r="A896" t="s">
        <v>1063</v>
      </c>
      <c r="B896" t="s">
        <v>150</v>
      </c>
      <c r="C896" t="s">
        <v>127</v>
      </c>
      <c r="E896" t="s">
        <v>155</v>
      </c>
      <c r="F896" s="1">
        <v>42781</v>
      </c>
      <c r="I896" t="str">
        <f>IF(COUNTIF(Products!$A$2:$A$8,C896)=0,C896,"")</f>
        <v/>
      </c>
      <c r="J896">
        <f>IF(OR(E896="Prospecting",E896="Engaging"),VLOOKUP(C896,Products!$A$2:$C$8,3,FALSE),0)</f>
        <v>1096</v>
      </c>
    </row>
    <row r="897" spans="1:10" x14ac:dyDescent="0.25">
      <c r="A897" t="s">
        <v>1064</v>
      </c>
      <c r="B897" t="s">
        <v>150</v>
      </c>
      <c r="C897" t="s">
        <v>122</v>
      </c>
      <c r="D897" t="s">
        <v>41</v>
      </c>
      <c r="E897" t="s">
        <v>159</v>
      </c>
      <c r="F897" s="1">
        <v>42781</v>
      </c>
      <c r="G897" s="1">
        <v>42886</v>
      </c>
      <c r="H897">
        <v>0</v>
      </c>
      <c r="I897" t="str">
        <f>IF(COUNTIF(Products!$A$2:$A$8,C897)=0,C897,"")</f>
        <v/>
      </c>
      <c r="J897">
        <f>IF(OR(E897="Prospecting",E897="Engaging"),VLOOKUP(C897,Products!$A$2:$C$8,3,FALSE),0)</f>
        <v>0</v>
      </c>
    </row>
    <row r="898" spans="1:10" x14ac:dyDescent="0.25">
      <c r="A898" t="s">
        <v>1065</v>
      </c>
      <c r="B898" t="s">
        <v>162</v>
      </c>
      <c r="C898" t="s">
        <v>120</v>
      </c>
      <c r="E898" t="s">
        <v>155</v>
      </c>
      <c r="F898" s="1">
        <v>42781</v>
      </c>
      <c r="I898" t="str">
        <f>IF(COUNTIF(Products!$A$2:$A$8,C898)=0,C898,"")</f>
        <v/>
      </c>
      <c r="J898">
        <f>IF(OR(E898="Prospecting",E898="Engaging"),VLOOKUP(C898,Products!$A$2:$C$8,3,FALSE),0)</f>
        <v>550</v>
      </c>
    </row>
    <row r="899" spans="1:10" x14ac:dyDescent="0.25">
      <c r="A899" t="s">
        <v>1066</v>
      </c>
      <c r="B899" t="s">
        <v>162</v>
      </c>
      <c r="C899" t="s">
        <v>125</v>
      </c>
      <c r="E899" t="s">
        <v>155</v>
      </c>
      <c r="F899" s="1">
        <v>42781</v>
      </c>
      <c r="I899" t="str">
        <f>IF(COUNTIF(Products!$A$2:$A$8,C899)=0,C899,"")</f>
        <v/>
      </c>
      <c r="J899">
        <f>IF(OR(E899="Prospecting",E899="Engaging"),VLOOKUP(C899,Products!$A$2:$C$8,3,FALSE),0)</f>
        <v>3393</v>
      </c>
    </row>
    <row r="900" spans="1:10" x14ac:dyDescent="0.25">
      <c r="A900" t="s">
        <v>1067</v>
      </c>
      <c r="B900" t="s">
        <v>137</v>
      </c>
      <c r="C900" t="s">
        <v>120</v>
      </c>
      <c r="D900" t="s">
        <v>51</v>
      </c>
      <c r="E900" t="s">
        <v>138</v>
      </c>
      <c r="F900" s="1">
        <v>42781</v>
      </c>
      <c r="G900" s="1">
        <v>42868</v>
      </c>
      <c r="H900">
        <v>455</v>
      </c>
      <c r="I900" t="str">
        <f>IF(COUNTIF(Products!$A$2:$A$8,C900)=0,C900,"")</f>
        <v/>
      </c>
      <c r="J900">
        <f>IF(OR(E900="Prospecting",E900="Engaging"),VLOOKUP(C900,Products!$A$2:$C$8,3,FALSE),0)</f>
        <v>0</v>
      </c>
    </row>
    <row r="901" spans="1:10" x14ac:dyDescent="0.25">
      <c r="A901" t="s">
        <v>1068</v>
      </c>
      <c r="B901" t="s">
        <v>193</v>
      </c>
      <c r="C901" t="s">
        <v>120</v>
      </c>
      <c r="D901" t="s">
        <v>63</v>
      </c>
      <c r="E901" t="s">
        <v>138</v>
      </c>
      <c r="F901" s="1">
        <v>42781</v>
      </c>
      <c r="G901" s="1">
        <v>42797</v>
      </c>
      <c r="H901">
        <v>537</v>
      </c>
      <c r="I901" t="str">
        <f>IF(COUNTIF(Products!$A$2:$A$8,C901)=0,C901,"")</f>
        <v/>
      </c>
      <c r="J901">
        <f>IF(OR(E901="Prospecting",E901="Engaging"),VLOOKUP(C901,Products!$A$2:$C$8,3,FALSE),0)</f>
        <v>0</v>
      </c>
    </row>
    <row r="902" spans="1:10" x14ac:dyDescent="0.25">
      <c r="A902" t="s">
        <v>1069</v>
      </c>
      <c r="B902" t="s">
        <v>193</v>
      </c>
      <c r="C902" t="s">
        <v>127</v>
      </c>
      <c r="D902" t="s">
        <v>81</v>
      </c>
      <c r="E902" t="s">
        <v>138</v>
      </c>
      <c r="F902" s="1">
        <v>42781</v>
      </c>
      <c r="G902" s="1">
        <v>42798</v>
      </c>
      <c r="H902">
        <v>1090</v>
      </c>
      <c r="I902" t="str">
        <f>IF(COUNTIF(Products!$A$2:$A$8,C902)=0,C902,"")</f>
        <v/>
      </c>
      <c r="J902">
        <f>IF(OR(E902="Prospecting",E902="Engaging"),VLOOKUP(C902,Products!$A$2:$C$8,3,FALSE),0)</f>
        <v>0</v>
      </c>
    </row>
    <row r="903" spans="1:10" x14ac:dyDescent="0.25">
      <c r="A903" t="s">
        <v>1070</v>
      </c>
      <c r="B903" t="s">
        <v>169</v>
      </c>
      <c r="C903" t="s">
        <v>125</v>
      </c>
      <c r="D903" t="s">
        <v>94</v>
      </c>
      <c r="E903" t="s">
        <v>159</v>
      </c>
      <c r="F903" s="1">
        <v>42781</v>
      </c>
      <c r="G903" s="1">
        <v>42879</v>
      </c>
      <c r="H903">
        <v>0</v>
      </c>
      <c r="I903" t="str">
        <f>IF(COUNTIF(Products!$A$2:$A$8,C903)=0,C903,"")</f>
        <v/>
      </c>
      <c r="J903">
        <f>IF(OR(E903="Prospecting",E903="Engaging"),VLOOKUP(C903,Products!$A$2:$C$8,3,FALSE),0)</f>
        <v>0</v>
      </c>
    </row>
    <row r="904" spans="1:10" x14ac:dyDescent="0.25">
      <c r="A904" t="s">
        <v>1071</v>
      </c>
      <c r="B904" t="s">
        <v>169</v>
      </c>
      <c r="C904" t="s">
        <v>123</v>
      </c>
      <c r="D904" t="s">
        <v>51</v>
      </c>
      <c r="E904" t="s">
        <v>138</v>
      </c>
      <c r="F904" s="1">
        <v>42781</v>
      </c>
      <c r="G904" s="1">
        <v>42811</v>
      </c>
      <c r="H904">
        <v>60</v>
      </c>
      <c r="I904" t="str">
        <f>IF(COUNTIF(Products!$A$2:$A$8,C904)=0,C904,"")</f>
        <v/>
      </c>
      <c r="J904">
        <f>IF(OR(E904="Prospecting",E904="Engaging"),VLOOKUP(C904,Products!$A$2:$C$8,3,FALSE),0)</f>
        <v>0</v>
      </c>
    </row>
    <row r="905" spans="1:10" x14ac:dyDescent="0.25">
      <c r="A905" t="s">
        <v>1072</v>
      </c>
      <c r="B905" t="s">
        <v>148</v>
      </c>
      <c r="C905" t="s">
        <v>127</v>
      </c>
      <c r="D905" t="s">
        <v>39</v>
      </c>
      <c r="E905" t="s">
        <v>159</v>
      </c>
      <c r="F905" s="1">
        <v>42781</v>
      </c>
      <c r="G905" s="1">
        <v>42872</v>
      </c>
      <c r="H905">
        <v>0</v>
      </c>
      <c r="I905" t="str">
        <f>IF(COUNTIF(Products!$A$2:$A$8,C905)=0,C905,"")</f>
        <v/>
      </c>
      <c r="J905">
        <f>IF(OR(E905="Prospecting",E905="Engaging"),VLOOKUP(C905,Products!$A$2:$C$8,3,FALSE),0)</f>
        <v>0</v>
      </c>
    </row>
    <row r="906" spans="1:10" x14ac:dyDescent="0.25">
      <c r="A906" t="s">
        <v>1073</v>
      </c>
      <c r="B906" t="s">
        <v>144</v>
      </c>
      <c r="C906" t="s">
        <v>120</v>
      </c>
      <c r="E906" t="s">
        <v>155</v>
      </c>
      <c r="F906" s="1">
        <v>42781</v>
      </c>
      <c r="I906" t="str">
        <f>IF(COUNTIF(Products!$A$2:$A$8,C906)=0,C906,"")</f>
        <v/>
      </c>
      <c r="J906">
        <f>IF(OR(E906="Prospecting",E906="Engaging"),VLOOKUP(C906,Products!$A$2:$C$8,3,FALSE),0)</f>
        <v>550</v>
      </c>
    </row>
    <row r="907" spans="1:10" x14ac:dyDescent="0.25">
      <c r="A907" t="s">
        <v>1074</v>
      </c>
      <c r="B907" t="s">
        <v>207</v>
      </c>
      <c r="C907" t="s">
        <v>126</v>
      </c>
      <c r="D907" t="s">
        <v>84</v>
      </c>
      <c r="E907" t="s">
        <v>138</v>
      </c>
      <c r="F907" s="1">
        <v>42782</v>
      </c>
      <c r="G907" s="1">
        <v>42901</v>
      </c>
      <c r="H907">
        <v>6509</v>
      </c>
      <c r="I907" t="str">
        <f>IF(COUNTIF(Products!$A$2:$A$8,C907)=0,C907,"")</f>
        <v/>
      </c>
      <c r="J907">
        <f>IF(OR(E907="Prospecting",E907="Engaging"),VLOOKUP(C907,Products!$A$2:$C$8,3,FALSE),0)</f>
        <v>0</v>
      </c>
    </row>
    <row r="908" spans="1:10" x14ac:dyDescent="0.25">
      <c r="A908" t="s">
        <v>1075</v>
      </c>
      <c r="B908" t="s">
        <v>264</v>
      </c>
      <c r="C908" t="s">
        <v>127</v>
      </c>
      <c r="D908" t="s">
        <v>88</v>
      </c>
      <c r="E908" t="s">
        <v>138</v>
      </c>
      <c r="F908" s="1">
        <v>42782</v>
      </c>
      <c r="G908" s="1">
        <v>42873</v>
      </c>
      <c r="H908">
        <v>1079</v>
      </c>
      <c r="I908" t="str">
        <f>IF(COUNTIF(Products!$A$2:$A$8,C908)=0,C908,"")</f>
        <v/>
      </c>
      <c r="J908">
        <f>IF(OR(E908="Prospecting",E908="Engaging"),VLOOKUP(C908,Products!$A$2:$C$8,3,FALSE),0)</f>
        <v>0</v>
      </c>
    </row>
    <row r="909" spans="1:10" x14ac:dyDescent="0.25">
      <c r="A909" t="s">
        <v>1076</v>
      </c>
      <c r="B909" t="s">
        <v>239</v>
      </c>
      <c r="C909" t="s">
        <v>127</v>
      </c>
      <c r="D909" t="s">
        <v>92</v>
      </c>
      <c r="E909" t="s">
        <v>138</v>
      </c>
      <c r="F909" s="1">
        <v>42782</v>
      </c>
      <c r="G909" s="1">
        <v>42884</v>
      </c>
      <c r="H909">
        <v>1111</v>
      </c>
      <c r="I909" t="str">
        <f>IF(COUNTIF(Products!$A$2:$A$8,C909)=0,C909,"")</f>
        <v/>
      </c>
      <c r="J909">
        <f>IF(OR(E909="Prospecting",E909="Engaging"),VLOOKUP(C909,Products!$A$2:$C$8,3,FALSE),0)</f>
        <v>0</v>
      </c>
    </row>
    <row r="910" spans="1:10" x14ac:dyDescent="0.25">
      <c r="A910" t="s">
        <v>1077</v>
      </c>
      <c r="B910" t="s">
        <v>224</v>
      </c>
      <c r="C910" t="s">
        <v>122</v>
      </c>
      <c r="D910" t="s">
        <v>73</v>
      </c>
      <c r="E910" t="s">
        <v>159</v>
      </c>
      <c r="F910" s="1">
        <v>42782</v>
      </c>
      <c r="G910" s="1">
        <v>42876</v>
      </c>
      <c r="H910">
        <v>0</v>
      </c>
      <c r="I910" t="str">
        <f>IF(COUNTIF(Products!$A$2:$A$8,C910)=0,C910,"")</f>
        <v/>
      </c>
      <c r="J910">
        <f>IF(OR(E910="Prospecting",E910="Engaging"),VLOOKUP(C910,Products!$A$2:$C$8,3,FALSE),0)</f>
        <v>0</v>
      </c>
    </row>
    <row r="911" spans="1:10" x14ac:dyDescent="0.25">
      <c r="A911" t="s">
        <v>1078</v>
      </c>
      <c r="B911" t="s">
        <v>224</v>
      </c>
      <c r="C911" t="s">
        <v>120</v>
      </c>
      <c r="D911" t="s">
        <v>35</v>
      </c>
      <c r="E911" t="s">
        <v>138</v>
      </c>
      <c r="F911" s="1">
        <v>42782</v>
      </c>
      <c r="G911" s="1">
        <v>42796</v>
      </c>
      <c r="H911">
        <v>462</v>
      </c>
      <c r="I911" t="str">
        <f>IF(COUNTIF(Products!$A$2:$A$8,C911)=0,C911,"")</f>
        <v/>
      </c>
      <c r="J911">
        <f>IF(OR(E911="Prospecting",E911="Engaging"),VLOOKUP(C911,Products!$A$2:$C$8,3,FALSE),0)</f>
        <v>0</v>
      </c>
    </row>
    <row r="912" spans="1:10" x14ac:dyDescent="0.25">
      <c r="A912" t="s">
        <v>1079</v>
      </c>
      <c r="B912" t="s">
        <v>224</v>
      </c>
      <c r="C912" t="s">
        <v>120</v>
      </c>
      <c r="D912" t="s">
        <v>108</v>
      </c>
      <c r="E912" t="s">
        <v>138</v>
      </c>
      <c r="F912" s="1">
        <v>42782</v>
      </c>
      <c r="G912" s="1">
        <v>42798</v>
      </c>
      <c r="H912">
        <v>555</v>
      </c>
      <c r="I912" t="str">
        <f>IF(COUNTIF(Products!$A$2:$A$8,C912)=0,C912,"")</f>
        <v/>
      </c>
      <c r="J912">
        <f>IF(OR(E912="Prospecting",E912="Engaging"),VLOOKUP(C912,Products!$A$2:$C$8,3,FALSE),0)</f>
        <v>0</v>
      </c>
    </row>
    <row r="913" spans="1:10" x14ac:dyDescent="0.25">
      <c r="A913" t="s">
        <v>1080</v>
      </c>
      <c r="B913" t="s">
        <v>158</v>
      </c>
      <c r="C913" t="s">
        <v>126</v>
      </c>
      <c r="D913" t="s">
        <v>28</v>
      </c>
      <c r="E913" t="s">
        <v>138</v>
      </c>
      <c r="F913" s="1">
        <v>42782</v>
      </c>
      <c r="G913" s="1">
        <v>42795</v>
      </c>
      <c r="H913">
        <v>6719</v>
      </c>
      <c r="I913" t="str">
        <f>IF(COUNTIF(Products!$A$2:$A$8,C913)=0,C913,"")</f>
        <v/>
      </c>
      <c r="J913">
        <f>IF(OR(E913="Prospecting",E913="Engaging"),VLOOKUP(C913,Products!$A$2:$C$8,3,FALSE),0)</f>
        <v>0</v>
      </c>
    </row>
    <row r="914" spans="1:10" x14ac:dyDescent="0.25">
      <c r="A914" t="s">
        <v>1081</v>
      </c>
      <c r="B914" t="s">
        <v>164</v>
      </c>
      <c r="C914" t="s">
        <v>125</v>
      </c>
      <c r="D914" t="s">
        <v>39</v>
      </c>
      <c r="E914" t="s">
        <v>138</v>
      </c>
      <c r="F914" s="1">
        <v>42782</v>
      </c>
      <c r="G914" s="1">
        <v>42888</v>
      </c>
      <c r="H914">
        <v>3281</v>
      </c>
      <c r="I914" t="str">
        <f>IF(COUNTIF(Products!$A$2:$A$8,C914)=0,C914,"")</f>
        <v/>
      </c>
      <c r="J914">
        <f>IF(OR(E914="Prospecting",E914="Engaging"),VLOOKUP(C914,Products!$A$2:$C$8,3,FALSE),0)</f>
        <v>0</v>
      </c>
    </row>
    <row r="915" spans="1:10" x14ac:dyDescent="0.25">
      <c r="A915" t="s">
        <v>1082</v>
      </c>
      <c r="B915" t="s">
        <v>154</v>
      </c>
      <c r="C915" t="s">
        <v>127</v>
      </c>
      <c r="E915" t="s">
        <v>155</v>
      </c>
      <c r="F915" s="1">
        <v>42782</v>
      </c>
      <c r="I915" t="str">
        <f>IF(COUNTIF(Products!$A$2:$A$8,C915)=0,C915,"")</f>
        <v/>
      </c>
      <c r="J915">
        <f>IF(OR(E915="Prospecting",E915="Engaging"),VLOOKUP(C915,Products!$A$2:$C$8,3,FALSE),0)</f>
        <v>1096</v>
      </c>
    </row>
    <row r="916" spans="1:10" x14ac:dyDescent="0.25">
      <c r="A916" t="s">
        <v>1083</v>
      </c>
      <c r="B916" t="s">
        <v>154</v>
      </c>
      <c r="C916" t="s">
        <v>125</v>
      </c>
      <c r="D916" t="s">
        <v>67</v>
      </c>
      <c r="E916" t="s">
        <v>138</v>
      </c>
      <c r="F916" s="1">
        <v>42782</v>
      </c>
      <c r="G916" s="1">
        <v>42862</v>
      </c>
      <c r="H916">
        <v>3398</v>
      </c>
      <c r="I916" t="str">
        <f>IF(COUNTIF(Products!$A$2:$A$8,C916)=0,C916,"")</f>
        <v/>
      </c>
      <c r="J916">
        <f>IF(OR(E916="Prospecting",E916="Engaging"),VLOOKUP(C916,Products!$A$2:$C$8,3,FALSE),0)</f>
        <v>0</v>
      </c>
    </row>
    <row r="917" spans="1:10" x14ac:dyDescent="0.25">
      <c r="A917" t="s">
        <v>1084</v>
      </c>
      <c r="B917" t="s">
        <v>191</v>
      </c>
      <c r="C917" t="s">
        <v>120</v>
      </c>
      <c r="D917" t="s">
        <v>71</v>
      </c>
      <c r="E917" t="s">
        <v>155</v>
      </c>
      <c r="F917" s="1">
        <v>42782</v>
      </c>
      <c r="I917" t="str">
        <f>IF(COUNTIF(Products!$A$2:$A$8,C917)=0,C917,"")</f>
        <v/>
      </c>
      <c r="J917">
        <f>IF(OR(E917="Prospecting",E917="Engaging"),VLOOKUP(C917,Products!$A$2:$C$8,3,FALSE),0)</f>
        <v>550</v>
      </c>
    </row>
    <row r="918" spans="1:10" x14ac:dyDescent="0.25">
      <c r="A918" t="s">
        <v>1085</v>
      </c>
      <c r="B918" t="s">
        <v>191</v>
      </c>
      <c r="C918" t="s">
        <v>122</v>
      </c>
      <c r="E918" t="s">
        <v>155</v>
      </c>
      <c r="F918" s="1">
        <v>42782</v>
      </c>
      <c r="I918" t="str">
        <f>IF(COUNTIF(Products!$A$2:$A$8,C918)=0,C918,"")</f>
        <v/>
      </c>
      <c r="J918">
        <f>IF(OR(E918="Prospecting",E918="Engaging"),VLOOKUP(C918,Products!$A$2:$C$8,3,FALSE),0)</f>
        <v>4821</v>
      </c>
    </row>
    <row r="919" spans="1:10" x14ac:dyDescent="0.25">
      <c r="A919" t="s">
        <v>1086</v>
      </c>
      <c r="B919" t="s">
        <v>191</v>
      </c>
      <c r="C919" t="s">
        <v>122</v>
      </c>
      <c r="D919" t="s">
        <v>61</v>
      </c>
      <c r="E919" t="s">
        <v>159</v>
      </c>
      <c r="F919" s="1">
        <v>42782</v>
      </c>
      <c r="G919" s="1">
        <v>42869</v>
      </c>
      <c r="H919">
        <v>0</v>
      </c>
      <c r="I919" t="str">
        <f>IF(COUNTIF(Products!$A$2:$A$8,C919)=0,C919,"")</f>
        <v/>
      </c>
      <c r="J919">
        <f>IF(OR(E919="Prospecting",E919="Engaging"),VLOOKUP(C919,Products!$A$2:$C$8,3,FALSE),0)</f>
        <v>0</v>
      </c>
    </row>
    <row r="920" spans="1:10" x14ac:dyDescent="0.25">
      <c r="A920" t="s">
        <v>1087</v>
      </c>
      <c r="B920" t="s">
        <v>205</v>
      </c>
      <c r="C920" t="s">
        <v>120</v>
      </c>
      <c r="D920" t="s">
        <v>33</v>
      </c>
      <c r="E920" t="s">
        <v>138</v>
      </c>
      <c r="F920" s="1">
        <v>42782</v>
      </c>
      <c r="G920" s="1">
        <v>42795</v>
      </c>
      <c r="H920">
        <v>608</v>
      </c>
      <c r="I920" t="str">
        <f>IF(COUNTIF(Products!$A$2:$A$8,C920)=0,C920,"")</f>
        <v/>
      </c>
      <c r="J920">
        <f>IF(OR(E920="Prospecting",E920="Engaging"),VLOOKUP(C920,Products!$A$2:$C$8,3,FALSE),0)</f>
        <v>0</v>
      </c>
    </row>
    <row r="921" spans="1:10" x14ac:dyDescent="0.25">
      <c r="A921" t="s">
        <v>1088</v>
      </c>
      <c r="B921" t="s">
        <v>152</v>
      </c>
      <c r="C921" t="s">
        <v>122</v>
      </c>
      <c r="D921" t="s">
        <v>53</v>
      </c>
      <c r="E921" t="s">
        <v>159</v>
      </c>
      <c r="F921" s="1">
        <v>42782</v>
      </c>
      <c r="G921" s="1">
        <v>42872</v>
      </c>
      <c r="H921">
        <v>0</v>
      </c>
      <c r="I921" t="str">
        <f>IF(COUNTIF(Products!$A$2:$A$8,C921)=0,C921,"")</f>
        <v/>
      </c>
      <c r="J921">
        <f>IF(OR(E921="Prospecting",E921="Engaging"),VLOOKUP(C921,Products!$A$2:$C$8,3,FALSE),0)</f>
        <v>0</v>
      </c>
    </row>
    <row r="922" spans="1:10" x14ac:dyDescent="0.25">
      <c r="A922" t="s">
        <v>1089</v>
      </c>
      <c r="B922" t="s">
        <v>193</v>
      </c>
      <c r="C922" t="s">
        <v>127</v>
      </c>
      <c r="D922" t="s">
        <v>35</v>
      </c>
      <c r="E922" t="s">
        <v>138</v>
      </c>
      <c r="F922" s="1">
        <v>42782</v>
      </c>
      <c r="G922" s="1">
        <v>42885</v>
      </c>
      <c r="H922">
        <v>1187</v>
      </c>
      <c r="I922" t="str">
        <f>IF(COUNTIF(Products!$A$2:$A$8,C922)=0,C922,"")</f>
        <v/>
      </c>
      <c r="J922">
        <f>IF(OR(E922="Prospecting",E922="Engaging"),VLOOKUP(C922,Products!$A$2:$C$8,3,FALSE),0)</f>
        <v>0</v>
      </c>
    </row>
    <row r="923" spans="1:10" x14ac:dyDescent="0.25">
      <c r="A923" t="s">
        <v>1090</v>
      </c>
      <c r="B923" t="s">
        <v>187</v>
      </c>
      <c r="C923" t="s">
        <v>120</v>
      </c>
      <c r="E923" t="s">
        <v>155</v>
      </c>
      <c r="F923" s="1">
        <v>42782</v>
      </c>
      <c r="I923" t="str">
        <f>IF(COUNTIF(Products!$A$2:$A$8,C923)=0,C923,"")</f>
        <v/>
      </c>
      <c r="J923">
        <f>IF(OR(E923="Prospecting",E923="Engaging"),VLOOKUP(C923,Products!$A$2:$C$8,3,FALSE),0)</f>
        <v>550</v>
      </c>
    </row>
    <row r="924" spans="1:10" x14ac:dyDescent="0.25">
      <c r="A924" t="s">
        <v>1091</v>
      </c>
      <c r="B924" t="s">
        <v>177</v>
      </c>
      <c r="C924" t="s">
        <v>126</v>
      </c>
      <c r="D924" t="s">
        <v>63</v>
      </c>
      <c r="E924" t="s">
        <v>138</v>
      </c>
      <c r="F924" s="1">
        <v>42782</v>
      </c>
      <c r="G924" s="1">
        <v>42908</v>
      </c>
      <c r="H924">
        <v>5855</v>
      </c>
      <c r="I924" t="str">
        <f>IF(COUNTIF(Products!$A$2:$A$8,C924)=0,C924,"")</f>
        <v/>
      </c>
      <c r="J924">
        <f>IF(OR(E924="Prospecting",E924="Engaging"),VLOOKUP(C924,Products!$A$2:$C$8,3,FALSE),0)</f>
        <v>0</v>
      </c>
    </row>
    <row r="925" spans="1:10" x14ac:dyDescent="0.25">
      <c r="A925" t="s">
        <v>1092</v>
      </c>
      <c r="B925" t="s">
        <v>144</v>
      </c>
      <c r="C925" t="s">
        <v>120</v>
      </c>
      <c r="E925" t="s">
        <v>155</v>
      </c>
      <c r="F925" s="1">
        <v>42782</v>
      </c>
      <c r="I925" t="str">
        <f>IF(COUNTIF(Products!$A$2:$A$8,C925)=0,C925,"")</f>
        <v/>
      </c>
      <c r="J925">
        <f>IF(OR(E925="Prospecting",E925="Engaging"),VLOOKUP(C925,Products!$A$2:$C$8,3,FALSE),0)</f>
        <v>550</v>
      </c>
    </row>
    <row r="926" spans="1:10" x14ac:dyDescent="0.25">
      <c r="A926" t="s">
        <v>1093</v>
      </c>
      <c r="B926" t="s">
        <v>140</v>
      </c>
      <c r="C926" t="s">
        <v>122</v>
      </c>
      <c r="D926" t="s">
        <v>22</v>
      </c>
      <c r="E926" t="s">
        <v>138</v>
      </c>
      <c r="F926" s="1">
        <v>42783</v>
      </c>
      <c r="G926" s="1">
        <v>42865</v>
      </c>
      <c r="H926">
        <v>5068</v>
      </c>
      <c r="I926" t="str">
        <f>IF(COUNTIF(Products!$A$2:$A$8,C926)=0,C926,"")</f>
        <v/>
      </c>
      <c r="J926">
        <f>IF(OR(E926="Prospecting",E926="Engaging"),VLOOKUP(C926,Products!$A$2:$C$8,3,FALSE),0)</f>
        <v>0</v>
      </c>
    </row>
    <row r="927" spans="1:10" x14ac:dyDescent="0.25">
      <c r="A927" t="s">
        <v>1094</v>
      </c>
      <c r="B927" t="s">
        <v>224</v>
      </c>
      <c r="C927" t="s">
        <v>127</v>
      </c>
      <c r="D927" t="s">
        <v>50</v>
      </c>
      <c r="E927" t="s">
        <v>159</v>
      </c>
      <c r="F927" s="1">
        <v>42783</v>
      </c>
      <c r="G927" s="1">
        <v>42899</v>
      </c>
      <c r="H927">
        <v>0</v>
      </c>
      <c r="I927" t="str">
        <f>IF(COUNTIF(Products!$A$2:$A$8,C927)=0,C927,"")</f>
        <v/>
      </c>
      <c r="J927">
        <f>IF(OR(E927="Prospecting",E927="Engaging"),VLOOKUP(C927,Products!$A$2:$C$8,3,FALSE),0)</f>
        <v>0</v>
      </c>
    </row>
    <row r="928" spans="1:10" x14ac:dyDescent="0.25">
      <c r="A928" t="s">
        <v>1095</v>
      </c>
      <c r="B928" t="s">
        <v>173</v>
      </c>
      <c r="C928" t="s">
        <v>123</v>
      </c>
      <c r="D928" t="s">
        <v>10</v>
      </c>
      <c r="E928" t="s">
        <v>155</v>
      </c>
      <c r="F928" s="1">
        <v>42783</v>
      </c>
      <c r="I928" t="str">
        <f>IF(COUNTIF(Products!$A$2:$A$8,C928)=0,C928,"")</f>
        <v/>
      </c>
      <c r="J928">
        <f>IF(OR(E928="Prospecting",E928="Engaging"),VLOOKUP(C928,Products!$A$2:$C$8,3,FALSE),0)</f>
        <v>55</v>
      </c>
    </row>
    <row r="929" spans="1:10" x14ac:dyDescent="0.25">
      <c r="A929" t="s">
        <v>1096</v>
      </c>
      <c r="B929" t="s">
        <v>154</v>
      </c>
      <c r="C929" t="s">
        <v>126</v>
      </c>
      <c r="D929" t="s">
        <v>66</v>
      </c>
      <c r="E929" t="s">
        <v>138</v>
      </c>
      <c r="F929" s="1">
        <v>42783</v>
      </c>
      <c r="G929" s="1">
        <v>42905</v>
      </c>
      <c r="H929">
        <v>4066</v>
      </c>
      <c r="I929" t="str">
        <f>IF(COUNTIF(Products!$A$2:$A$8,C929)=0,C929,"")</f>
        <v/>
      </c>
      <c r="J929">
        <f>IF(OR(E929="Prospecting",E929="Engaging"),VLOOKUP(C929,Products!$A$2:$C$8,3,FALSE),0)</f>
        <v>0</v>
      </c>
    </row>
    <row r="930" spans="1:10" x14ac:dyDescent="0.25">
      <c r="A930" t="s">
        <v>1097</v>
      </c>
      <c r="B930" t="s">
        <v>303</v>
      </c>
      <c r="C930" t="s">
        <v>122</v>
      </c>
      <c r="D930" t="s">
        <v>64</v>
      </c>
      <c r="E930" t="s">
        <v>138</v>
      </c>
      <c r="F930" s="1">
        <v>42783</v>
      </c>
      <c r="G930" s="1">
        <v>42893</v>
      </c>
      <c r="H930">
        <v>4494</v>
      </c>
      <c r="I930" t="str">
        <f>IF(COUNTIF(Products!$A$2:$A$8,C930)=0,C930,"")</f>
        <v/>
      </c>
      <c r="J930">
        <f>IF(OR(E930="Prospecting",E930="Engaging"),VLOOKUP(C930,Products!$A$2:$C$8,3,FALSE),0)</f>
        <v>0</v>
      </c>
    </row>
    <row r="931" spans="1:10" x14ac:dyDescent="0.25">
      <c r="A931" t="s">
        <v>1098</v>
      </c>
      <c r="B931" t="s">
        <v>180</v>
      </c>
      <c r="C931" t="s">
        <v>120</v>
      </c>
      <c r="D931" t="s">
        <v>44</v>
      </c>
      <c r="E931" t="s">
        <v>159</v>
      </c>
      <c r="F931" s="1">
        <v>42783</v>
      </c>
      <c r="G931" s="1">
        <v>42859</v>
      </c>
      <c r="H931">
        <v>0</v>
      </c>
      <c r="I931" t="str">
        <f>IF(COUNTIF(Products!$A$2:$A$8,C931)=0,C931,"")</f>
        <v/>
      </c>
      <c r="J931">
        <f>IF(OR(E931="Prospecting",E931="Engaging"),VLOOKUP(C931,Products!$A$2:$C$8,3,FALSE),0)</f>
        <v>0</v>
      </c>
    </row>
    <row r="932" spans="1:10" x14ac:dyDescent="0.25">
      <c r="A932" t="s">
        <v>1099</v>
      </c>
      <c r="B932" t="s">
        <v>180</v>
      </c>
      <c r="C932" t="s">
        <v>122</v>
      </c>
      <c r="D932" t="s">
        <v>75</v>
      </c>
      <c r="E932" t="s">
        <v>159</v>
      </c>
      <c r="F932" s="1">
        <v>42783</v>
      </c>
      <c r="G932" s="1">
        <v>42883</v>
      </c>
      <c r="H932">
        <v>0</v>
      </c>
      <c r="I932" t="str">
        <f>IF(COUNTIF(Products!$A$2:$A$8,C932)=0,C932,"")</f>
        <v/>
      </c>
      <c r="J932">
        <f>IF(OR(E932="Prospecting",E932="Engaging"),VLOOKUP(C932,Products!$A$2:$C$8,3,FALSE),0)</f>
        <v>0</v>
      </c>
    </row>
    <row r="933" spans="1:10" x14ac:dyDescent="0.25">
      <c r="A933" t="s">
        <v>1100</v>
      </c>
      <c r="B933" t="s">
        <v>180</v>
      </c>
      <c r="C933" t="s">
        <v>120</v>
      </c>
      <c r="D933" t="s">
        <v>82</v>
      </c>
      <c r="E933" t="s">
        <v>138</v>
      </c>
      <c r="F933" s="1">
        <v>42783</v>
      </c>
      <c r="G933" s="1">
        <v>42864</v>
      </c>
      <c r="H933">
        <v>540</v>
      </c>
      <c r="I933" t="str">
        <f>IF(COUNTIF(Products!$A$2:$A$8,C933)=0,C933,"")</f>
        <v/>
      </c>
      <c r="J933">
        <f>IF(OR(E933="Prospecting",E933="Engaging"),VLOOKUP(C933,Products!$A$2:$C$8,3,FALSE),0)</f>
        <v>0</v>
      </c>
    </row>
    <row r="934" spans="1:10" x14ac:dyDescent="0.25">
      <c r="A934" t="s">
        <v>1101</v>
      </c>
      <c r="B934" t="s">
        <v>152</v>
      </c>
      <c r="C934" t="s">
        <v>125</v>
      </c>
      <c r="D934" t="s">
        <v>28</v>
      </c>
      <c r="E934" t="s">
        <v>159</v>
      </c>
      <c r="F934" s="1">
        <v>42783</v>
      </c>
      <c r="G934" s="1">
        <v>42869</v>
      </c>
      <c r="H934">
        <v>0</v>
      </c>
      <c r="I934" t="str">
        <f>IF(COUNTIF(Products!$A$2:$A$8,C934)=0,C934,"")</f>
        <v/>
      </c>
      <c r="J934">
        <f>IF(OR(E934="Prospecting",E934="Engaging"),VLOOKUP(C934,Products!$A$2:$C$8,3,FALSE),0)</f>
        <v>0</v>
      </c>
    </row>
    <row r="935" spans="1:10" x14ac:dyDescent="0.25">
      <c r="A935" t="s">
        <v>1102</v>
      </c>
      <c r="B935" t="s">
        <v>169</v>
      </c>
      <c r="C935" t="s">
        <v>123</v>
      </c>
      <c r="D935" t="s">
        <v>33</v>
      </c>
      <c r="E935" t="s">
        <v>138</v>
      </c>
      <c r="F935" s="1">
        <v>42783</v>
      </c>
      <c r="G935" s="1">
        <v>42874</v>
      </c>
      <c r="H935">
        <v>54</v>
      </c>
      <c r="I935" t="str">
        <f>IF(COUNTIF(Products!$A$2:$A$8,C935)=0,C935,"")</f>
        <v/>
      </c>
      <c r="J935">
        <f>IF(OR(E935="Prospecting",E935="Engaging"),VLOOKUP(C935,Products!$A$2:$C$8,3,FALSE),0)</f>
        <v>0</v>
      </c>
    </row>
    <row r="936" spans="1:10" x14ac:dyDescent="0.25">
      <c r="A936" t="s">
        <v>1103</v>
      </c>
      <c r="B936" t="s">
        <v>148</v>
      </c>
      <c r="C936" t="s">
        <v>125</v>
      </c>
      <c r="E936" t="s">
        <v>155</v>
      </c>
      <c r="F936" s="1">
        <v>42783</v>
      </c>
      <c r="I936" t="str">
        <f>IF(COUNTIF(Products!$A$2:$A$8,C936)=0,C936,"")</f>
        <v/>
      </c>
      <c r="J936">
        <f>IF(OR(E936="Prospecting",E936="Engaging"),VLOOKUP(C936,Products!$A$2:$C$8,3,FALSE),0)</f>
        <v>3393</v>
      </c>
    </row>
    <row r="937" spans="1:10" x14ac:dyDescent="0.25">
      <c r="A937" t="s">
        <v>1104</v>
      </c>
      <c r="B937" t="s">
        <v>144</v>
      </c>
      <c r="C937" t="s">
        <v>122</v>
      </c>
      <c r="D937" t="s">
        <v>72</v>
      </c>
      <c r="E937" t="s">
        <v>159</v>
      </c>
      <c r="F937" s="1">
        <v>42783</v>
      </c>
      <c r="G937" s="1">
        <v>42883</v>
      </c>
      <c r="H937">
        <v>0</v>
      </c>
      <c r="I937" t="str">
        <f>IF(COUNTIF(Products!$A$2:$A$8,C937)=0,C937,"")</f>
        <v/>
      </c>
      <c r="J937">
        <f>IF(OR(E937="Prospecting",E937="Engaging"),VLOOKUP(C937,Products!$A$2:$C$8,3,FALSE),0)</f>
        <v>0</v>
      </c>
    </row>
    <row r="938" spans="1:10" x14ac:dyDescent="0.25">
      <c r="A938" t="s">
        <v>1105</v>
      </c>
      <c r="B938" t="s">
        <v>207</v>
      </c>
      <c r="C938" t="s">
        <v>123</v>
      </c>
      <c r="E938" t="s">
        <v>155</v>
      </c>
      <c r="F938" s="1">
        <v>42784</v>
      </c>
      <c r="I938" t="str">
        <f>IF(COUNTIF(Products!$A$2:$A$8,C938)=0,C938,"")</f>
        <v/>
      </c>
      <c r="J938">
        <f>IF(OR(E938="Prospecting",E938="Engaging"),VLOOKUP(C938,Products!$A$2:$C$8,3,FALSE),0)</f>
        <v>55</v>
      </c>
    </row>
    <row r="939" spans="1:10" x14ac:dyDescent="0.25">
      <c r="A939" t="s">
        <v>1106</v>
      </c>
      <c r="B939" t="s">
        <v>239</v>
      </c>
      <c r="C939" t="s">
        <v>123</v>
      </c>
      <c r="D939" t="s">
        <v>111</v>
      </c>
      <c r="E939" t="s">
        <v>159</v>
      </c>
      <c r="F939" s="1">
        <v>42784</v>
      </c>
      <c r="G939" s="1">
        <v>42881</v>
      </c>
      <c r="H939">
        <v>0</v>
      </c>
      <c r="I939" t="str">
        <f>IF(COUNTIF(Products!$A$2:$A$8,C939)=0,C939,"")</f>
        <v/>
      </c>
      <c r="J939">
        <f>IF(OR(E939="Prospecting",E939="Engaging"),VLOOKUP(C939,Products!$A$2:$C$8,3,FALSE),0)</f>
        <v>0</v>
      </c>
    </row>
    <row r="940" spans="1:10" x14ac:dyDescent="0.25">
      <c r="A940" t="s">
        <v>1107</v>
      </c>
      <c r="B940" t="s">
        <v>140</v>
      </c>
      <c r="C940" t="s">
        <v>122</v>
      </c>
      <c r="D940" t="s">
        <v>61</v>
      </c>
      <c r="E940" t="s">
        <v>159</v>
      </c>
      <c r="F940" s="1">
        <v>42784</v>
      </c>
      <c r="G940" s="1">
        <v>42875</v>
      </c>
      <c r="H940">
        <v>0</v>
      </c>
      <c r="I940" t="str">
        <f>IF(COUNTIF(Products!$A$2:$A$8,C940)=0,C940,"")</f>
        <v/>
      </c>
      <c r="J940">
        <f>IF(OR(E940="Prospecting",E940="Engaging"),VLOOKUP(C940,Products!$A$2:$C$8,3,FALSE),0)</f>
        <v>0</v>
      </c>
    </row>
    <row r="941" spans="1:10" x14ac:dyDescent="0.25">
      <c r="A941" t="s">
        <v>1108</v>
      </c>
      <c r="B941" t="s">
        <v>224</v>
      </c>
      <c r="C941" t="s">
        <v>125</v>
      </c>
      <c r="D941" t="s">
        <v>10</v>
      </c>
      <c r="E941" t="s">
        <v>138</v>
      </c>
      <c r="F941" s="1">
        <v>42784</v>
      </c>
      <c r="G941" s="1">
        <v>42863</v>
      </c>
      <c r="H941">
        <v>3602</v>
      </c>
      <c r="I941" t="str">
        <f>IF(COUNTIF(Products!$A$2:$A$8,C941)=0,C941,"")</f>
        <v/>
      </c>
      <c r="J941">
        <f>IF(OR(E941="Prospecting",E941="Engaging"),VLOOKUP(C941,Products!$A$2:$C$8,3,FALSE),0)</f>
        <v>0</v>
      </c>
    </row>
    <row r="942" spans="1:10" x14ac:dyDescent="0.25">
      <c r="A942" t="s">
        <v>1109</v>
      </c>
      <c r="B942" t="s">
        <v>217</v>
      </c>
      <c r="C942" t="s">
        <v>125</v>
      </c>
      <c r="D942" t="s">
        <v>12</v>
      </c>
      <c r="E942" t="s">
        <v>138</v>
      </c>
      <c r="F942" s="1">
        <v>42784</v>
      </c>
      <c r="G942" s="1">
        <v>42862</v>
      </c>
      <c r="H942">
        <v>2904</v>
      </c>
      <c r="I942" t="str">
        <f>IF(COUNTIF(Products!$A$2:$A$8,C942)=0,C942,"")</f>
        <v/>
      </c>
      <c r="J942">
        <f>IF(OR(E942="Prospecting",E942="Engaging"),VLOOKUP(C942,Products!$A$2:$C$8,3,FALSE),0)</f>
        <v>0</v>
      </c>
    </row>
    <row r="943" spans="1:10" x14ac:dyDescent="0.25">
      <c r="A943" t="s">
        <v>1110</v>
      </c>
      <c r="B943" t="s">
        <v>150</v>
      </c>
      <c r="C943" t="s">
        <v>120</v>
      </c>
      <c r="D943" t="s">
        <v>41</v>
      </c>
      <c r="E943" t="s">
        <v>138</v>
      </c>
      <c r="F943" s="1">
        <v>42784</v>
      </c>
      <c r="G943" s="1">
        <v>42886</v>
      </c>
      <c r="H943">
        <v>571</v>
      </c>
      <c r="I943" t="str">
        <f>IF(COUNTIF(Products!$A$2:$A$8,C943)=0,C943,"")</f>
        <v/>
      </c>
      <c r="J943">
        <f>IF(OR(E943="Prospecting",E943="Engaging"),VLOOKUP(C943,Products!$A$2:$C$8,3,FALSE),0)</f>
        <v>0</v>
      </c>
    </row>
    <row r="944" spans="1:10" x14ac:dyDescent="0.25">
      <c r="A944" t="s">
        <v>1111</v>
      </c>
      <c r="B944" t="s">
        <v>205</v>
      </c>
      <c r="C944" t="s">
        <v>123</v>
      </c>
      <c r="D944" t="s">
        <v>51</v>
      </c>
      <c r="E944" t="s">
        <v>159</v>
      </c>
      <c r="F944" s="1">
        <v>42784</v>
      </c>
      <c r="G944" s="1">
        <v>42885</v>
      </c>
      <c r="H944">
        <v>0</v>
      </c>
      <c r="I944" t="str">
        <f>IF(COUNTIF(Products!$A$2:$A$8,C944)=0,C944,"")</f>
        <v/>
      </c>
      <c r="J944">
        <f>IF(OR(E944="Prospecting",E944="Engaging"),VLOOKUP(C944,Products!$A$2:$C$8,3,FALSE),0)</f>
        <v>0</v>
      </c>
    </row>
    <row r="945" spans="1:10" x14ac:dyDescent="0.25">
      <c r="A945" t="s">
        <v>1112</v>
      </c>
      <c r="B945" t="s">
        <v>193</v>
      </c>
      <c r="C945" t="s">
        <v>120</v>
      </c>
      <c r="D945" t="s">
        <v>111</v>
      </c>
      <c r="E945" t="s">
        <v>138</v>
      </c>
      <c r="F945" s="1">
        <v>42784</v>
      </c>
      <c r="G945" s="1">
        <v>42904</v>
      </c>
      <c r="H945">
        <v>492</v>
      </c>
      <c r="I945" t="str">
        <f>IF(COUNTIF(Products!$A$2:$A$8,C945)=0,C945,"")</f>
        <v/>
      </c>
      <c r="J945">
        <f>IF(OR(E945="Prospecting",E945="Engaging"),VLOOKUP(C945,Products!$A$2:$C$8,3,FALSE),0)</f>
        <v>0</v>
      </c>
    </row>
    <row r="946" spans="1:10" x14ac:dyDescent="0.25">
      <c r="A946" t="s">
        <v>1113</v>
      </c>
      <c r="B946" t="s">
        <v>193</v>
      </c>
      <c r="C946" t="s">
        <v>122</v>
      </c>
      <c r="D946" t="s">
        <v>111</v>
      </c>
      <c r="E946" t="s">
        <v>138</v>
      </c>
      <c r="F946" s="1">
        <v>42784</v>
      </c>
      <c r="G946" s="1">
        <v>42882</v>
      </c>
      <c r="H946">
        <v>4545</v>
      </c>
      <c r="I946" t="str">
        <f>IF(COUNTIF(Products!$A$2:$A$8,C946)=0,C946,"")</f>
        <v/>
      </c>
      <c r="J946">
        <f>IF(OR(E946="Prospecting",E946="Engaging"),VLOOKUP(C946,Products!$A$2:$C$8,3,FALSE),0)</f>
        <v>0</v>
      </c>
    </row>
    <row r="947" spans="1:10" x14ac:dyDescent="0.25">
      <c r="A947" t="s">
        <v>1114</v>
      </c>
      <c r="B947" t="s">
        <v>169</v>
      </c>
      <c r="C947" t="s">
        <v>126</v>
      </c>
      <c r="D947" t="s">
        <v>22</v>
      </c>
      <c r="E947" t="s">
        <v>138</v>
      </c>
      <c r="F947" s="1">
        <v>42784</v>
      </c>
      <c r="G947" s="1">
        <v>42819</v>
      </c>
      <c r="H947">
        <v>5614</v>
      </c>
      <c r="I947" t="str">
        <f>IF(COUNTIF(Products!$A$2:$A$8,C947)=0,C947,"")</f>
        <v/>
      </c>
      <c r="J947">
        <f>IF(OR(E947="Prospecting",E947="Engaging"),VLOOKUP(C947,Products!$A$2:$C$8,3,FALSE),0)</f>
        <v>0</v>
      </c>
    </row>
    <row r="948" spans="1:10" x14ac:dyDescent="0.25">
      <c r="A948" t="s">
        <v>1115</v>
      </c>
      <c r="B948" t="s">
        <v>146</v>
      </c>
      <c r="C948" t="s">
        <v>126</v>
      </c>
      <c r="D948" t="s">
        <v>12</v>
      </c>
      <c r="E948" t="s">
        <v>138</v>
      </c>
      <c r="F948" s="1">
        <v>42785</v>
      </c>
      <c r="G948" s="1">
        <v>42898</v>
      </c>
      <c r="H948">
        <v>5370</v>
      </c>
      <c r="I948" t="str">
        <f>IF(COUNTIF(Products!$A$2:$A$8,C948)=0,C948,"")</f>
        <v/>
      </c>
      <c r="J948">
        <f>IF(OR(E948="Prospecting",E948="Engaging"),VLOOKUP(C948,Products!$A$2:$C$8,3,FALSE),0)</f>
        <v>0</v>
      </c>
    </row>
    <row r="949" spans="1:10" x14ac:dyDescent="0.25">
      <c r="A949" t="s">
        <v>1116</v>
      </c>
      <c r="B949" t="s">
        <v>222</v>
      </c>
      <c r="C949" t="s">
        <v>120</v>
      </c>
      <c r="D949" t="s">
        <v>112</v>
      </c>
      <c r="E949" t="s">
        <v>138</v>
      </c>
      <c r="F949" s="1">
        <v>42785</v>
      </c>
      <c r="G949" s="1">
        <v>42857</v>
      </c>
      <c r="H949">
        <v>550</v>
      </c>
      <c r="I949" t="str">
        <f>IF(COUNTIF(Products!$A$2:$A$8,C949)=0,C949,"")</f>
        <v/>
      </c>
      <c r="J949">
        <f>IF(OR(E949="Prospecting",E949="Engaging"),VLOOKUP(C949,Products!$A$2:$C$8,3,FALSE),0)</f>
        <v>0</v>
      </c>
    </row>
    <row r="950" spans="1:10" x14ac:dyDescent="0.25">
      <c r="A950" t="s">
        <v>1117</v>
      </c>
      <c r="B950" t="s">
        <v>207</v>
      </c>
      <c r="C950" t="s">
        <v>127</v>
      </c>
      <c r="D950" t="s">
        <v>110</v>
      </c>
      <c r="E950" t="s">
        <v>138</v>
      </c>
      <c r="F950" s="1">
        <v>42785</v>
      </c>
      <c r="G950" s="1">
        <v>42796</v>
      </c>
      <c r="H950">
        <v>1011</v>
      </c>
      <c r="I950" t="str">
        <f>IF(COUNTIF(Products!$A$2:$A$8,C950)=0,C950,"")</f>
        <v/>
      </c>
      <c r="J950">
        <f>IF(OR(E950="Prospecting",E950="Engaging"),VLOOKUP(C950,Products!$A$2:$C$8,3,FALSE),0)</f>
        <v>0</v>
      </c>
    </row>
    <row r="951" spans="1:10" x14ac:dyDescent="0.25">
      <c r="A951" t="s">
        <v>1118</v>
      </c>
      <c r="B951" t="s">
        <v>239</v>
      </c>
      <c r="C951" t="s">
        <v>123</v>
      </c>
      <c r="D951" t="s">
        <v>98</v>
      </c>
      <c r="E951" t="s">
        <v>138</v>
      </c>
      <c r="F951" s="1">
        <v>42785</v>
      </c>
      <c r="G951" s="1">
        <v>42904</v>
      </c>
      <c r="H951">
        <v>56</v>
      </c>
      <c r="I951" t="str">
        <f>IF(COUNTIF(Products!$A$2:$A$8,C951)=0,C951,"")</f>
        <v/>
      </c>
      <c r="J951">
        <f>IF(OR(E951="Prospecting",E951="Engaging"),VLOOKUP(C951,Products!$A$2:$C$8,3,FALSE),0)</f>
        <v>0</v>
      </c>
    </row>
    <row r="952" spans="1:10" x14ac:dyDescent="0.25">
      <c r="A952" t="s">
        <v>1119</v>
      </c>
      <c r="B952" t="s">
        <v>171</v>
      </c>
      <c r="C952" t="s">
        <v>123</v>
      </c>
      <c r="E952" t="s">
        <v>155</v>
      </c>
      <c r="F952" s="1">
        <v>42785</v>
      </c>
      <c r="I952" t="str">
        <f>IF(COUNTIF(Products!$A$2:$A$8,C952)=0,C952,"")</f>
        <v/>
      </c>
      <c r="J952">
        <f>IF(OR(E952="Prospecting",E952="Engaging"),VLOOKUP(C952,Products!$A$2:$C$8,3,FALSE),0)</f>
        <v>55</v>
      </c>
    </row>
    <row r="953" spans="1:10" x14ac:dyDescent="0.25">
      <c r="A953" t="s">
        <v>1120</v>
      </c>
      <c r="B953" t="s">
        <v>140</v>
      </c>
      <c r="C953" t="s">
        <v>127</v>
      </c>
      <c r="D953" t="s">
        <v>26</v>
      </c>
      <c r="E953" t="s">
        <v>138</v>
      </c>
      <c r="F953" s="1">
        <v>42785</v>
      </c>
      <c r="G953" s="1">
        <v>42798</v>
      </c>
      <c r="H953">
        <v>1217</v>
      </c>
      <c r="I953" t="str">
        <f>IF(COUNTIF(Products!$A$2:$A$8,C953)=0,C953,"")</f>
        <v/>
      </c>
      <c r="J953">
        <f>IF(OR(E953="Prospecting",E953="Engaging"),VLOOKUP(C953,Products!$A$2:$C$8,3,FALSE),0)</f>
        <v>0</v>
      </c>
    </row>
    <row r="954" spans="1:10" x14ac:dyDescent="0.25">
      <c r="A954" t="s">
        <v>1121</v>
      </c>
      <c r="B954" t="s">
        <v>224</v>
      </c>
      <c r="C954" t="s">
        <v>120</v>
      </c>
      <c r="D954" t="s">
        <v>20</v>
      </c>
      <c r="E954" t="s">
        <v>159</v>
      </c>
      <c r="F954" s="1">
        <v>42785</v>
      </c>
      <c r="G954" s="1">
        <v>42874</v>
      </c>
      <c r="H954">
        <v>0</v>
      </c>
      <c r="I954" t="str">
        <f>IF(COUNTIF(Products!$A$2:$A$8,C954)=0,C954,"")</f>
        <v/>
      </c>
      <c r="J954">
        <f>IF(OR(E954="Prospecting",E954="Engaging"),VLOOKUP(C954,Products!$A$2:$C$8,3,FALSE),0)</f>
        <v>0</v>
      </c>
    </row>
    <row r="955" spans="1:10" x14ac:dyDescent="0.25">
      <c r="A955" t="s">
        <v>1122</v>
      </c>
      <c r="B955" t="s">
        <v>224</v>
      </c>
      <c r="C955" t="s">
        <v>125</v>
      </c>
      <c r="D955" t="s">
        <v>67</v>
      </c>
      <c r="E955" t="s">
        <v>138</v>
      </c>
      <c r="F955" s="1">
        <v>42785</v>
      </c>
      <c r="G955" s="1">
        <v>42865</v>
      </c>
      <c r="H955">
        <v>3222</v>
      </c>
      <c r="I955" t="str">
        <f>IF(COUNTIF(Products!$A$2:$A$8,C955)=0,C955,"")</f>
        <v/>
      </c>
      <c r="J955">
        <f>IF(OR(E955="Prospecting",E955="Engaging"),VLOOKUP(C955,Products!$A$2:$C$8,3,FALSE),0)</f>
        <v>0</v>
      </c>
    </row>
    <row r="956" spans="1:10" x14ac:dyDescent="0.25">
      <c r="A956" t="s">
        <v>1123</v>
      </c>
      <c r="B956" t="s">
        <v>198</v>
      </c>
      <c r="C956" t="s">
        <v>120</v>
      </c>
      <c r="D956" t="s">
        <v>16</v>
      </c>
      <c r="E956" t="s">
        <v>159</v>
      </c>
      <c r="F956" s="1">
        <v>42785</v>
      </c>
      <c r="G956" s="1">
        <v>42869</v>
      </c>
      <c r="H956">
        <v>0</v>
      </c>
      <c r="I956" t="str">
        <f>IF(COUNTIF(Products!$A$2:$A$8,C956)=0,C956,"")</f>
        <v/>
      </c>
      <c r="J956">
        <f>IF(OR(E956="Prospecting",E956="Engaging"),VLOOKUP(C956,Products!$A$2:$C$8,3,FALSE),0)</f>
        <v>0</v>
      </c>
    </row>
    <row r="957" spans="1:10" x14ac:dyDescent="0.25">
      <c r="A957" t="s">
        <v>1124</v>
      </c>
      <c r="B957" t="s">
        <v>198</v>
      </c>
      <c r="C957" t="s">
        <v>120</v>
      </c>
      <c r="D957" t="s">
        <v>25</v>
      </c>
      <c r="E957" t="s">
        <v>159</v>
      </c>
      <c r="F957" s="1">
        <v>42785</v>
      </c>
      <c r="G957" s="1">
        <v>42860</v>
      </c>
      <c r="H957">
        <v>0</v>
      </c>
      <c r="I957" t="str">
        <f>IF(COUNTIF(Products!$A$2:$A$8,C957)=0,C957,"")</f>
        <v/>
      </c>
      <c r="J957">
        <f>IF(OR(E957="Prospecting",E957="Engaging"),VLOOKUP(C957,Products!$A$2:$C$8,3,FALSE),0)</f>
        <v>0</v>
      </c>
    </row>
    <row r="958" spans="1:10" x14ac:dyDescent="0.25">
      <c r="A958" t="s">
        <v>1125</v>
      </c>
      <c r="B958" t="s">
        <v>198</v>
      </c>
      <c r="C958" t="s">
        <v>125</v>
      </c>
      <c r="D958" t="s">
        <v>81</v>
      </c>
      <c r="E958" t="s">
        <v>138</v>
      </c>
      <c r="F958" s="1">
        <v>42785</v>
      </c>
      <c r="G958" s="1">
        <v>42795</v>
      </c>
      <c r="H958">
        <v>3348</v>
      </c>
      <c r="I958" t="str">
        <f>IF(COUNTIF(Products!$A$2:$A$8,C958)=0,C958,"")</f>
        <v/>
      </c>
      <c r="J958">
        <f>IF(OR(E958="Prospecting",E958="Engaging"),VLOOKUP(C958,Products!$A$2:$C$8,3,FALSE),0)</f>
        <v>0</v>
      </c>
    </row>
    <row r="959" spans="1:10" x14ac:dyDescent="0.25">
      <c r="A959" t="s">
        <v>1126</v>
      </c>
      <c r="B959" t="s">
        <v>303</v>
      </c>
      <c r="C959" t="s">
        <v>120</v>
      </c>
      <c r="D959" t="s">
        <v>28</v>
      </c>
      <c r="E959" t="s">
        <v>159</v>
      </c>
      <c r="F959" s="1">
        <v>42785</v>
      </c>
      <c r="G959" s="1">
        <v>42880</v>
      </c>
      <c r="H959">
        <v>0</v>
      </c>
      <c r="I959" t="str">
        <f>IF(COUNTIF(Products!$A$2:$A$8,C959)=0,C959,"")</f>
        <v/>
      </c>
      <c r="J959">
        <f>IF(OR(E959="Prospecting",E959="Engaging"),VLOOKUP(C959,Products!$A$2:$C$8,3,FALSE),0)</f>
        <v>0</v>
      </c>
    </row>
    <row r="960" spans="1:10" x14ac:dyDescent="0.25">
      <c r="A960" t="s">
        <v>1127</v>
      </c>
      <c r="B960" t="s">
        <v>180</v>
      </c>
      <c r="C960" t="s">
        <v>120</v>
      </c>
      <c r="D960" t="s">
        <v>39</v>
      </c>
      <c r="E960" t="s">
        <v>155</v>
      </c>
      <c r="F960" s="1">
        <v>42785</v>
      </c>
      <c r="I960" t="str">
        <f>IF(COUNTIF(Products!$A$2:$A$8,C960)=0,C960,"")</f>
        <v/>
      </c>
      <c r="J960">
        <f>IF(OR(E960="Prospecting",E960="Engaging"),VLOOKUP(C960,Products!$A$2:$C$8,3,FALSE),0)</f>
        <v>550</v>
      </c>
    </row>
    <row r="961" spans="1:10" x14ac:dyDescent="0.25">
      <c r="A961" t="s">
        <v>1128</v>
      </c>
      <c r="B961" t="s">
        <v>180</v>
      </c>
      <c r="C961" t="s">
        <v>122</v>
      </c>
      <c r="D961" t="s">
        <v>78</v>
      </c>
      <c r="E961" t="s">
        <v>138</v>
      </c>
      <c r="F961" s="1">
        <v>42785</v>
      </c>
      <c r="G961" s="1">
        <v>42799</v>
      </c>
      <c r="H961">
        <v>4216</v>
      </c>
      <c r="I961" t="str">
        <f>IF(COUNTIF(Products!$A$2:$A$8,C961)=0,C961,"")</f>
        <v/>
      </c>
      <c r="J961">
        <f>IF(OR(E961="Prospecting",E961="Engaging"),VLOOKUP(C961,Products!$A$2:$C$8,3,FALSE),0)</f>
        <v>0</v>
      </c>
    </row>
    <row r="962" spans="1:10" x14ac:dyDescent="0.25">
      <c r="A962" t="s">
        <v>1129</v>
      </c>
      <c r="B962" t="s">
        <v>150</v>
      </c>
      <c r="C962" t="s">
        <v>127</v>
      </c>
      <c r="E962" t="s">
        <v>155</v>
      </c>
      <c r="F962" s="1">
        <v>42785</v>
      </c>
      <c r="I962" t="str">
        <f>IF(COUNTIF(Products!$A$2:$A$8,C962)=0,C962,"")</f>
        <v/>
      </c>
      <c r="J962">
        <f>IF(OR(E962="Prospecting",E962="Engaging"),VLOOKUP(C962,Products!$A$2:$C$8,3,FALSE),0)</f>
        <v>1096</v>
      </c>
    </row>
    <row r="963" spans="1:10" x14ac:dyDescent="0.25">
      <c r="A963" t="s">
        <v>1130</v>
      </c>
      <c r="B963" t="s">
        <v>150</v>
      </c>
      <c r="C963" t="s">
        <v>125</v>
      </c>
      <c r="E963" t="s">
        <v>155</v>
      </c>
      <c r="F963" s="1">
        <v>42785</v>
      </c>
      <c r="I963" t="str">
        <f>IF(COUNTIF(Products!$A$2:$A$8,C963)=0,C963,"")</f>
        <v/>
      </c>
      <c r="J963">
        <f>IF(OR(E963="Prospecting",E963="Engaging"),VLOOKUP(C963,Products!$A$2:$C$8,3,FALSE),0)</f>
        <v>3393</v>
      </c>
    </row>
    <row r="964" spans="1:10" x14ac:dyDescent="0.25">
      <c r="A964" t="s">
        <v>1131</v>
      </c>
      <c r="B964" t="s">
        <v>137</v>
      </c>
      <c r="C964" t="s">
        <v>120</v>
      </c>
      <c r="D964" t="s">
        <v>94</v>
      </c>
      <c r="E964" t="s">
        <v>138</v>
      </c>
      <c r="F964" s="1">
        <v>42785</v>
      </c>
      <c r="G964" s="1">
        <v>42883</v>
      </c>
      <c r="H964">
        <v>404</v>
      </c>
      <c r="I964" t="str">
        <f>IF(COUNTIF(Products!$A$2:$A$8,C964)=0,C964,"")</f>
        <v/>
      </c>
      <c r="J964">
        <f>IF(OR(E964="Prospecting",E964="Engaging"),VLOOKUP(C964,Products!$A$2:$C$8,3,FALSE),0)</f>
        <v>0</v>
      </c>
    </row>
    <row r="965" spans="1:10" x14ac:dyDescent="0.25">
      <c r="A965" t="s">
        <v>1132</v>
      </c>
      <c r="B965" t="s">
        <v>187</v>
      </c>
      <c r="C965" t="s">
        <v>126</v>
      </c>
      <c r="D965" t="s">
        <v>63</v>
      </c>
      <c r="E965" t="s">
        <v>159</v>
      </c>
      <c r="F965" s="1">
        <v>42785</v>
      </c>
      <c r="G965" s="1">
        <v>42894</v>
      </c>
      <c r="H965">
        <v>0</v>
      </c>
      <c r="I965" t="str">
        <f>IF(COUNTIF(Products!$A$2:$A$8,C965)=0,C965,"")</f>
        <v/>
      </c>
      <c r="J965">
        <f>IF(OR(E965="Prospecting",E965="Engaging"),VLOOKUP(C965,Products!$A$2:$C$8,3,FALSE),0)</f>
        <v>0</v>
      </c>
    </row>
    <row r="966" spans="1:10" x14ac:dyDescent="0.25">
      <c r="A966" t="s">
        <v>1133</v>
      </c>
      <c r="B966" t="s">
        <v>187</v>
      </c>
      <c r="C966" t="s">
        <v>123</v>
      </c>
      <c r="D966" t="s">
        <v>111</v>
      </c>
      <c r="E966" t="s">
        <v>159</v>
      </c>
      <c r="F966" s="1">
        <v>42785</v>
      </c>
      <c r="G966" s="1">
        <v>42900</v>
      </c>
      <c r="H966">
        <v>0</v>
      </c>
      <c r="I966" t="str">
        <f>IF(COUNTIF(Products!$A$2:$A$8,C966)=0,C966,"")</f>
        <v/>
      </c>
      <c r="J966">
        <f>IF(OR(E966="Prospecting",E966="Engaging"),VLOOKUP(C966,Products!$A$2:$C$8,3,FALSE),0)</f>
        <v>0</v>
      </c>
    </row>
    <row r="967" spans="1:10" x14ac:dyDescent="0.25">
      <c r="A967" t="s">
        <v>1134</v>
      </c>
      <c r="B967" t="s">
        <v>187</v>
      </c>
      <c r="C967" t="s">
        <v>122</v>
      </c>
      <c r="D967" t="s">
        <v>98</v>
      </c>
      <c r="E967" t="s">
        <v>138</v>
      </c>
      <c r="F967" s="1">
        <v>42785</v>
      </c>
      <c r="G967" s="1">
        <v>42798</v>
      </c>
      <c r="H967">
        <v>5260</v>
      </c>
      <c r="I967" t="str">
        <f>IF(COUNTIF(Products!$A$2:$A$8,C967)=0,C967,"")</f>
        <v/>
      </c>
      <c r="J967">
        <f>IF(OR(E967="Prospecting",E967="Engaging"),VLOOKUP(C967,Products!$A$2:$C$8,3,FALSE),0)</f>
        <v>0</v>
      </c>
    </row>
    <row r="968" spans="1:10" x14ac:dyDescent="0.25">
      <c r="A968" t="s">
        <v>1135</v>
      </c>
      <c r="B968" t="s">
        <v>148</v>
      </c>
      <c r="C968" t="s">
        <v>125</v>
      </c>
      <c r="E968" t="s">
        <v>155</v>
      </c>
      <c r="F968" s="1">
        <v>42785</v>
      </c>
      <c r="I968" t="str">
        <f>IF(COUNTIF(Products!$A$2:$A$8,C968)=0,C968,"")</f>
        <v/>
      </c>
      <c r="J968">
        <f>IF(OR(E968="Prospecting",E968="Engaging"),VLOOKUP(C968,Products!$A$2:$C$8,3,FALSE),0)</f>
        <v>3393</v>
      </c>
    </row>
    <row r="969" spans="1:10" x14ac:dyDescent="0.25">
      <c r="A969" t="s">
        <v>1136</v>
      </c>
      <c r="B969" t="s">
        <v>148</v>
      </c>
      <c r="C969" t="s">
        <v>127</v>
      </c>
      <c r="D969" t="s">
        <v>67</v>
      </c>
      <c r="E969" t="s">
        <v>159</v>
      </c>
      <c r="F969" s="1">
        <v>42785</v>
      </c>
      <c r="G969" s="1">
        <v>42801</v>
      </c>
      <c r="H969">
        <v>0</v>
      </c>
      <c r="I969" t="str">
        <f>IF(COUNTIF(Products!$A$2:$A$8,C969)=0,C969,"")</f>
        <v/>
      </c>
      <c r="J969">
        <f>IF(OR(E969="Prospecting",E969="Engaging"),VLOOKUP(C969,Products!$A$2:$C$8,3,FALSE),0)</f>
        <v>0</v>
      </c>
    </row>
    <row r="970" spans="1:10" x14ac:dyDescent="0.25">
      <c r="A970" t="s">
        <v>1137</v>
      </c>
      <c r="B970" t="s">
        <v>177</v>
      </c>
      <c r="C970" t="s">
        <v>123</v>
      </c>
      <c r="D970" t="s">
        <v>35</v>
      </c>
      <c r="E970" t="s">
        <v>138</v>
      </c>
      <c r="F970" s="1">
        <v>42785</v>
      </c>
      <c r="G970" s="1">
        <v>42861</v>
      </c>
      <c r="H970">
        <v>51</v>
      </c>
      <c r="I970" t="str">
        <f>IF(COUNTIF(Products!$A$2:$A$8,C970)=0,C970,"")</f>
        <v/>
      </c>
      <c r="J970">
        <f>IF(OR(E970="Prospecting",E970="Engaging"),VLOOKUP(C970,Products!$A$2:$C$8,3,FALSE),0)</f>
        <v>0</v>
      </c>
    </row>
    <row r="971" spans="1:10" x14ac:dyDescent="0.25">
      <c r="A971" t="s">
        <v>1138</v>
      </c>
      <c r="B971" t="s">
        <v>144</v>
      </c>
      <c r="C971" t="s">
        <v>120</v>
      </c>
      <c r="E971" t="s">
        <v>155</v>
      </c>
      <c r="F971" s="1">
        <v>42785</v>
      </c>
      <c r="I971" t="str">
        <f>IF(COUNTIF(Products!$A$2:$A$8,C971)=0,C971,"")</f>
        <v/>
      </c>
      <c r="J971">
        <f>IF(OR(E971="Prospecting",E971="Engaging"),VLOOKUP(C971,Products!$A$2:$C$8,3,FALSE),0)</f>
        <v>550</v>
      </c>
    </row>
    <row r="972" spans="1:10" x14ac:dyDescent="0.25">
      <c r="A972" t="s">
        <v>1139</v>
      </c>
      <c r="B972" t="s">
        <v>144</v>
      </c>
      <c r="C972" t="s">
        <v>120</v>
      </c>
      <c r="D972" t="s">
        <v>90</v>
      </c>
      <c r="E972" t="s">
        <v>138</v>
      </c>
      <c r="F972" s="1">
        <v>42785</v>
      </c>
      <c r="G972" s="1">
        <v>42911</v>
      </c>
      <c r="H972">
        <v>598</v>
      </c>
      <c r="I972" t="str">
        <f>IF(COUNTIF(Products!$A$2:$A$8,C972)=0,C972,"")</f>
        <v/>
      </c>
      <c r="J972">
        <f>IF(OR(E972="Prospecting",E972="Engaging"),VLOOKUP(C972,Products!$A$2:$C$8,3,FALSE),0)</f>
        <v>0</v>
      </c>
    </row>
    <row r="973" spans="1:10" x14ac:dyDescent="0.25">
      <c r="A973" t="s">
        <v>1140</v>
      </c>
      <c r="B973" t="s">
        <v>222</v>
      </c>
      <c r="C973" t="s">
        <v>127</v>
      </c>
      <c r="D973" t="s">
        <v>69</v>
      </c>
      <c r="E973" t="s">
        <v>159</v>
      </c>
      <c r="F973" s="1">
        <v>42786</v>
      </c>
      <c r="G973" s="1">
        <v>42880</v>
      </c>
      <c r="H973">
        <v>0</v>
      </c>
      <c r="I973" t="str">
        <f>IF(COUNTIF(Products!$A$2:$A$8,C973)=0,C973,"")</f>
        <v/>
      </c>
      <c r="J973">
        <f>IF(OR(E973="Prospecting",E973="Engaging"),VLOOKUP(C973,Products!$A$2:$C$8,3,FALSE),0)</f>
        <v>0</v>
      </c>
    </row>
    <row r="974" spans="1:10" x14ac:dyDescent="0.25">
      <c r="A974" t="s">
        <v>1141</v>
      </c>
      <c r="B974" t="s">
        <v>222</v>
      </c>
      <c r="C974" t="s">
        <v>123</v>
      </c>
      <c r="D974" t="s">
        <v>111</v>
      </c>
      <c r="E974" t="s">
        <v>138</v>
      </c>
      <c r="F974" s="1">
        <v>42786</v>
      </c>
      <c r="G974" s="1">
        <v>42879</v>
      </c>
      <c r="H974">
        <v>42</v>
      </c>
      <c r="I974" t="str">
        <f>IF(COUNTIF(Products!$A$2:$A$8,C974)=0,C974,"")</f>
        <v/>
      </c>
      <c r="J974">
        <f>IF(OR(E974="Prospecting",E974="Engaging"),VLOOKUP(C974,Products!$A$2:$C$8,3,FALSE),0)</f>
        <v>0</v>
      </c>
    </row>
    <row r="975" spans="1:10" x14ac:dyDescent="0.25">
      <c r="A975" t="s">
        <v>1142</v>
      </c>
      <c r="B975" t="s">
        <v>207</v>
      </c>
      <c r="C975" t="s">
        <v>122</v>
      </c>
      <c r="D975" t="s">
        <v>106</v>
      </c>
      <c r="E975" t="s">
        <v>138</v>
      </c>
      <c r="F975" s="1">
        <v>42786</v>
      </c>
      <c r="G975" s="1">
        <v>42893</v>
      </c>
      <c r="H975">
        <v>4689</v>
      </c>
      <c r="I975" t="str">
        <f>IF(COUNTIF(Products!$A$2:$A$8,C975)=0,C975,"")</f>
        <v/>
      </c>
      <c r="J975">
        <f>IF(OR(E975="Prospecting",E975="Engaging"),VLOOKUP(C975,Products!$A$2:$C$8,3,FALSE),0)</f>
        <v>0</v>
      </c>
    </row>
    <row r="976" spans="1:10" x14ac:dyDescent="0.25">
      <c r="A976" t="s">
        <v>1143</v>
      </c>
      <c r="B976" t="s">
        <v>264</v>
      </c>
      <c r="C976" t="s">
        <v>126</v>
      </c>
      <c r="D976" t="s">
        <v>95</v>
      </c>
      <c r="E976" t="s">
        <v>138</v>
      </c>
      <c r="F976" s="1">
        <v>42786</v>
      </c>
      <c r="G976" s="1">
        <v>42912</v>
      </c>
      <c r="H976">
        <v>5154</v>
      </c>
      <c r="I976" t="str">
        <f>IF(COUNTIF(Products!$A$2:$A$8,C976)=0,C976,"")</f>
        <v/>
      </c>
      <c r="J976">
        <f>IF(OR(E976="Prospecting",E976="Engaging"),VLOOKUP(C976,Products!$A$2:$C$8,3,FALSE),0)</f>
        <v>0</v>
      </c>
    </row>
    <row r="977" spans="1:10" x14ac:dyDescent="0.25">
      <c r="A977" t="s">
        <v>1144</v>
      </c>
      <c r="B977" t="s">
        <v>140</v>
      </c>
      <c r="C977" t="s">
        <v>122</v>
      </c>
      <c r="D977" t="s">
        <v>55</v>
      </c>
      <c r="E977" t="s">
        <v>159</v>
      </c>
      <c r="F977" s="1">
        <v>42786</v>
      </c>
      <c r="G977" s="1">
        <v>42871</v>
      </c>
      <c r="H977">
        <v>0</v>
      </c>
      <c r="I977" t="str">
        <f>IF(COUNTIF(Products!$A$2:$A$8,C977)=0,C977,"")</f>
        <v/>
      </c>
      <c r="J977">
        <f>IF(OR(E977="Prospecting",E977="Engaging"),VLOOKUP(C977,Products!$A$2:$C$8,3,FALSE),0)</f>
        <v>0</v>
      </c>
    </row>
    <row r="978" spans="1:10" x14ac:dyDescent="0.25">
      <c r="A978" t="s">
        <v>1145</v>
      </c>
      <c r="B978" t="s">
        <v>224</v>
      </c>
      <c r="C978" t="s">
        <v>122</v>
      </c>
      <c r="D978" t="s">
        <v>112</v>
      </c>
      <c r="E978" t="s">
        <v>138</v>
      </c>
      <c r="F978" s="1">
        <v>42786</v>
      </c>
      <c r="G978" s="1">
        <v>42860</v>
      </c>
      <c r="H978">
        <v>5010</v>
      </c>
      <c r="I978" t="str">
        <f>IF(COUNTIF(Products!$A$2:$A$8,C978)=0,C978,"")</f>
        <v/>
      </c>
      <c r="J978">
        <f>IF(OR(E978="Prospecting",E978="Engaging"),VLOOKUP(C978,Products!$A$2:$C$8,3,FALSE),0)</f>
        <v>0</v>
      </c>
    </row>
    <row r="979" spans="1:10" x14ac:dyDescent="0.25">
      <c r="A979" t="s">
        <v>1146</v>
      </c>
      <c r="B979" t="s">
        <v>158</v>
      </c>
      <c r="C979" t="s">
        <v>125</v>
      </c>
      <c r="D979" t="s">
        <v>42</v>
      </c>
      <c r="E979" t="s">
        <v>138</v>
      </c>
      <c r="F979" s="1">
        <v>42786</v>
      </c>
      <c r="G979" s="1">
        <v>42900</v>
      </c>
      <c r="H979">
        <v>3215</v>
      </c>
      <c r="I979" t="str">
        <f>IF(COUNTIF(Products!$A$2:$A$8,C979)=0,C979,"")</f>
        <v/>
      </c>
      <c r="J979">
        <f>IF(OR(E979="Prospecting",E979="Engaging"),VLOOKUP(C979,Products!$A$2:$C$8,3,FALSE),0)</f>
        <v>0</v>
      </c>
    </row>
    <row r="980" spans="1:10" x14ac:dyDescent="0.25">
      <c r="A980" t="s">
        <v>1147</v>
      </c>
      <c r="B980" t="s">
        <v>180</v>
      </c>
      <c r="C980" t="s">
        <v>120</v>
      </c>
      <c r="D980" t="s">
        <v>75</v>
      </c>
      <c r="E980" t="s">
        <v>159</v>
      </c>
      <c r="F980" s="1">
        <v>42786</v>
      </c>
      <c r="G980" s="1">
        <v>42889</v>
      </c>
      <c r="H980">
        <v>0</v>
      </c>
      <c r="I980" t="str">
        <f>IF(COUNTIF(Products!$A$2:$A$8,C980)=0,C980,"")</f>
        <v/>
      </c>
      <c r="J980">
        <f>IF(OR(E980="Prospecting",E980="Engaging"),VLOOKUP(C980,Products!$A$2:$C$8,3,FALSE),0)</f>
        <v>0</v>
      </c>
    </row>
    <row r="981" spans="1:10" x14ac:dyDescent="0.25">
      <c r="A981" t="s">
        <v>1148</v>
      </c>
      <c r="B981" t="s">
        <v>191</v>
      </c>
      <c r="C981" t="s">
        <v>127</v>
      </c>
      <c r="D981" t="s">
        <v>35</v>
      </c>
      <c r="E981" t="s">
        <v>155</v>
      </c>
      <c r="F981" s="1">
        <v>42786</v>
      </c>
      <c r="I981" t="str">
        <f>IF(COUNTIF(Products!$A$2:$A$8,C981)=0,C981,"")</f>
        <v/>
      </c>
      <c r="J981">
        <f>IF(OR(E981="Prospecting",E981="Engaging"),VLOOKUP(C981,Products!$A$2:$C$8,3,FALSE),0)</f>
        <v>1096</v>
      </c>
    </row>
    <row r="982" spans="1:10" x14ac:dyDescent="0.25">
      <c r="A982" t="s">
        <v>1149</v>
      </c>
      <c r="B982" t="s">
        <v>191</v>
      </c>
      <c r="C982" t="s">
        <v>122</v>
      </c>
      <c r="D982" t="s">
        <v>60</v>
      </c>
      <c r="E982" t="s">
        <v>138</v>
      </c>
      <c r="F982" s="1">
        <v>42786</v>
      </c>
      <c r="G982" s="1">
        <v>42912</v>
      </c>
      <c r="H982">
        <v>3169</v>
      </c>
      <c r="I982" t="str">
        <f>IF(COUNTIF(Products!$A$2:$A$8,C982)=0,C982,"")</f>
        <v/>
      </c>
      <c r="J982">
        <f>IF(OR(E982="Prospecting",E982="Engaging"),VLOOKUP(C982,Products!$A$2:$C$8,3,FALSE),0)</f>
        <v>0</v>
      </c>
    </row>
    <row r="983" spans="1:10" x14ac:dyDescent="0.25">
      <c r="A983" t="s">
        <v>1150</v>
      </c>
      <c r="B983" t="s">
        <v>150</v>
      </c>
      <c r="C983" t="s">
        <v>127</v>
      </c>
      <c r="D983" t="s">
        <v>90</v>
      </c>
      <c r="E983" t="s">
        <v>159</v>
      </c>
      <c r="F983" s="1">
        <v>42786</v>
      </c>
      <c r="G983" s="1">
        <v>42913</v>
      </c>
      <c r="H983">
        <v>0</v>
      </c>
      <c r="I983" t="str">
        <f>IF(COUNTIF(Products!$A$2:$A$8,C983)=0,C983,"")</f>
        <v/>
      </c>
      <c r="J983">
        <f>IF(OR(E983="Prospecting",E983="Engaging"),VLOOKUP(C983,Products!$A$2:$C$8,3,FALSE),0)</f>
        <v>0</v>
      </c>
    </row>
    <row r="984" spans="1:10" x14ac:dyDescent="0.25">
      <c r="A984" t="s">
        <v>1151</v>
      </c>
      <c r="B984" t="s">
        <v>205</v>
      </c>
      <c r="C984" t="s">
        <v>126</v>
      </c>
      <c r="D984" t="s">
        <v>46</v>
      </c>
      <c r="E984" t="s">
        <v>138</v>
      </c>
      <c r="F984" s="1">
        <v>42786</v>
      </c>
      <c r="G984" s="1">
        <v>42889</v>
      </c>
      <c r="H984">
        <v>5015</v>
      </c>
      <c r="I984" t="str">
        <f>IF(COUNTIF(Products!$A$2:$A$8,C984)=0,C984,"")</f>
        <v/>
      </c>
      <c r="J984">
        <f>IF(OR(E984="Prospecting",E984="Engaging"),VLOOKUP(C984,Products!$A$2:$C$8,3,FALSE),0)</f>
        <v>0</v>
      </c>
    </row>
    <row r="985" spans="1:10" x14ac:dyDescent="0.25">
      <c r="A985" t="s">
        <v>1152</v>
      </c>
      <c r="B985" t="s">
        <v>162</v>
      </c>
      <c r="C985" t="s">
        <v>120</v>
      </c>
      <c r="D985" t="s">
        <v>29</v>
      </c>
      <c r="E985" t="s">
        <v>138</v>
      </c>
      <c r="F985" s="1">
        <v>42786</v>
      </c>
      <c r="G985" s="1">
        <v>42795</v>
      </c>
      <c r="H985">
        <v>571</v>
      </c>
      <c r="I985" t="str">
        <f>IF(COUNTIF(Products!$A$2:$A$8,C985)=0,C985,"")</f>
        <v/>
      </c>
      <c r="J985">
        <f>IF(OR(E985="Prospecting",E985="Engaging"),VLOOKUP(C985,Products!$A$2:$C$8,3,FALSE),0)</f>
        <v>0</v>
      </c>
    </row>
    <row r="986" spans="1:10" x14ac:dyDescent="0.25">
      <c r="A986" t="s">
        <v>1153</v>
      </c>
      <c r="B986" t="s">
        <v>193</v>
      </c>
      <c r="C986" t="s">
        <v>122</v>
      </c>
      <c r="D986" t="s">
        <v>20</v>
      </c>
      <c r="E986" t="s">
        <v>138</v>
      </c>
      <c r="F986" s="1">
        <v>42786</v>
      </c>
      <c r="G986" s="1">
        <v>42871</v>
      </c>
      <c r="H986">
        <v>4839</v>
      </c>
      <c r="I986" t="str">
        <f>IF(COUNTIF(Products!$A$2:$A$8,C986)=0,C986,"")</f>
        <v/>
      </c>
      <c r="J986">
        <f>IF(OR(E986="Prospecting",E986="Engaging"),VLOOKUP(C986,Products!$A$2:$C$8,3,FALSE),0)</f>
        <v>0</v>
      </c>
    </row>
    <row r="987" spans="1:10" x14ac:dyDescent="0.25">
      <c r="A987" t="s">
        <v>1154</v>
      </c>
      <c r="B987" t="s">
        <v>193</v>
      </c>
      <c r="C987" t="s">
        <v>125</v>
      </c>
      <c r="D987" t="s">
        <v>25</v>
      </c>
      <c r="E987" t="s">
        <v>138</v>
      </c>
      <c r="F987" s="1">
        <v>42786</v>
      </c>
      <c r="G987" s="1">
        <v>42799</v>
      </c>
      <c r="H987">
        <v>3315</v>
      </c>
      <c r="I987" t="str">
        <f>IF(COUNTIF(Products!$A$2:$A$8,C987)=0,C987,"")</f>
        <v/>
      </c>
      <c r="J987">
        <f>IF(OR(E987="Prospecting",E987="Engaging"),VLOOKUP(C987,Products!$A$2:$C$8,3,FALSE),0)</f>
        <v>0</v>
      </c>
    </row>
    <row r="988" spans="1:10" x14ac:dyDescent="0.25">
      <c r="A988" t="s">
        <v>1155</v>
      </c>
      <c r="B988" t="s">
        <v>169</v>
      </c>
      <c r="C988" t="s">
        <v>123</v>
      </c>
      <c r="D988" t="s">
        <v>77</v>
      </c>
      <c r="E988" t="s">
        <v>138</v>
      </c>
      <c r="F988" s="1">
        <v>42786</v>
      </c>
      <c r="G988" s="1">
        <v>42879</v>
      </c>
      <c r="H988">
        <v>60</v>
      </c>
      <c r="I988" t="str">
        <f>IF(COUNTIF(Products!$A$2:$A$8,C988)=0,C988,"")</f>
        <v/>
      </c>
      <c r="J988">
        <f>IF(OR(E988="Prospecting",E988="Engaging"),VLOOKUP(C988,Products!$A$2:$C$8,3,FALSE),0)</f>
        <v>0</v>
      </c>
    </row>
    <row r="989" spans="1:10" x14ac:dyDescent="0.25">
      <c r="A989" t="s">
        <v>1156</v>
      </c>
      <c r="B989" t="s">
        <v>148</v>
      </c>
      <c r="C989" t="s">
        <v>122</v>
      </c>
      <c r="E989" t="s">
        <v>155</v>
      </c>
      <c r="F989" s="1">
        <v>42786</v>
      </c>
      <c r="I989" t="str">
        <f>IF(COUNTIF(Products!$A$2:$A$8,C989)=0,C989,"")</f>
        <v/>
      </c>
      <c r="J989">
        <f>IF(OR(E989="Prospecting",E989="Engaging"),VLOOKUP(C989,Products!$A$2:$C$8,3,FALSE),0)</f>
        <v>4821</v>
      </c>
    </row>
    <row r="990" spans="1:10" x14ac:dyDescent="0.25">
      <c r="A990" t="s">
        <v>1157</v>
      </c>
      <c r="B990" t="s">
        <v>196</v>
      </c>
      <c r="C990" t="s">
        <v>125</v>
      </c>
      <c r="E990" t="s">
        <v>155</v>
      </c>
      <c r="F990" s="1">
        <v>42786</v>
      </c>
      <c r="I990" t="str">
        <f>IF(COUNTIF(Products!$A$2:$A$8,C990)=0,C990,"")</f>
        <v/>
      </c>
      <c r="J990">
        <f>IF(OR(E990="Prospecting",E990="Engaging"),VLOOKUP(C990,Products!$A$2:$C$8,3,FALSE),0)</f>
        <v>3393</v>
      </c>
    </row>
    <row r="991" spans="1:10" x14ac:dyDescent="0.25">
      <c r="A991" t="s">
        <v>1158</v>
      </c>
      <c r="B991" t="s">
        <v>146</v>
      </c>
      <c r="C991" t="s">
        <v>127</v>
      </c>
      <c r="D991" t="s">
        <v>104</v>
      </c>
      <c r="E991" t="s">
        <v>138</v>
      </c>
      <c r="F991" s="1">
        <v>42787</v>
      </c>
      <c r="G991" s="1">
        <v>42798</v>
      </c>
      <c r="H991">
        <v>999</v>
      </c>
      <c r="I991" t="str">
        <f>IF(COUNTIF(Products!$A$2:$A$8,C991)=0,C991,"")</f>
        <v/>
      </c>
      <c r="J991">
        <f>IF(OR(E991="Prospecting",E991="Engaging"),VLOOKUP(C991,Products!$A$2:$C$8,3,FALSE),0)</f>
        <v>0</v>
      </c>
    </row>
    <row r="992" spans="1:10" x14ac:dyDescent="0.25">
      <c r="A992" t="s">
        <v>1159</v>
      </c>
      <c r="B992" t="s">
        <v>222</v>
      </c>
      <c r="C992" t="s">
        <v>122</v>
      </c>
      <c r="E992" t="s">
        <v>155</v>
      </c>
      <c r="F992" s="1">
        <v>42787</v>
      </c>
      <c r="I992" t="str">
        <f>IF(COUNTIF(Products!$A$2:$A$8,C992)=0,C992,"")</f>
        <v/>
      </c>
      <c r="J992">
        <f>IF(OR(E992="Prospecting",E992="Engaging"),VLOOKUP(C992,Products!$A$2:$C$8,3,FALSE),0)</f>
        <v>4821</v>
      </c>
    </row>
    <row r="993" spans="1:10" x14ac:dyDescent="0.25">
      <c r="A993" t="s">
        <v>1160</v>
      </c>
      <c r="B993" t="s">
        <v>140</v>
      </c>
      <c r="C993" t="s">
        <v>120</v>
      </c>
      <c r="D993" t="s">
        <v>95</v>
      </c>
      <c r="E993" t="s">
        <v>159</v>
      </c>
      <c r="F993" s="1">
        <v>42787</v>
      </c>
      <c r="G993" s="1">
        <v>42897</v>
      </c>
      <c r="H993">
        <v>0</v>
      </c>
      <c r="I993" t="str">
        <f>IF(COUNTIF(Products!$A$2:$A$8,C993)=0,C993,"")</f>
        <v/>
      </c>
      <c r="J993">
        <f>IF(OR(E993="Prospecting",E993="Engaging"),VLOOKUP(C993,Products!$A$2:$C$8,3,FALSE),0)</f>
        <v>0</v>
      </c>
    </row>
    <row r="994" spans="1:10" x14ac:dyDescent="0.25">
      <c r="A994" t="s">
        <v>1161</v>
      </c>
      <c r="B994" t="s">
        <v>217</v>
      </c>
      <c r="C994" t="s">
        <v>126</v>
      </c>
      <c r="D994" t="s">
        <v>42</v>
      </c>
      <c r="E994" t="s">
        <v>138</v>
      </c>
      <c r="F994" s="1">
        <v>42787</v>
      </c>
      <c r="G994" s="1">
        <v>42890</v>
      </c>
      <c r="H994">
        <v>5401</v>
      </c>
      <c r="I994" t="str">
        <f>IF(COUNTIF(Products!$A$2:$A$8,C994)=0,C994,"")</f>
        <v/>
      </c>
      <c r="J994">
        <f>IF(OR(E994="Prospecting",E994="Engaging"),VLOOKUP(C994,Products!$A$2:$C$8,3,FALSE),0)</f>
        <v>0</v>
      </c>
    </row>
    <row r="995" spans="1:10" x14ac:dyDescent="0.25">
      <c r="A995" t="s">
        <v>1162</v>
      </c>
      <c r="B995" t="s">
        <v>150</v>
      </c>
      <c r="C995" t="s">
        <v>125</v>
      </c>
      <c r="D995" t="s">
        <v>78</v>
      </c>
      <c r="E995" t="s">
        <v>155</v>
      </c>
      <c r="F995" s="1">
        <v>42787</v>
      </c>
      <c r="I995" t="str">
        <f>IF(COUNTIF(Products!$A$2:$A$8,C995)=0,C995,"")</f>
        <v/>
      </c>
      <c r="J995">
        <f>IF(OR(E995="Prospecting",E995="Engaging"),VLOOKUP(C995,Products!$A$2:$C$8,3,FALSE),0)</f>
        <v>3393</v>
      </c>
    </row>
    <row r="996" spans="1:10" x14ac:dyDescent="0.25">
      <c r="A996" t="s">
        <v>1163</v>
      </c>
      <c r="B996" t="s">
        <v>162</v>
      </c>
      <c r="C996" t="s">
        <v>126</v>
      </c>
      <c r="E996" t="s">
        <v>155</v>
      </c>
      <c r="F996" s="1">
        <v>42787</v>
      </c>
      <c r="I996" t="str">
        <f>IF(COUNTIF(Products!$A$2:$A$8,C996)=0,C996,"")</f>
        <v/>
      </c>
      <c r="J996">
        <f>IF(OR(E996="Prospecting",E996="Engaging"),VLOOKUP(C996,Products!$A$2:$C$8,3,FALSE),0)</f>
        <v>5482</v>
      </c>
    </row>
    <row r="997" spans="1:10" x14ac:dyDescent="0.25">
      <c r="A997" t="s">
        <v>1164</v>
      </c>
      <c r="B997" t="s">
        <v>137</v>
      </c>
      <c r="C997" t="s">
        <v>120</v>
      </c>
      <c r="D997" t="s">
        <v>89</v>
      </c>
      <c r="E997" t="s">
        <v>138</v>
      </c>
      <c r="F997" s="1">
        <v>42787</v>
      </c>
      <c r="G997" s="1">
        <v>42904</v>
      </c>
      <c r="H997">
        <v>551</v>
      </c>
      <c r="I997" t="str">
        <f>IF(COUNTIF(Products!$A$2:$A$8,C997)=0,C997,"")</f>
        <v/>
      </c>
      <c r="J997">
        <f>IF(OR(E997="Prospecting",E997="Engaging"),VLOOKUP(C997,Products!$A$2:$C$8,3,FALSE),0)</f>
        <v>0</v>
      </c>
    </row>
    <row r="998" spans="1:10" x14ac:dyDescent="0.25">
      <c r="A998" t="s">
        <v>1165</v>
      </c>
      <c r="B998" t="s">
        <v>193</v>
      </c>
      <c r="C998" t="s">
        <v>126</v>
      </c>
      <c r="D998" t="s">
        <v>73</v>
      </c>
      <c r="E998" t="s">
        <v>159</v>
      </c>
      <c r="F998" s="1">
        <v>42787</v>
      </c>
      <c r="G998" s="1">
        <v>42878</v>
      </c>
      <c r="H998">
        <v>0</v>
      </c>
      <c r="I998" t="str">
        <f>IF(COUNTIF(Products!$A$2:$A$8,C998)=0,C998,"")</f>
        <v/>
      </c>
      <c r="J998">
        <f>IF(OR(E998="Prospecting",E998="Engaging"),VLOOKUP(C998,Products!$A$2:$C$8,3,FALSE),0)</f>
        <v>0</v>
      </c>
    </row>
    <row r="999" spans="1:10" x14ac:dyDescent="0.25">
      <c r="A999" t="s">
        <v>1166</v>
      </c>
      <c r="B999" t="s">
        <v>148</v>
      </c>
      <c r="C999" t="s">
        <v>120</v>
      </c>
      <c r="D999" t="s">
        <v>39</v>
      </c>
      <c r="E999" t="s">
        <v>138</v>
      </c>
      <c r="F999" s="1">
        <v>42787</v>
      </c>
      <c r="G999" s="1">
        <v>42814</v>
      </c>
      <c r="H999">
        <v>600</v>
      </c>
      <c r="I999" t="str">
        <f>IF(COUNTIF(Products!$A$2:$A$8,C999)=0,C999,"")</f>
        <v/>
      </c>
      <c r="J999">
        <f>IF(OR(E999="Prospecting",E999="Engaging"),VLOOKUP(C999,Products!$A$2:$C$8,3,FALSE),0)</f>
        <v>0</v>
      </c>
    </row>
    <row r="1000" spans="1:10" x14ac:dyDescent="0.25">
      <c r="A1000" t="s">
        <v>1167</v>
      </c>
      <c r="B1000" t="s">
        <v>177</v>
      </c>
      <c r="C1000" t="s">
        <v>122</v>
      </c>
      <c r="D1000" t="s">
        <v>56</v>
      </c>
      <c r="E1000" t="s">
        <v>155</v>
      </c>
      <c r="F1000" s="1">
        <v>42787</v>
      </c>
      <c r="I1000" t="str">
        <f>IF(COUNTIF(Products!$A$2:$A$8,C1000)=0,C1000,"")</f>
        <v/>
      </c>
      <c r="J1000">
        <f>IF(OR(E1000="Prospecting",E1000="Engaging"),VLOOKUP(C1000,Products!$A$2:$C$8,3,FALSE),0)</f>
        <v>4821</v>
      </c>
    </row>
    <row r="1001" spans="1:10" x14ac:dyDescent="0.25">
      <c r="A1001" t="s">
        <v>1168</v>
      </c>
      <c r="B1001" t="s">
        <v>177</v>
      </c>
      <c r="C1001" t="s">
        <v>126</v>
      </c>
      <c r="D1001" t="s">
        <v>16</v>
      </c>
      <c r="E1001" t="s">
        <v>159</v>
      </c>
      <c r="F1001" s="1">
        <v>42787</v>
      </c>
      <c r="G1001" s="1">
        <v>42860</v>
      </c>
      <c r="H1001">
        <v>0</v>
      </c>
      <c r="I1001" t="str">
        <f>IF(COUNTIF(Products!$A$2:$A$8,C1001)=0,C1001,"")</f>
        <v/>
      </c>
      <c r="J1001">
        <f>IF(OR(E1001="Prospecting",E1001="Engaging"),VLOOKUP(C1001,Products!$A$2:$C$8,3,FALSE),0)</f>
        <v>0</v>
      </c>
    </row>
    <row r="1002" spans="1:10" x14ac:dyDescent="0.25">
      <c r="A1002" t="s">
        <v>1169</v>
      </c>
      <c r="B1002" t="s">
        <v>222</v>
      </c>
      <c r="C1002" t="s">
        <v>123</v>
      </c>
      <c r="D1002" t="s">
        <v>102</v>
      </c>
      <c r="E1002" t="s">
        <v>159</v>
      </c>
      <c r="F1002" s="1">
        <v>42788</v>
      </c>
      <c r="G1002" s="1">
        <v>42877</v>
      </c>
      <c r="H1002">
        <v>0</v>
      </c>
      <c r="I1002" t="str">
        <f>IF(COUNTIF(Products!$A$2:$A$8,C1002)=0,C1002,"")</f>
        <v/>
      </c>
      <c r="J1002">
        <f>IF(OR(E1002="Prospecting",E1002="Engaging"),VLOOKUP(C1002,Products!$A$2:$C$8,3,FALSE),0)</f>
        <v>0</v>
      </c>
    </row>
    <row r="1003" spans="1:10" x14ac:dyDescent="0.25">
      <c r="A1003" t="s">
        <v>1170</v>
      </c>
      <c r="B1003" t="s">
        <v>207</v>
      </c>
      <c r="C1003" t="s">
        <v>122</v>
      </c>
      <c r="D1003" t="s">
        <v>98</v>
      </c>
      <c r="E1003" t="s">
        <v>138</v>
      </c>
      <c r="F1003" s="1">
        <v>42788</v>
      </c>
      <c r="G1003" s="1">
        <v>42796</v>
      </c>
      <c r="H1003">
        <v>4711</v>
      </c>
      <c r="I1003" t="str">
        <f>IF(COUNTIF(Products!$A$2:$A$8,C1003)=0,C1003,"")</f>
        <v/>
      </c>
      <c r="J1003">
        <f>IF(OR(E1003="Prospecting",E1003="Engaging"),VLOOKUP(C1003,Products!$A$2:$C$8,3,FALSE),0)</f>
        <v>0</v>
      </c>
    </row>
    <row r="1004" spans="1:10" x14ac:dyDescent="0.25">
      <c r="A1004" t="s">
        <v>1171</v>
      </c>
      <c r="B1004" t="s">
        <v>239</v>
      </c>
      <c r="C1004" t="s">
        <v>125</v>
      </c>
      <c r="D1004" t="s">
        <v>106</v>
      </c>
      <c r="E1004" t="s">
        <v>159</v>
      </c>
      <c r="F1004" s="1">
        <v>42788</v>
      </c>
      <c r="G1004" s="1">
        <v>42894</v>
      </c>
      <c r="H1004">
        <v>0</v>
      </c>
      <c r="I1004" t="str">
        <f>IF(COUNTIF(Products!$A$2:$A$8,C1004)=0,C1004,"")</f>
        <v/>
      </c>
      <c r="J1004">
        <f>IF(OR(E1004="Prospecting",E1004="Engaging"),VLOOKUP(C1004,Products!$A$2:$C$8,3,FALSE),0)</f>
        <v>0</v>
      </c>
    </row>
    <row r="1005" spans="1:10" x14ac:dyDescent="0.25">
      <c r="A1005" t="s">
        <v>1172</v>
      </c>
      <c r="B1005" t="s">
        <v>239</v>
      </c>
      <c r="C1005" t="s">
        <v>122</v>
      </c>
      <c r="D1005" t="s">
        <v>112</v>
      </c>
      <c r="E1005" t="s">
        <v>138</v>
      </c>
      <c r="F1005" s="1">
        <v>42788</v>
      </c>
      <c r="G1005" s="1">
        <v>42914</v>
      </c>
      <c r="H1005">
        <v>5133</v>
      </c>
      <c r="I1005" t="str">
        <f>IF(COUNTIF(Products!$A$2:$A$8,C1005)=0,C1005,"")</f>
        <v/>
      </c>
      <c r="J1005">
        <f>IF(OR(E1005="Prospecting",E1005="Engaging"),VLOOKUP(C1005,Products!$A$2:$C$8,3,FALSE),0)</f>
        <v>0</v>
      </c>
    </row>
    <row r="1006" spans="1:10" x14ac:dyDescent="0.25">
      <c r="A1006" t="s">
        <v>1173</v>
      </c>
      <c r="B1006" t="s">
        <v>171</v>
      </c>
      <c r="C1006" t="s">
        <v>120</v>
      </c>
      <c r="D1006" t="s">
        <v>38</v>
      </c>
      <c r="E1006" t="s">
        <v>155</v>
      </c>
      <c r="F1006" s="1">
        <v>42788</v>
      </c>
      <c r="I1006" t="str">
        <f>IF(COUNTIF(Products!$A$2:$A$8,C1006)=0,C1006,"")</f>
        <v/>
      </c>
      <c r="J1006">
        <f>IF(OR(E1006="Prospecting",E1006="Engaging"),VLOOKUP(C1006,Products!$A$2:$C$8,3,FALSE),0)</f>
        <v>550</v>
      </c>
    </row>
    <row r="1007" spans="1:10" x14ac:dyDescent="0.25">
      <c r="A1007" t="s">
        <v>1174</v>
      </c>
      <c r="B1007" t="s">
        <v>171</v>
      </c>
      <c r="C1007" t="s">
        <v>126</v>
      </c>
      <c r="D1007" t="s">
        <v>98</v>
      </c>
      <c r="E1007" t="s">
        <v>159</v>
      </c>
      <c r="F1007" s="1">
        <v>42788</v>
      </c>
      <c r="G1007" s="1">
        <v>42872</v>
      </c>
      <c r="H1007">
        <v>0</v>
      </c>
      <c r="I1007" t="str">
        <f>IF(COUNTIF(Products!$A$2:$A$8,C1007)=0,C1007,"")</f>
        <v/>
      </c>
      <c r="J1007">
        <f>IF(OR(E1007="Prospecting",E1007="Engaging"),VLOOKUP(C1007,Products!$A$2:$C$8,3,FALSE),0)</f>
        <v>0</v>
      </c>
    </row>
    <row r="1008" spans="1:10" x14ac:dyDescent="0.25">
      <c r="A1008" t="s">
        <v>1175</v>
      </c>
      <c r="B1008" t="s">
        <v>171</v>
      </c>
      <c r="C1008" t="s">
        <v>126</v>
      </c>
      <c r="D1008" t="s">
        <v>111</v>
      </c>
      <c r="E1008" t="s">
        <v>138</v>
      </c>
      <c r="F1008" s="1">
        <v>42788</v>
      </c>
      <c r="G1008" s="1">
        <v>42870</v>
      </c>
      <c r="H1008">
        <v>4848</v>
      </c>
      <c r="I1008" t="str">
        <f>IF(COUNTIF(Products!$A$2:$A$8,C1008)=0,C1008,"")</f>
        <v/>
      </c>
      <c r="J1008">
        <f>IF(OR(E1008="Prospecting",E1008="Engaging"),VLOOKUP(C1008,Products!$A$2:$C$8,3,FALSE),0)</f>
        <v>0</v>
      </c>
    </row>
    <row r="1009" spans="1:10" x14ac:dyDescent="0.25">
      <c r="A1009" t="s">
        <v>1176</v>
      </c>
      <c r="B1009" t="s">
        <v>171</v>
      </c>
      <c r="C1009" t="s">
        <v>122</v>
      </c>
      <c r="D1009" t="s">
        <v>73</v>
      </c>
      <c r="E1009" t="s">
        <v>138</v>
      </c>
      <c r="F1009" s="1">
        <v>42788</v>
      </c>
      <c r="G1009" s="1">
        <v>42797</v>
      </c>
      <c r="H1009">
        <v>4475</v>
      </c>
      <c r="I1009" t="str">
        <f>IF(COUNTIF(Products!$A$2:$A$8,C1009)=0,C1009,"")</f>
        <v/>
      </c>
      <c r="J1009">
        <f>IF(OR(E1009="Prospecting",E1009="Engaging"),VLOOKUP(C1009,Products!$A$2:$C$8,3,FALSE),0)</f>
        <v>0</v>
      </c>
    </row>
    <row r="1010" spans="1:10" x14ac:dyDescent="0.25">
      <c r="A1010" t="s">
        <v>1177</v>
      </c>
      <c r="B1010" t="s">
        <v>140</v>
      </c>
      <c r="C1010" t="s">
        <v>120</v>
      </c>
      <c r="D1010" t="s">
        <v>12</v>
      </c>
      <c r="E1010" t="s">
        <v>159</v>
      </c>
      <c r="F1010" s="1">
        <v>42788</v>
      </c>
      <c r="G1010" s="1">
        <v>42799</v>
      </c>
      <c r="H1010">
        <v>0</v>
      </c>
      <c r="I1010" t="str">
        <f>IF(COUNTIF(Products!$A$2:$A$8,C1010)=0,C1010,"")</f>
        <v/>
      </c>
      <c r="J1010">
        <f>IF(OR(E1010="Prospecting",E1010="Engaging"),VLOOKUP(C1010,Products!$A$2:$C$8,3,FALSE),0)</f>
        <v>0</v>
      </c>
    </row>
    <row r="1011" spans="1:10" x14ac:dyDescent="0.25">
      <c r="A1011" t="s">
        <v>1178</v>
      </c>
      <c r="B1011" t="s">
        <v>140</v>
      </c>
      <c r="C1011" t="s">
        <v>122</v>
      </c>
      <c r="D1011" t="s">
        <v>51</v>
      </c>
      <c r="E1011" t="s">
        <v>138</v>
      </c>
      <c r="F1011" s="1">
        <v>42788</v>
      </c>
      <c r="G1011" s="1">
        <v>42804</v>
      </c>
      <c r="H1011">
        <v>3763</v>
      </c>
      <c r="I1011" t="str">
        <f>IF(COUNTIF(Products!$A$2:$A$8,C1011)=0,C1011,"")</f>
        <v/>
      </c>
      <c r="J1011">
        <f>IF(OR(E1011="Prospecting",E1011="Engaging"),VLOOKUP(C1011,Products!$A$2:$C$8,3,FALSE),0)</f>
        <v>0</v>
      </c>
    </row>
    <row r="1012" spans="1:10" x14ac:dyDescent="0.25">
      <c r="A1012" t="s">
        <v>1179</v>
      </c>
      <c r="B1012" t="s">
        <v>140</v>
      </c>
      <c r="C1012" t="s">
        <v>122</v>
      </c>
      <c r="D1012" t="s">
        <v>88</v>
      </c>
      <c r="E1012" t="s">
        <v>138</v>
      </c>
      <c r="F1012" s="1">
        <v>42788</v>
      </c>
      <c r="G1012" s="1">
        <v>42799</v>
      </c>
      <c r="H1012">
        <v>5006</v>
      </c>
      <c r="I1012" t="str">
        <f>IF(COUNTIF(Products!$A$2:$A$8,C1012)=0,C1012,"")</f>
        <v/>
      </c>
      <c r="J1012">
        <f>IF(OR(E1012="Prospecting",E1012="Engaging"),VLOOKUP(C1012,Products!$A$2:$C$8,3,FALSE),0)</f>
        <v>0</v>
      </c>
    </row>
    <row r="1013" spans="1:10" x14ac:dyDescent="0.25">
      <c r="A1013" t="s">
        <v>1180</v>
      </c>
      <c r="B1013" t="s">
        <v>158</v>
      </c>
      <c r="C1013" t="s">
        <v>122</v>
      </c>
      <c r="D1013" t="s">
        <v>103</v>
      </c>
      <c r="E1013" t="s">
        <v>138</v>
      </c>
      <c r="F1013" s="1">
        <v>42788</v>
      </c>
      <c r="G1013" s="1">
        <v>42901</v>
      </c>
      <c r="H1013">
        <v>4498</v>
      </c>
      <c r="I1013" t="str">
        <f>IF(COUNTIF(Products!$A$2:$A$8,C1013)=0,C1013,"")</f>
        <v/>
      </c>
      <c r="J1013">
        <f>IF(OR(E1013="Prospecting",E1013="Engaging"),VLOOKUP(C1013,Products!$A$2:$C$8,3,FALSE),0)</f>
        <v>0</v>
      </c>
    </row>
    <row r="1014" spans="1:10" x14ac:dyDescent="0.25">
      <c r="A1014" t="s">
        <v>1181</v>
      </c>
      <c r="B1014" t="s">
        <v>158</v>
      </c>
      <c r="C1014" t="s">
        <v>122</v>
      </c>
      <c r="D1014" t="s">
        <v>77</v>
      </c>
      <c r="E1014" t="s">
        <v>138</v>
      </c>
      <c r="F1014" s="1">
        <v>42788</v>
      </c>
      <c r="G1014" s="1">
        <v>42818</v>
      </c>
      <c r="H1014">
        <v>4375</v>
      </c>
      <c r="I1014" t="str">
        <f>IF(COUNTIF(Products!$A$2:$A$8,C1014)=0,C1014,"")</f>
        <v/>
      </c>
      <c r="J1014">
        <f>IF(OR(E1014="Prospecting",E1014="Engaging"),VLOOKUP(C1014,Products!$A$2:$C$8,3,FALSE),0)</f>
        <v>0</v>
      </c>
    </row>
    <row r="1015" spans="1:10" x14ac:dyDescent="0.25">
      <c r="A1015" t="s">
        <v>1182</v>
      </c>
      <c r="B1015" t="s">
        <v>164</v>
      </c>
      <c r="C1015" t="s">
        <v>125</v>
      </c>
      <c r="E1015" t="s">
        <v>155</v>
      </c>
      <c r="F1015" s="1">
        <v>42788</v>
      </c>
      <c r="I1015" t="str">
        <f>IF(COUNTIF(Products!$A$2:$A$8,C1015)=0,C1015,"")</f>
        <v/>
      </c>
      <c r="J1015">
        <f>IF(OR(E1015="Prospecting",E1015="Engaging"),VLOOKUP(C1015,Products!$A$2:$C$8,3,FALSE),0)</f>
        <v>3393</v>
      </c>
    </row>
    <row r="1016" spans="1:10" x14ac:dyDescent="0.25">
      <c r="A1016" t="s">
        <v>1183</v>
      </c>
      <c r="B1016" t="s">
        <v>164</v>
      </c>
      <c r="C1016" t="s">
        <v>127</v>
      </c>
      <c r="D1016" t="s">
        <v>66</v>
      </c>
      <c r="E1016" t="s">
        <v>159</v>
      </c>
      <c r="F1016" s="1">
        <v>42788</v>
      </c>
      <c r="G1016" s="1">
        <v>42882</v>
      </c>
      <c r="H1016">
        <v>0</v>
      </c>
      <c r="I1016" t="str">
        <f>IF(COUNTIF(Products!$A$2:$A$8,C1016)=0,C1016,"")</f>
        <v/>
      </c>
      <c r="J1016">
        <f>IF(OR(E1016="Prospecting",E1016="Engaging"),VLOOKUP(C1016,Products!$A$2:$C$8,3,FALSE),0)</f>
        <v>0</v>
      </c>
    </row>
    <row r="1017" spans="1:10" x14ac:dyDescent="0.25">
      <c r="A1017" t="s">
        <v>1184</v>
      </c>
      <c r="B1017" t="s">
        <v>164</v>
      </c>
      <c r="C1017" t="s">
        <v>125</v>
      </c>
      <c r="D1017" t="s">
        <v>38</v>
      </c>
      <c r="E1017" t="s">
        <v>138</v>
      </c>
      <c r="F1017" s="1">
        <v>42788</v>
      </c>
      <c r="G1017" s="1">
        <v>42890</v>
      </c>
      <c r="H1017">
        <v>3763</v>
      </c>
      <c r="I1017" t="str">
        <f>IF(COUNTIF(Products!$A$2:$A$8,C1017)=0,C1017,"")</f>
        <v/>
      </c>
      <c r="J1017">
        <f>IF(OR(E1017="Prospecting",E1017="Engaging"),VLOOKUP(C1017,Products!$A$2:$C$8,3,FALSE),0)</f>
        <v>0</v>
      </c>
    </row>
    <row r="1018" spans="1:10" x14ac:dyDescent="0.25">
      <c r="A1018" t="s">
        <v>1185</v>
      </c>
      <c r="B1018" t="s">
        <v>180</v>
      </c>
      <c r="C1018" t="s">
        <v>122</v>
      </c>
      <c r="D1018" t="s">
        <v>66</v>
      </c>
      <c r="E1018" t="s">
        <v>159</v>
      </c>
      <c r="F1018" s="1">
        <v>42788</v>
      </c>
      <c r="G1018" s="1">
        <v>42808</v>
      </c>
      <c r="H1018">
        <v>0</v>
      </c>
      <c r="I1018" t="str">
        <f>IF(COUNTIF(Products!$A$2:$A$8,C1018)=0,C1018,"")</f>
        <v/>
      </c>
      <c r="J1018">
        <f>IF(OR(E1018="Prospecting",E1018="Engaging"),VLOOKUP(C1018,Products!$A$2:$C$8,3,FALSE),0)</f>
        <v>0</v>
      </c>
    </row>
    <row r="1019" spans="1:10" x14ac:dyDescent="0.25">
      <c r="A1019" t="s">
        <v>1186</v>
      </c>
      <c r="B1019" t="s">
        <v>180</v>
      </c>
      <c r="C1019" t="s">
        <v>126</v>
      </c>
      <c r="D1019" t="s">
        <v>41</v>
      </c>
      <c r="E1019" t="s">
        <v>138</v>
      </c>
      <c r="F1019" s="1">
        <v>42788</v>
      </c>
      <c r="G1019" s="1">
        <v>42865</v>
      </c>
      <c r="H1019">
        <v>5491</v>
      </c>
      <c r="I1019" t="str">
        <f>IF(COUNTIF(Products!$A$2:$A$8,C1019)=0,C1019,"")</f>
        <v/>
      </c>
      <c r="J1019">
        <f>IF(OR(E1019="Prospecting",E1019="Engaging"),VLOOKUP(C1019,Products!$A$2:$C$8,3,FALSE),0)</f>
        <v>0</v>
      </c>
    </row>
    <row r="1020" spans="1:10" x14ac:dyDescent="0.25">
      <c r="A1020" t="s">
        <v>1187</v>
      </c>
      <c r="B1020" t="s">
        <v>217</v>
      </c>
      <c r="C1020" t="s">
        <v>120</v>
      </c>
      <c r="D1020" t="s">
        <v>14</v>
      </c>
      <c r="E1020" t="s">
        <v>159</v>
      </c>
      <c r="F1020" s="1">
        <v>42788</v>
      </c>
      <c r="G1020" s="1">
        <v>42877</v>
      </c>
      <c r="H1020">
        <v>0</v>
      </c>
      <c r="I1020" t="str">
        <f>IF(COUNTIF(Products!$A$2:$A$8,C1020)=0,C1020,"")</f>
        <v/>
      </c>
      <c r="J1020">
        <f>IF(OR(E1020="Prospecting",E1020="Engaging"),VLOOKUP(C1020,Products!$A$2:$C$8,3,FALSE),0)</f>
        <v>0</v>
      </c>
    </row>
    <row r="1021" spans="1:10" x14ac:dyDescent="0.25">
      <c r="A1021" t="s">
        <v>1188</v>
      </c>
      <c r="B1021" t="s">
        <v>150</v>
      </c>
      <c r="C1021" t="s">
        <v>126</v>
      </c>
      <c r="D1021" t="s">
        <v>109</v>
      </c>
      <c r="E1021" t="s">
        <v>138</v>
      </c>
      <c r="F1021" s="1">
        <v>42788</v>
      </c>
      <c r="G1021" s="1">
        <v>42903</v>
      </c>
      <c r="H1021">
        <v>5503</v>
      </c>
      <c r="I1021" t="str">
        <f>IF(COUNTIF(Products!$A$2:$A$8,C1021)=0,C1021,"")</f>
        <v/>
      </c>
      <c r="J1021">
        <f>IF(OR(E1021="Prospecting",E1021="Engaging"),VLOOKUP(C1021,Products!$A$2:$C$8,3,FALSE),0)</f>
        <v>0</v>
      </c>
    </row>
    <row r="1022" spans="1:10" x14ac:dyDescent="0.25">
      <c r="A1022" t="s">
        <v>1189</v>
      </c>
      <c r="B1022" t="s">
        <v>137</v>
      </c>
      <c r="C1022" t="s">
        <v>127</v>
      </c>
      <c r="D1022" t="s">
        <v>85</v>
      </c>
      <c r="E1022" t="s">
        <v>159</v>
      </c>
      <c r="F1022" s="1">
        <v>42788</v>
      </c>
      <c r="G1022" s="1">
        <v>42885</v>
      </c>
      <c r="H1022">
        <v>0</v>
      </c>
      <c r="I1022" t="str">
        <f>IF(COUNTIF(Products!$A$2:$A$8,C1022)=0,C1022,"")</f>
        <v/>
      </c>
      <c r="J1022">
        <f>IF(OR(E1022="Prospecting",E1022="Engaging"),VLOOKUP(C1022,Products!$A$2:$C$8,3,FALSE),0)</f>
        <v>0</v>
      </c>
    </row>
    <row r="1023" spans="1:10" x14ac:dyDescent="0.25">
      <c r="A1023" t="s">
        <v>1190</v>
      </c>
      <c r="B1023" t="s">
        <v>137</v>
      </c>
      <c r="C1023" t="s">
        <v>123</v>
      </c>
      <c r="D1023" t="s">
        <v>95</v>
      </c>
      <c r="E1023" t="s">
        <v>138</v>
      </c>
      <c r="F1023" s="1">
        <v>42788</v>
      </c>
      <c r="G1023" s="1">
        <v>42870</v>
      </c>
      <c r="H1023">
        <v>58</v>
      </c>
      <c r="I1023" t="str">
        <f>IF(COUNTIF(Products!$A$2:$A$8,C1023)=0,C1023,"")</f>
        <v/>
      </c>
      <c r="J1023">
        <f>IF(OR(E1023="Prospecting",E1023="Engaging"),VLOOKUP(C1023,Products!$A$2:$C$8,3,FALSE),0)</f>
        <v>0</v>
      </c>
    </row>
    <row r="1024" spans="1:10" x14ac:dyDescent="0.25">
      <c r="A1024" t="s">
        <v>1191</v>
      </c>
      <c r="B1024" t="s">
        <v>152</v>
      </c>
      <c r="C1024" t="s">
        <v>127</v>
      </c>
      <c r="D1024" t="s">
        <v>51</v>
      </c>
      <c r="E1024" t="s">
        <v>138</v>
      </c>
      <c r="F1024" s="1">
        <v>42788</v>
      </c>
      <c r="G1024" s="1">
        <v>42882</v>
      </c>
      <c r="H1024">
        <v>1051</v>
      </c>
      <c r="I1024" t="str">
        <f>IF(COUNTIF(Products!$A$2:$A$8,C1024)=0,C1024,"")</f>
        <v/>
      </c>
      <c r="J1024">
        <f>IF(OR(E1024="Prospecting",E1024="Engaging"),VLOOKUP(C1024,Products!$A$2:$C$8,3,FALSE),0)</f>
        <v>0</v>
      </c>
    </row>
    <row r="1025" spans="1:10" x14ac:dyDescent="0.25">
      <c r="A1025" t="s">
        <v>1192</v>
      </c>
      <c r="B1025" t="s">
        <v>152</v>
      </c>
      <c r="C1025" t="s">
        <v>126</v>
      </c>
      <c r="D1025" t="s">
        <v>28</v>
      </c>
      <c r="E1025" t="s">
        <v>138</v>
      </c>
      <c r="F1025" s="1">
        <v>42788</v>
      </c>
      <c r="G1025" s="1">
        <v>42801</v>
      </c>
      <c r="H1025">
        <v>5604</v>
      </c>
      <c r="I1025" t="str">
        <f>IF(COUNTIF(Products!$A$2:$A$8,C1025)=0,C1025,"")</f>
        <v/>
      </c>
      <c r="J1025">
        <f>IF(OR(E1025="Prospecting",E1025="Engaging"),VLOOKUP(C1025,Products!$A$2:$C$8,3,FALSE),0)</f>
        <v>0</v>
      </c>
    </row>
    <row r="1026" spans="1:10" x14ac:dyDescent="0.25">
      <c r="A1026" t="s">
        <v>1193</v>
      </c>
      <c r="B1026" t="s">
        <v>193</v>
      </c>
      <c r="C1026" t="s">
        <v>125</v>
      </c>
      <c r="D1026" t="s">
        <v>108</v>
      </c>
      <c r="E1026" t="s">
        <v>138</v>
      </c>
      <c r="F1026" s="1">
        <v>42788</v>
      </c>
      <c r="G1026" s="1">
        <v>42870</v>
      </c>
      <c r="H1026">
        <v>3273</v>
      </c>
      <c r="I1026" t="str">
        <f>IF(COUNTIF(Products!$A$2:$A$8,C1026)=0,C1026,"")</f>
        <v/>
      </c>
      <c r="J1026">
        <f>IF(OR(E1026="Prospecting",E1026="Engaging"),VLOOKUP(C1026,Products!$A$2:$C$8,3,FALSE),0)</f>
        <v>0</v>
      </c>
    </row>
    <row r="1027" spans="1:10" x14ac:dyDescent="0.25">
      <c r="A1027" t="s">
        <v>1194</v>
      </c>
      <c r="B1027" t="s">
        <v>166</v>
      </c>
      <c r="C1027" t="s">
        <v>120</v>
      </c>
      <c r="E1027" t="s">
        <v>155</v>
      </c>
      <c r="F1027" s="1">
        <v>42788</v>
      </c>
      <c r="I1027" t="str">
        <f>IF(COUNTIF(Products!$A$2:$A$8,C1027)=0,C1027,"")</f>
        <v/>
      </c>
      <c r="J1027">
        <f>IF(OR(E1027="Prospecting",E1027="Engaging"),VLOOKUP(C1027,Products!$A$2:$C$8,3,FALSE),0)</f>
        <v>550</v>
      </c>
    </row>
    <row r="1028" spans="1:10" x14ac:dyDescent="0.25">
      <c r="A1028" t="s">
        <v>1195</v>
      </c>
      <c r="B1028" t="s">
        <v>148</v>
      </c>
      <c r="C1028" t="s">
        <v>120</v>
      </c>
      <c r="D1028" t="s">
        <v>89</v>
      </c>
      <c r="E1028" t="s">
        <v>155</v>
      </c>
      <c r="F1028" s="1">
        <v>42788</v>
      </c>
      <c r="I1028" t="str">
        <f>IF(COUNTIF(Products!$A$2:$A$8,C1028)=0,C1028,"")</f>
        <v/>
      </c>
      <c r="J1028">
        <f>IF(OR(E1028="Prospecting",E1028="Engaging"),VLOOKUP(C1028,Products!$A$2:$C$8,3,FALSE),0)</f>
        <v>550</v>
      </c>
    </row>
    <row r="1029" spans="1:10" x14ac:dyDescent="0.25">
      <c r="A1029" t="s">
        <v>1196</v>
      </c>
      <c r="B1029" t="s">
        <v>148</v>
      </c>
      <c r="C1029" t="s">
        <v>127</v>
      </c>
      <c r="D1029" t="s">
        <v>90</v>
      </c>
      <c r="E1029" t="s">
        <v>159</v>
      </c>
      <c r="F1029" s="1">
        <v>42788</v>
      </c>
      <c r="G1029" s="1">
        <v>42866</v>
      </c>
      <c r="H1029">
        <v>0</v>
      </c>
      <c r="I1029" t="str">
        <f>IF(COUNTIF(Products!$A$2:$A$8,C1029)=0,C1029,"")</f>
        <v/>
      </c>
      <c r="J1029">
        <f>IF(OR(E1029="Prospecting",E1029="Engaging"),VLOOKUP(C1029,Products!$A$2:$C$8,3,FALSE),0)</f>
        <v>0</v>
      </c>
    </row>
    <row r="1030" spans="1:10" x14ac:dyDescent="0.25">
      <c r="A1030" t="s">
        <v>1197</v>
      </c>
      <c r="B1030" t="s">
        <v>144</v>
      </c>
      <c r="C1030" t="s">
        <v>127</v>
      </c>
      <c r="D1030" t="s">
        <v>90</v>
      </c>
      <c r="E1030" t="s">
        <v>138</v>
      </c>
      <c r="F1030" s="1">
        <v>42788</v>
      </c>
      <c r="G1030" s="1">
        <v>42888</v>
      </c>
      <c r="H1030">
        <v>1220</v>
      </c>
      <c r="I1030" t="str">
        <f>IF(COUNTIF(Products!$A$2:$A$8,C1030)=0,C1030,"")</f>
        <v/>
      </c>
      <c r="J1030">
        <f>IF(OR(E1030="Prospecting",E1030="Engaging"),VLOOKUP(C1030,Products!$A$2:$C$8,3,FALSE),0)</f>
        <v>0</v>
      </c>
    </row>
    <row r="1031" spans="1:10" x14ac:dyDescent="0.25">
      <c r="A1031" t="s">
        <v>1198</v>
      </c>
      <c r="B1031" t="s">
        <v>144</v>
      </c>
      <c r="C1031" t="s">
        <v>126</v>
      </c>
      <c r="D1031" t="s">
        <v>93</v>
      </c>
      <c r="E1031" t="s">
        <v>138</v>
      </c>
      <c r="F1031" s="1">
        <v>42788</v>
      </c>
      <c r="G1031" s="1">
        <v>42796</v>
      </c>
      <c r="H1031">
        <v>5497</v>
      </c>
      <c r="I1031" t="str">
        <f>IF(COUNTIF(Products!$A$2:$A$8,C1031)=0,C1031,"")</f>
        <v/>
      </c>
      <c r="J1031">
        <f>IF(OR(E1031="Prospecting",E1031="Engaging"),VLOOKUP(C1031,Products!$A$2:$C$8,3,FALSE),0)</f>
        <v>0</v>
      </c>
    </row>
    <row r="1032" spans="1:10" x14ac:dyDescent="0.25">
      <c r="A1032" t="s">
        <v>1199</v>
      </c>
      <c r="B1032" t="s">
        <v>146</v>
      </c>
      <c r="C1032" t="s">
        <v>127</v>
      </c>
      <c r="D1032" t="s">
        <v>28</v>
      </c>
      <c r="E1032" t="s">
        <v>138</v>
      </c>
      <c r="F1032" s="1">
        <v>42789</v>
      </c>
      <c r="G1032" s="1">
        <v>42896</v>
      </c>
      <c r="H1032">
        <v>1056</v>
      </c>
      <c r="I1032" t="str">
        <f>IF(COUNTIF(Products!$A$2:$A$8,C1032)=0,C1032,"")</f>
        <v/>
      </c>
      <c r="J1032">
        <f>IF(OR(E1032="Prospecting",E1032="Engaging"),VLOOKUP(C1032,Products!$A$2:$C$8,3,FALSE),0)</f>
        <v>0</v>
      </c>
    </row>
    <row r="1033" spans="1:10" x14ac:dyDescent="0.25">
      <c r="A1033" t="s">
        <v>1200</v>
      </c>
      <c r="B1033" t="s">
        <v>222</v>
      </c>
      <c r="C1033" t="s">
        <v>120</v>
      </c>
      <c r="D1033" t="s">
        <v>67</v>
      </c>
      <c r="E1033" t="s">
        <v>159</v>
      </c>
      <c r="F1033" s="1">
        <v>42789</v>
      </c>
      <c r="G1033" s="1">
        <v>42902</v>
      </c>
      <c r="H1033">
        <v>0</v>
      </c>
      <c r="I1033" t="str">
        <f>IF(COUNTIF(Products!$A$2:$A$8,C1033)=0,C1033,"")</f>
        <v/>
      </c>
      <c r="J1033">
        <f>IF(OR(E1033="Prospecting",E1033="Engaging"),VLOOKUP(C1033,Products!$A$2:$C$8,3,FALSE),0)</f>
        <v>0</v>
      </c>
    </row>
    <row r="1034" spans="1:10" x14ac:dyDescent="0.25">
      <c r="A1034" t="s">
        <v>1201</v>
      </c>
      <c r="B1034" t="s">
        <v>207</v>
      </c>
      <c r="C1034" t="s">
        <v>120</v>
      </c>
      <c r="D1034" t="s">
        <v>25</v>
      </c>
      <c r="E1034" t="s">
        <v>138</v>
      </c>
      <c r="F1034" s="1">
        <v>42789</v>
      </c>
      <c r="G1034" s="1">
        <v>42806</v>
      </c>
      <c r="H1034">
        <v>572</v>
      </c>
      <c r="I1034" t="str">
        <f>IF(COUNTIF(Products!$A$2:$A$8,C1034)=0,C1034,"")</f>
        <v/>
      </c>
      <c r="J1034">
        <f>IF(OR(E1034="Prospecting",E1034="Engaging"),VLOOKUP(C1034,Products!$A$2:$C$8,3,FALSE),0)</f>
        <v>0</v>
      </c>
    </row>
    <row r="1035" spans="1:10" x14ac:dyDescent="0.25">
      <c r="A1035" t="s">
        <v>1202</v>
      </c>
      <c r="B1035" t="s">
        <v>264</v>
      </c>
      <c r="C1035" t="s">
        <v>125</v>
      </c>
      <c r="D1035" t="s">
        <v>46</v>
      </c>
      <c r="E1035" t="s">
        <v>138</v>
      </c>
      <c r="F1035" s="1">
        <v>42789</v>
      </c>
      <c r="G1035" s="1">
        <v>42878</v>
      </c>
      <c r="H1035">
        <v>3668</v>
      </c>
      <c r="I1035" t="str">
        <f>IF(COUNTIF(Products!$A$2:$A$8,C1035)=0,C1035,"")</f>
        <v/>
      </c>
      <c r="J1035">
        <f>IF(OR(E1035="Prospecting",E1035="Engaging"),VLOOKUP(C1035,Products!$A$2:$C$8,3,FALSE),0)</f>
        <v>0</v>
      </c>
    </row>
    <row r="1036" spans="1:10" x14ac:dyDescent="0.25">
      <c r="A1036" t="s">
        <v>1203</v>
      </c>
      <c r="B1036" t="s">
        <v>239</v>
      </c>
      <c r="C1036" t="s">
        <v>120</v>
      </c>
      <c r="E1036" t="s">
        <v>155</v>
      </c>
      <c r="F1036" s="1">
        <v>42789</v>
      </c>
      <c r="I1036" t="str">
        <f>IF(COUNTIF(Products!$A$2:$A$8,C1036)=0,C1036,"")</f>
        <v/>
      </c>
      <c r="J1036">
        <f>IF(OR(E1036="Prospecting",E1036="Engaging"),VLOOKUP(C1036,Products!$A$2:$C$8,3,FALSE),0)</f>
        <v>550</v>
      </c>
    </row>
    <row r="1037" spans="1:10" x14ac:dyDescent="0.25">
      <c r="A1037" t="s">
        <v>1204</v>
      </c>
      <c r="B1037" t="s">
        <v>239</v>
      </c>
      <c r="C1037" t="s">
        <v>123</v>
      </c>
      <c r="D1037" t="s">
        <v>68</v>
      </c>
      <c r="E1037" t="s">
        <v>138</v>
      </c>
      <c r="F1037" s="1">
        <v>42789</v>
      </c>
      <c r="G1037" s="1">
        <v>42796</v>
      </c>
      <c r="H1037">
        <v>50</v>
      </c>
      <c r="I1037" t="str">
        <f>IF(COUNTIF(Products!$A$2:$A$8,C1037)=0,C1037,"")</f>
        <v/>
      </c>
      <c r="J1037">
        <f>IF(OR(E1037="Prospecting",E1037="Engaging"),VLOOKUP(C1037,Products!$A$2:$C$8,3,FALSE),0)</f>
        <v>0</v>
      </c>
    </row>
    <row r="1038" spans="1:10" x14ac:dyDescent="0.25">
      <c r="A1038" t="s">
        <v>1205</v>
      </c>
      <c r="B1038" t="s">
        <v>171</v>
      </c>
      <c r="C1038" t="s">
        <v>125</v>
      </c>
      <c r="D1038" t="s">
        <v>92</v>
      </c>
      <c r="E1038" t="s">
        <v>138</v>
      </c>
      <c r="F1038" s="1">
        <v>42789</v>
      </c>
      <c r="G1038" s="1">
        <v>42877</v>
      </c>
      <c r="H1038">
        <v>3509</v>
      </c>
      <c r="I1038" t="str">
        <f>IF(COUNTIF(Products!$A$2:$A$8,C1038)=0,C1038,"")</f>
        <v/>
      </c>
      <c r="J1038">
        <f>IF(OR(E1038="Prospecting",E1038="Engaging"),VLOOKUP(C1038,Products!$A$2:$C$8,3,FALSE),0)</f>
        <v>0</v>
      </c>
    </row>
    <row r="1039" spans="1:10" x14ac:dyDescent="0.25">
      <c r="A1039" t="s">
        <v>1206</v>
      </c>
      <c r="B1039" t="s">
        <v>140</v>
      </c>
      <c r="C1039" t="s">
        <v>122</v>
      </c>
      <c r="D1039" t="s">
        <v>55</v>
      </c>
      <c r="E1039" t="s">
        <v>138</v>
      </c>
      <c r="F1039" s="1">
        <v>42789</v>
      </c>
      <c r="G1039" s="1">
        <v>42914</v>
      </c>
      <c r="H1039">
        <v>5643</v>
      </c>
      <c r="I1039" t="str">
        <f>IF(COUNTIF(Products!$A$2:$A$8,C1039)=0,C1039,"")</f>
        <v/>
      </c>
      <c r="J1039">
        <f>IF(OR(E1039="Prospecting",E1039="Engaging"),VLOOKUP(C1039,Products!$A$2:$C$8,3,FALSE),0)</f>
        <v>0</v>
      </c>
    </row>
    <row r="1040" spans="1:10" x14ac:dyDescent="0.25">
      <c r="A1040" t="s">
        <v>1207</v>
      </c>
      <c r="B1040" t="s">
        <v>173</v>
      </c>
      <c r="C1040" t="s">
        <v>123</v>
      </c>
      <c r="D1040" t="s">
        <v>29</v>
      </c>
      <c r="E1040" t="s">
        <v>138</v>
      </c>
      <c r="F1040" s="1">
        <v>42789</v>
      </c>
      <c r="G1040" s="1">
        <v>42804</v>
      </c>
      <c r="H1040">
        <v>47</v>
      </c>
      <c r="I1040" t="str">
        <f>IF(COUNTIF(Products!$A$2:$A$8,C1040)=0,C1040,"")</f>
        <v/>
      </c>
      <c r="J1040">
        <f>IF(OR(E1040="Prospecting",E1040="Engaging"),VLOOKUP(C1040,Products!$A$2:$C$8,3,FALSE),0)</f>
        <v>0</v>
      </c>
    </row>
    <row r="1041" spans="1:10" x14ac:dyDescent="0.25">
      <c r="A1041" t="s">
        <v>1208</v>
      </c>
      <c r="B1041" t="s">
        <v>164</v>
      </c>
      <c r="C1041" t="s">
        <v>125</v>
      </c>
      <c r="D1041" t="s">
        <v>44</v>
      </c>
      <c r="E1041" t="s">
        <v>138</v>
      </c>
      <c r="F1041" s="1">
        <v>42789</v>
      </c>
      <c r="G1041" s="1">
        <v>42802</v>
      </c>
      <c r="H1041">
        <v>3312</v>
      </c>
      <c r="I1041" t="str">
        <f>IF(COUNTIF(Products!$A$2:$A$8,C1041)=0,C1041,"")</f>
        <v/>
      </c>
      <c r="J1041">
        <f>IF(OR(E1041="Prospecting",E1041="Engaging"),VLOOKUP(C1041,Products!$A$2:$C$8,3,FALSE),0)</f>
        <v>0</v>
      </c>
    </row>
    <row r="1042" spans="1:10" x14ac:dyDescent="0.25">
      <c r="A1042" t="s">
        <v>1209</v>
      </c>
      <c r="B1042" t="s">
        <v>154</v>
      </c>
      <c r="C1042" t="s">
        <v>126</v>
      </c>
      <c r="D1042" t="s">
        <v>56</v>
      </c>
      <c r="E1042" t="s">
        <v>159</v>
      </c>
      <c r="F1042" s="1">
        <v>42789</v>
      </c>
      <c r="G1042" s="1">
        <v>42909</v>
      </c>
      <c r="H1042">
        <v>0</v>
      </c>
      <c r="I1042" t="str">
        <f>IF(COUNTIF(Products!$A$2:$A$8,C1042)=0,C1042,"")</f>
        <v/>
      </c>
      <c r="J1042">
        <f>IF(OR(E1042="Prospecting",E1042="Engaging"),VLOOKUP(C1042,Products!$A$2:$C$8,3,FALSE),0)</f>
        <v>0</v>
      </c>
    </row>
    <row r="1043" spans="1:10" x14ac:dyDescent="0.25">
      <c r="A1043" t="s">
        <v>1210</v>
      </c>
      <c r="B1043" t="s">
        <v>180</v>
      </c>
      <c r="C1043" t="s">
        <v>125</v>
      </c>
      <c r="E1043" t="s">
        <v>155</v>
      </c>
      <c r="F1043" s="1">
        <v>42789</v>
      </c>
      <c r="I1043" t="str">
        <f>IF(COUNTIF(Products!$A$2:$A$8,C1043)=0,C1043,"")</f>
        <v/>
      </c>
      <c r="J1043">
        <f>IF(OR(E1043="Prospecting",E1043="Engaging"),VLOOKUP(C1043,Products!$A$2:$C$8,3,FALSE),0)</f>
        <v>3393</v>
      </c>
    </row>
    <row r="1044" spans="1:10" x14ac:dyDescent="0.25">
      <c r="A1044" t="s">
        <v>1211</v>
      </c>
      <c r="B1044" t="s">
        <v>180</v>
      </c>
      <c r="C1044" t="s">
        <v>120</v>
      </c>
      <c r="D1044" t="s">
        <v>71</v>
      </c>
      <c r="E1044" t="s">
        <v>138</v>
      </c>
      <c r="F1044" s="1">
        <v>42789</v>
      </c>
      <c r="G1044" s="1">
        <v>42805</v>
      </c>
      <c r="H1044">
        <v>480</v>
      </c>
      <c r="I1044" t="str">
        <f>IF(COUNTIF(Products!$A$2:$A$8,C1044)=0,C1044,"")</f>
        <v/>
      </c>
      <c r="J1044">
        <f>IF(OR(E1044="Prospecting",E1044="Engaging"),VLOOKUP(C1044,Products!$A$2:$C$8,3,FALSE),0)</f>
        <v>0</v>
      </c>
    </row>
    <row r="1045" spans="1:10" x14ac:dyDescent="0.25">
      <c r="A1045" t="s">
        <v>1212</v>
      </c>
      <c r="B1045" t="s">
        <v>180</v>
      </c>
      <c r="C1045" t="s">
        <v>125</v>
      </c>
      <c r="D1045" t="s">
        <v>75</v>
      </c>
      <c r="E1045" t="s">
        <v>138</v>
      </c>
      <c r="F1045" s="1">
        <v>42789</v>
      </c>
      <c r="G1045" s="1">
        <v>42861</v>
      </c>
      <c r="H1045">
        <v>3208</v>
      </c>
      <c r="I1045" t="str">
        <f>IF(COUNTIF(Products!$A$2:$A$8,C1045)=0,C1045,"")</f>
        <v/>
      </c>
      <c r="J1045">
        <f>IF(OR(E1045="Prospecting",E1045="Engaging"),VLOOKUP(C1045,Products!$A$2:$C$8,3,FALSE),0)</f>
        <v>0</v>
      </c>
    </row>
    <row r="1046" spans="1:10" x14ac:dyDescent="0.25">
      <c r="A1046" t="s">
        <v>1213</v>
      </c>
      <c r="B1046" t="s">
        <v>191</v>
      </c>
      <c r="C1046" t="s">
        <v>120</v>
      </c>
      <c r="D1046" t="s">
        <v>109</v>
      </c>
      <c r="E1046" t="s">
        <v>159</v>
      </c>
      <c r="F1046" s="1">
        <v>42789</v>
      </c>
      <c r="G1046" s="1">
        <v>42859</v>
      </c>
      <c r="H1046">
        <v>0</v>
      </c>
      <c r="I1046" t="str">
        <f>IF(COUNTIF(Products!$A$2:$A$8,C1046)=0,C1046,"")</f>
        <v/>
      </c>
      <c r="J1046">
        <f>IF(OR(E1046="Prospecting",E1046="Engaging"),VLOOKUP(C1046,Products!$A$2:$C$8,3,FALSE),0)</f>
        <v>0</v>
      </c>
    </row>
    <row r="1047" spans="1:10" x14ac:dyDescent="0.25">
      <c r="A1047" t="s">
        <v>1214</v>
      </c>
      <c r="B1047" t="s">
        <v>191</v>
      </c>
      <c r="C1047" t="s">
        <v>126</v>
      </c>
      <c r="D1047" t="s">
        <v>67</v>
      </c>
      <c r="E1047" t="s">
        <v>138</v>
      </c>
      <c r="F1047" s="1">
        <v>42789</v>
      </c>
      <c r="G1047" s="1">
        <v>42859</v>
      </c>
      <c r="H1047">
        <v>5782</v>
      </c>
      <c r="I1047" t="str">
        <f>IF(COUNTIF(Products!$A$2:$A$8,C1047)=0,C1047,"")</f>
        <v/>
      </c>
      <c r="J1047">
        <f>IF(OR(E1047="Prospecting",E1047="Engaging"),VLOOKUP(C1047,Products!$A$2:$C$8,3,FALSE),0)</f>
        <v>0</v>
      </c>
    </row>
    <row r="1048" spans="1:10" x14ac:dyDescent="0.25">
      <c r="A1048" t="s">
        <v>1215</v>
      </c>
      <c r="B1048" t="s">
        <v>217</v>
      </c>
      <c r="C1048" t="s">
        <v>126</v>
      </c>
      <c r="D1048" t="s">
        <v>85</v>
      </c>
      <c r="E1048" t="s">
        <v>138</v>
      </c>
      <c r="F1048" s="1">
        <v>42789</v>
      </c>
      <c r="G1048" s="1">
        <v>42878</v>
      </c>
      <c r="H1048">
        <v>5827</v>
      </c>
      <c r="I1048" t="str">
        <f>IF(COUNTIF(Products!$A$2:$A$8,C1048)=0,C1048,"")</f>
        <v/>
      </c>
      <c r="J1048">
        <f>IF(OR(E1048="Prospecting",E1048="Engaging"),VLOOKUP(C1048,Products!$A$2:$C$8,3,FALSE),0)</f>
        <v>0</v>
      </c>
    </row>
    <row r="1049" spans="1:10" x14ac:dyDescent="0.25">
      <c r="A1049" t="s">
        <v>1216</v>
      </c>
      <c r="B1049" t="s">
        <v>162</v>
      </c>
      <c r="C1049" t="s">
        <v>122</v>
      </c>
      <c r="E1049" t="s">
        <v>155</v>
      </c>
      <c r="F1049" s="1">
        <v>42789</v>
      </c>
      <c r="I1049" t="str">
        <f>IF(COUNTIF(Products!$A$2:$A$8,C1049)=0,C1049,"")</f>
        <v/>
      </c>
      <c r="J1049">
        <f>IF(OR(E1049="Prospecting",E1049="Engaging"),VLOOKUP(C1049,Products!$A$2:$C$8,3,FALSE),0)</f>
        <v>4821</v>
      </c>
    </row>
    <row r="1050" spans="1:10" x14ac:dyDescent="0.25">
      <c r="A1050" t="s">
        <v>1217</v>
      </c>
      <c r="B1050" t="s">
        <v>162</v>
      </c>
      <c r="C1050" t="s">
        <v>120</v>
      </c>
      <c r="D1050" t="s">
        <v>78</v>
      </c>
      <c r="E1050" t="s">
        <v>159</v>
      </c>
      <c r="F1050" s="1">
        <v>42789</v>
      </c>
      <c r="G1050" s="1">
        <v>42903</v>
      </c>
      <c r="H1050">
        <v>0</v>
      </c>
      <c r="I1050" t="str">
        <f>IF(COUNTIF(Products!$A$2:$A$8,C1050)=0,C1050,"")</f>
        <v/>
      </c>
      <c r="J1050">
        <f>IF(OR(E1050="Prospecting",E1050="Engaging"),VLOOKUP(C1050,Products!$A$2:$C$8,3,FALSE),0)</f>
        <v>0</v>
      </c>
    </row>
    <row r="1051" spans="1:10" x14ac:dyDescent="0.25">
      <c r="A1051" t="s">
        <v>1218</v>
      </c>
      <c r="B1051" t="s">
        <v>137</v>
      </c>
      <c r="C1051" t="s">
        <v>120</v>
      </c>
      <c r="D1051" t="s">
        <v>14</v>
      </c>
      <c r="E1051" t="s">
        <v>138</v>
      </c>
      <c r="F1051" s="1">
        <v>42789</v>
      </c>
      <c r="G1051" s="1">
        <v>42902</v>
      </c>
      <c r="H1051">
        <v>516</v>
      </c>
      <c r="I1051" t="str">
        <f>IF(COUNTIF(Products!$A$2:$A$8,C1051)=0,C1051,"")</f>
        <v/>
      </c>
      <c r="J1051">
        <f>IF(OR(E1051="Prospecting",E1051="Engaging"),VLOOKUP(C1051,Products!$A$2:$C$8,3,FALSE),0)</f>
        <v>0</v>
      </c>
    </row>
    <row r="1052" spans="1:10" x14ac:dyDescent="0.25">
      <c r="A1052" t="s">
        <v>1219</v>
      </c>
      <c r="B1052" t="s">
        <v>137</v>
      </c>
      <c r="C1052" t="s">
        <v>127</v>
      </c>
      <c r="D1052" t="s">
        <v>27</v>
      </c>
      <c r="E1052" t="s">
        <v>138</v>
      </c>
      <c r="F1052" s="1">
        <v>42789</v>
      </c>
      <c r="G1052" s="1">
        <v>42892</v>
      </c>
      <c r="H1052">
        <v>956</v>
      </c>
      <c r="I1052" t="str">
        <f>IF(COUNTIF(Products!$A$2:$A$8,C1052)=0,C1052,"")</f>
        <v/>
      </c>
      <c r="J1052">
        <f>IF(OR(E1052="Prospecting",E1052="Engaging"),VLOOKUP(C1052,Products!$A$2:$C$8,3,FALSE),0)</f>
        <v>0</v>
      </c>
    </row>
    <row r="1053" spans="1:10" x14ac:dyDescent="0.25">
      <c r="A1053" t="s">
        <v>1220</v>
      </c>
      <c r="B1053" t="s">
        <v>137</v>
      </c>
      <c r="C1053" t="s">
        <v>123</v>
      </c>
      <c r="D1053" t="s">
        <v>94</v>
      </c>
      <c r="E1053" t="s">
        <v>138</v>
      </c>
      <c r="F1053" s="1">
        <v>42789</v>
      </c>
      <c r="G1053" s="1">
        <v>42809</v>
      </c>
      <c r="H1053">
        <v>52</v>
      </c>
      <c r="I1053" t="str">
        <f>IF(COUNTIF(Products!$A$2:$A$8,C1053)=0,C1053,"")</f>
        <v/>
      </c>
      <c r="J1053">
        <f>IF(OR(E1053="Prospecting",E1053="Engaging"),VLOOKUP(C1053,Products!$A$2:$C$8,3,FALSE),0)</f>
        <v>0</v>
      </c>
    </row>
    <row r="1054" spans="1:10" x14ac:dyDescent="0.25">
      <c r="A1054" t="s">
        <v>1221</v>
      </c>
      <c r="B1054" t="s">
        <v>137</v>
      </c>
      <c r="C1054" t="s">
        <v>125</v>
      </c>
      <c r="D1054" t="s">
        <v>103</v>
      </c>
      <c r="E1054" t="s">
        <v>138</v>
      </c>
      <c r="F1054" s="1">
        <v>42789</v>
      </c>
      <c r="G1054" s="1">
        <v>42866</v>
      </c>
      <c r="H1054">
        <v>3025</v>
      </c>
      <c r="I1054" t="str">
        <f>IF(COUNTIF(Products!$A$2:$A$8,C1054)=0,C1054,"")</f>
        <v/>
      </c>
      <c r="J1054">
        <f>IF(OR(E1054="Prospecting",E1054="Engaging"),VLOOKUP(C1054,Products!$A$2:$C$8,3,FALSE),0)</f>
        <v>0</v>
      </c>
    </row>
    <row r="1055" spans="1:10" x14ac:dyDescent="0.25">
      <c r="A1055" t="s">
        <v>1222</v>
      </c>
      <c r="B1055" t="s">
        <v>193</v>
      </c>
      <c r="C1055" t="s">
        <v>122</v>
      </c>
      <c r="D1055" t="s">
        <v>102</v>
      </c>
      <c r="E1055" t="s">
        <v>138</v>
      </c>
      <c r="F1055" s="1">
        <v>42789</v>
      </c>
      <c r="G1055" s="1">
        <v>42896</v>
      </c>
      <c r="H1055">
        <v>5618</v>
      </c>
      <c r="I1055" t="str">
        <f>IF(COUNTIF(Products!$A$2:$A$8,C1055)=0,C1055,"")</f>
        <v/>
      </c>
      <c r="J1055">
        <f>IF(OR(E1055="Prospecting",E1055="Engaging"),VLOOKUP(C1055,Products!$A$2:$C$8,3,FALSE),0)</f>
        <v>0</v>
      </c>
    </row>
    <row r="1056" spans="1:10" x14ac:dyDescent="0.25">
      <c r="A1056" t="s">
        <v>1223</v>
      </c>
      <c r="B1056" t="s">
        <v>187</v>
      </c>
      <c r="C1056" t="s">
        <v>122</v>
      </c>
      <c r="D1056" t="s">
        <v>105</v>
      </c>
      <c r="E1056" t="s">
        <v>138</v>
      </c>
      <c r="F1056" s="1">
        <v>42789</v>
      </c>
      <c r="G1056" s="1">
        <v>42864</v>
      </c>
      <c r="H1056">
        <v>4867</v>
      </c>
      <c r="I1056" t="str">
        <f>IF(COUNTIF(Products!$A$2:$A$8,C1056)=0,C1056,"")</f>
        <v/>
      </c>
      <c r="J1056">
        <f>IF(OR(E1056="Prospecting",E1056="Engaging"),VLOOKUP(C1056,Products!$A$2:$C$8,3,FALSE),0)</f>
        <v>0</v>
      </c>
    </row>
    <row r="1057" spans="1:10" x14ac:dyDescent="0.25">
      <c r="A1057" t="s">
        <v>1224</v>
      </c>
      <c r="B1057" t="s">
        <v>144</v>
      </c>
      <c r="C1057" t="s">
        <v>127</v>
      </c>
      <c r="D1057" t="s">
        <v>67</v>
      </c>
      <c r="E1057" t="s">
        <v>138</v>
      </c>
      <c r="F1057" s="1">
        <v>42789</v>
      </c>
      <c r="G1057" s="1">
        <v>42808</v>
      </c>
      <c r="H1057">
        <v>929</v>
      </c>
      <c r="I1057" t="str">
        <f>IF(COUNTIF(Products!$A$2:$A$8,C1057)=0,C1057,"")</f>
        <v/>
      </c>
      <c r="J1057">
        <f>IF(OR(E1057="Prospecting",E1057="Engaging"),VLOOKUP(C1057,Products!$A$2:$C$8,3,FALSE),0)</f>
        <v>0</v>
      </c>
    </row>
    <row r="1058" spans="1:10" x14ac:dyDescent="0.25">
      <c r="A1058" t="s">
        <v>1225</v>
      </c>
      <c r="B1058" t="s">
        <v>207</v>
      </c>
      <c r="C1058" t="s">
        <v>120</v>
      </c>
      <c r="E1058" t="s">
        <v>155</v>
      </c>
      <c r="F1058" s="1">
        <v>42790</v>
      </c>
      <c r="I1058" t="str">
        <f>IF(COUNTIF(Products!$A$2:$A$8,C1058)=0,C1058,"")</f>
        <v/>
      </c>
      <c r="J1058">
        <f>IF(OR(E1058="Prospecting",E1058="Engaging"),VLOOKUP(C1058,Products!$A$2:$C$8,3,FALSE),0)</f>
        <v>550</v>
      </c>
    </row>
    <row r="1059" spans="1:10" x14ac:dyDescent="0.25">
      <c r="A1059" t="s">
        <v>1226</v>
      </c>
      <c r="B1059" t="s">
        <v>264</v>
      </c>
      <c r="C1059" t="s">
        <v>123</v>
      </c>
      <c r="D1059" t="s">
        <v>30</v>
      </c>
      <c r="E1059" t="s">
        <v>159</v>
      </c>
      <c r="F1059" s="1">
        <v>42790</v>
      </c>
      <c r="G1059" s="1">
        <v>42891</v>
      </c>
      <c r="H1059">
        <v>0</v>
      </c>
      <c r="I1059" t="str">
        <f>IF(COUNTIF(Products!$A$2:$A$8,C1059)=0,C1059,"")</f>
        <v/>
      </c>
      <c r="J1059">
        <f>IF(OR(E1059="Prospecting",E1059="Engaging"),VLOOKUP(C1059,Products!$A$2:$C$8,3,FALSE),0)</f>
        <v>0</v>
      </c>
    </row>
    <row r="1060" spans="1:10" x14ac:dyDescent="0.25">
      <c r="A1060" t="s">
        <v>1227</v>
      </c>
      <c r="B1060" t="s">
        <v>239</v>
      </c>
      <c r="C1060" t="s">
        <v>120</v>
      </c>
      <c r="E1060" t="s">
        <v>155</v>
      </c>
      <c r="F1060" s="1">
        <v>42790</v>
      </c>
      <c r="I1060" t="str">
        <f>IF(COUNTIF(Products!$A$2:$A$8,C1060)=0,C1060,"")</f>
        <v/>
      </c>
      <c r="J1060">
        <f>IF(OR(E1060="Prospecting",E1060="Engaging"),VLOOKUP(C1060,Products!$A$2:$C$8,3,FALSE),0)</f>
        <v>550</v>
      </c>
    </row>
    <row r="1061" spans="1:10" x14ac:dyDescent="0.25">
      <c r="A1061" t="s">
        <v>1228</v>
      </c>
      <c r="B1061" t="s">
        <v>239</v>
      </c>
      <c r="C1061" t="s">
        <v>125</v>
      </c>
      <c r="D1061" t="s">
        <v>108</v>
      </c>
      <c r="E1061" t="s">
        <v>159</v>
      </c>
      <c r="F1061" s="1">
        <v>42790</v>
      </c>
      <c r="G1061" s="1">
        <v>42866</v>
      </c>
      <c r="H1061">
        <v>0</v>
      </c>
      <c r="I1061" t="str">
        <f>IF(COUNTIF(Products!$A$2:$A$8,C1061)=0,C1061,"")</f>
        <v/>
      </c>
      <c r="J1061">
        <f>IF(OR(E1061="Prospecting",E1061="Engaging"),VLOOKUP(C1061,Products!$A$2:$C$8,3,FALSE),0)</f>
        <v>0</v>
      </c>
    </row>
    <row r="1062" spans="1:10" x14ac:dyDescent="0.25">
      <c r="A1062" t="s">
        <v>1229</v>
      </c>
      <c r="B1062" t="s">
        <v>140</v>
      </c>
      <c r="C1062" t="s">
        <v>122</v>
      </c>
      <c r="D1062" t="s">
        <v>103</v>
      </c>
      <c r="E1062" t="s">
        <v>138</v>
      </c>
      <c r="F1062" s="1">
        <v>42790</v>
      </c>
      <c r="G1062" s="1">
        <v>42860</v>
      </c>
      <c r="H1062">
        <v>5010</v>
      </c>
      <c r="I1062" t="str">
        <f>IF(COUNTIF(Products!$A$2:$A$8,C1062)=0,C1062,"")</f>
        <v/>
      </c>
      <c r="J1062">
        <f>IF(OR(E1062="Prospecting",E1062="Engaging"),VLOOKUP(C1062,Products!$A$2:$C$8,3,FALSE),0)</f>
        <v>0</v>
      </c>
    </row>
    <row r="1063" spans="1:10" x14ac:dyDescent="0.25">
      <c r="A1063" t="s">
        <v>1230</v>
      </c>
      <c r="B1063" t="s">
        <v>224</v>
      </c>
      <c r="C1063" t="s">
        <v>122</v>
      </c>
      <c r="D1063" t="s">
        <v>19</v>
      </c>
      <c r="E1063" t="s">
        <v>138</v>
      </c>
      <c r="F1063" s="1">
        <v>42790</v>
      </c>
      <c r="G1063" s="1">
        <v>42870</v>
      </c>
      <c r="H1063">
        <v>5621</v>
      </c>
      <c r="I1063" t="str">
        <f>IF(COUNTIF(Products!$A$2:$A$8,C1063)=0,C1063,"")</f>
        <v/>
      </c>
      <c r="J1063">
        <f>IF(OR(E1063="Prospecting",E1063="Engaging"),VLOOKUP(C1063,Products!$A$2:$C$8,3,FALSE),0)</f>
        <v>0</v>
      </c>
    </row>
    <row r="1064" spans="1:10" x14ac:dyDescent="0.25">
      <c r="A1064" t="s">
        <v>1231</v>
      </c>
      <c r="B1064" t="s">
        <v>224</v>
      </c>
      <c r="C1064" t="s">
        <v>125</v>
      </c>
      <c r="D1064" t="s">
        <v>65</v>
      </c>
      <c r="E1064" t="s">
        <v>138</v>
      </c>
      <c r="F1064" s="1">
        <v>42790</v>
      </c>
      <c r="G1064" s="1">
        <v>42857</v>
      </c>
      <c r="H1064">
        <v>3233</v>
      </c>
      <c r="I1064" t="str">
        <f>IF(COUNTIF(Products!$A$2:$A$8,C1064)=0,C1064,"")</f>
        <v/>
      </c>
      <c r="J1064">
        <f>IF(OR(E1064="Prospecting",E1064="Engaging"),VLOOKUP(C1064,Products!$A$2:$C$8,3,FALSE),0)</f>
        <v>0</v>
      </c>
    </row>
    <row r="1065" spans="1:10" x14ac:dyDescent="0.25">
      <c r="A1065" t="s">
        <v>1232</v>
      </c>
      <c r="B1065" t="s">
        <v>198</v>
      </c>
      <c r="C1065" t="s">
        <v>123</v>
      </c>
      <c r="D1065" t="s">
        <v>7</v>
      </c>
      <c r="E1065" t="s">
        <v>138</v>
      </c>
      <c r="F1065" s="1">
        <v>42790</v>
      </c>
      <c r="G1065" s="1">
        <v>42883</v>
      </c>
      <c r="H1065">
        <v>55</v>
      </c>
      <c r="I1065" t="str">
        <f>IF(COUNTIF(Products!$A$2:$A$8,C1065)=0,C1065,"")</f>
        <v/>
      </c>
      <c r="J1065">
        <f>IF(OR(E1065="Prospecting",E1065="Engaging"),VLOOKUP(C1065,Products!$A$2:$C$8,3,FALSE),0)</f>
        <v>0</v>
      </c>
    </row>
    <row r="1066" spans="1:10" x14ac:dyDescent="0.25">
      <c r="A1066" t="s">
        <v>1233</v>
      </c>
      <c r="B1066" t="s">
        <v>198</v>
      </c>
      <c r="C1066" t="s">
        <v>125</v>
      </c>
      <c r="D1066" t="s">
        <v>16</v>
      </c>
      <c r="E1066" t="s">
        <v>138</v>
      </c>
      <c r="F1066" s="1">
        <v>42790</v>
      </c>
      <c r="G1066" s="1">
        <v>42801</v>
      </c>
      <c r="H1066">
        <v>3278</v>
      </c>
      <c r="I1066" t="str">
        <f>IF(COUNTIF(Products!$A$2:$A$8,C1066)=0,C1066,"")</f>
        <v/>
      </c>
      <c r="J1066">
        <f>IF(OR(E1066="Prospecting",E1066="Engaging"),VLOOKUP(C1066,Products!$A$2:$C$8,3,FALSE),0)</f>
        <v>0</v>
      </c>
    </row>
    <row r="1067" spans="1:10" x14ac:dyDescent="0.25">
      <c r="A1067" t="s">
        <v>1234</v>
      </c>
      <c r="B1067" t="s">
        <v>158</v>
      </c>
      <c r="C1067" t="s">
        <v>127</v>
      </c>
      <c r="D1067" t="s">
        <v>33</v>
      </c>
      <c r="E1067" t="s">
        <v>138</v>
      </c>
      <c r="F1067" s="1">
        <v>42790</v>
      </c>
      <c r="G1067" s="1">
        <v>42804</v>
      </c>
      <c r="H1067">
        <v>1155</v>
      </c>
      <c r="I1067" t="str">
        <f>IF(COUNTIF(Products!$A$2:$A$8,C1067)=0,C1067,"")</f>
        <v/>
      </c>
      <c r="J1067">
        <f>IF(OR(E1067="Prospecting",E1067="Engaging"),VLOOKUP(C1067,Products!$A$2:$C$8,3,FALSE),0)</f>
        <v>0</v>
      </c>
    </row>
    <row r="1068" spans="1:10" x14ac:dyDescent="0.25">
      <c r="A1068" t="s">
        <v>1235</v>
      </c>
      <c r="B1068" t="s">
        <v>164</v>
      </c>
      <c r="C1068" t="s">
        <v>125</v>
      </c>
      <c r="D1068" t="s">
        <v>56</v>
      </c>
      <c r="E1068" t="s">
        <v>138</v>
      </c>
      <c r="F1068" s="1">
        <v>42790</v>
      </c>
      <c r="G1068" s="1">
        <v>42805</v>
      </c>
      <c r="H1068">
        <v>3550</v>
      </c>
      <c r="I1068" t="str">
        <f>IF(COUNTIF(Products!$A$2:$A$8,C1068)=0,C1068,"")</f>
        <v/>
      </c>
      <c r="J1068">
        <f>IF(OR(E1068="Prospecting",E1068="Engaging"),VLOOKUP(C1068,Products!$A$2:$C$8,3,FALSE),0)</f>
        <v>0</v>
      </c>
    </row>
    <row r="1069" spans="1:10" x14ac:dyDescent="0.25">
      <c r="A1069" t="s">
        <v>1236</v>
      </c>
      <c r="B1069" t="s">
        <v>303</v>
      </c>
      <c r="C1069" t="s">
        <v>125</v>
      </c>
      <c r="D1069" t="s">
        <v>94</v>
      </c>
      <c r="E1069" t="s">
        <v>159</v>
      </c>
      <c r="F1069" s="1">
        <v>42790</v>
      </c>
      <c r="G1069" s="1">
        <v>42865</v>
      </c>
      <c r="H1069">
        <v>0</v>
      </c>
      <c r="I1069" t="str">
        <f>IF(COUNTIF(Products!$A$2:$A$8,C1069)=0,C1069,"")</f>
        <v/>
      </c>
      <c r="J1069">
        <f>IF(OR(E1069="Prospecting",E1069="Engaging"),VLOOKUP(C1069,Products!$A$2:$C$8,3,FALSE),0)</f>
        <v>0</v>
      </c>
    </row>
    <row r="1070" spans="1:10" x14ac:dyDescent="0.25">
      <c r="A1070" t="s">
        <v>1237</v>
      </c>
      <c r="B1070" t="s">
        <v>303</v>
      </c>
      <c r="C1070" t="s">
        <v>127</v>
      </c>
      <c r="D1070" t="s">
        <v>61</v>
      </c>
      <c r="E1070" t="s">
        <v>138</v>
      </c>
      <c r="F1070" s="1">
        <v>42790</v>
      </c>
      <c r="G1070" s="1">
        <v>42902</v>
      </c>
      <c r="H1070">
        <v>1055</v>
      </c>
      <c r="I1070" t="str">
        <f>IF(COUNTIF(Products!$A$2:$A$8,C1070)=0,C1070,"")</f>
        <v/>
      </c>
      <c r="J1070">
        <f>IF(OR(E1070="Prospecting",E1070="Engaging"),VLOOKUP(C1070,Products!$A$2:$C$8,3,FALSE),0)</f>
        <v>0</v>
      </c>
    </row>
    <row r="1071" spans="1:10" x14ac:dyDescent="0.25">
      <c r="A1071" t="s">
        <v>1238</v>
      </c>
      <c r="B1071" t="s">
        <v>180</v>
      </c>
      <c r="C1071" t="s">
        <v>122</v>
      </c>
      <c r="E1071" t="s">
        <v>155</v>
      </c>
      <c r="F1071" s="1">
        <v>42790</v>
      </c>
      <c r="I1071" t="str">
        <f>IF(COUNTIF(Products!$A$2:$A$8,C1071)=0,C1071,"")</f>
        <v/>
      </c>
      <c r="J1071">
        <f>IF(OR(E1071="Prospecting",E1071="Engaging"),VLOOKUP(C1071,Products!$A$2:$C$8,3,FALSE),0)</f>
        <v>4821</v>
      </c>
    </row>
    <row r="1072" spans="1:10" x14ac:dyDescent="0.25">
      <c r="A1072" t="s">
        <v>1239</v>
      </c>
      <c r="B1072" t="s">
        <v>150</v>
      </c>
      <c r="C1072" t="s">
        <v>122</v>
      </c>
      <c r="E1072" t="s">
        <v>155</v>
      </c>
      <c r="F1072" s="1">
        <v>42790</v>
      </c>
      <c r="I1072" t="str">
        <f>IF(COUNTIF(Products!$A$2:$A$8,C1072)=0,C1072,"")</f>
        <v/>
      </c>
      <c r="J1072">
        <f>IF(OR(E1072="Prospecting",E1072="Engaging"),VLOOKUP(C1072,Products!$A$2:$C$8,3,FALSE),0)</f>
        <v>4821</v>
      </c>
    </row>
    <row r="1073" spans="1:10" x14ac:dyDescent="0.25">
      <c r="A1073" t="s">
        <v>1240</v>
      </c>
      <c r="B1073" t="s">
        <v>150</v>
      </c>
      <c r="C1073" t="s">
        <v>127</v>
      </c>
      <c r="D1073" t="s">
        <v>41</v>
      </c>
      <c r="E1073" t="s">
        <v>159</v>
      </c>
      <c r="F1073" s="1">
        <v>42790</v>
      </c>
      <c r="G1073" s="1">
        <v>42906</v>
      </c>
      <c r="H1073">
        <v>0</v>
      </c>
      <c r="I1073" t="str">
        <f>IF(COUNTIF(Products!$A$2:$A$8,C1073)=0,C1073,"")</f>
        <v/>
      </c>
      <c r="J1073">
        <f>IF(OR(E1073="Prospecting",E1073="Engaging"),VLOOKUP(C1073,Products!$A$2:$C$8,3,FALSE),0)</f>
        <v>0</v>
      </c>
    </row>
    <row r="1074" spans="1:10" x14ac:dyDescent="0.25">
      <c r="A1074" t="s">
        <v>1241</v>
      </c>
      <c r="B1074" t="s">
        <v>150</v>
      </c>
      <c r="C1074" t="s">
        <v>120</v>
      </c>
      <c r="D1074" t="s">
        <v>109</v>
      </c>
      <c r="E1074" t="s">
        <v>138</v>
      </c>
      <c r="F1074" s="1">
        <v>42790</v>
      </c>
      <c r="G1074" s="1">
        <v>42860</v>
      </c>
      <c r="H1074">
        <v>595</v>
      </c>
      <c r="I1074" t="str">
        <f>IF(COUNTIF(Products!$A$2:$A$8,C1074)=0,C1074,"")</f>
        <v/>
      </c>
      <c r="J1074">
        <f>IF(OR(E1074="Prospecting",E1074="Engaging"),VLOOKUP(C1074,Products!$A$2:$C$8,3,FALSE),0)</f>
        <v>0</v>
      </c>
    </row>
    <row r="1075" spans="1:10" x14ac:dyDescent="0.25">
      <c r="A1075" t="s">
        <v>1242</v>
      </c>
      <c r="B1075" t="s">
        <v>137</v>
      </c>
      <c r="C1075" t="s">
        <v>125</v>
      </c>
      <c r="D1075" t="s">
        <v>77</v>
      </c>
      <c r="E1075" t="s">
        <v>138</v>
      </c>
      <c r="F1075" s="1">
        <v>42790</v>
      </c>
      <c r="G1075" s="1">
        <v>42861</v>
      </c>
      <c r="H1075">
        <v>3063</v>
      </c>
      <c r="I1075" t="str">
        <f>IF(COUNTIF(Products!$A$2:$A$8,C1075)=0,C1075,"")</f>
        <v/>
      </c>
      <c r="J1075">
        <f>IF(OR(E1075="Prospecting",E1075="Engaging"),VLOOKUP(C1075,Products!$A$2:$C$8,3,FALSE),0)</f>
        <v>0</v>
      </c>
    </row>
    <row r="1076" spans="1:10" x14ac:dyDescent="0.25">
      <c r="A1076" t="s">
        <v>1243</v>
      </c>
      <c r="B1076" t="s">
        <v>148</v>
      </c>
      <c r="C1076" t="s">
        <v>125</v>
      </c>
      <c r="D1076" t="s">
        <v>69</v>
      </c>
      <c r="E1076" t="s">
        <v>159</v>
      </c>
      <c r="F1076" s="1">
        <v>42790</v>
      </c>
      <c r="G1076" s="1">
        <v>42868</v>
      </c>
      <c r="H1076">
        <v>0</v>
      </c>
      <c r="I1076" t="str">
        <f>IF(COUNTIF(Products!$A$2:$A$8,C1076)=0,C1076,"")</f>
        <v/>
      </c>
      <c r="J1076">
        <f>IF(OR(E1076="Prospecting",E1076="Engaging"),VLOOKUP(C1076,Products!$A$2:$C$8,3,FALSE),0)</f>
        <v>0</v>
      </c>
    </row>
    <row r="1077" spans="1:10" x14ac:dyDescent="0.25">
      <c r="A1077" t="s">
        <v>1244</v>
      </c>
      <c r="B1077" t="s">
        <v>177</v>
      </c>
      <c r="C1077" t="s">
        <v>125</v>
      </c>
      <c r="D1077" t="s">
        <v>25</v>
      </c>
      <c r="E1077" t="s">
        <v>138</v>
      </c>
      <c r="F1077" s="1">
        <v>42790</v>
      </c>
      <c r="G1077" s="1">
        <v>42892</v>
      </c>
      <c r="H1077">
        <v>3246</v>
      </c>
      <c r="I1077" t="str">
        <f>IF(COUNTIF(Products!$A$2:$A$8,C1077)=0,C1077,"")</f>
        <v/>
      </c>
      <c r="J1077">
        <f>IF(OR(E1077="Prospecting",E1077="Engaging"),VLOOKUP(C1077,Products!$A$2:$C$8,3,FALSE),0)</f>
        <v>0</v>
      </c>
    </row>
    <row r="1078" spans="1:10" x14ac:dyDescent="0.25">
      <c r="A1078" t="s">
        <v>1245</v>
      </c>
      <c r="B1078" t="s">
        <v>146</v>
      </c>
      <c r="C1078" t="s">
        <v>120</v>
      </c>
      <c r="D1078" t="s">
        <v>91</v>
      </c>
      <c r="E1078" t="s">
        <v>138</v>
      </c>
      <c r="F1078" s="1">
        <v>42791</v>
      </c>
      <c r="G1078" s="1">
        <v>42796</v>
      </c>
      <c r="H1078">
        <v>423</v>
      </c>
      <c r="I1078" t="str">
        <f>IF(COUNTIF(Products!$A$2:$A$8,C1078)=0,C1078,"")</f>
        <v/>
      </c>
      <c r="J1078">
        <f>IF(OR(E1078="Prospecting",E1078="Engaging"),VLOOKUP(C1078,Products!$A$2:$C$8,3,FALSE),0)</f>
        <v>0</v>
      </c>
    </row>
    <row r="1079" spans="1:10" x14ac:dyDescent="0.25">
      <c r="A1079" t="s">
        <v>1246</v>
      </c>
      <c r="B1079" t="s">
        <v>222</v>
      </c>
      <c r="C1079" t="s">
        <v>126</v>
      </c>
      <c r="E1079" t="s">
        <v>155</v>
      </c>
      <c r="F1079" s="1">
        <v>42791</v>
      </c>
      <c r="I1079" t="str">
        <f>IF(COUNTIF(Products!$A$2:$A$8,C1079)=0,C1079,"")</f>
        <v/>
      </c>
      <c r="J1079">
        <f>IF(OR(E1079="Prospecting",E1079="Engaging"),VLOOKUP(C1079,Products!$A$2:$C$8,3,FALSE),0)</f>
        <v>5482</v>
      </c>
    </row>
    <row r="1080" spans="1:10" x14ac:dyDescent="0.25">
      <c r="A1080" t="s">
        <v>1247</v>
      </c>
      <c r="B1080" t="s">
        <v>207</v>
      </c>
      <c r="C1080" t="s">
        <v>120</v>
      </c>
      <c r="D1080" t="s">
        <v>63</v>
      </c>
      <c r="E1080" t="s">
        <v>138</v>
      </c>
      <c r="F1080" s="1">
        <v>42791</v>
      </c>
      <c r="G1080" s="1">
        <v>42904</v>
      </c>
      <c r="H1080">
        <v>542</v>
      </c>
      <c r="I1080" t="str">
        <f>IF(COUNTIF(Products!$A$2:$A$8,C1080)=0,C1080,"")</f>
        <v/>
      </c>
      <c r="J1080">
        <f>IF(OR(E1080="Prospecting",E1080="Engaging"),VLOOKUP(C1080,Products!$A$2:$C$8,3,FALSE),0)</f>
        <v>0</v>
      </c>
    </row>
    <row r="1081" spans="1:10" x14ac:dyDescent="0.25">
      <c r="A1081" t="s">
        <v>1248</v>
      </c>
      <c r="B1081" t="s">
        <v>207</v>
      </c>
      <c r="C1081" t="s">
        <v>122</v>
      </c>
      <c r="D1081" t="s">
        <v>80</v>
      </c>
      <c r="E1081" t="s">
        <v>138</v>
      </c>
      <c r="F1081" s="1">
        <v>42791</v>
      </c>
      <c r="G1081" s="1">
        <v>42802</v>
      </c>
      <c r="H1081">
        <v>5040</v>
      </c>
      <c r="I1081" t="str">
        <f>IF(COUNTIF(Products!$A$2:$A$8,C1081)=0,C1081,"")</f>
        <v/>
      </c>
      <c r="J1081">
        <f>IF(OR(E1081="Prospecting",E1081="Engaging"),VLOOKUP(C1081,Products!$A$2:$C$8,3,FALSE),0)</f>
        <v>0</v>
      </c>
    </row>
    <row r="1082" spans="1:10" x14ac:dyDescent="0.25">
      <c r="A1082" t="s">
        <v>1249</v>
      </c>
      <c r="B1082" t="s">
        <v>239</v>
      </c>
      <c r="C1082" t="s">
        <v>127</v>
      </c>
      <c r="D1082" t="s">
        <v>67</v>
      </c>
      <c r="E1082" t="s">
        <v>159</v>
      </c>
      <c r="F1082" s="1">
        <v>42791</v>
      </c>
      <c r="G1082" s="1">
        <v>42876</v>
      </c>
      <c r="H1082">
        <v>0</v>
      </c>
      <c r="I1082" t="str">
        <f>IF(COUNTIF(Products!$A$2:$A$8,C1082)=0,C1082,"")</f>
        <v/>
      </c>
      <c r="J1082">
        <f>IF(OR(E1082="Prospecting",E1082="Engaging"),VLOOKUP(C1082,Products!$A$2:$C$8,3,FALSE),0)</f>
        <v>0</v>
      </c>
    </row>
    <row r="1083" spans="1:10" x14ac:dyDescent="0.25">
      <c r="A1083" t="s">
        <v>1250</v>
      </c>
      <c r="B1083" t="s">
        <v>140</v>
      </c>
      <c r="C1083" t="s">
        <v>126</v>
      </c>
      <c r="D1083" t="s">
        <v>85</v>
      </c>
      <c r="E1083" t="s">
        <v>159</v>
      </c>
      <c r="F1083" s="1">
        <v>42791</v>
      </c>
      <c r="G1083" s="1">
        <v>42903</v>
      </c>
      <c r="H1083">
        <v>0</v>
      </c>
      <c r="I1083" t="str">
        <f>IF(COUNTIF(Products!$A$2:$A$8,C1083)=0,C1083,"")</f>
        <v/>
      </c>
      <c r="J1083">
        <f>IF(OR(E1083="Prospecting",E1083="Engaging"),VLOOKUP(C1083,Products!$A$2:$C$8,3,FALSE),0)</f>
        <v>0</v>
      </c>
    </row>
    <row r="1084" spans="1:10" x14ac:dyDescent="0.25">
      <c r="A1084" t="s">
        <v>1251</v>
      </c>
      <c r="B1084" t="s">
        <v>140</v>
      </c>
      <c r="C1084" t="s">
        <v>122</v>
      </c>
      <c r="D1084" t="s">
        <v>95</v>
      </c>
      <c r="E1084" t="s">
        <v>138</v>
      </c>
      <c r="F1084" s="1">
        <v>42791</v>
      </c>
      <c r="G1084" s="1">
        <v>42864</v>
      </c>
      <c r="H1084">
        <v>5423</v>
      </c>
      <c r="I1084" t="str">
        <f>IF(COUNTIF(Products!$A$2:$A$8,C1084)=0,C1084,"")</f>
        <v/>
      </c>
      <c r="J1084">
        <f>IF(OR(E1084="Prospecting",E1084="Engaging"),VLOOKUP(C1084,Products!$A$2:$C$8,3,FALSE),0)</f>
        <v>0</v>
      </c>
    </row>
    <row r="1085" spans="1:10" x14ac:dyDescent="0.25">
      <c r="A1085" t="s">
        <v>1252</v>
      </c>
      <c r="B1085" t="s">
        <v>140</v>
      </c>
      <c r="C1085" t="s">
        <v>125</v>
      </c>
      <c r="D1085" t="s">
        <v>22</v>
      </c>
      <c r="E1085" t="s">
        <v>138</v>
      </c>
      <c r="F1085" s="1">
        <v>42791</v>
      </c>
      <c r="G1085" s="1">
        <v>42899</v>
      </c>
      <c r="H1085">
        <v>3295</v>
      </c>
      <c r="I1085" t="str">
        <f>IF(COUNTIF(Products!$A$2:$A$8,C1085)=0,C1085,"")</f>
        <v/>
      </c>
      <c r="J1085">
        <f>IF(OR(E1085="Prospecting",E1085="Engaging"),VLOOKUP(C1085,Products!$A$2:$C$8,3,FALSE),0)</f>
        <v>0</v>
      </c>
    </row>
    <row r="1086" spans="1:10" x14ac:dyDescent="0.25">
      <c r="A1086" t="s">
        <v>1253</v>
      </c>
      <c r="B1086" t="s">
        <v>224</v>
      </c>
      <c r="C1086" t="s">
        <v>120</v>
      </c>
      <c r="D1086" t="s">
        <v>84</v>
      </c>
      <c r="E1086" t="s">
        <v>138</v>
      </c>
      <c r="F1086" s="1">
        <v>42791</v>
      </c>
      <c r="G1086" s="1">
        <v>42888</v>
      </c>
      <c r="H1086">
        <v>568</v>
      </c>
      <c r="I1086" t="str">
        <f>IF(COUNTIF(Products!$A$2:$A$8,C1086)=0,C1086,"")</f>
        <v/>
      </c>
      <c r="J1086">
        <f>IF(OR(E1086="Prospecting",E1086="Engaging"),VLOOKUP(C1086,Products!$A$2:$C$8,3,FALSE),0)</f>
        <v>0</v>
      </c>
    </row>
    <row r="1087" spans="1:10" x14ac:dyDescent="0.25">
      <c r="A1087" t="s">
        <v>1254</v>
      </c>
      <c r="B1087" t="s">
        <v>224</v>
      </c>
      <c r="C1087" t="s">
        <v>120</v>
      </c>
      <c r="D1087" t="s">
        <v>108</v>
      </c>
      <c r="E1087" t="s">
        <v>138</v>
      </c>
      <c r="F1087" s="1">
        <v>42791</v>
      </c>
      <c r="G1087" s="1">
        <v>42881</v>
      </c>
      <c r="H1087">
        <v>640</v>
      </c>
      <c r="I1087" t="str">
        <f>IF(COUNTIF(Products!$A$2:$A$8,C1087)=0,C1087,"")</f>
        <v/>
      </c>
      <c r="J1087">
        <f>IF(OR(E1087="Prospecting",E1087="Engaging"),VLOOKUP(C1087,Products!$A$2:$C$8,3,FALSE),0)</f>
        <v>0</v>
      </c>
    </row>
    <row r="1088" spans="1:10" x14ac:dyDescent="0.25">
      <c r="A1088" t="s">
        <v>1255</v>
      </c>
      <c r="B1088" t="s">
        <v>173</v>
      </c>
      <c r="C1088" t="s">
        <v>122</v>
      </c>
      <c r="D1088" t="s">
        <v>83</v>
      </c>
      <c r="E1088" t="s">
        <v>138</v>
      </c>
      <c r="F1088" s="1">
        <v>42791</v>
      </c>
      <c r="G1088" s="1">
        <v>42874</v>
      </c>
      <c r="H1088">
        <v>4612</v>
      </c>
      <c r="I1088" t="str">
        <f>IF(COUNTIF(Products!$A$2:$A$8,C1088)=0,C1088,"")</f>
        <v/>
      </c>
      <c r="J1088">
        <f>IF(OR(E1088="Prospecting",E1088="Engaging"),VLOOKUP(C1088,Products!$A$2:$C$8,3,FALSE),0)</f>
        <v>0</v>
      </c>
    </row>
    <row r="1089" spans="1:10" x14ac:dyDescent="0.25">
      <c r="A1089" t="s">
        <v>1256</v>
      </c>
      <c r="B1089" t="s">
        <v>158</v>
      </c>
      <c r="C1089" t="s">
        <v>122</v>
      </c>
      <c r="D1089" t="s">
        <v>33</v>
      </c>
      <c r="E1089" t="s">
        <v>159</v>
      </c>
      <c r="F1089" s="1">
        <v>42791</v>
      </c>
      <c r="G1089" s="1">
        <v>42881</v>
      </c>
      <c r="H1089">
        <v>0</v>
      </c>
      <c r="I1089" t="str">
        <f>IF(COUNTIF(Products!$A$2:$A$8,C1089)=0,C1089,"")</f>
        <v/>
      </c>
      <c r="J1089">
        <f>IF(OR(E1089="Prospecting",E1089="Engaging"),VLOOKUP(C1089,Products!$A$2:$C$8,3,FALSE),0)</f>
        <v>0</v>
      </c>
    </row>
    <row r="1090" spans="1:10" x14ac:dyDescent="0.25">
      <c r="A1090" t="s">
        <v>1257</v>
      </c>
      <c r="B1090" t="s">
        <v>154</v>
      </c>
      <c r="C1090" t="s">
        <v>126</v>
      </c>
      <c r="E1090" t="s">
        <v>155</v>
      </c>
      <c r="F1090" s="1">
        <v>42791</v>
      </c>
      <c r="I1090" t="str">
        <f>IF(COUNTIF(Products!$A$2:$A$8,C1090)=0,C1090,"")</f>
        <v/>
      </c>
      <c r="J1090">
        <f>IF(OR(E1090="Prospecting",E1090="Engaging"),VLOOKUP(C1090,Products!$A$2:$C$8,3,FALSE),0)</f>
        <v>5482</v>
      </c>
    </row>
    <row r="1091" spans="1:10" x14ac:dyDescent="0.25">
      <c r="A1091" t="s">
        <v>1258</v>
      </c>
      <c r="B1091" t="s">
        <v>154</v>
      </c>
      <c r="C1091" t="s">
        <v>127</v>
      </c>
      <c r="D1091" t="s">
        <v>56</v>
      </c>
      <c r="E1091" t="s">
        <v>159</v>
      </c>
      <c r="F1091" s="1">
        <v>42791</v>
      </c>
      <c r="G1091" s="1">
        <v>42881</v>
      </c>
      <c r="H1091">
        <v>0</v>
      </c>
      <c r="I1091" t="str">
        <f>IF(COUNTIF(Products!$A$2:$A$8,C1091)=0,C1091,"")</f>
        <v/>
      </c>
      <c r="J1091">
        <f>IF(OR(E1091="Prospecting",E1091="Engaging"),VLOOKUP(C1091,Products!$A$2:$C$8,3,FALSE),0)</f>
        <v>0</v>
      </c>
    </row>
    <row r="1092" spans="1:10" x14ac:dyDescent="0.25">
      <c r="A1092" t="s">
        <v>1259</v>
      </c>
      <c r="B1092" t="s">
        <v>303</v>
      </c>
      <c r="C1092" t="s">
        <v>125</v>
      </c>
      <c r="D1092" t="s">
        <v>36</v>
      </c>
      <c r="E1092" t="s">
        <v>138</v>
      </c>
      <c r="F1092" s="1">
        <v>42791</v>
      </c>
      <c r="G1092" s="1">
        <v>42861</v>
      </c>
      <c r="H1092">
        <v>3281</v>
      </c>
      <c r="I1092" t="str">
        <f>IF(COUNTIF(Products!$A$2:$A$8,C1092)=0,C1092,"")</f>
        <v/>
      </c>
      <c r="J1092">
        <f>IF(OR(E1092="Prospecting",E1092="Engaging"),VLOOKUP(C1092,Products!$A$2:$C$8,3,FALSE),0)</f>
        <v>0</v>
      </c>
    </row>
    <row r="1093" spans="1:10" x14ac:dyDescent="0.25">
      <c r="A1093" t="s">
        <v>1260</v>
      </c>
      <c r="B1093" t="s">
        <v>180</v>
      </c>
      <c r="C1093" t="s">
        <v>120</v>
      </c>
      <c r="D1093" t="s">
        <v>44</v>
      </c>
      <c r="E1093" t="s">
        <v>159</v>
      </c>
      <c r="F1093" s="1">
        <v>42791</v>
      </c>
      <c r="G1093" s="1">
        <v>42806</v>
      </c>
      <c r="H1093">
        <v>0</v>
      </c>
      <c r="I1093" t="str">
        <f>IF(COUNTIF(Products!$A$2:$A$8,C1093)=0,C1093,"")</f>
        <v/>
      </c>
      <c r="J1093">
        <f>IF(OR(E1093="Prospecting",E1093="Engaging"),VLOOKUP(C1093,Products!$A$2:$C$8,3,FALSE),0)</f>
        <v>0</v>
      </c>
    </row>
    <row r="1094" spans="1:10" x14ac:dyDescent="0.25">
      <c r="A1094" t="s">
        <v>1261</v>
      </c>
      <c r="B1094" t="s">
        <v>180</v>
      </c>
      <c r="C1094" t="s">
        <v>127</v>
      </c>
      <c r="D1094" t="s">
        <v>71</v>
      </c>
      <c r="E1094" t="s">
        <v>159</v>
      </c>
      <c r="F1094" s="1">
        <v>42791</v>
      </c>
      <c r="G1094" s="1">
        <v>42802</v>
      </c>
      <c r="H1094">
        <v>0</v>
      </c>
      <c r="I1094" t="str">
        <f>IF(COUNTIF(Products!$A$2:$A$8,C1094)=0,C1094,"")</f>
        <v/>
      </c>
      <c r="J1094">
        <f>IF(OR(E1094="Prospecting",E1094="Engaging"),VLOOKUP(C1094,Products!$A$2:$C$8,3,FALSE),0)</f>
        <v>0</v>
      </c>
    </row>
    <row r="1095" spans="1:10" x14ac:dyDescent="0.25">
      <c r="A1095" t="s">
        <v>1262</v>
      </c>
      <c r="B1095" t="s">
        <v>180</v>
      </c>
      <c r="C1095" t="s">
        <v>123</v>
      </c>
      <c r="D1095" t="s">
        <v>87</v>
      </c>
      <c r="E1095" t="s">
        <v>138</v>
      </c>
      <c r="F1095" s="1">
        <v>42791</v>
      </c>
      <c r="G1095" s="1">
        <v>42805</v>
      </c>
      <c r="H1095">
        <v>59</v>
      </c>
      <c r="I1095" t="str">
        <f>IF(COUNTIF(Products!$A$2:$A$8,C1095)=0,C1095,"")</f>
        <v/>
      </c>
      <c r="J1095">
        <f>IF(OR(E1095="Prospecting",E1095="Engaging"),VLOOKUP(C1095,Products!$A$2:$C$8,3,FALSE),0)</f>
        <v>0</v>
      </c>
    </row>
    <row r="1096" spans="1:10" x14ac:dyDescent="0.25">
      <c r="A1096" t="s">
        <v>1263</v>
      </c>
      <c r="B1096" t="s">
        <v>205</v>
      </c>
      <c r="C1096" t="s">
        <v>127</v>
      </c>
      <c r="D1096" t="s">
        <v>91</v>
      </c>
      <c r="E1096" t="s">
        <v>138</v>
      </c>
      <c r="F1096" s="1">
        <v>42791</v>
      </c>
      <c r="G1096" s="1">
        <v>42916</v>
      </c>
      <c r="H1096">
        <v>1081</v>
      </c>
      <c r="I1096" t="str">
        <f>IF(COUNTIF(Products!$A$2:$A$8,C1096)=0,C1096,"")</f>
        <v/>
      </c>
      <c r="J1096">
        <f>IF(OR(E1096="Prospecting",E1096="Engaging"),VLOOKUP(C1096,Products!$A$2:$C$8,3,FALSE),0)</f>
        <v>0</v>
      </c>
    </row>
    <row r="1097" spans="1:10" x14ac:dyDescent="0.25">
      <c r="A1097" t="s">
        <v>1264</v>
      </c>
      <c r="B1097" t="s">
        <v>205</v>
      </c>
      <c r="C1097" t="s">
        <v>127</v>
      </c>
      <c r="D1097" t="s">
        <v>116</v>
      </c>
      <c r="E1097" t="s">
        <v>138</v>
      </c>
      <c r="F1097" s="1">
        <v>42791</v>
      </c>
      <c r="G1097" s="1">
        <v>42864</v>
      </c>
      <c r="H1097">
        <v>962</v>
      </c>
      <c r="I1097" t="str">
        <f>IF(COUNTIF(Products!$A$2:$A$8,C1097)=0,C1097,"")</f>
        <v/>
      </c>
      <c r="J1097">
        <f>IF(OR(E1097="Prospecting",E1097="Engaging"),VLOOKUP(C1097,Products!$A$2:$C$8,3,FALSE),0)</f>
        <v>0</v>
      </c>
    </row>
    <row r="1098" spans="1:10" x14ac:dyDescent="0.25">
      <c r="A1098" t="s">
        <v>1265</v>
      </c>
      <c r="B1098" t="s">
        <v>152</v>
      </c>
      <c r="C1098" t="s">
        <v>127</v>
      </c>
      <c r="D1098" t="s">
        <v>26</v>
      </c>
      <c r="E1098" t="s">
        <v>138</v>
      </c>
      <c r="F1098" s="1">
        <v>42791</v>
      </c>
      <c r="G1098" s="1">
        <v>42800</v>
      </c>
      <c r="H1098">
        <v>1123</v>
      </c>
      <c r="I1098" t="str">
        <f>IF(COUNTIF(Products!$A$2:$A$8,C1098)=0,C1098,"")</f>
        <v/>
      </c>
      <c r="J1098">
        <f>IF(OR(E1098="Prospecting",E1098="Engaging"),VLOOKUP(C1098,Products!$A$2:$C$8,3,FALSE),0)</f>
        <v>0</v>
      </c>
    </row>
    <row r="1099" spans="1:10" x14ac:dyDescent="0.25">
      <c r="A1099" t="s">
        <v>1266</v>
      </c>
      <c r="B1099" t="s">
        <v>193</v>
      </c>
      <c r="C1099" t="s">
        <v>125</v>
      </c>
      <c r="D1099" t="s">
        <v>108</v>
      </c>
      <c r="E1099" t="s">
        <v>138</v>
      </c>
      <c r="F1099" s="1">
        <v>42791</v>
      </c>
      <c r="G1099" s="1">
        <v>42896</v>
      </c>
      <c r="H1099">
        <v>3075</v>
      </c>
      <c r="I1099" t="str">
        <f>IF(COUNTIF(Products!$A$2:$A$8,C1099)=0,C1099,"")</f>
        <v/>
      </c>
      <c r="J1099">
        <f>IF(OR(E1099="Prospecting",E1099="Engaging"),VLOOKUP(C1099,Products!$A$2:$C$8,3,FALSE),0)</f>
        <v>0</v>
      </c>
    </row>
    <row r="1100" spans="1:10" x14ac:dyDescent="0.25">
      <c r="A1100" t="s">
        <v>1267</v>
      </c>
      <c r="B1100" t="s">
        <v>166</v>
      </c>
      <c r="C1100" t="s">
        <v>123</v>
      </c>
      <c r="D1100" t="s">
        <v>27</v>
      </c>
      <c r="E1100" t="s">
        <v>138</v>
      </c>
      <c r="F1100" s="1">
        <v>42791</v>
      </c>
      <c r="G1100" s="1">
        <v>42864</v>
      </c>
      <c r="H1100">
        <v>50</v>
      </c>
      <c r="I1100" t="str">
        <f>IF(COUNTIF(Products!$A$2:$A$8,C1100)=0,C1100,"")</f>
        <v/>
      </c>
      <c r="J1100">
        <f>IF(OR(E1100="Prospecting",E1100="Engaging"),VLOOKUP(C1100,Products!$A$2:$C$8,3,FALSE),0)</f>
        <v>0</v>
      </c>
    </row>
    <row r="1101" spans="1:10" x14ac:dyDescent="0.25">
      <c r="A1101" t="s">
        <v>1268</v>
      </c>
      <c r="B1101" t="s">
        <v>166</v>
      </c>
      <c r="C1101" t="s">
        <v>123</v>
      </c>
      <c r="D1101" t="s">
        <v>29</v>
      </c>
      <c r="E1101" t="s">
        <v>138</v>
      </c>
      <c r="F1101" s="1">
        <v>42791</v>
      </c>
      <c r="G1101" s="1">
        <v>42800</v>
      </c>
      <c r="H1101">
        <v>47</v>
      </c>
      <c r="I1101" t="str">
        <f>IF(COUNTIF(Products!$A$2:$A$8,C1101)=0,C1101,"")</f>
        <v/>
      </c>
      <c r="J1101">
        <f>IF(OR(E1101="Prospecting",E1101="Engaging"),VLOOKUP(C1101,Products!$A$2:$C$8,3,FALSE),0)</f>
        <v>0</v>
      </c>
    </row>
    <row r="1102" spans="1:10" x14ac:dyDescent="0.25">
      <c r="A1102" t="s">
        <v>1269</v>
      </c>
      <c r="B1102" t="s">
        <v>169</v>
      </c>
      <c r="C1102" t="s">
        <v>123</v>
      </c>
      <c r="D1102" t="s">
        <v>53</v>
      </c>
      <c r="E1102" t="s">
        <v>159</v>
      </c>
      <c r="F1102" s="1">
        <v>42791</v>
      </c>
      <c r="G1102" s="1">
        <v>42802</v>
      </c>
      <c r="H1102">
        <v>0</v>
      </c>
      <c r="I1102" t="str">
        <f>IF(COUNTIF(Products!$A$2:$A$8,C1102)=0,C1102,"")</f>
        <v/>
      </c>
      <c r="J1102">
        <f>IF(OR(E1102="Prospecting",E1102="Engaging"),VLOOKUP(C1102,Products!$A$2:$C$8,3,FALSE),0)</f>
        <v>0</v>
      </c>
    </row>
    <row r="1103" spans="1:10" x14ac:dyDescent="0.25">
      <c r="A1103" t="s">
        <v>1270</v>
      </c>
      <c r="B1103" t="s">
        <v>169</v>
      </c>
      <c r="C1103" t="s">
        <v>126</v>
      </c>
      <c r="D1103" t="s">
        <v>12</v>
      </c>
      <c r="E1103" t="s">
        <v>138</v>
      </c>
      <c r="F1103" s="1">
        <v>42791</v>
      </c>
      <c r="G1103" s="1">
        <v>42872</v>
      </c>
      <c r="H1103">
        <v>4494</v>
      </c>
      <c r="I1103" t="str">
        <f>IF(COUNTIF(Products!$A$2:$A$8,C1103)=0,C1103,"")</f>
        <v/>
      </c>
      <c r="J1103">
        <f>IF(OR(E1103="Prospecting",E1103="Engaging"),VLOOKUP(C1103,Products!$A$2:$C$8,3,FALSE),0)</f>
        <v>0</v>
      </c>
    </row>
    <row r="1104" spans="1:10" x14ac:dyDescent="0.25">
      <c r="A1104" t="s">
        <v>1271</v>
      </c>
      <c r="B1104" t="s">
        <v>148</v>
      </c>
      <c r="C1104" t="s">
        <v>123</v>
      </c>
      <c r="D1104" t="s">
        <v>61</v>
      </c>
      <c r="E1104" t="s">
        <v>159</v>
      </c>
      <c r="F1104" s="1">
        <v>42791</v>
      </c>
      <c r="G1104" s="1">
        <v>42861</v>
      </c>
      <c r="H1104">
        <v>0</v>
      </c>
      <c r="I1104" t="str">
        <f>IF(COUNTIF(Products!$A$2:$A$8,C1104)=0,C1104,"")</f>
        <v/>
      </c>
      <c r="J1104">
        <f>IF(OR(E1104="Prospecting",E1104="Engaging"),VLOOKUP(C1104,Products!$A$2:$C$8,3,FALSE),0)</f>
        <v>0</v>
      </c>
    </row>
    <row r="1105" spans="1:10" x14ac:dyDescent="0.25">
      <c r="A1105" t="s">
        <v>1272</v>
      </c>
      <c r="B1105" t="s">
        <v>148</v>
      </c>
      <c r="C1105" t="s">
        <v>123</v>
      </c>
      <c r="D1105" t="s">
        <v>93</v>
      </c>
      <c r="E1105" t="s">
        <v>138</v>
      </c>
      <c r="F1105" s="1">
        <v>42791</v>
      </c>
      <c r="G1105" s="1">
        <v>42805</v>
      </c>
      <c r="H1105">
        <v>61</v>
      </c>
      <c r="I1105" t="str">
        <f>IF(COUNTIF(Products!$A$2:$A$8,C1105)=0,C1105,"")</f>
        <v/>
      </c>
      <c r="J1105">
        <f>IF(OR(E1105="Prospecting",E1105="Engaging"),VLOOKUP(C1105,Products!$A$2:$C$8,3,FALSE),0)</f>
        <v>0</v>
      </c>
    </row>
    <row r="1106" spans="1:10" x14ac:dyDescent="0.25">
      <c r="A1106" t="s">
        <v>1273</v>
      </c>
      <c r="B1106" t="s">
        <v>148</v>
      </c>
      <c r="C1106" t="s">
        <v>125</v>
      </c>
      <c r="D1106" t="s">
        <v>56</v>
      </c>
      <c r="E1106" t="s">
        <v>138</v>
      </c>
      <c r="F1106" s="1">
        <v>42791</v>
      </c>
      <c r="G1106" s="1">
        <v>42868</v>
      </c>
      <c r="H1106">
        <v>3418</v>
      </c>
      <c r="I1106" t="str">
        <f>IF(COUNTIF(Products!$A$2:$A$8,C1106)=0,C1106,"")</f>
        <v/>
      </c>
      <c r="J1106">
        <f>IF(OR(E1106="Prospecting",E1106="Engaging"),VLOOKUP(C1106,Products!$A$2:$C$8,3,FALSE),0)</f>
        <v>0</v>
      </c>
    </row>
    <row r="1107" spans="1:10" x14ac:dyDescent="0.25">
      <c r="A1107" t="s">
        <v>1274</v>
      </c>
      <c r="B1107" t="s">
        <v>177</v>
      </c>
      <c r="C1107" t="s">
        <v>125</v>
      </c>
      <c r="E1107" t="s">
        <v>155</v>
      </c>
      <c r="F1107" s="1">
        <v>42791</v>
      </c>
      <c r="I1107" t="str">
        <f>IF(COUNTIF(Products!$A$2:$A$8,C1107)=0,C1107,"")</f>
        <v/>
      </c>
      <c r="J1107">
        <f>IF(OR(E1107="Prospecting",E1107="Engaging"),VLOOKUP(C1107,Products!$A$2:$C$8,3,FALSE),0)</f>
        <v>3393</v>
      </c>
    </row>
    <row r="1108" spans="1:10" x14ac:dyDescent="0.25">
      <c r="A1108" t="s">
        <v>1275</v>
      </c>
      <c r="B1108" t="s">
        <v>196</v>
      </c>
      <c r="C1108" t="s">
        <v>126</v>
      </c>
      <c r="E1108" t="s">
        <v>155</v>
      </c>
      <c r="F1108" s="1">
        <v>42791</v>
      </c>
      <c r="I1108" t="str">
        <f>IF(COUNTIF(Products!$A$2:$A$8,C1108)=0,C1108,"")</f>
        <v/>
      </c>
      <c r="J1108">
        <f>IF(OR(E1108="Prospecting",E1108="Engaging"),VLOOKUP(C1108,Products!$A$2:$C$8,3,FALSE),0)</f>
        <v>5482</v>
      </c>
    </row>
    <row r="1109" spans="1:10" x14ac:dyDescent="0.25">
      <c r="A1109" t="s">
        <v>1276</v>
      </c>
      <c r="B1109" t="s">
        <v>196</v>
      </c>
      <c r="C1109" t="s">
        <v>125</v>
      </c>
      <c r="D1109" t="s">
        <v>69</v>
      </c>
      <c r="E1109" t="s">
        <v>138</v>
      </c>
      <c r="F1109" s="1">
        <v>42791</v>
      </c>
      <c r="G1109" s="1">
        <v>42888</v>
      </c>
      <c r="H1109">
        <v>3336</v>
      </c>
      <c r="I1109" t="str">
        <f>IF(COUNTIF(Products!$A$2:$A$8,C1109)=0,C1109,"")</f>
        <v/>
      </c>
      <c r="J1109">
        <f>IF(OR(E1109="Prospecting",E1109="Engaging"),VLOOKUP(C1109,Products!$A$2:$C$8,3,FALSE),0)</f>
        <v>0</v>
      </c>
    </row>
    <row r="1110" spans="1:10" x14ac:dyDescent="0.25">
      <c r="A1110" t="s">
        <v>1277</v>
      </c>
      <c r="B1110" t="s">
        <v>144</v>
      </c>
      <c r="C1110" t="s">
        <v>127</v>
      </c>
      <c r="E1110" t="s">
        <v>155</v>
      </c>
      <c r="F1110" s="1">
        <v>42791</v>
      </c>
      <c r="I1110" t="str">
        <f>IF(COUNTIF(Products!$A$2:$A$8,C1110)=0,C1110,"")</f>
        <v/>
      </c>
      <c r="J1110">
        <f>IF(OR(E1110="Prospecting",E1110="Engaging"),VLOOKUP(C1110,Products!$A$2:$C$8,3,FALSE),0)</f>
        <v>1096</v>
      </c>
    </row>
    <row r="1111" spans="1:10" x14ac:dyDescent="0.25">
      <c r="A1111" t="s">
        <v>1278</v>
      </c>
      <c r="B1111" t="s">
        <v>146</v>
      </c>
      <c r="C1111" t="s">
        <v>120</v>
      </c>
      <c r="D1111" t="s">
        <v>12</v>
      </c>
      <c r="E1111" t="s">
        <v>159</v>
      </c>
      <c r="F1111" s="1">
        <v>42792</v>
      </c>
      <c r="G1111" s="1">
        <v>42810</v>
      </c>
      <c r="H1111">
        <v>0</v>
      </c>
      <c r="I1111" t="str">
        <f>IF(COUNTIF(Products!$A$2:$A$8,C1111)=0,C1111,"")</f>
        <v/>
      </c>
      <c r="J1111">
        <f>IF(OR(E1111="Prospecting",E1111="Engaging"),VLOOKUP(C1111,Products!$A$2:$C$8,3,FALSE),0)</f>
        <v>0</v>
      </c>
    </row>
    <row r="1112" spans="1:10" x14ac:dyDescent="0.25">
      <c r="A1112" t="s">
        <v>1279</v>
      </c>
      <c r="B1112" t="s">
        <v>222</v>
      </c>
      <c r="C1112" t="s">
        <v>126</v>
      </c>
      <c r="D1112" t="s">
        <v>73</v>
      </c>
      <c r="E1112" t="s">
        <v>138</v>
      </c>
      <c r="F1112" s="1">
        <v>42792</v>
      </c>
      <c r="G1112" s="1">
        <v>42807</v>
      </c>
      <c r="H1112">
        <v>4766</v>
      </c>
      <c r="I1112" t="str">
        <f>IF(COUNTIF(Products!$A$2:$A$8,C1112)=0,C1112,"")</f>
        <v/>
      </c>
      <c r="J1112">
        <f>IF(OR(E1112="Prospecting",E1112="Engaging"),VLOOKUP(C1112,Products!$A$2:$C$8,3,FALSE),0)</f>
        <v>0</v>
      </c>
    </row>
    <row r="1113" spans="1:10" x14ac:dyDescent="0.25">
      <c r="A1113" t="s">
        <v>1280</v>
      </c>
      <c r="B1113" t="s">
        <v>239</v>
      </c>
      <c r="C1113" t="s">
        <v>125</v>
      </c>
      <c r="D1113" t="s">
        <v>84</v>
      </c>
      <c r="E1113" t="s">
        <v>159</v>
      </c>
      <c r="F1113" s="1">
        <v>42792</v>
      </c>
      <c r="G1113" s="1">
        <v>42896</v>
      </c>
      <c r="H1113">
        <v>0</v>
      </c>
      <c r="I1113" t="str">
        <f>IF(COUNTIF(Products!$A$2:$A$8,C1113)=0,C1113,"")</f>
        <v/>
      </c>
      <c r="J1113">
        <f>IF(OR(E1113="Prospecting",E1113="Engaging"),VLOOKUP(C1113,Products!$A$2:$C$8,3,FALSE),0)</f>
        <v>0</v>
      </c>
    </row>
    <row r="1114" spans="1:10" x14ac:dyDescent="0.25">
      <c r="A1114" t="s">
        <v>1281</v>
      </c>
      <c r="B1114" t="s">
        <v>171</v>
      </c>
      <c r="C1114" t="s">
        <v>120</v>
      </c>
      <c r="D1114" t="s">
        <v>48</v>
      </c>
      <c r="E1114" t="s">
        <v>138</v>
      </c>
      <c r="F1114" s="1">
        <v>42792</v>
      </c>
      <c r="G1114" s="1">
        <v>42882</v>
      </c>
      <c r="H1114">
        <v>592</v>
      </c>
      <c r="I1114" t="str">
        <f>IF(COUNTIF(Products!$A$2:$A$8,C1114)=0,C1114,"")</f>
        <v/>
      </c>
      <c r="J1114">
        <f>IF(OR(E1114="Prospecting",E1114="Engaging"),VLOOKUP(C1114,Products!$A$2:$C$8,3,FALSE),0)</f>
        <v>0</v>
      </c>
    </row>
    <row r="1115" spans="1:10" x14ac:dyDescent="0.25">
      <c r="A1115" t="s">
        <v>1282</v>
      </c>
      <c r="B1115" t="s">
        <v>224</v>
      </c>
      <c r="C1115" t="s">
        <v>120</v>
      </c>
      <c r="D1115" t="s">
        <v>65</v>
      </c>
      <c r="E1115" t="s">
        <v>159</v>
      </c>
      <c r="F1115" s="1">
        <v>42792</v>
      </c>
      <c r="G1115" s="1">
        <v>42887</v>
      </c>
      <c r="H1115">
        <v>0</v>
      </c>
      <c r="I1115" t="str">
        <f>IF(COUNTIF(Products!$A$2:$A$8,C1115)=0,C1115,"")</f>
        <v/>
      </c>
      <c r="J1115">
        <f>IF(OR(E1115="Prospecting",E1115="Engaging"),VLOOKUP(C1115,Products!$A$2:$C$8,3,FALSE),0)</f>
        <v>0</v>
      </c>
    </row>
    <row r="1116" spans="1:10" x14ac:dyDescent="0.25">
      <c r="A1116" t="s">
        <v>1283</v>
      </c>
      <c r="B1116" t="s">
        <v>173</v>
      </c>
      <c r="C1116" t="s">
        <v>123</v>
      </c>
      <c r="D1116" t="s">
        <v>57</v>
      </c>
      <c r="E1116" t="s">
        <v>159</v>
      </c>
      <c r="F1116" s="1">
        <v>42792</v>
      </c>
      <c r="G1116" s="1">
        <v>42879</v>
      </c>
      <c r="H1116">
        <v>0</v>
      </c>
      <c r="I1116" t="str">
        <f>IF(COUNTIF(Products!$A$2:$A$8,C1116)=0,C1116,"")</f>
        <v/>
      </c>
      <c r="J1116">
        <f>IF(OR(E1116="Prospecting",E1116="Engaging"),VLOOKUP(C1116,Products!$A$2:$C$8,3,FALSE),0)</f>
        <v>0</v>
      </c>
    </row>
    <row r="1117" spans="1:10" x14ac:dyDescent="0.25">
      <c r="A1117" t="s">
        <v>1284</v>
      </c>
      <c r="B1117" t="s">
        <v>158</v>
      </c>
      <c r="C1117" t="s">
        <v>122</v>
      </c>
      <c r="D1117" t="s">
        <v>104</v>
      </c>
      <c r="E1117" t="s">
        <v>159</v>
      </c>
      <c r="F1117" s="1">
        <v>42792</v>
      </c>
      <c r="G1117" s="1">
        <v>42884</v>
      </c>
      <c r="H1117">
        <v>0</v>
      </c>
      <c r="I1117" t="str">
        <f>IF(COUNTIF(Products!$A$2:$A$8,C1117)=0,C1117,"")</f>
        <v/>
      </c>
      <c r="J1117">
        <f>IF(OR(E1117="Prospecting",E1117="Engaging"),VLOOKUP(C1117,Products!$A$2:$C$8,3,FALSE),0)</f>
        <v>0</v>
      </c>
    </row>
    <row r="1118" spans="1:10" x14ac:dyDescent="0.25">
      <c r="A1118" t="s">
        <v>1285</v>
      </c>
      <c r="B1118" t="s">
        <v>158</v>
      </c>
      <c r="C1118" t="s">
        <v>122</v>
      </c>
      <c r="D1118" t="s">
        <v>36</v>
      </c>
      <c r="E1118" t="s">
        <v>138</v>
      </c>
      <c r="F1118" s="1">
        <v>42792</v>
      </c>
      <c r="G1118" s="1">
        <v>42894</v>
      </c>
      <c r="H1118">
        <v>5142</v>
      </c>
      <c r="I1118" t="str">
        <f>IF(COUNTIF(Products!$A$2:$A$8,C1118)=0,C1118,"")</f>
        <v/>
      </c>
      <c r="J1118">
        <f>IF(OR(E1118="Prospecting",E1118="Engaging"),VLOOKUP(C1118,Products!$A$2:$C$8,3,FALSE),0)</f>
        <v>0</v>
      </c>
    </row>
    <row r="1119" spans="1:10" x14ac:dyDescent="0.25">
      <c r="A1119" t="s">
        <v>1286</v>
      </c>
      <c r="B1119" t="s">
        <v>154</v>
      </c>
      <c r="C1119" t="s">
        <v>127</v>
      </c>
      <c r="D1119" t="s">
        <v>23</v>
      </c>
      <c r="E1119" t="s">
        <v>159</v>
      </c>
      <c r="F1119" s="1">
        <v>42792</v>
      </c>
      <c r="G1119" s="1">
        <v>42884</v>
      </c>
      <c r="H1119">
        <v>0</v>
      </c>
      <c r="I1119" t="str">
        <f>IF(COUNTIF(Products!$A$2:$A$8,C1119)=0,C1119,"")</f>
        <v/>
      </c>
      <c r="J1119">
        <f>IF(OR(E1119="Prospecting",E1119="Engaging"),VLOOKUP(C1119,Products!$A$2:$C$8,3,FALSE),0)</f>
        <v>0</v>
      </c>
    </row>
    <row r="1120" spans="1:10" x14ac:dyDescent="0.25">
      <c r="A1120" t="s">
        <v>1287</v>
      </c>
      <c r="B1120" t="s">
        <v>191</v>
      </c>
      <c r="C1120" t="s">
        <v>126</v>
      </c>
      <c r="D1120" t="s">
        <v>17</v>
      </c>
      <c r="E1120" t="s">
        <v>155</v>
      </c>
      <c r="F1120" s="1">
        <v>42792</v>
      </c>
      <c r="I1120" t="str">
        <f>IF(COUNTIF(Products!$A$2:$A$8,C1120)=0,C1120,"")</f>
        <v/>
      </c>
      <c r="J1120">
        <f>IF(OR(E1120="Prospecting",E1120="Engaging"),VLOOKUP(C1120,Products!$A$2:$C$8,3,FALSE),0)</f>
        <v>5482</v>
      </c>
    </row>
    <row r="1121" spans="1:10" x14ac:dyDescent="0.25">
      <c r="A1121" t="s">
        <v>1288</v>
      </c>
      <c r="B1121" t="s">
        <v>217</v>
      </c>
      <c r="C1121" t="s">
        <v>125</v>
      </c>
      <c r="D1121" t="s">
        <v>55</v>
      </c>
      <c r="E1121" t="s">
        <v>159</v>
      </c>
      <c r="F1121" s="1">
        <v>42792</v>
      </c>
      <c r="G1121" s="1">
        <v>42863</v>
      </c>
      <c r="H1121">
        <v>0</v>
      </c>
      <c r="I1121" t="str">
        <f>IF(COUNTIF(Products!$A$2:$A$8,C1121)=0,C1121,"")</f>
        <v/>
      </c>
      <c r="J1121">
        <f>IF(OR(E1121="Prospecting",E1121="Engaging"),VLOOKUP(C1121,Products!$A$2:$C$8,3,FALSE),0)</f>
        <v>0</v>
      </c>
    </row>
    <row r="1122" spans="1:10" x14ac:dyDescent="0.25">
      <c r="A1122" t="s">
        <v>1289</v>
      </c>
      <c r="B1122" t="s">
        <v>150</v>
      </c>
      <c r="C1122" t="s">
        <v>127</v>
      </c>
      <c r="D1122" t="s">
        <v>82</v>
      </c>
      <c r="E1122" t="s">
        <v>159</v>
      </c>
      <c r="F1122" s="1">
        <v>42792</v>
      </c>
      <c r="G1122" s="1">
        <v>42902</v>
      </c>
      <c r="H1122">
        <v>0</v>
      </c>
      <c r="I1122" t="str">
        <f>IF(COUNTIF(Products!$A$2:$A$8,C1122)=0,C1122,"")</f>
        <v/>
      </c>
      <c r="J1122">
        <f>IF(OR(E1122="Prospecting",E1122="Engaging"),VLOOKUP(C1122,Products!$A$2:$C$8,3,FALSE),0)</f>
        <v>0</v>
      </c>
    </row>
    <row r="1123" spans="1:10" x14ac:dyDescent="0.25">
      <c r="A1123" t="s">
        <v>1290</v>
      </c>
      <c r="B1123" t="s">
        <v>162</v>
      </c>
      <c r="C1123" t="s">
        <v>127</v>
      </c>
      <c r="E1123" t="s">
        <v>155</v>
      </c>
      <c r="F1123" s="1">
        <v>42792</v>
      </c>
      <c r="I1123" t="str">
        <f>IF(COUNTIF(Products!$A$2:$A$8,C1123)=0,C1123,"")</f>
        <v/>
      </c>
      <c r="J1123">
        <f>IF(OR(E1123="Prospecting",E1123="Engaging"),VLOOKUP(C1123,Products!$A$2:$C$8,3,FALSE),0)</f>
        <v>1096</v>
      </c>
    </row>
    <row r="1124" spans="1:10" x14ac:dyDescent="0.25">
      <c r="A1124" t="s">
        <v>1291</v>
      </c>
      <c r="B1124" t="s">
        <v>162</v>
      </c>
      <c r="C1124" t="s">
        <v>127</v>
      </c>
      <c r="E1124" t="s">
        <v>155</v>
      </c>
      <c r="F1124" s="1">
        <v>42792</v>
      </c>
      <c r="I1124" t="str">
        <f>IF(COUNTIF(Products!$A$2:$A$8,C1124)=0,C1124,"")</f>
        <v/>
      </c>
      <c r="J1124">
        <f>IF(OR(E1124="Prospecting",E1124="Engaging"),VLOOKUP(C1124,Products!$A$2:$C$8,3,FALSE),0)</f>
        <v>1096</v>
      </c>
    </row>
    <row r="1125" spans="1:10" x14ac:dyDescent="0.25">
      <c r="A1125" t="s">
        <v>1292</v>
      </c>
      <c r="B1125" t="s">
        <v>162</v>
      </c>
      <c r="C1125" t="s">
        <v>125</v>
      </c>
      <c r="D1125" t="s">
        <v>19</v>
      </c>
      <c r="E1125" t="s">
        <v>155</v>
      </c>
      <c r="F1125" s="1">
        <v>42792</v>
      </c>
      <c r="I1125" t="str">
        <f>IF(COUNTIF(Products!$A$2:$A$8,C1125)=0,C1125,"")</f>
        <v/>
      </c>
      <c r="J1125">
        <f>IF(OR(E1125="Prospecting",E1125="Engaging"),VLOOKUP(C1125,Products!$A$2:$C$8,3,FALSE),0)</f>
        <v>3393</v>
      </c>
    </row>
    <row r="1126" spans="1:10" x14ac:dyDescent="0.25">
      <c r="A1126" t="s">
        <v>1293</v>
      </c>
      <c r="B1126" t="s">
        <v>162</v>
      </c>
      <c r="C1126" t="s">
        <v>127</v>
      </c>
      <c r="D1126" t="s">
        <v>39</v>
      </c>
      <c r="E1126" t="s">
        <v>159</v>
      </c>
      <c r="F1126" s="1">
        <v>42792</v>
      </c>
      <c r="G1126" s="1">
        <v>42912</v>
      </c>
      <c r="H1126">
        <v>0</v>
      </c>
      <c r="I1126" t="str">
        <f>IF(COUNTIF(Products!$A$2:$A$8,C1126)=0,C1126,"")</f>
        <v/>
      </c>
      <c r="J1126">
        <f>IF(OR(E1126="Prospecting",E1126="Engaging"),VLOOKUP(C1126,Products!$A$2:$C$8,3,FALSE),0)</f>
        <v>0</v>
      </c>
    </row>
    <row r="1127" spans="1:10" x14ac:dyDescent="0.25">
      <c r="A1127" t="s">
        <v>1294</v>
      </c>
      <c r="B1127" t="s">
        <v>162</v>
      </c>
      <c r="C1127" t="s">
        <v>123</v>
      </c>
      <c r="D1127" t="s">
        <v>75</v>
      </c>
      <c r="E1127" t="s">
        <v>159</v>
      </c>
      <c r="F1127" s="1">
        <v>42792</v>
      </c>
      <c r="G1127" s="1">
        <v>42858</v>
      </c>
      <c r="H1127">
        <v>0</v>
      </c>
      <c r="I1127" t="str">
        <f>IF(COUNTIF(Products!$A$2:$A$8,C1127)=0,C1127,"")</f>
        <v/>
      </c>
      <c r="J1127">
        <f>IF(OR(E1127="Prospecting",E1127="Engaging"),VLOOKUP(C1127,Products!$A$2:$C$8,3,FALSE),0)</f>
        <v>0</v>
      </c>
    </row>
    <row r="1128" spans="1:10" x14ac:dyDescent="0.25">
      <c r="A1128" t="s">
        <v>1295</v>
      </c>
      <c r="B1128" t="s">
        <v>137</v>
      </c>
      <c r="C1128" t="s">
        <v>120</v>
      </c>
      <c r="D1128" t="s">
        <v>36</v>
      </c>
      <c r="E1128" t="s">
        <v>138</v>
      </c>
      <c r="F1128" s="1">
        <v>42792</v>
      </c>
      <c r="G1128" s="1">
        <v>42809</v>
      </c>
      <c r="H1128">
        <v>660</v>
      </c>
      <c r="I1128" t="str">
        <f>IF(COUNTIF(Products!$A$2:$A$8,C1128)=0,C1128,"")</f>
        <v/>
      </c>
      <c r="J1128">
        <f>IF(OR(E1128="Prospecting",E1128="Engaging"),VLOOKUP(C1128,Products!$A$2:$C$8,3,FALSE),0)</f>
        <v>0</v>
      </c>
    </row>
    <row r="1129" spans="1:10" x14ac:dyDescent="0.25">
      <c r="A1129" t="s">
        <v>1296</v>
      </c>
      <c r="B1129" t="s">
        <v>137</v>
      </c>
      <c r="C1129" t="s">
        <v>120</v>
      </c>
      <c r="D1129" t="s">
        <v>89</v>
      </c>
      <c r="E1129" t="s">
        <v>138</v>
      </c>
      <c r="F1129" s="1">
        <v>42792</v>
      </c>
      <c r="G1129" s="1">
        <v>42881</v>
      </c>
      <c r="H1129">
        <v>443</v>
      </c>
      <c r="I1129" t="str">
        <f>IF(COUNTIF(Products!$A$2:$A$8,C1129)=0,C1129,"")</f>
        <v/>
      </c>
      <c r="J1129">
        <f>IF(OR(E1129="Prospecting",E1129="Engaging"),VLOOKUP(C1129,Products!$A$2:$C$8,3,FALSE),0)</f>
        <v>0</v>
      </c>
    </row>
    <row r="1130" spans="1:10" x14ac:dyDescent="0.25">
      <c r="A1130" t="s">
        <v>1297</v>
      </c>
      <c r="B1130" t="s">
        <v>152</v>
      </c>
      <c r="C1130" t="s">
        <v>123</v>
      </c>
      <c r="D1130" t="s">
        <v>26</v>
      </c>
      <c r="E1130" t="s">
        <v>159</v>
      </c>
      <c r="F1130" s="1">
        <v>42792</v>
      </c>
      <c r="G1130" s="1">
        <v>42875</v>
      </c>
      <c r="H1130">
        <v>0</v>
      </c>
      <c r="I1130" t="str">
        <f>IF(COUNTIF(Products!$A$2:$A$8,C1130)=0,C1130,"")</f>
        <v/>
      </c>
      <c r="J1130">
        <f>IF(OR(E1130="Prospecting",E1130="Engaging"),VLOOKUP(C1130,Products!$A$2:$C$8,3,FALSE),0)</f>
        <v>0</v>
      </c>
    </row>
    <row r="1131" spans="1:10" x14ac:dyDescent="0.25">
      <c r="A1131" t="s">
        <v>1298</v>
      </c>
      <c r="B1131" t="s">
        <v>187</v>
      </c>
      <c r="C1131" t="s">
        <v>126</v>
      </c>
      <c r="D1131" t="s">
        <v>115</v>
      </c>
      <c r="E1131" t="s">
        <v>159</v>
      </c>
      <c r="F1131" s="1">
        <v>42792</v>
      </c>
      <c r="G1131" s="1">
        <v>42797</v>
      </c>
      <c r="H1131">
        <v>0</v>
      </c>
      <c r="I1131" t="str">
        <f>IF(COUNTIF(Products!$A$2:$A$8,C1131)=0,C1131,"")</f>
        <v/>
      </c>
      <c r="J1131">
        <f>IF(OR(E1131="Prospecting",E1131="Engaging"),VLOOKUP(C1131,Products!$A$2:$C$8,3,FALSE),0)</f>
        <v>0</v>
      </c>
    </row>
    <row r="1132" spans="1:10" x14ac:dyDescent="0.25">
      <c r="A1132" t="s">
        <v>1299</v>
      </c>
      <c r="B1132" t="s">
        <v>187</v>
      </c>
      <c r="C1132" t="s">
        <v>123</v>
      </c>
      <c r="D1132" t="s">
        <v>102</v>
      </c>
      <c r="E1132" t="s">
        <v>159</v>
      </c>
      <c r="F1132" s="1">
        <v>42792</v>
      </c>
      <c r="G1132" s="1">
        <v>42873</v>
      </c>
      <c r="H1132">
        <v>0</v>
      </c>
      <c r="I1132" t="str">
        <f>IF(COUNTIF(Products!$A$2:$A$8,C1132)=0,C1132,"")</f>
        <v/>
      </c>
      <c r="J1132">
        <f>IF(OR(E1132="Prospecting",E1132="Engaging"),VLOOKUP(C1132,Products!$A$2:$C$8,3,FALSE),0)</f>
        <v>0</v>
      </c>
    </row>
    <row r="1133" spans="1:10" x14ac:dyDescent="0.25">
      <c r="A1133" t="s">
        <v>1300</v>
      </c>
      <c r="B1133" t="s">
        <v>169</v>
      </c>
      <c r="C1133" t="s">
        <v>123</v>
      </c>
      <c r="D1133" t="s">
        <v>33</v>
      </c>
      <c r="E1133" t="s">
        <v>138</v>
      </c>
      <c r="F1133" s="1">
        <v>42792</v>
      </c>
      <c r="G1133" s="1">
        <v>42904</v>
      </c>
      <c r="H1133">
        <v>61</v>
      </c>
      <c r="I1133" t="str">
        <f>IF(COUNTIF(Products!$A$2:$A$8,C1133)=0,C1133,"")</f>
        <v/>
      </c>
      <c r="J1133">
        <f>IF(OR(E1133="Prospecting",E1133="Engaging"),VLOOKUP(C1133,Products!$A$2:$C$8,3,FALSE),0)</f>
        <v>0</v>
      </c>
    </row>
    <row r="1134" spans="1:10" x14ac:dyDescent="0.25">
      <c r="A1134" t="s">
        <v>1301</v>
      </c>
      <c r="B1134" t="s">
        <v>144</v>
      </c>
      <c r="C1134" t="s">
        <v>127</v>
      </c>
      <c r="E1134" t="s">
        <v>155</v>
      </c>
      <c r="F1134" s="1">
        <v>42792</v>
      </c>
      <c r="I1134" t="str">
        <f>IF(COUNTIF(Products!$A$2:$A$8,C1134)=0,C1134,"")</f>
        <v/>
      </c>
      <c r="J1134">
        <f>IF(OR(E1134="Prospecting",E1134="Engaging"),VLOOKUP(C1134,Products!$A$2:$C$8,3,FALSE),0)</f>
        <v>1096</v>
      </c>
    </row>
    <row r="1135" spans="1:10" x14ac:dyDescent="0.25">
      <c r="A1135" t="s">
        <v>1302</v>
      </c>
      <c r="B1135" t="s">
        <v>144</v>
      </c>
      <c r="C1135" t="s">
        <v>126</v>
      </c>
      <c r="D1135" t="s">
        <v>109</v>
      </c>
      <c r="E1135" t="s">
        <v>138</v>
      </c>
      <c r="F1135" s="1">
        <v>42792</v>
      </c>
      <c r="G1135" s="1">
        <v>42808</v>
      </c>
      <c r="H1135">
        <v>4846</v>
      </c>
      <c r="I1135" t="str">
        <f>IF(COUNTIF(Products!$A$2:$A$8,C1135)=0,C1135,"")</f>
        <v/>
      </c>
      <c r="J1135">
        <f>IF(OR(E1135="Prospecting",E1135="Engaging"),VLOOKUP(C1135,Products!$A$2:$C$8,3,FALSE),0)</f>
        <v>0</v>
      </c>
    </row>
    <row r="1136" spans="1:10" x14ac:dyDescent="0.25">
      <c r="A1136" t="s">
        <v>1303</v>
      </c>
      <c r="B1136" t="s">
        <v>146</v>
      </c>
      <c r="C1136" t="s">
        <v>120</v>
      </c>
      <c r="D1136" t="s">
        <v>30</v>
      </c>
      <c r="E1136" t="s">
        <v>138</v>
      </c>
      <c r="F1136" s="1">
        <v>42793</v>
      </c>
      <c r="G1136" s="1">
        <v>42890</v>
      </c>
      <c r="H1136">
        <v>574</v>
      </c>
      <c r="I1136" t="str">
        <f>IF(COUNTIF(Products!$A$2:$A$8,C1136)=0,C1136,"")</f>
        <v/>
      </c>
      <c r="J1136">
        <f>IF(OR(E1136="Prospecting",E1136="Engaging"),VLOOKUP(C1136,Products!$A$2:$C$8,3,FALSE),0)</f>
        <v>0</v>
      </c>
    </row>
    <row r="1137" spans="1:10" x14ac:dyDescent="0.25">
      <c r="A1137" t="s">
        <v>1304</v>
      </c>
      <c r="B1137" t="s">
        <v>207</v>
      </c>
      <c r="C1137" t="s">
        <v>120</v>
      </c>
      <c r="D1137" t="s">
        <v>48</v>
      </c>
      <c r="E1137" t="s">
        <v>159</v>
      </c>
      <c r="F1137" s="1">
        <v>42793</v>
      </c>
      <c r="G1137" s="1">
        <v>42904</v>
      </c>
      <c r="H1137">
        <v>0</v>
      </c>
      <c r="I1137" t="str">
        <f>IF(COUNTIF(Products!$A$2:$A$8,C1137)=0,C1137,"")</f>
        <v/>
      </c>
      <c r="J1137">
        <f>IF(OR(E1137="Prospecting",E1137="Engaging"),VLOOKUP(C1137,Products!$A$2:$C$8,3,FALSE),0)</f>
        <v>0</v>
      </c>
    </row>
    <row r="1138" spans="1:10" x14ac:dyDescent="0.25">
      <c r="A1138" t="s">
        <v>1305</v>
      </c>
      <c r="B1138" t="s">
        <v>207</v>
      </c>
      <c r="C1138" t="s">
        <v>122</v>
      </c>
      <c r="D1138" t="s">
        <v>98</v>
      </c>
      <c r="E1138" t="s">
        <v>159</v>
      </c>
      <c r="F1138" s="1">
        <v>42793</v>
      </c>
      <c r="G1138" s="1">
        <v>42877</v>
      </c>
      <c r="H1138">
        <v>0</v>
      </c>
      <c r="I1138" t="str">
        <f>IF(COUNTIF(Products!$A$2:$A$8,C1138)=0,C1138,"")</f>
        <v/>
      </c>
      <c r="J1138">
        <f>IF(OR(E1138="Prospecting",E1138="Engaging"),VLOOKUP(C1138,Products!$A$2:$C$8,3,FALSE),0)</f>
        <v>0</v>
      </c>
    </row>
    <row r="1139" spans="1:10" x14ac:dyDescent="0.25">
      <c r="A1139" t="s">
        <v>1306</v>
      </c>
      <c r="B1139" t="s">
        <v>264</v>
      </c>
      <c r="C1139" t="s">
        <v>120</v>
      </c>
      <c r="D1139" t="s">
        <v>28</v>
      </c>
      <c r="E1139" t="s">
        <v>138</v>
      </c>
      <c r="F1139" s="1">
        <v>42793</v>
      </c>
      <c r="G1139" s="1">
        <v>42858</v>
      </c>
      <c r="H1139">
        <v>497</v>
      </c>
      <c r="I1139" t="str">
        <f>IF(COUNTIF(Products!$A$2:$A$8,C1139)=0,C1139,"")</f>
        <v/>
      </c>
      <c r="J1139">
        <f>IF(OR(E1139="Prospecting",E1139="Engaging"),VLOOKUP(C1139,Products!$A$2:$C$8,3,FALSE),0)</f>
        <v>0</v>
      </c>
    </row>
    <row r="1140" spans="1:10" x14ac:dyDescent="0.25">
      <c r="A1140" t="s">
        <v>1307</v>
      </c>
      <c r="B1140" t="s">
        <v>239</v>
      </c>
      <c r="C1140" t="s">
        <v>120</v>
      </c>
      <c r="D1140" t="s">
        <v>108</v>
      </c>
      <c r="E1140" t="s">
        <v>159</v>
      </c>
      <c r="F1140" s="1">
        <v>42793</v>
      </c>
      <c r="G1140" s="1">
        <v>42859</v>
      </c>
      <c r="H1140">
        <v>0</v>
      </c>
      <c r="I1140" t="str">
        <f>IF(COUNTIF(Products!$A$2:$A$8,C1140)=0,C1140,"")</f>
        <v/>
      </c>
      <c r="J1140">
        <f>IF(OR(E1140="Prospecting",E1140="Engaging"),VLOOKUP(C1140,Products!$A$2:$C$8,3,FALSE),0)</f>
        <v>0</v>
      </c>
    </row>
    <row r="1141" spans="1:10" x14ac:dyDescent="0.25">
      <c r="A1141" t="s">
        <v>1308</v>
      </c>
      <c r="B1141" t="s">
        <v>239</v>
      </c>
      <c r="C1141" t="s">
        <v>126</v>
      </c>
      <c r="D1141" t="s">
        <v>69</v>
      </c>
      <c r="E1141" t="s">
        <v>138</v>
      </c>
      <c r="F1141" s="1">
        <v>42793</v>
      </c>
      <c r="G1141" s="1">
        <v>42885</v>
      </c>
      <c r="H1141">
        <v>5159</v>
      </c>
      <c r="I1141" t="str">
        <f>IF(COUNTIF(Products!$A$2:$A$8,C1141)=0,C1141,"")</f>
        <v/>
      </c>
      <c r="J1141">
        <f>IF(OR(E1141="Prospecting",E1141="Engaging"),VLOOKUP(C1141,Products!$A$2:$C$8,3,FALSE),0)</f>
        <v>0</v>
      </c>
    </row>
    <row r="1142" spans="1:10" x14ac:dyDescent="0.25">
      <c r="A1142" t="s">
        <v>1309</v>
      </c>
      <c r="B1142" t="s">
        <v>171</v>
      </c>
      <c r="C1142" t="s">
        <v>127</v>
      </c>
      <c r="D1142" t="s">
        <v>109</v>
      </c>
      <c r="E1142" t="s">
        <v>155</v>
      </c>
      <c r="F1142" s="1">
        <v>42793</v>
      </c>
      <c r="I1142" t="str">
        <f>IF(COUNTIF(Products!$A$2:$A$8,C1142)=0,C1142,"")</f>
        <v/>
      </c>
      <c r="J1142">
        <f>IF(OR(E1142="Prospecting",E1142="Engaging"),VLOOKUP(C1142,Products!$A$2:$C$8,3,FALSE),0)</f>
        <v>1096</v>
      </c>
    </row>
    <row r="1143" spans="1:10" x14ac:dyDescent="0.25">
      <c r="A1143" t="s">
        <v>1310</v>
      </c>
      <c r="B1143" t="s">
        <v>140</v>
      </c>
      <c r="C1143" t="s">
        <v>123</v>
      </c>
      <c r="D1143" t="s">
        <v>26</v>
      </c>
      <c r="E1143" t="s">
        <v>159</v>
      </c>
      <c r="F1143" s="1">
        <v>42793</v>
      </c>
      <c r="G1143" s="1">
        <v>42857</v>
      </c>
      <c r="H1143">
        <v>0</v>
      </c>
      <c r="I1143" t="str">
        <f>IF(COUNTIF(Products!$A$2:$A$8,C1143)=0,C1143,"")</f>
        <v/>
      </c>
      <c r="J1143">
        <f>IF(OR(E1143="Prospecting",E1143="Engaging"),VLOOKUP(C1143,Products!$A$2:$C$8,3,FALSE),0)</f>
        <v>0</v>
      </c>
    </row>
    <row r="1144" spans="1:10" x14ac:dyDescent="0.25">
      <c r="A1144" t="s">
        <v>1311</v>
      </c>
      <c r="B1144" t="s">
        <v>140</v>
      </c>
      <c r="C1144" t="s">
        <v>122</v>
      </c>
      <c r="D1144" t="s">
        <v>28</v>
      </c>
      <c r="E1144" t="s">
        <v>138</v>
      </c>
      <c r="F1144" s="1">
        <v>42793</v>
      </c>
      <c r="G1144" s="1">
        <v>42868</v>
      </c>
      <c r="H1144">
        <v>4311</v>
      </c>
      <c r="I1144" t="str">
        <f>IF(COUNTIF(Products!$A$2:$A$8,C1144)=0,C1144,"")</f>
        <v/>
      </c>
      <c r="J1144">
        <f>IF(OR(E1144="Prospecting",E1144="Engaging"),VLOOKUP(C1144,Products!$A$2:$C$8,3,FALSE),0)</f>
        <v>0</v>
      </c>
    </row>
    <row r="1145" spans="1:10" x14ac:dyDescent="0.25">
      <c r="A1145" t="s">
        <v>1312</v>
      </c>
      <c r="B1145" t="s">
        <v>224</v>
      </c>
      <c r="C1145" t="s">
        <v>120</v>
      </c>
      <c r="D1145" t="s">
        <v>48</v>
      </c>
      <c r="E1145" t="s">
        <v>138</v>
      </c>
      <c r="F1145" s="1">
        <v>42793</v>
      </c>
      <c r="G1145" s="1">
        <v>42877</v>
      </c>
      <c r="H1145">
        <v>609</v>
      </c>
      <c r="I1145" t="str">
        <f>IF(COUNTIF(Products!$A$2:$A$8,C1145)=0,C1145,"")</f>
        <v/>
      </c>
      <c r="J1145">
        <f>IF(OR(E1145="Prospecting",E1145="Engaging"),VLOOKUP(C1145,Products!$A$2:$C$8,3,FALSE),0)</f>
        <v>0</v>
      </c>
    </row>
    <row r="1146" spans="1:10" x14ac:dyDescent="0.25">
      <c r="A1146" t="s">
        <v>1313</v>
      </c>
      <c r="B1146" t="s">
        <v>158</v>
      </c>
      <c r="C1146" t="s">
        <v>127</v>
      </c>
      <c r="D1146" t="s">
        <v>22</v>
      </c>
      <c r="E1146" t="s">
        <v>138</v>
      </c>
      <c r="F1146" s="1">
        <v>42793</v>
      </c>
      <c r="G1146" s="1">
        <v>42910</v>
      </c>
      <c r="H1146">
        <v>1008</v>
      </c>
      <c r="I1146" t="str">
        <f>IF(COUNTIF(Products!$A$2:$A$8,C1146)=0,C1146,"")</f>
        <v/>
      </c>
      <c r="J1146">
        <f>IF(OR(E1146="Prospecting",E1146="Engaging"),VLOOKUP(C1146,Products!$A$2:$C$8,3,FALSE),0)</f>
        <v>0</v>
      </c>
    </row>
    <row r="1147" spans="1:10" x14ac:dyDescent="0.25">
      <c r="A1147" t="s">
        <v>1314</v>
      </c>
      <c r="B1147" t="s">
        <v>158</v>
      </c>
      <c r="C1147" t="s">
        <v>122</v>
      </c>
      <c r="D1147" t="s">
        <v>116</v>
      </c>
      <c r="E1147" t="s">
        <v>138</v>
      </c>
      <c r="F1147" s="1">
        <v>42793</v>
      </c>
      <c r="G1147" s="1">
        <v>42908</v>
      </c>
      <c r="H1147">
        <v>4458</v>
      </c>
      <c r="I1147" t="str">
        <f>IF(COUNTIF(Products!$A$2:$A$8,C1147)=0,C1147,"")</f>
        <v/>
      </c>
      <c r="J1147">
        <f>IF(OR(E1147="Prospecting",E1147="Engaging"),VLOOKUP(C1147,Products!$A$2:$C$8,3,FALSE),0)</f>
        <v>0</v>
      </c>
    </row>
    <row r="1148" spans="1:10" x14ac:dyDescent="0.25">
      <c r="A1148" t="s">
        <v>1315</v>
      </c>
      <c r="B1148" t="s">
        <v>164</v>
      </c>
      <c r="C1148" t="s">
        <v>125</v>
      </c>
      <c r="E1148" t="s">
        <v>155</v>
      </c>
      <c r="F1148" s="1">
        <v>42793</v>
      </c>
      <c r="I1148" t="str">
        <f>IF(COUNTIF(Products!$A$2:$A$8,C1148)=0,C1148,"")</f>
        <v/>
      </c>
      <c r="J1148">
        <f>IF(OR(E1148="Prospecting",E1148="Engaging"),VLOOKUP(C1148,Products!$A$2:$C$8,3,FALSE),0)</f>
        <v>3393</v>
      </c>
    </row>
    <row r="1149" spans="1:10" x14ac:dyDescent="0.25">
      <c r="A1149" t="s">
        <v>1316</v>
      </c>
      <c r="B1149" t="s">
        <v>164</v>
      </c>
      <c r="C1149" t="s">
        <v>125</v>
      </c>
      <c r="D1149" t="s">
        <v>82</v>
      </c>
      <c r="E1149" t="s">
        <v>138</v>
      </c>
      <c r="F1149" s="1">
        <v>42793</v>
      </c>
      <c r="G1149" s="1">
        <v>42881</v>
      </c>
      <c r="H1149">
        <v>2964</v>
      </c>
      <c r="I1149" t="str">
        <f>IF(COUNTIF(Products!$A$2:$A$8,C1149)=0,C1149,"")</f>
        <v/>
      </c>
      <c r="J1149">
        <f>IF(OR(E1149="Prospecting",E1149="Engaging"),VLOOKUP(C1149,Products!$A$2:$C$8,3,FALSE),0)</f>
        <v>0</v>
      </c>
    </row>
    <row r="1150" spans="1:10" x14ac:dyDescent="0.25">
      <c r="A1150" t="s">
        <v>1317</v>
      </c>
      <c r="B1150" t="s">
        <v>154</v>
      </c>
      <c r="C1150" t="s">
        <v>126</v>
      </c>
      <c r="D1150" t="s">
        <v>72</v>
      </c>
      <c r="E1150" t="s">
        <v>159</v>
      </c>
      <c r="F1150" s="1">
        <v>42793</v>
      </c>
      <c r="G1150" s="1">
        <v>42890</v>
      </c>
      <c r="H1150">
        <v>0</v>
      </c>
      <c r="I1150" t="str">
        <f>IF(COUNTIF(Products!$A$2:$A$8,C1150)=0,C1150,"")</f>
        <v/>
      </c>
      <c r="J1150">
        <f>IF(OR(E1150="Prospecting",E1150="Engaging"),VLOOKUP(C1150,Products!$A$2:$C$8,3,FALSE),0)</f>
        <v>0</v>
      </c>
    </row>
    <row r="1151" spans="1:10" x14ac:dyDescent="0.25">
      <c r="A1151" t="s">
        <v>1318</v>
      </c>
      <c r="B1151" t="s">
        <v>154</v>
      </c>
      <c r="C1151" t="s">
        <v>125</v>
      </c>
      <c r="D1151" t="s">
        <v>29</v>
      </c>
      <c r="E1151" t="s">
        <v>138</v>
      </c>
      <c r="F1151" s="1">
        <v>42793</v>
      </c>
      <c r="G1151" s="1">
        <v>42891</v>
      </c>
      <c r="H1151">
        <v>3813</v>
      </c>
      <c r="I1151" t="str">
        <f>IF(COUNTIF(Products!$A$2:$A$8,C1151)=0,C1151,"")</f>
        <v/>
      </c>
      <c r="J1151">
        <f>IF(OR(E1151="Prospecting",E1151="Engaging"),VLOOKUP(C1151,Products!$A$2:$C$8,3,FALSE),0)</f>
        <v>0</v>
      </c>
    </row>
    <row r="1152" spans="1:10" x14ac:dyDescent="0.25">
      <c r="A1152" t="s">
        <v>1319</v>
      </c>
      <c r="B1152" t="s">
        <v>303</v>
      </c>
      <c r="C1152" t="s">
        <v>120</v>
      </c>
      <c r="D1152" t="s">
        <v>89</v>
      </c>
      <c r="E1152" t="s">
        <v>138</v>
      </c>
      <c r="F1152" s="1">
        <v>42793</v>
      </c>
      <c r="G1152" s="1">
        <v>42882</v>
      </c>
      <c r="H1152">
        <v>528</v>
      </c>
      <c r="I1152" t="str">
        <f>IF(COUNTIF(Products!$A$2:$A$8,C1152)=0,C1152,"")</f>
        <v/>
      </c>
      <c r="J1152">
        <f>IF(OR(E1152="Prospecting",E1152="Engaging"),VLOOKUP(C1152,Products!$A$2:$C$8,3,FALSE),0)</f>
        <v>0</v>
      </c>
    </row>
    <row r="1153" spans="1:10" x14ac:dyDescent="0.25">
      <c r="A1153" t="s">
        <v>1320</v>
      </c>
      <c r="B1153" t="s">
        <v>191</v>
      </c>
      <c r="C1153" t="s">
        <v>127</v>
      </c>
      <c r="D1153" t="s">
        <v>87</v>
      </c>
      <c r="E1153" t="s">
        <v>138</v>
      </c>
      <c r="F1153" s="1">
        <v>42793</v>
      </c>
      <c r="G1153" s="1">
        <v>42804</v>
      </c>
      <c r="H1153">
        <v>1173</v>
      </c>
      <c r="I1153" t="str">
        <f>IF(COUNTIF(Products!$A$2:$A$8,C1153)=0,C1153,"")</f>
        <v/>
      </c>
      <c r="J1153">
        <f>IF(OR(E1153="Prospecting",E1153="Engaging"),VLOOKUP(C1153,Products!$A$2:$C$8,3,FALSE),0)</f>
        <v>0</v>
      </c>
    </row>
    <row r="1154" spans="1:10" x14ac:dyDescent="0.25">
      <c r="A1154" t="s">
        <v>1321</v>
      </c>
      <c r="B1154" t="s">
        <v>191</v>
      </c>
      <c r="C1154" t="s">
        <v>122</v>
      </c>
      <c r="D1154" t="s">
        <v>67</v>
      </c>
      <c r="E1154" t="s">
        <v>138</v>
      </c>
      <c r="F1154" s="1">
        <v>42793</v>
      </c>
      <c r="G1154" s="1">
        <v>42905</v>
      </c>
      <c r="H1154">
        <v>3893</v>
      </c>
      <c r="I1154" t="str">
        <f>IF(COUNTIF(Products!$A$2:$A$8,C1154)=0,C1154,"")</f>
        <v/>
      </c>
      <c r="J1154">
        <f>IF(OR(E1154="Prospecting",E1154="Engaging"),VLOOKUP(C1154,Products!$A$2:$C$8,3,FALSE),0)</f>
        <v>0</v>
      </c>
    </row>
    <row r="1155" spans="1:10" x14ac:dyDescent="0.25">
      <c r="A1155" t="s">
        <v>1322</v>
      </c>
      <c r="B1155" t="s">
        <v>191</v>
      </c>
      <c r="C1155" t="s">
        <v>122</v>
      </c>
      <c r="D1155" t="s">
        <v>41</v>
      </c>
      <c r="E1155" t="s">
        <v>138</v>
      </c>
      <c r="F1155" s="1">
        <v>42793</v>
      </c>
      <c r="G1155" s="1">
        <v>42809</v>
      </c>
      <c r="H1155">
        <v>4678</v>
      </c>
      <c r="I1155" t="str">
        <f>IF(COUNTIF(Products!$A$2:$A$8,C1155)=0,C1155,"")</f>
        <v/>
      </c>
      <c r="J1155">
        <f>IF(OR(E1155="Prospecting",E1155="Engaging"),VLOOKUP(C1155,Products!$A$2:$C$8,3,FALSE),0)</f>
        <v>0</v>
      </c>
    </row>
    <row r="1156" spans="1:10" x14ac:dyDescent="0.25">
      <c r="A1156" t="s">
        <v>1323</v>
      </c>
      <c r="B1156" t="s">
        <v>217</v>
      </c>
      <c r="C1156" t="s">
        <v>120</v>
      </c>
      <c r="D1156" t="s">
        <v>14</v>
      </c>
      <c r="E1156" t="s">
        <v>138</v>
      </c>
      <c r="F1156" s="1">
        <v>42793</v>
      </c>
      <c r="G1156" s="1">
        <v>42887</v>
      </c>
      <c r="H1156">
        <v>530</v>
      </c>
      <c r="I1156" t="str">
        <f>IF(COUNTIF(Products!$A$2:$A$8,C1156)=0,C1156,"")</f>
        <v/>
      </c>
      <c r="J1156">
        <f>IF(OR(E1156="Prospecting",E1156="Engaging"),VLOOKUP(C1156,Products!$A$2:$C$8,3,FALSE),0)</f>
        <v>0</v>
      </c>
    </row>
    <row r="1157" spans="1:10" x14ac:dyDescent="0.25">
      <c r="A1157" t="s">
        <v>1324</v>
      </c>
      <c r="B1157" t="s">
        <v>150</v>
      </c>
      <c r="C1157" t="s">
        <v>123</v>
      </c>
      <c r="D1157" t="s">
        <v>100</v>
      </c>
      <c r="E1157" t="s">
        <v>159</v>
      </c>
      <c r="F1157" s="1">
        <v>42793</v>
      </c>
      <c r="G1157" s="1">
        <v>42808</v>
      </c>
      <c r="H1157">
        <v>0</v>
      </c>
      <c r="I1157" t="str">
        <f>IF(COUNTIF(Products!$A$2:$A$8,C1157)=0,C1157,"")</f>
        <v/>
      </c>
      <c r="J1157">
        <f>IF(OR(E1157="Prospecting",E1157="Engaging"),VLOOKUP(C1157,Products!$A$2:$C$8,3,FALSE),0)</f>
        <v>0</v>
      </c>
    </row>
    <row r="1158" spans="1:10" x14ac:dyDescent="0.25">
      <c r="A1158" t="s">
        <v>1325</v>
      </c>
      <c r="B1158" t="s">
        <v>150</v>
      </c>
      <c r="C1158" t="s">
        <v>128</v>
      </c>
      <c r="D1158" t="s">
        <v>56</v>
      </c>
      <c r="E1158" t="s">
        <v>138</v>
      </c>
      <c r="F1158" s="1">
        <v>42793</v>
      </c>
      <c r="G1158" s="1">
        <v>42913</v>
      </c>
      <c r="H1158">
        <v>29617</v>
      </c>
      <c r="I1158" t="str">
        <f>IF(COUNTIF(Products!$A$2:$A$8,C1158)=0,C1158,"")</f>
        <v/>
      </c>
      <c r="J1158">
        <f>IF(OR(E1158="Prospecting",E1158="Engaging"),VLOOKUP(C1158,Products!$A$2:$C$8,3,FALSE),0)</f>
        <v>0</v>
      </c>
    </row>
    <row r="1159" spans="1:10" x14ac:dyDescent="0.25">
      <c r="A1159" t="s">
        <v>1326</v>
      </c>
      <c r="B1159" t="s">
        <v>205</v>
      </c>
      <c r="C1159" t="s">
        <v>127</v>
      </c>
      <c r="D1159" t="s">
        <v>64</v>
      </c>
      <c r="E1159" t="s">
        <v>138</v>
      </c>
      <c r="F1159" s="1">
        <v>42793</v>
      </c>
      <c r="G1159" s="1">
        <v>42864</v>
      </c>
      <c r="H1159">
        <v>1028</v>
      </c>
      <c r="I1159" t="str">
        <f>IF(COUNTIF(Products!$A$2:$A$8,C1159)=0,C1159,"")</f>
        <v/>
      </c>
      <c r="J1159">
        <f>IF(OR(E1159="Prospecting",E1159="Engaging"),VLOOKUP(C1159,Products!$A$2:$C$8,3,FALSE),0)</f>
        <v>0</v>
      </c>
    </row>
    <row r="1160" spans="1:10" x14ac:dyDescent="0.25">
      <c r="A1160" t="s">
        <v>1327</v>
      </c>
      <c r="B1160" t="s">
        <v>205</v>
      </c>
      <c r="C1160" t="s">
        <v>125</v>
      </c>
      <c r="D1160" t="s">
        <v>33</v>
      </c>
      <c r="E1160" t="s">
        <v>138</v>
      </c>
      <c r="F1160" s="1">
        <v>42793</v>
      </c>
      <c r="G1160" s="1">
        <v>42914</v>
      </c>
      <c r="H1160">
        <v>2863</v>
      </c>
      <c r="I1160" t="str">
        <f>IF(COUNTIF(Products!$A$2:$A$8,C1160)=0,C1160,"")</f>
        <v/>
      </c>
      <c r="J1160">
        <f>IF(OR(E1160="Prospecting",E1160="Engaging"),VLOOKUP(C1160,Products!$A$2:$C$8,3,FALSE),0)</f>
        <v>0</v>
      </c>
    </row>
    <row r="1161" spans="1:10" x14ac:dyDescent="0.25">
      <c r="A1161" t="s">
        <v>1328</v>
      </c>
      <c r="B1161" t="s">
        <v>162</v>
      </c>
      <c r="C1161" t="s">
        <v>127</v>
      </c>
      <c r="E1161" t="s">
        <v>155</v>
      </c>
      <c r="F1161" s="1">
        <v>42793</v>
      </c>
      <c r="I1161" t="str">
        <f>IF(COUNTIF(Products!$A$2:$A$8,C1161)=0,C1161,"")</f>
        <v/>
      </c>
      <c r="J1161">
        <f>IF(OR(E1161="Prospecting",E1161="Engaging"),VLOOKUP(C1161,Products!$A$2:$C$8,3,FALSE),0)</f>
        <v>1096</v>
      </c>
    </row>
    <row r="1162" spans="1:10" x14ac:dyDescent="0.25">
      <c r="A1162" t="s">
        <v>1329</v>
      </c>
      <c r="B1162" t="s">
        <v>137</v>
      </c>
      <c r="C1162" t="s">
        <v>125</v>
      </c>
      <c r="D1162" t="s">
        <v>26</v>
      </c>
      <c r="E1162" t="s">
        <v>138</v>
      </c>
      <c r="F1162" s="1">
        <v>42793</v>
      </c>
      <c r="G1162" s="1">
        <v>42914</v>
      </c>
      <c r="H1162">
        <v>4109</v>
      </c>
      <c r="I1162" t="str">
        <f>IF(COUNTIF(Products!$A$2:$A$8,C1162)=0,C1162,"")</f>
        <v/>
      </c>
      <c r="J1162">
        <f>IF(OR(E1162="Prospecting",E1162="Engaging"),VLOOKUP(C1162,Products!$A$2:$C$8,3,FALSE),0)</f>
        <v>0</v>
      </c>
    </row>
    <row r="1163" spans="1:10" x14ac:dyDescent="0.25">
      <c r="A1163" t="s">
        <v>1330</v>
      </c>
      <c r="B1163" t="s">
        <v>152</v>
      </c>
      <c r="C1163" t="s">
        <v>120</v>
      </c>
      <c r="D1163" t="s">
        <v>12</v>
      </c>
      <c r="E1163" t="s">
        <v>159</v>
      </c>
      <c r="F1163" s="1">
        <v>42793</v>
      </c>
      <c r="G1163" s="1">
        <v>42863</v>
      </c>
      <c r="H1163">
        <v>0</v>
      </c>
      <c r="I1163" t="str">
        <f>IF(COUNTIF(Products!$A$2:$A$8,C1163)=0,C1163,"")</f>
        <v/>
      </c>
      <c r="J1163">
        <f>IF(OR(E1163="Prospecting",E1163="Engaging"),VLOOKUP(C1163,Products!$A$2:$C$8,3,FALSE),0)</f>
        <v>0</v>
      </c>
    </row>
    <row r="1164" spans="1:10" x14ac:dyDescent="0.25">
      <c r="A1164" t="s">
        <v>1331</v>
      </c>
      <c r="B1164" t="s">
        <v>193</v>
      </c>
      <c r="C1164" t="s">
        <v>127</v>
      </c>
      <c r="D1164" t="s">
        <v>67</v>
      </c>
      <c r="E1164" t="s">
        <v>138</v>
      </c>
      <c r="F1164" s="1">
        <v>42793</v>
      </c>
      <c r="G1164" s="1">
        <v>42807</v>
      </c>
      <c r="H1164">
        <v>1106</v>
      </c>
      <c r="I1164" t="str">
        <f>IF(COUNTIF(Products!$A$2:$A$8,C1164)=0,C1164,"")</f>
        <v/>
      </c>
      <c r="J1164">
        <f>IF(OR(E1164="Prospecting",E1164="Engaging"),VLOOKUP(C1164,Products!$A$2:$C$8,3,FALSE),0)</f>
        <v>0</v>
      </c>
    </row>
    <row r="1165" spans="1:10" x14ac:dyDescent="0.25">
      <c r="A1165" t="s">
        <v>1332</v>
      </c>
      <c r="B1165" t="s">
        <v>166</v>
      </c>
      <c r="C1165" t="s">
        <v>123</v>
      </c>
      <c r="E1165" t="s">
        <v>155</v>
      </c>
      <c r="F1165" s="1">
        <v>42793</v>
      </c>
      <c r="I1165" t="str">
        <f>IF(COUNTIF(Products!$A$2:$A$8,C1165)=0,C1165,"")</f>
        <v/>
      </c>
      <c r="J1165">
        <f>IF(OR(E1165="Prospecting",E1165="Engaging"),VLOOKUP(C1165,Products!$A$2:$C$8,3,FALSE),0)</f>
        <v>55</v>
      </c>
    </row>
    <row r="1166" spans="1:10" x14ac:dyDescent="0.25">
      <c r="A1166" t="s">
        <v>1333</v>
      </c>
      <c r="B1166" t="s">
        <v>187</v>
      </c>
      <c r="C1166" t="s">
        <v>123</v>
      </c>
      <c r="D1166" t="s">
        <v>20</v>
      </c>
      <c r="E1166" t="s">
        <v>138</v>
      </c>
      <c r="F1166" s="1">
        <v>42793</v>
      </c>
      <c r="G1166" s="1">
        <v>42916</v>
      </c>
      <c r="H1166">
        <v>53</v>
      </c>
      <c r="I1166" t="str">
        <f>IF(COUNTIF(Products!$A$2:$A$8,C1166)=0,C1166,"")</f>
        <v/>
      </c>
      <c r="J1166">
        <f>IF(OR(E1166="Prospecting",E1166="Engaging"),VLOOKUP(C1166,Products!$A$2:$C$8,3,FALSE),0)</f>
        <v>0</v>
      </c>
    </row>
    <row r="1167" spans="1:10" x14ac:dyDescent="0.25">
      <c r="A1167" t="s">
        <v>1334</v>
      </c>
      <c r="B1167" t="s">
        <v>169</v>
      </c>
      <c r="C1167" t="s">
        <v>123</v>
      </c>
      <c r="D1167" t="s">
        <v>53</v>
      </c>
      <c r="E1167" t="s">
        <v>138</v>
      </c>
      <c r="F1167" s="1">
        <v>42793</v>
      </c>
      <c r="G1167" s="1">
        <v>42869</v>
      </c>
      <c r="H1167">
        <v>47</v>
      </c>
      <c r="I1167" t="str">
        <f>IF(COUNTIF(Products!$A$2:$A$8,C1167)=0,C1167,"")</f>
        <v/>
      </c>
      <c r="J1167">
        <f>IF(OR(E1167="Prospecting",E1167="Engaging"),VLOOKUP(C1167,Products!$A$2:$C$8,3,FALSE),0)</f>
        <v>0</v>
      </c>
    </row>
    <row r="1168" spans="1:10" x14ac:dyDescent="0.25">
      <c r="A1168" t="s">
        <v>1335</v>
      </c>
      <c r="B1168" t="s">
        <v>177</v>
      </c>
      <c r="C1168" t="s">
        <v>125</v>
      </c>
      <c r="D1168" t="s">
        <v>67</v>
      </c>
      <c r="E1168" t="s">
        <v>138</v>
      </c>
      <c r="F1168" s="1">
        <v>42793</v>
      </c>
      <c r="G1168" s="1">
        <v>42878</v>
      </c>
      <c r="H1168">
        <v>3749</v>
      </c>
      <c r="I1168" t="str">
        <f>IF(COUNTIF(Products!$A$2:$A$8,C1168)=0,C1168,"")</f>
        <v/>
      </c>
      <c r="J1168">
        <f>IF(OR(E1168="Prospecting",E1168="Engaging"),VLOOKUP(C1168,Products!$A$2:$C$8,3,FALSE),0)</f>
        <v>0</v>
      </c>
    </row>
    <row r="1169" spans="1:10" x14ac:dyDescent="0.25">
      <c r="A1169" t="s">
        <v>1336</v>
      </c>
      <c r="B1169" t="s">
        <v>177</v>
      </c>
      <c r="C1169" t="s">
        <v>125</v>
      </c>
      <c r="D1169" t="s">
        <v>80</v>
      </c>
      <c r="E1169" t="s">
        <v>138</v>
      </c>
      <c r="F1169" s="1">
        <v>42793</v>
      </c>
      <c r="G1169" s="1">
        <v>42882</v>
      </c>
      <c r="H1169">
        <v>4204</v>
      </c>
      <c r="I1169" t="str">
        <f>IF(COUNTIF(Products!$A$2:$A$8,C1169)=0,C1169,"")</f>
        <v/>
      </c>
      <c r="J1169">
        <f>IF(OR(E1169="Prospecting",E1169="Engaging"),VLOOKUP(C1169,Products!$A$2:$C$8,3,FALSE),0)</f>
        <v>0</v>
      </c>
    </row>
    <row r="1170" spans="1:10" x14ac:dyDescent="0.25">
      <c r="A1170" t="s">
        <v>1337</v>
      </c>
      <c r="B1170" t="s">
        <v>207</v>
      </c>
      <c r="C1170" t="s">
        <v>125</v>
      </c>
      <c r="D1170" t="s">
        <v>105</v>
      </c>
      <c r="E1170" t="s">
        <v>138</v>
      </c>
      <c r="F1170" s="1">
        <v>42794</v>
      </c>
      <c r="G1170" s="1">
        <v>42901</v>
      </c>
      <c r="H1170">
        <v>3986</v>
      </c>
      <c r="I1170" t="str">
        <f>IF(COUNTIF(Products!$A$2:$A$8,C1170)=0,C1170,"")</f>
        <v/>
      </c>
      <c r="J1170">
        <f>IF(OR(E1170="Prospecting",E1170="Engaging"),VLOOKUP(C1170,Products!$A$2:$C$8,3,FALSE),0)</f>
        <v>0</v>
      </c>
    </row>
    <row r="1171" spans="1:10" x14ac:dyDescent="0.25">
      <c r="A1171" t="s">
        <v>1338</v>
      </c>
      <c r="B1171" t="s">
        <v>171</v>
      </c>
      <c r="C1171" t="s">
        <v>122</v>
      </c>
      <c r="D1171" t="s">
        <v>35</v>
      </c>
      <c r="E1171" t="s">
        <v>138</v>
      </c>
      <c r="F1171" s="1">
        <v>42794</v>
      </c>
      <c r="G1171" s="1">
        <v>42891</v>
      </c>
      <c r="H1171">
        <v>5105</v>
      </c>
      <c r="I1171" t="str">
        <f>IF(COUNTIF(Products!$A$2:$A$8,C1171)=0,C1171,"")</f>
        <v/>
      </c>
      <c r="J1171">
        <f>IF(OR(E1171="Prospecting",E1171="Engaging"),VLOOKUP(C1171,Products!$A$2:$C$8,3,FALSE),0)</f>
        <v>0</v>
      </c>
    </row>
    <row r="1172" spans="1:10" x14ac:dyDescent="0.25">
      <c r="A1172" t="s">
        <v>1339</v>
      </c>
      <c r="B1172" t="s">
        <v>140</v>
      </c>
      <c r="C1172" t="s">
        <v>120</v>
      </c>
      <c r="D1172" t="s">
        <v>51</v>
      </c>
      <c r="E1172" t="s">
        <v>138</v>
      </c>
      <c r="F1172" s="1">
        <v>42794</v>
      </c>
      <c r="G1172" s="1">
        <v>42908</v>
      </c>
      <c r="H1172">
        <v>516</v>
      </c>
      <c r="I1172" t="str">
        <f>IF(COUNTIF(Products!$A$2:$A$8,C1172)=0,C1172,"")</f>
        <v/>
      </c>
      <c r="J1172">
        <f>IF(OR(E1172="Prospecting",E1172="Engaging"),VLOOKUP(C1172,Products!$A$2:$C$8,3,FALSE),0)</f>
        <v>0</v>
      </c>
    </row>
    <row r="1173" spans="1:10" x14ac:dyDescent="0.25">
      <c r="A1173" t="s">
        <v>1340</v>
      </c>
      <c r="B1173" t="s">
        <v>140</v>
      </c>
      <c r="C1173" t="s">
        <v>122</v>
      </c>
      <c r="D1173" t="s">
        <v>89</v>
      </c>
      <c r="E1173" t="s">
        <v>138</v>
      </c>
      <c r="F1173" s="1">
        <v>42794</v>
      </c>
      <c r="G1173" s="1">
        <v>42888</v>
      </c>
      <c r="H1173">
        <v>4407</v>
      </c>
      <c r="I1173" t="str">
        <f>IF(COUNTIF(Products!$A$2:$A$8,C1173)=0,C1173,"")</f>
        <v/>
      </c>
      <c r="J1173">
        <f>IF(OR(E1173="Prospecting",E1173="Engaging"),VLOOKUP(C1173,Products!$A$2:$C$8,3,FALSE),0)</f>
        <v>0</v>
      </c>
    </row>
    <row r="1174" spans="1:10" x14ac:dyDescent="0.25">
      <c r="A1174" t="s">
        <v>1341</v>
      </c>
      <c r="B1174" t="s">
        <v>224</v>
      </c>
      <c r="C1174" t="s">
        <v>125</v>
      </c>
      <c r="D1174" t="s">
        <v>111</v>
      </c>
      <c r="E1174" t="s">
        <v>138</v>
      </c>
      <c r="F1174" s="1">
        <v>42794</v>
      </c>
      <c r="G1174" s="1">
        <v>42905</v>
      </c>
      <c r="H1174">
        <v>3087</v>
      </c>
      <c r="I1174" t="str">
        <f>IF(COUNTIF(Products!$A$2:$A$8,C1174)=0,C1174,"")</f>
        <v/>
      </c>
      <c r="J1174">
        <f>IF(OR(E1174="Prospecting",E1174="Engaging"),VLOOKUP(C1174,Products!$A$2:$C$8,3,FALSE),0)</f>
        <v>0</v>
      </c>
    </row>
    <row r="1175" spans="1:10" x14ac:dyDescent="0.25">
      <c r="A1175" t="s">
        <v>1342</v>
      </c>
      <c r="B1175" t="s">
        <v>158</v>
      </c>
      <c r="C1175" t="s">
        <v>126</v>
      </c>
      <c r="D1175" t="s">
        <v>32</v>
      </c>
      <c r="E1175" t="s">
        <v>138</v>
      </c>
      <c r="F1175" s="1">
        <v>42794</v>
      </c>
      <c r="G1175" s="1">
        <v>42870</v>
      </c>
      <c r="H1175">
        <v>5331</v>
      </c>
      <c r="I1175" t="str">
        <f>IF(COUNTIF(Products!$A$2:$A$8,C1175)=0,C1175,"")</f>
        <v/>
      </c>
      <c r="J1175">
        <f>IF(OR(E1175="Prospecting",E1175="Engaging"),VLOOKUP(C1175,Products!$A$2:$C$8,3,FALSE),0)</f>
        <v>0</v>
      </c>
    </row>
    <row r="1176" spans="1:10" x14ac:dyDescent="0.25">
      <c r="A1176" t="s">
        <v>1343</v>
      </c>
      <c r="B1176" t="s">
        <v>164</v>
      </c>
      <c r="C1176" t="s">
        <v>125</v>
      </c>
      <c r="D1176" t="s">
        <v>27</v>
      </c>
      <c r="E1176" t="s">
        <v>138</v>
      </c>
      <c r="F1176" s="1">
        <v>42794</v>
      </c>
      <c r="G1176" s="1">
        <v>42860</v>
      </c>
      <c r="H1176">
        <v>4069</v>
      </c>
      <c r="I1176" t="str">
        <f>IF(COUNTIF(Products!$A$2:$A$8,C1176)=0,C1176,"")</f>
        <v/>
      </c>
      <c r="J1176">
        <f>IF(OR(E1176="Prospecting",E1176="Engaging"),VLOOKUP(C1176,Products!$A$2:$C$8,3,FALSE),0)</f>
        <v>0</v>
      </c>
    </row>
    <row r="1177" spans="1:10" x14ac:dyDescent="0.25">
      <c r="A1177" t="s">
        <v>1344</v>
      </c>
      <c r="B1177" t="s">
        <v>154</v>
      </c>
      <c r="C1177" t="s">
        <v>126</v>
      </c>
      <c r="E1177" t="s">
        <v>155</v>
      </c>
      <c r="F1177" s="1">
        <v>42794</v>
      </c>
      <c r="I1177" t="str">
        <f>IF(COUNTIF(Products!$A$2:$A$8,C1177)=0,C1177,"")</f>
        <v/>
      </c>
      <c r="J1177">
        <f>IF(OR(E1177="Prospecting",E1177="Engaging"),VLOOKUP(C1177,Products!$A$2:$C$8,3,FALSE),0)</f>
        <v>5482</v>
      </c>
    </row>
    <row r="1178" spans="1:10" x14ac:dyDescent="0.25">
      <c r="A1178" t="s">
        <v>1345</v>
      </c>
      <c r="B1178" t="s">
        <v>154</v>
      </c>
      <c r="C1178" t="s">
        <v>120</v>
      </c>
      <c r="D1178" t="s">
        <v>60</v>
      </c>
      <c r="E1178" t="s">
        <v>138</v>
      </c>
      <c r="F1178" s="1">
        <v>42794</v>
      </c>
      <c r="G1178" s="1">
        <v>42915</v>
      </c>
      <c r="H1178">
        <v>463</v>
      </c>
      <c r="I1178" t="str">
        <f>IF(COUNTIF(Products!$A$2:$A$8,C1178)=0,C1178,"")</f>
        <v/>
      </c>
      <c r="J1178">
        <f>IF(OR(E1178="Prospecting",E1178="Engaging"),VLOOKUP(C1178,Products!$A$2:$C$8,3,FALSE),0)</f>
        <v>0</v>
      </c>
    </row>
    <row r="1179" spans="1:10" x14ac:dyDescent="0.25">
      <c r="A1179" t="s">
        <v>1346</v>
      </c>
      <c r="B1179" t="s">
        <v>154</v>
      </c>
      <c r="C1179" t="s">
        <v>126</v>
      </c>
      <c r="D1179" t="s">
        <v>39</v>
      </c>
      <c r="E1179" t="s">
        <v>138</v>
      </c>
      <c r="F1179" s="1">
        <v>42794</v>
      </c>
      <c r="G1179" s="1">
        <v>42881</v>
      </c>
      <c r="H1179">
        <v>5625</v>
      </c>
      <c r="I1179" t="str">
        <f>IF(COUNTIF(Products!$A$2:$A$8,C1179)=0,C1179,"")</f>
        <v/>
      </c>
      <c r="J1179">
        <f>IF(OR(E1179="Prospecting",E1179="Engaging"),VLOOKUP(C1179,Products!$A$2:$C$8,3,FALSE),0)</f>
        <v>0</v>
      </c>
    </row>
    <row r="1180" spans="1:10" x14ac:dyDescent="0.25">
      <c r="A1180" t="s">
        <v>1347</v>
      </c>
      <c r="B1180" t="s">
        <v>217</v>
      </c>
      <c r="C1180" t="s">
        <v>120</v>
      </c>
      <c r="D1180" t="s">
        <v>89</v>
      </c>
      <c r="E1180" t="s">
        <v>138</v>
      </c>
      <c r="F1180" s="1">
        <v>42794</v>
      </c>
      <c r="G1180" s="1">
        <v>42901</v>
      </c>
      <c r="H1180">
        <v>524</v>
      </c>
      <c r="I1180" t="str">
        <f>IF(COUNTIF(Products!$A$2:$A$8,C1180)=0,C1180,"")</f>
        <v/>
      </c>
      <c r="J1180">
        <f>IF(OR(E1180="Prospecting",E1180="Engaging"),VLOOKUP(C1180,Products!$A$2:$C$8,3,FALSE),0)</f>
        <v>0</v>
      </c>
    </row>
    <row r="1181" spans="1:10" x14ac:dyDescent="0.25">
      <c r="A1181" t="s">
        <v>1348</v>
      </c>
      <c r="B1181" t="s">
        <v>150</v>
      </c>
      <c r="C1181" t="s">
        <v>120</v>
      </c>
      <c r="D1181" t="s">
        <v>23</v>
      </c>
      <c r="E1181" t="s">
        <v>159</v>
      </c>
      <c r="F1181" s="1">
        <v>42794</v>
      </c>
      <c r="G1181" s="1">
        <v>42867</v>
      </c>
      <c r="H1181">
        <v>0</v>
      </c>
      <c r="I1181" t="str">
        <f>IF(COUNTIF(Products!$A$2:$A$8,C1181)=0,C1181,"")</f>
        <v/>
      </c>
      <c r="J1181">
        <f>IF(OR(E1181="Prospecting",E1181="Engaging"),VLOOKUP(C1181,Products!$A$2:$C$8,3,FALSE),0)</f>
        <v>0</v>
      </c>
    </row>
    <row r="1182" spans="1:10" x14ac:dyDescent="0.25">
      <c r="A1182" t="s">
        <v>1349</v>
      </c>
      <c r="B1182" t="s">
        <v>162</v>
      </c>
      <c r="C1182" t="s">
        <v>123</v>
      </c>
      <c r="D1182" t="s">
        <v>16</v>
      </c>
      <c r="E1182" t="s">
        <v>155</v>
      </c>
      <c r="F1182" s="1">
        <v>42794</v>
      </c>
      <c r="I1182" t="str">
        <f>IF(COUNTIF(Products!$A$2:$A$8,C1182)=0,C1182,"")</f>
        <v/>
      </c>
      <c r="J1182">
        <f>IF(OR(E1182="Prospecting",E1182="Engaging"),VLOOKUP(C1182,Products!$A$2:$C$8,3,FALSE),0)</f>
        <v>55</v>
      </c>
    </row>
    <row r="1183" spans="1:10" x14ac:dyDescent="0.25">
      <c r="A1183" t="s">
        <v>1350</v>
      </c>
      <c r="B1183" t="s">
        <v>137</v>
      </c>
      <c r="C1183" t="s">
        <v>123</v>
      </c>
      <c r="D1183" t="s">
        <v>51</v>
      </c>
      <c r="E1183" t="s">
        <v>159</v>
      </c>
      <c r="F1183" s="1">
        <v>42794</v>
      </c>
      <c r="G1183" s="1">
        <v>42883</v>
      </c>
      <c r="H1183">
        <v>0</v>
      </c>
      <c r="I1183" t="str">
        <f>IF(COUNTIF(Products!$A$2:$A$8,C1183)=0,C1183,"")</f>
        <v/>
      </c>
      <c r="J1183">
        <f>IF(OR(E1183="Prospecting",E1183="Engaging"),VLOOKUP(C1183,Products!$A$2:$C$8,3,FALSE),0)</f>
        <v>0</v>
      </c>
    </row>
    <row r="1184" spans="1:10" x14ac:dyDescent="0.25">
      <c r="A1184" t="s">
        <v>1351</v>
      </c>
      <c r="B1184" t="s">
        <v>193</v>
      </c>
      <c r="C1184" t="s">
        <v>127</v>
      </c>
      <c r="D1184" t="s">
        <v>112</v>
      </c>
      <c r="E1184" t="s">
        <v>138</v>
      </c>
      <c r="F1184" s="1">
        <v>42794</v>
      </c>
      <c r="G1184" s="1">
        <v>42887</v>
      </c>
      <c r="H1184">
        <v>1161</v>
      </c>
      <c r="I1184" t="str">
        <f>IF(COUNTIF(Products!$A$2:$A$8,C1184)=0,C1184,"")</f>
        <v/>
      </c>
      <c r="J1184">
        <f>IF(OR(E1184="Prospecting",E1184="Engaging"),VLOOKUP(C1184,Products!$A$2:$C$8,3,FALSE),0)</f>
        <v>0</v>
      </c>
    </row>
    <row r="1185" spans="1:10" x14ac:dyDescent="0.25">
      <c r="A1185" t="s">
        <v>1352</v>
      </c>
      <c r="B1185" t="s">
        <v>193</v>
      </c>
      <c r="C1185" t="s">
        <v>126</v>
      </c>
      <c r="D1185" t="s">
        <v>73</v>
      </c>
      <c r="E1185" t="s">
        <v>138</v>
      </c>
      <c r="F1185" s="1">
        <v>42794</v>
      </c>
      <c r="G1185" s="1">
        <v>42889</v>
      </c>
      <c r="H1185">
        <v>6046</v>
      </c>
      <c r="I1185" t="str">
        <f>IF(COUNTIF(Products!$A$2:$A$8,C1185)=0,C1185,"")</f>
        <v/>
      </c>
      <c r="J1185">
        <f>IF(OR(E1185="Prospecting",E1185="Engaging"),VLOOKUP(C1185,Products!$A$2:$C$8,3,FALSE),0)</f>
        <v>0</v>
      </c>
    </row>
    <row r="1186" spans="1:10" x14ac:dyDescent="0.25">
      <c r="A1186" t="s">
        <v>1353</v>
      </c>
      <c r="B1186" t="s">
        <v>169</v>
      </c>
      <c r="C1186" t="s">
        <v>123</v>
      </c>
      <c r="D1186" t="s">
        <v>36</v>
      </c>
      <c r="E1186" t="s">
        <v>138</v>
      </c>
      <c r="F1186" s="1">
        <v>42794</v>
      </c>
      <c r="G1186" s="1">
        <v>42873</v>
      </c>
      <c r="H1186">
        <v>49</v>
      </c>
      <c r="I1186" t="str">
        <f>IF(COUNTIF(Products!$A$2:$A$8,C1186)=0,C1186,"")</f>
        <v/>
      </c>
      <c r="J1186">
        <f>IF(OR(E1186="Prospecting",E1186="Engaging"),VLOOKUP(C1186,Products!$A$2:$C$8,3,FALSE),0)</f>
        <v>0</v>
      </c>
    </row>
    <row r="1187" spans="1:10" x14ac:dyDescent="0.25">
      <c r="A1187" t="s">
        <v>1354</v>
      </c>
      <c r="B1187" t="s">
        <v>146</v>
      </c>
      <c r="C1187" t="s">
        <v>123</v>
      </c>
      <c r="D1187" t="s">
        <v>28</v>
      </c>
      <c r="E1187" t="s">
        <v>138</v>
      </c>
      <c r="F1187" s="1">
        <v>42795</v>
      </c>
      <c r="G1187" s="1">
        <v>42883</v>
      </c>
      <c r="H1187">
        <v>51</v>
      </c>
      <c r="I1187" t="str">
        <f>IF(COUNTIF(Products!$A$2:$A$8,C1187)=0,C1187,"")</f>
        <v/>
      </c>
      <c r="J1187">
        <f>IF(OR(E1187="Prospecting",E1187="Engaging"),VLOOKUP(C1187,Products!$A$2:$C$8,3,FALSE),0)</f>
        <v>0</v>
      </c>
    </row>
    <row r="1188" spans="1:10" x14ac:dyDescent="0.25">
      <c r="A1188" t="s">
        <v>1355</v>
      </c>
      <c r="B1188" t="s">
        <v>146</v>
      </c>
      <c r="C1188" t="s">
        <v>125</v>
      </c>
      <c r="D1188" t="s">
        <v>61</v>
      </c>
      <c r="E1188" t="s">
        <v>138</v>
      </c>
      <c r="F1188" s="1">
        <v>42795</v>
      </c>
      <c r="G1188" s="1">
        <v>42912</v>
      </c>
      <c r="H1188">
        <v>3415</v>
      </c>
      <c r="I1188" t="str">
        <f>IF(COUNTIF(Products!$A$2:$A$8,C1188)=0,C1188,"")</f>
        <v/>
      </c>
      <c r="J1188">
        <f>IF(OR(E1188="Prospecting",E1188="Engaging"),VLOOKUP(C1188,Products!$A$2:$C$8,3,FALSE),0)</f>
        <v>0</v>
      </c>
    </row>
    <row r="1189" spans="1:10" x14ac:dyDescent="0.25">
      <c r="A1189" t="s">
        <v>1356</v>
      </c>
      <c r="B1189" t="s">
        <v>222</v>
      </c>
      <c r="C1189" t="s">
        <v>123</v>
      </c>
      <c r="D1189" t="s">
        <v>68</v>
      </c>
      <c r="E1189" t="s">
        <v>155</v>
      </c>
      <c r="F1189" s="1">
        <v>42795</v>
      </c>
      <c r="I1189" t="str">
        <f>IF(COUNTIF(Products!$A$2:$A$8,C1189)=0,C1189,"")</f>
        <v/>
      </c>
      <c r="J1189">
        <f>IF(OR(E1189="Prospecting",E1189="Engaging"),VLOOKUP(C1189,Products!$A$2:$C$8,3,FALSE),0)</f>
        <v>55</v>
      </c>
    </row>
    <row r="1190" spans="1:10" x14ac:dyDescent="0.25">
      <c r="A1190" t="s">
        <v>1357</v>
      </c>
      <c r="B1190" t="s">
        <v>222</v>
      </c>
      <c r="C1190" t="s">
        <v>127</v>
      </c>
      <c r="D1190" t="s">
        <v>67</v>
      </c>
      <c r="E1190" t="s">
        <v>138</v>
      </c>
      <c r="F1190" s="1">
        <v>42795</v>
      </c>
      <c r="G1190" s="1">
        <v>42804</v>
      </c>
      <c r="H1190">
        <v>1053</v>
      </c>
      <c r="I1190" t="str">
        <f>IF(COUNTIF(Products!$A$2:$A$8,C1190)=0,C1190,"")</f>
        <v/>
      </c>
      <c r="J1190">
        <f>IF(OR(E1190="Prospecting",E1190="Engaging"),VLOOKUP(C1190,Products!$A$2:$C$8,3,FALSE),0)</f>
        <v>0</v>
      </c>
    </row>
    <row r="1191" spans="1:10" x14ac:dyDescent="0.25">
      <c r="A1191" t="s">
        <v>1358</v>
      </c>
      <c r="B1191" t="s">
        <v>207</v>
      </c>
      <c r="C1191" t="s">
        <v>127</v>
      </c>
      <c r="D1191" t="s">
        <v>10</v>
      </c>
      <c r="E1191" t="s">
        <v>159</v>
      </c>
      <c r="F1191" s="1">
        <v>42795</v>
      </c>
      <c r="G1191" s="1">
        <v>42880</v>
      </c>
      <c r="H1191">
        <v>0</v>
      </c>
      <c r="I1191" t="str">
        <f>IF(COUNTIF(Products!$A$2:$A$8,C1191)=0,C1191,"")</f>
        <v/>
      </c>
      <c r="J1191">
        <f>IF(OR(E1191="Prospecting",E1191="Engaging"),VLOOKUP(C1191,Products!$A$2:$C$8,3,FALSE),0)</f>
        <v>0</v>
      </c>
    </row>
    <row r="1192" spans="1:10" x14ac:dyDescent="0.25">
      <c r="A1192" t="s">
        <v>1359</v>
      </c>
      <c r="B1192" t="s">
        <v>207</v>
      </c>
      <c r="C1192" t="s">
        <v>122</v>
      </c>
      <c r="D1192" t="s">
        <v>35</v>
      </c>
      <c r="E1192" t="s">
        <v>138</v>
      </c>
      <c r="F1192" s="1">
        <v>42795</v>
      </c>
      <c r="G1192" s="1">
        <v>42809</v>
      </c>
      <c r="H1192">
        <v>5068</v>
      </c>
      <c r="I1192" t="str">
        <f>IF(COUNTIF(Products!$A$2:$A$8,C1192)=0,C1192,"")</f>
        <v/>
      </c>
      <c r="J1192">
        <f>IF(OR(E1192="Prospecting",E1192="Engaging"),VLOOKUP(C1192,Products!$A$2:$C$8,3,FALSE),0)</f>
        <v>0</v>
      </c>
    </row>
    <row r="1193" spans="1:10" x14ac:dyDescent="0.25">
      <c r="A1193" t="s">
        <v>1360</v>
      </c>
      <c r="B1193" t="s">
        <v>207</v>
      </c>
      <c r="C1193" t="s">
        <v>122</v>
      </c>
      <c r="D1193" t="s">
        <v>25</v>
      </c>
      <c r="E1193" t="s">
        <v>138</v>
      </c>
      <c r="F1193" s="1">
        <v>42795</v>
      </c>
      <c r="G1193" s="1">
        <v>42916</v>
      </c>
      <c r="H1193">
        <v>4256</v>
      </c>
      <c r="I1193" t="str">
        <f>IF(COUNTIF(Products!$A$2:$A$8,C1193)=0,C1193,"")</f>
        <v/>
      </c>
      <c r="J1193">
        <f>IF(OR(E1193="Prospecting",E1193="Engaging"),VLOOKUP(C1193,Products!$A$2:$C$8,3,FALSE),0)</f>
        <v>0</v>
      </c>
    </row>
    <row r="1194" spans="1:10" x14ac:dyDescent="0.25">
      <c r="A1194" t="s">
        <v>1361</v>
      </c>
      <c r="B1194" t="s">
        <v>239</v>
      </c>
      <c r="C1194" t="s">
        <v>122</v>
      </c>
      <c r="E1194" t="s">
        <v>155</v>
      </c>
      <c r="F1194" s="1">
        <v>42795</v>
      </c>
      <c r="I1194" t="str">
        <f>IF(COUNTIF(Products!$A$2:$A$8,C1194)=0,C1194,"")</f>
        <v/>
      </c>
      <c r="J1194">
        <f>IF(OR(E1194="Prospecting",E1194="Engaging"),VLOOKUP(C1194,Products!$A$2:$C$8,3,FALSE),0)</f>
        <v>4821</v>
      </c>
    </row>
    <row r="1195" spans="1:10" x14ac:dyDescent="0.25">
      <c r="A1195" t="s">
        <v>1362</v>
      </c>
      <c r="B1195" t="s">
        <v>140</v>
      </c>
      <c r="C1195" t="s">
        <v>125</v>
      </c>
      <c r="D1195" t="s">
        <v>104</v>
      </c>
      <c r="E1195" t="s">
        <v>159</v>
      </c>
      <c r="F1195" s="1">
        <v>42795</v>
      </c>
      <c r="G1195" s="1">
        <v>42863</v>
      </c>
      <c r="H1195">
        <v>0</v>
      </c>
      <c r="I1195" t="str">
        <f>IF(COUNTIF(Products!$A$2:$A$8,C1195)=0,C1195,"")</f>
        <v/>
      </c>
      <c r="J1195">
        <f>IF(OR(E1195="Prospecting",E1195="Engaging"),VLOOKUP(C1195,Products!$A$2:$C$8,3,FALSE),0)</f>
        <v>0</v>
      </c>
    </row>
    <row r="1196" spans="1:10" x14ac:dyDescent="0.25">
      <c r="A1196" t="s">
        <v>1363</v>
      </c>
      <c r="B1196" t="s">
        <v>140</v>
      </c>
      <c r="C1196" t="s">
        <v>120</v>
      </c>
      <c r="D1196" t="s">
        <v>51</v>
      </c>
      <c r="E1196" t="s">
        <v>138</v>
      </c>
      <c r="F1196" s="1">
        <v>42795</v>
      </c>
      <c r="G1196" s="1">
        <v>42806</v>
      </c>
      <c r="H1196">
        <v>657</v>
      </c>
      <c r="I1196" t="str">
        <f>IF(COUNTIF(Products!$A$2:$A$8,C1196)=0,C1196,"")</f>
        <v/>
      </c>
      <c r="J1196">
        <f>IF(OR(E1196="Prospecting",E1196="Engaging"),VLOOKUP(C1196,Products!$A$2:$C$8,3,FALSE),0)</f>
        <v>0</v>
      </c>
    </row>
    <row r="1197" spans="1:10" x14ac:dyDescent="0.25">
      <c r="A1197" t="s">
        <v>1364</v>
      </c>
      <c r="B1197" t="s">
        <v>140</v>
      </c>
      <c r="C1197" t="s">
        <v>123</v>
      </c>
      <c r="D1197" t="s">
        <v>94</v>
      </c>
      <c r="E1197" t="s">
        <v>138</v>
      </c>
      <c r="F1197" s="1">
        <v>42795</v>
      </c>
      <c r="G1197" s="1">
        <v>42802</v>
      </c>
      <c r="H1197">
        <v>60</v>
      </c>
      <c r="I1197" t="str">
        <f>IF(COUNTIF(Products!$A$2:$A$8,C1197)=0,C1197,"")</f>
        <v/>
      </c>
      <c r="J1197">
        <f>IF(OR(E1197="Prospecting",E1197="Engaging"),VLOOKUP(C1197,Products!$A$2:$C$8,3,FALSE),0)</f>
        <v>0</v>
      </c>
    </row>
    <row r="1198" spans="1:10" x14ac:dyDescent="0.25">
      <c r="A1198" t="s">
        <v>1365</v>
      </c>
      <c r="B1198" t="s">
        <v>224</v>
      </c>
      <c r="C1198" t="s">
        <v>120</v>
      </c>
      <c r="D1198" t="s">
        <v>81</v>
      </c>
      <c r="E1198" t="s">
        <v>159</v>
      </c>
      <c r="F1198" s="1">
        <v>42795</v>
      </c>
      <c r="G1198" s="1">
        <v>42884</v>
      </c>
      <c r="H1198">
        <v>0</v>
      </c>
      <c r="I1198" t="str">
        <f>IF(COUNTIF(Products!$A$2:$A$8,C1198)=0,C1198,"")</f>
        <v/>
      </c>
      <c r="J1198">
        <f>IF(OR(E1198="Prospecting",E1198="Engaging"),VLOOKUP(C1198,Products!$A$2:$C$8,3,FALSE),0)</f>
        <v>0</v>
      </c>
    </row>
    <row r="1199" spans="1:10" x14ac:dyDescent="0.25">
      <c r="A1199" t="s">
        <v>1366</v>
      </c>
      <c r="B1199" t="s">
        <v>173</v>
      </c>
      <c r="C1199" t="s">
        <v>126</v>
      </c>
      <c r="D1199" t="s">
        <v>61</v>
      </c>
      <c r="E1199" t="s">
        <v>159</v>
      </c>
      <c r="F1199" s="1">
        <v>42795</v>
      </c>
      <c r="G1199" s="1">
        <v>42865</v>
      </c>
      <c r="H1199">
        <v>0</v>
      </c>
      <c r="I1199" t="str">
        <f>IF(COUNTIF(Products!$A$2:$A$8,C1199)=0,C1199,"")</f>
        <v/>
      </c>
      <c r="J1199">
        <f>IF(OR(E1199="Prospecting",E1199="Engaging"),VLOOKUP(C1199,Products!$A$2:$C$8,3,FALSE),0)</f>
        <v>0</v>
      </c>
    </row>
    <row r="1200" spans="1:10" x14ac:dyDescent="0.25">
      <c r="A1200" t="s">
        <v>1367</v>
      </c>
      <c r="B1200" t="s">
        <v>198</v>
      </c>
      <c r="C1200" t="s">
        <v>120</v>
      </c>
      <c r="D1200" t="s">
        <v>92</v>
      </c>
      <c r="E1200" t="s">
        <v>159</v>
      </c>
      <c r="F1200" s="1">
        <v>42795</v>
      </c>
      <c r="G1200" s="1">
        <v>42860</v>
      </c>
      <c r="H1200">
        <v>0</v>
      </c>
      <c r="I1200" t="str">
        <f>IF(COUNTIF(Products!$A$2:$A$8,C1200)=0,C1200,"")</f>
        <v/>
      </c>
      <c r="J1200">
        <f>IF(OR(E1200="Prospecting",E1200="Engaging"),VLOOKUP(C1200,Products!$A$2:$C$8,3,FALSE),0)</f>
        <v>0</v>
      </c>
    </row>
    <row r="1201" spans="1:10" x14ac:dyDescent="0.25">
      <c r="A1201" t="s">
        <v>1368</v>
      </c>
      <c r="B1201" t="s">
        <v>198</v>
      </c>
      <c r="C1201" t="s">
        <v>120</v>
      </c>
      <c r="D1201" t="s">
        <v>84</v>
      </c>
      <c r="E1201" t="s">
        <v>138</v>
      </c>
      <c r="F1201" s="1">
        <v>42795</v>
      </c>
      <c r="G1201" s="1">
        <v>42856</v>
      </c>
      <c r="H1201">
        <v>629</v>
      </c>
      <c r="I1201" t="str">
        <f>IF(COUNTIF(Products!$A$2:$A$8,C1201)=0,C1201,"")</f>
        <v/>
      </c>
      <c r="J1201">
        <f>IF(OR(E1201="Prospecting",E1201="Engaging"),VLOOKUP(C1201,Products!$A$2:$C$8,3,FALSE),0)</f>
        <v>0</v>
      </c>
    </row>
    <row r="1202" spans="1:10" x14ac:dyDescent="0.25">
      <c r="A1202" t="s">
        <v>1369</v>
      </c>
      <c r="B1202" t="s">
        <v>158</v>
      </c>
      <c r="C1202" t="s">
        <v>125</v>
      </c>
      <c r="D1202" t="s">
        <v>61</v>
      </c>
      <c r="E1202" t="s">
        <v>159</v>
      </c>
      <c r="F1202" s="1">
        <v>42795</v>
      </c>
      <c r="G1202" s="1">
        <v>42878</v>
      </c>
      <c r="H1202">
        <v>0</v>
      </c>
      <c r="I1202" t="str">
        <f>IF(COUNTIF(Products!$A$2:$A$8,C1202)=0,C1202,"")</f>
        <v/>
      </c>
      <c r="J1202">
        <f>IF(OR(E1202="Prospecting",E1202="Engaging"),VLOOKUP(C1202,Products!$A$2:$C$8,3,FALSE),0)</f>
        <v>0</v>
      </c>
    </row>
    <row r="1203" spans="1:10" x14ac:dyDescent="0.25">
      <c r="A1203" t="s">
        <v>1370</v>
      </c>
      <c r="B1203" t="s">
        <v>158</v>
      </c>
      <c r="C1203" t="s">
        <v>125</v>
      </c>
      <c r="D1203" t="s">
        <v>104</v>
      </c>
      <c r="E1203" t="s">
        <v>138</v>
      </c>
      <c r="F1203" s="1">
        <v>42795</v>
      </c>
      <c r="G1203" s="1">
        <v>42888</v>
      </c>
      <c r="H1203">
        <v>4082</v>
      </c>
      <c r="I1203" t="str">
        <f>IF(COUNTIF(Products!$A$2:$A$8,C1203)=0,C1203,"")</f>
        <v/>
      </c>
      <c r="J1203">
        <f>IF(OR(E1203="Prospecting",E1203="Engaging"),VLOOKUP(C1203,Products!$A$2:$C$8,3,FALSE),0)</f>
        <v>0</v>
      </c>
    </row>
    <row r="1204" spans="1:10" x14ac:dyDescent="0.25">
      <c r="A1204" t="s">
        <v>1371</v>
      </c>
      <c r="B1204" t="s">
        <v>217</v>
      </c>
      <c r="C1204" t="s">
        <v>127</v>
      </c>
      <c r="D1204" t="s">
        <v>89</v>
      </c>
      <c r="E1204" t="s">
        <v>138</v>
      </c>
      <c r="F1204" s="1">
        <v>42795</v>
      </c>
      <c r="G1204" s="1">
        <v>42886</v>
      </c>
      <c r="H1204">
        <v>1044</v>
      </c>
      <c r="I1204" t="str">
        <f>IF(COUNTIF(Products!$A$2:$A$8,C1204)=0,C1204,"")</f>
        <v/>
      </c>
      <c r="J1204">
        <f>IF(OR(E1204="Prospecting",E1204="Engaging"),VLOOKUP(C1204,Products!$A$2:$C$8,3,FALSE),0)</f>
        <v>0</v>
      </c>
    </row>
    <row r="1205" spans="1:10" x14ac:dyDescent="0.25">
      <c r="A1205" t="s">
        <v>1372</v>
      </c>
      <c r="B1205" t="s">
        <v>205</v>
      </c>
      <c r="C1205" t="s">
        <v>125</v>
      </c>
      <c r="D1205" t="s">
        <v>32</v>
      </c>
      <c r="E1205" t="s">
        <v>159</v>
      </c>
      <c r="F1205" s="1">
        <v>42795</v>
      </c>
      <c r="G1205" s="1">
        <v>42897</v>
      </c>
      <c r="H1205">
        <v>0</v>
      </c>
      <c r="I1205" t="str">
        <f>IF(COUNTIF(Products!$A$2:$A$8,C1205)=0,C1205,"")</f>
        <v/>
      </c>
      <c r="J1205">
        <f>IF(OR(E1205="Prospecting",E1205="Engaging"),VLOOKUP(C1205,Products!$A$2:$C$8,3,FALSE),0)</f>
        <v>0</v>
      </c>
    </row>
    <row r="1206" spans="1:10" x14ac:dyDescent="0.25">
      <c r="A1206" t="s">
        <v>1373</v>
      </c>
      <c r="B1206" t="s">
        <v>162</v>
      </c>
      <c r="C1206" t="s">
        <v>127</v>
      </c>
      <c r="D1206" t="s">
        <v>87</v>
      </c>
      <c r="E1206" t="s">
        <v>138</v>
      </c>
      <c r="F1206" s="1">
        <v>42795</v>
      </c>
      <c r="G1206" s="1">
        <v>42815</v>
      </c>
      <c r="H1206">
        <v>1025</v>
      </c>
      <c r="I1206" t="str">
        <f>IF(COUNTIF(Products!$A$2:$A$8,C1206)=0,C1206,"")</f>
        <v/>
      </c>
      <c r="J1206">
        <f>IF(OR(E1206="Prospecting",E1206="Engaging"),VLOOKUP(C1206,Products!$A$2:$C$8,3,FALSE),0)</f>
        <v>0</v>
      </c>
    </row>
    <row r="1207" spans="1:10" x14ac:dyDescent="0.25">
      <c r="A1207" t="s">
        <v>1374</v>
      </c>
      <c r="B1207" t="s">
        <v>137</v>
      </c>
      <c r="C1207" t="s">
        <v>120</v>
      </c>
      <c r="D1207" t="s">
        <v>96</v>
      </c>
      <c r="E1207" t="s">
        <v>138</v>
      </c>
      <c r="F1207" s="1">
        <v>42795</v>
      </c>
      <c r="G1207" s="1">
        <v>42903</v>
      </c>
      <c r="H1207">
        <v>465</v>
      </c>
      <c r="I1207" t="str">
        <f>IF(COUNTIF(Products!$A$2:$A$8,C1207)=0,C1207,"")</f>
        <v/>
      </c>
      <c r="J1207">
        <f>IF(OR(E1207="Prospecting",E1207="Engaging"),VLOOKUP(C1207,Products!$A$2:$C$8,3,FALSE),0)</f>
        <v>0</v>
      </c>
    </row>
    <row r="1208" spans="1:10" x14ac:dyDescent="0.25">
      <c r="A1208" t="s">
        <v>1375</v>
      </c>
      <c r="B1208" t="s">
        <v>137</v>
      </c>
      <c r="C1208" t="s">
        <v>123</v>
      </c>
      <c r="D1208" t="s">
        <v>70</v>
      </c>
      <c r="E1208" t="s">
        <v>138</v>
      </c>
      <c r="F1208" s="1">
        <v>42795</v>
      </c>
      <c r="G1208" s="1">
        <v>42900</v>
      </c>
      <c r="H1208">
        <v>50</v>
      </c>
      <c r="I1208" t="str">
        <f>IF(COUNTIF(Products!$A$2:$A$8,C1208)=0,C1208,"")</f>
        <v/>
      </c>
      <c r="J1208">
        <f>IF(OR(E1208="Prospecting",E1208="Engaging"),VLOOKUP(C1208,Products!$A$2:$C$8,3,FALSE),0)</f>
        <v>0</v>
      </c>
    </row>
    <row r="1209" spans="1:10" x14ac:dyDescent="0.25">
      <c r="A1209" t="s">
        <v>1376</v>
      </c>
      <c r="B1209" t="s">
        <v>193</v>
      </c>
      <c r="C1209" t="s">
        <v>126</v>
      </c>
      <c r="D1209" t="s">
        <v>106</v>
      </c>
      <c r="E1209" t="s">
        <v>138</v>
      </c>
      <c r="F1209" s="1">
        <v>42795</v>
      </c>
      <c r="G1209" s="1">
        <v>42803</v>
      </c>
      <c r="H1209">
        <v>5548</v>
      </c>
      <c r="I1209" t="str">
        <f>IF(COUNTIF(Products!$A$2:$A$8,C1209)=0,C1209,"")</f>
        <v/>
      </c>
      <c r="J1209">
        <f>IF(OR(E1209="Prospecting",E1209="Engaging"),VLOOKUP(C1209,Products!$A$2:$C$8,3,FALSE),0)</f>
        <v>0</v>
      </c>
    </row>
    <row r="1210" spans="1:10" x14ac:dyDescent="0.25">
      <c r="A1210" t="s">
        <v>1377</v>
      </c>
      <c r="B1210" t="s">
        <v>193</v>
      </c>
      <c r="C1210" t="s">
        <v>125</v>
      </c>
      <c r="D1210" t="s">
        <v>67</v>
      </c>
      <c r="E1210" t="s">
        <v>138</v>
      </c>
      <c r="F1210" s="1">
        <v>42795</v>
      </c>
      <c r="G1210" s="1">
        <v>42889</v>
      </c>
      <c r="H1210">
        <v>3558</v>
      </c>
      <c r="I1210" t="str">
        <f>IF(COUNTIF(Products!$A$2:$A$8,C1210)=0,C1210,"")</f>
        <v/>
      </c>
      <c r="J1210">
        <f>IF(OR(E1210="Prospecting",E1210="Engaging"),VLOOKUP(C1210,Products!$A$2:$C$8,3,FALSE),0)</f>
        <v>0</v>
      </c>
    </row>
    <row r="1211" spans="1:10" x14ac:dyDescent="0.25">
      <c r="A1211" t="s">
        <v>1378</v>
      </c>
      <c r="B1211" t="s">
        <v>166</v>
      </c>
      <c r="C1211" t="s">
        <v>125</v>
      </c>
      <c r="D1211" t="s">
        <v>93</v>
      </c>
      <c r="E1211" t="s">
        <v>138</v>
      </c>
      <c r="F1211" s="1">
        <v>42795</v>
      </c>
      <c r="G1211" s="1">
        <v>42801</v>
      </c>
      <c r="H1211">
        <v>3959</v>
      </c>
      <c r="I1211" t="str">
        <f>IF(COUNTIF(Products!$A$2:$A$8,C1211)=0,C1211,"")</f>
        <v/>
      </c>
      <c r="J1211">
        <f>IF(OR(E1211="Prospecting",E1211="Engaging"),VLOOKUP(C1211,Products!$A$2:$C$8,3,FALSE),0)</f>
        <v>0</v>
      </c>
    </row>
    <row r="1212" spans="1:10" x14ac:dyDescent="0.25">
      <c r="A1212" t="s">
        <v>1379</v>
      </c>
      <c r="B1212" t="s">
        <v>169</v>
      </c>
      <c r="C1212" t="s">
        <v>123</v>
      </c>
      <c r="D1212" t="s">
        <v>88</v>
      </c>
      <c r="E1212" t="s">
        <v>138</v>
      </c>
      <c r="F1212" s="1">
        <v>42795</v>
      </c>
      <c r="G1212" s="1">
        <v>42811</v>
      </c>
      <c r="H1212">
        <v>49</v>
      </c>
      <c r="I1212" t="str">
        <f>IF(COUNTIF(Products!$A$2:$A$8,C1212)=0,C1212,"")</f>
        <v/>
      </c>
      <c r="J1212">
        <f>IF(OR(E1212="Prospecting",E1212="Engaging"),VLOOKUP(C1212,Products!$A$2:$C$8,3,FALSE),0)</f>
        <v>0</v>
      </c>
    </row>
    <row r="1213" spans="1:10" x14ac:dyDescent="0.25">
      <c r="A1213" t="s">
        <v>1380</v>
      </c>
      <c r="B1213" t="s">
        <v>169</v>
      </c>
      <c r="C1213" t="s">
        <v>123</v>
      </c>
      <c r="D1213" t="s">
        <v>77</v>
      </c>
      <c r="E1213" t="s">
        <v>138</v>
      </c>
      <c r="F1213" s="1">
        <v>42795</v>
      </c>
      <c r="G1213" s="1">
        <v>42902</v>
      </c>
      <c r="H1213">
        <v>50</v>
      </c>
      <c r="I1213" t="str">
        <f>IF(COUNTIF(Products!$A$2:$A$8,C1213)=0,C1213,"")</f>
        <v/>
      </c>
      <c r="J1213">
        <f>IF(OR(E1213="Prospecting",E1213="Engaging"),VLOOKUP(C1213,Products!$A$2:$C$8,3,FALSE),0)</f>
        <v>0</v>
      </c>
    </row>
    <row r="1214" spans="1:10" x14ac:dyDescent="0.25">
      <c r="A1214" t="s">
        <v>1381</v>
      </c>
      <c r="B1214" t="s">
        <v>148</v>
      </c>
      <c r="C1214" t="s">
        <v>120</v>
      </c>
      <c r="D1214" t="s">
        <v>107</v>
      </c>
      <c r="E1214" t="s">
        <v>138</v>
      </c>
      <c r="F1214" s="1">
        <v>42795</v>
      </c>
      <c r="G1214" s="1">
        <v>42802</v>
      </c>
      <c r="H1214">
        <v>523</v>
      </c>
      <c r="I1214" t="str">
        <f>IF(COUNTIF(Products!$A$2:$A$8,C1214)=0,C1214,"")</f>
        <v/>
      </c>
      <c r="J1214">
        <f>IF(OR(E1214="Prospecting",E1214="Engaging"),VLOOKUP(C1214,Products!$A$2:$C$8,3,FALSE),0)</f>
        <v>0</v>
      </c>
    </row>
    <row r="1215" spans="1:10" x14ac:dyDescent="0.25">
      <c r="A1215" t="s">
        <v>1382</v>
      </c>
      <c r="B1215" t="s">
        <v>148</v>
      </c>
      <c r="C1215" t="s">
        <v>127</v>
      </c>
      <c r="D1215" t="s">
        <v>114</v>
      </c>
      <c r="E1215" t="s">
        <v>138</v>
      </c>
      <c r="F1215" s="1">
        <v>42795</v>
      </c>
      <c r="G1215" s="1">
        <v>42887</v>
      </c>
      <c r="H1215">
        <v>1086</v>
      </c>
      <c r="I1215" t="str">
        <f>IF(COUNTIF(Products!$A$2:$A$8,C1215)=0,C1215,"")</f>
        <v/>
      </c>
      <c r="J1215">
        <f>IF(OR(E1215="Prospecting",E1215="Engaging"),VLOOKUP(C1215,Products!$A$2:$C$8,3,FALSE),0)</f>
        <v>0</v>
      </c>
    </row>
    <row r="1216" spans="1:10" x14ac:dyDescent="0.25">
      <c r="A1216" t="s">
        <v>1383</v>
      </c>
      <c r="B1216" t="s">
        <v>148</v>
      </c>
      <c r="C1216" t="s">
        <v>122</v>
      </c>
      <c r="D1216" t="s">
        <v>56</v>
      </c>
      <c r="E1216" t="s">
        <v>138</v>
      </c>
      <c r="F1216" s="1">
        <v>42795</v>
      </c>
      <c r="G1216" s="1">
        <v>42803</v>
      </c>
      <c r="H1216">
        <v>4445</v>
      </c>
      <c r="I1216" t="str">
        <f>IF(COUNTIF(Products!$A$2:$A$8,C1216)=0,C1216,"")</f>
        <v/>
      </c>
      <c r="J1216">
        <f>IF(OR(E1216="Prospecting",E1216="Engaging"),VLOOKUP(C1216,Products!$A$2:$C$8,3,FALSE),0)</f>
        <v>0</v>
      </c>
    </row>
    <row r="1217" spans="1:10" x14ac:dyDescent="0.25">
      <c r="A1217" t="s">
        <v>1384</v>
      </c>
      <c r="B1217" t="s">
        <v>177</v>
      </c>
      <c r="C1217" t="s">
        <v>120</v>
      </c>
      <c r="D1217" t="s">
        <v>107</v>
      </c>
      <c r="E1217" t="s">
        <v>155</v>
      </c>
      <c r="F1217" s="1">
        <v>42795</v>
      </c>
      <c r="I1217" t="str">
        <f>IF(COUNTIF(Products!$A$2:$A$8,C1217)=0,C1217,"")</f>
        <v/>
      </c>
      <c r="J1217">
        <f>IF(OR(E1217="Prospecting",E1217="Engaging"),VLOOKUP(C1217,Products!$A$2:$C$8,3,FALSE),0)</f>
        <v>550</v>
      </c>
    </row>
    <row r="1218" spans="1:10" x14ac:dyDescent="0.25">
      <c r="A1218" t="s">
        <v>1385</v>
      </c>
      <c r="B1218" t="s">
        <v>177</v>
      </c>
      <c r="C1218" t="s">
        <v>122</v>
      </c>
      <c r="D1218" t="s">
        <v>105</v>
      </c>
      <c r="E1218" t="s">
        <v>138</v>
      </c>
      <c r="F1218" s="1">
        <v>42795</v>
      </c>
      <c r="G1218" s="1">
        <v>42910</v>
      </c>
      <c r="H1218">
        <v>4756</v>
      </c>
      <c r="I1218" t="str">
        <f>IF(COUNTIF(Products!$A$2:$A$8,C1218)=0,C1218,"")</f>
        <v/>
      </c>
      <c r="J1218">
        <f>IF(OR(E1218="Prospecting",E1218="Engaging"),VLOOKUP(C1218,Products!$A$2:$C$8,3,FALSE),0)</f>
        <v>0</v>
      </c>
    </row>
    <row r="1219" spans="1:10" x14ac:dyDescent="0.25">
      <c r="A1219" t="s">
        <v>1386</v>
      </c>
      <c r="B1219" t="s">
        <v>177</v>
      </c>
      <c r="C1219" t="s">
        <v>123</v>
      </c>
      <c r="D1219" t="s">
        <v>50</v>
      </c>
      <c r="E1219" t="s">
        <v>138</v>
      </c>
      <c r="F1219" s="1">
        <v>42795</v>
      </c>
      <c r="G1219" s="1">
        <v>42905</v>
      </c>
      <c r="H1219">
        <v>67</v>
      </c>
      <c r="I1219" t="str">
        <f>IF(COUNTIF(Products!$A$2:$A$8,C1219)=0,C1219,"")</f>
        <v/>
      </c>
      <c r="J1219">
        <f>IF(OR(E1219="Prospecting",E1219="Engaging"),VLOOKUP(C1219,Products!$A$2:$C$8,3,FALSE),0)</f>
        <v>0</v>
      </c>
    </row>
    <row r="1220" spans="1:10" x14ac:dyDescent="0.25">
      <c r="A1220" t="s">
        <v>1387</v>
      </c>
      <c r="B1220" t="s">
        <v>196</v>
      </c>
      <c r="C1220" t="s">
        <v>125</v>
      </c>
      <c r="D1220" t="s">
        <v>65</v>
      </c>
      <c r="E1220" t="s">
        <v>138</v>
      </c>
      <c r="F1220" s="1">
        <v>42795</v>
      </c>
      <c r="G1220" s="1">
        <v>42895</v>
      </c>
      <c r="H1220">
        <v>3783</v>
      </c>
      <c r="I1220" t="str">
        <f>IF(COUNTIF(Products!$A$2:$A$8,C1220)=0,C1220,"")</f>
        <v/>
      </c>
      <c r="J1220">
        <f>IF(OR(E1220="Prospecting",E1220="Engaging"),VLOOKUP(C1220,Products!$A$2:$C$8,3,FALSE),0)</f>
        <v>0</v>
      </c>
    </row>
    <row r="1221" spans="1:10" x14ac:dyDescent="0.25">
      <c r="A1221" t="s">
        <v>1388</v>
      </c>
      <c r="B1221" t="s">
        <v>144</v>
      </c>
      <c r="C1221" t="s">
        <v>122</v>
      </c>
      <c r="E1221" t="s">
        <v>155</v>
      </c>
      <c r="F1221" s="1">
        <v>42795</v>
      </c>
      <c r="I1221" t="str">
        <f>IF(COUNTIF(Products!$A$2:$A$8,C1221)=0,C1221,"")</f>
        <v/>
      </c>
      <c r="J1221">
        <f>IF(OR(E1221="Prospecting",E1221="Engaging"),VLOOKUP(C1221,Products!$A$2:$C$8,3,FALSE),0)</f>
        <v>4821</v>
      </c>
    </row>
    <row r="1222" spans="1:10" x14ac:dyDescent="0.25">
      <c r="A1222" t="s">
        <v>1389</v>
      </c>
      <c r="B1222" t="s">
        <v>144</v>
      </c>
      <c r="C1222" t="s">
        <v>120</v>
      </c>
      <c r="D1222" t="s">
        <v>34</v>
      </c>
      <c r="E1222" t="s">
        <v>159</v>
      </c>
      <c r="F1222" s="1">
        <v>42795</v>
      </c>
      <c r="G1222" s="1">
        <v>42886</v>
      </c>
      <c r="H1222">
        <v>0</v>
      </c>
      <c r="I1222" t="str">
        <f>IF(COUNTIF(Products!$A$2:$A$8,C1222)=0,C1222,"")</f>
        <v/>
      </c>
      <c r="J1222">
        <f>IF(OR(E1222="Prospecting",E1222="Engaging"),VLOOKUP(C1222,Products!$A$2:$C$8,3,FALSE),0)</f>
        <v>0</v>
      </c>
    </row>
    <row r="1223" spans="1:10" x14ac:dyDescent="0.25">
      <c r="A1223" t="s">
        <v>1390</v>
      </c>
      <c r="B1223" t="s">
        <v>144</v>
      </c>
      <c r="C1223" t="s">
        <v>126</v>
      </c>
      <c r="D1223" t="s">
        <v>87</v>
      </c>
      <c r="E1223" t="s">
        <v>159</v>
      </c>
      <c r="F1223" s="1">
        <v>42795</v>
      </c>
      <c r="G1223" s="1">
        <v>42913</v>
      </c>
      <c r="H1223">
        <v>0</v>
      </c>
      <c r="I1223" t="str">
        <f>IF(COUNTIF(Products!$A$2:$A$8,C1223)=0,C1223,"")</f>
        <v/>
      </c>
      <c r="J1223">
        <f>IF(OR(E1223="Prospecting",E1223="Engaging"),VLOOKUP(C1223,Products!$A$2:$C$8,3,FALSE),0)</f>
        <v>0</v>
      </c>
    </row>
    <row r="1224" spans="1:10" x14ac:dyDescent="0.25">
      <c r="A1224" t="s">
        <v>1391</v>
      </c>
      <c r="B1224" t="s">
        <v>146</v>
      </c>
      <c r="C1224" t="s">
        <v>125</v>
      </c>
      <c r="D1224" t="s">
        <v>36</v>
      </c>
      <c r="E1224" t="s">
        <v>159</v>
      </c>
      <c r="F1224" s="1">
        <v>42796</v>
      </c>
      <c r="G1224" s="1">
        <v>42886</v>
      </c>
      <c r="H1224">
        <v>0</v>
      </c>
      <c r="I1224" t="str">
        <f>IF(COUNTIF(Products!$A$2:$A$8,C1224)=0,C1224,"")</f>
        <v/>
      </c>
      <c r="J1224">
        <f>IF(OR(E1224="Prospecting",E1224="Engaging"),VLOOKUP(C1224,Products!$A$2:$C$8,3,FALSE),0)</f>
        <v>0</v>
      </c>
    </row>
    <row r="1225" spans="1:10" x14ac:dyDescent="0.25">
      <c r="A1225" t="s">
        <v>1392</v>
      </c>
      <c r="B1225" t="s">
        <v>146</v>
      </c>
      <c r="C1225" t="s">
        <v>120</v>
      </c>
      <c r="D1225" t="s">
        <v>28</v>
      </c>
      <c r="E1225" t="s">
        <v>138</v>
      </c>
      <c r="F1225" s="1">
        <v>42796</v>
      </c>
      <c r="G1225" s="1">
        <v>42806</v>
      </c>
      <c r="H1225">
        <v>522</v>
      </c>
      <c r="I1225" t="str">
        <f>IF(COUNTIF(Products!$A$2:$A$8,C1225)=0,C1225,"")</f>
        <v/>
      </c>
      <c r="J1225">
        <f>IF(OR(E1225="Prospecting",E1225="Engaging"),VLOOKUP(C1225,Products!$A$2:$C$8,3,FALSE),0)</f>
        <v>0</v>
      </c>
    </row>
    <row r="1226" spans="1:10" x14ac:dyDescent="0.25">
      <c r="A1226" t="s">
        <v>1393</v>
      </c>
      <c r="B1226" t="s">
        <v>222</v>
      </c>
      <c r="C1226" t="s">
        <v>127</v>
      </c>
      <c r="D1226" t="s">
        <v>68</v>
      </c>
      <c r="E1226" t="s">
        <v>138</v>
      </c>
      <c r="F1226" s="1">
        <v>42796</v>
      </c>
      <c r="G1226" s="1">
        <v>42812</v>
      </c>
      <c r="H1226">
        <v>1001</v>
      </c>
      <c r="I1226" t="str">
        <f>IF(COUNTIF(Products!$A$2:$A$8,C1226)=0,C1226,"")</f>
        <v/>
      </c>
      <c r="J1226">
        <f>IF(OR(E1226="Prospecting",E1226="Engaging"),VLOOKUP(C1226,Products!$A$2:$C$8,3,FALSE),0)</f>
        <v>0</v>
      </c>
    </row>
    <row r="1227" spans="1:10" x14ac:dyDescent="0.25">
      <c r="A1227" t="s">
        <v>1394</v>
      </c>
      <c r="B1227" t="s">
        <v>264</v>
      </c>
      <c r="C1227" t="s">
        <v>126</v>
      </c>
      <c r="D1227" t="s">
        <v>12</v>
      </c>
      <c r="E1227" t="s">
        <v>138</v>
      </c>
      <c r="F1227" s="1">
        <v>42796</v>
      </c>
      <c r="G1227" s="1">
        <v>42880</v>
      </c>
      <c r="H1227">
        <v>5728</v>
      </c>
      <c r="I1227" t="str">
        <f>IF(COUNTIF(Products!$A$2:$A$8,C1227)=0,C1227,"")</f>
        <v/>
      </c>
      <c r="J1227">
        <f>IF(OR(E1227="Prospecting",E1227="Engaging"),VLOOKUP(C1227,Products!$A$2:$C$8,3,FALSE),0)</f>
        <v>0</v>
      </c>
    </row>
    <row r="1228" spans="1:10" x14ac:dyDescent="0.25">
      <c r="A1228" t="s">
        <v>1395</v>
      </c>
      <c r="B1228" t="s">
        <v>140</v>
      </c>
      <c r="C1228" t="s">
        <v>126</v>
      </c>
      <c r="D1228" t="s">
        <v>26</v>
      </c>
      <c r="E1228" t="s">
        <v>138</v>
      </c>
      <c r="F1228" s="1">
        <v>42796</v>
      </c>
      <c r="G1228" s="1">
        <v>42905</v>
      </c>
      <c r="H1228">
        <v>4856</v>
      </c>
      <c r="I1228" t="str">
        <f>IF(COUNTIF(Products!$A$2:$A$8,C1228)=0,C1228,"")</f>
        <v/>
      </c>
      <c r="J1228">
        <f>IF(OR(E1228="Prospecting",E1228="Engaging"),VLOOKUP(C1228,Products!$A$2:$C$8,3,FALSE),0)</f>
        <v>0</v>
      </c>
    </row>
    <row r="1229" spans="1:10" x14ac:dyDescent="0.25">
      <c r="A1229" t="s">
        <v>1396</v>
      </c>
      <c r="B1229" t="s">
        <v>140</v>
      </c>
      <c r="C1229" t="s">
        <v>122</v>
      </c>
      <c r="D1229" t="s">
        <v>22</v>
      </c>
      <c r="E1229" t="s">
        <v>138</v>
      </c>
      <c r="F1229" s="1">
        <v>42796</v>
      </c>
      <c r="G1229" s="1">
        <v>42881</v>
      </c>
      <c r="H1229">
        <v>5570</v>
      </c>
      <c r="I1229" t="str">
        <f>IF(COUNTIF(Products!$A$2:$A$8,C1229)=0,C1229,"")</f>
        <v/>
      </c>
      <c r="J1229">
        <f>IF(OR(E1229="Prospecting",E1229="Engaging"),VLOOKUP(C1229,Products!$A$2:$C$8,3,FALSE),0)</f>
        <v>0</v>
      </c>
    </row>
    <row r="1230" spans="1:10" x14ac:dyDescent="0.25">
      <c r="A1230" t="s">
        <v>1397</v>
      </c>
      <c r="B1230" t="s">
        <v>140</v>
      </c>
      <c r="C1230" t="s">
        <v>125</v>
      </c>
      <c r="D1230" t="s">
        <v>28</v>
      </c>
      <c r="E1230" t="s">
        <v>138</v>
      </c>
      <c r="F1230" s="1">
        <v>42796</v>
      </c>
      <c r="G1230" s="1">
        <v>42881</v>
      </c>
      <c r="H1230">
        <v>3647</v>
      </c>
      <c r="I1230" t="str">
        <f>IF(COUNTIF(Products!$A$2:$A$8,C1230)=0,C1230,"")</f>
        <v/>
      </c>
      <c r="J1230">
        <f>IF(OR(E1230="Prospecting",E1230="Engaging"),VLOOKUP(C1230,Products!$A$2:$C$8,3,FALSE),0)</f>
        <v>0</v>
      </c>
    </row>
    <row r="1231" spans="1:10" x14ac:dyDescent="0.25">
      <c r="A1231" t="s">
        <v>1398</v>
      </c>
      <c r="B1231" t="s">
        <v>224</v>
      </c>
      <c r="C1231" t="s">
        <v>120</v>
      </c>
      <c r="D1231" t="s">
        <v>73</v>
      </c>
      <c r="E1231" t="s">
        <v>138</v>
      </c>
      <c r="F1231" s="1">
        <v>42796</v>
      </c>
      <c r="G1231" s="1">
        <v>42897</v>
      </c>
      <c r="H1231">
        <v>487</v>
      </c>
      <c r="I1231" t="str">
        <f>IF(COUNTIF(Products!$A$2:$A$8,C1231)=0,C1231,"")</f>
        <v/>
      </c>
      <c r="J1231">
        <f>IF(OR(E1231="Prospecting",E1231="Engaging"),VLOOKUP(C1231,Products!$A$2:$C$8,3,FALSE),0)</f>
        <v>0</v>
      </c>
    </row>
    <row r="1232" spans="1:10" x14ac:dyDescent="0.25">
      <c r="A1232" t="s">
        <v>1399</v>
      </c>
      <c r="B1232" t="s">
        <v>224</v>
      </c>
      <c r="C1232" t="s">
        <v>127</v>
      </c>
      <c r="D1232" t="s">
        <v>35</v>
      </c>
      <c r="E1232" t="s">
        <v>138</v>
      </c>
      <c r="F1232" s="1">
        <v>42796</v>
      </c>
      <c r="G1232" s="1">
        <v>42898</v>
      </c>
      <c r="H1232">
        <v>1166</v>
      </c>
      <c r="I1232" t="str">
        <f>IF(COUNTIF(Products!$A$2:$A$8,C1232)=0,C1232,"")</f>
        <v/>
      </c>
      <c r="J1232">
        <f>IF(OR(E1232="Prospecting",E1232="Engaging"),VLOOKUP(C1232,Products!$A$2:$C$8,3,FALSE),0)</f>
        <v>0</v>
      </c>
    </row>
    <row r="1233" spans="1:10" x14ac:dyDescent="0.25">
      <c r="A1233" t="s">
        <v>1400</v>
      </c>
      <c r="B1233" t="s">
        <v>173</v>
      </c>
      <c r="C1233" t="s">
        <v>125</v>
      </c>
      <c r="E1233" t="s">
        <v>155</v>
      </c>
      <c r="F1233" s="1">
        <v>42796</v>
      </c>
      <c r="I1233" t="str">
        <f>IF(COUNTIF(Products!$A$2:$A$8,C1233)=0,C1233,"")</f>
        <v/>
      </c>
      <c r="J1233">
        <f>IF(OR(E1233="Prospecting",E1233="Engaging"),VLOOKUP(C1233,Products!$A$2:$C$8,3,FALSE),0)</f>
        <v>3393</v>
      </c>
    </row>
    <row r="1234" spans="1:10" x14ac:dyDescent="0.25">
      <c r="A1234" t="s">
        <v>1401</v>
      </c>
      <c r="B1234" t="s">
        <v>303</v>
      </c>
      <c r="C1234" t="s">
        <v>120</v>
      </c>
      <c r="D1234" t="s">
        <v>91</v>
      </c>
      <c r="E1234" t="s">
        <v>138</v>
      </c>
      <c r="F1234" s="1">
        <v>42796</v>
      </c>
      <c r="G1234" s="1">
        <v>42892</v>
      </c>
      <c r="H1234">
        <v>595</v>
      </c>
      <c r="I1234" t="str">
        <f>IF(COUNTIF(Products!$A$2:$A$8,C1234)=0,C1234,"")</f>
        <v/>
      </c>
      <c r="J1234">
        <f>IF(OR(E1234="Prospecting",E1234="Engaging"),VLOOKUP(C1234,Products!$A$2:$C$8,3,FALSE),0)</f>
        <v>0</v>
      </c>
    </row>
    <row r="1235" spans="1:10" x14ac:dyDescent="0.25">
      <c r="A1235" t="s">
        <v>1402</v>
      </c>
      <c r="B1235" t="s">
        <v>180</v>
      </c>
      <c r="C1235" t="s">
        <v>123</v>
      </c>
      <c r="D1235" t="s">
        <v>27</v>
      </c>
      <c r="E1235" t="s">
        <v>138</v>
      </c>
      <c r="F1235" s="1">
        <v>42796</v>
      </c>
      <c r="G1235" s="1">
        <v>42890</v>
      </c>
      <c r="H1235">
        <v>49</v>
      </c>
      <c r="I1235" t="str">
        <f>IF(COUNTIF(Products!$A$2:$A$8,C1235)=0,C1235,"")</f>
        <v/>
      </c>
      <c r="J1235">
        <f>IF(OR(E1235="Prospecting",E1235="Engaging"),VLOOKUP(C1235,Products!$A$2:$C$8,3,FALSE),0)</f>
        <v>0</v>
      </c>
    </row>
    <row r="1236" spans="1:10" x14ac:dyDescent="0.25">
      <c r="A1236" t="s">
        <v>1403</v>
      </c>
      <c r="B1236" t="s">
        <v>191</v>
      </c>
      <c r="C1236" t="s">
        <v>120</v>
      </c>
      <c r="D1236" t="s">
        <v>107</v>
      </c>
      <c r="E1236" t="s">
        <v>138</v>
      </c>
      <c r="F1236" s="1">
        <v>42796</v>
      </c>
      <c r="G1236" s="1">
        <v>42813</v>
      </c>
      <c r="H1236">
        <v>599</v>
      </c>
      <c r="I1236" t="str">
        <f>IF(COUNTIF(Products!$A$2:$A$8,C1236)=0,C1236,"")</f>
        <v/>
      </c>
      <c r="J1236">
        <f>IF(OR(E1236="Prospecting",E1236="Engaging"),VLOOKUP(C1236,Products!$A$2:$C$8,3,FALSE),0)</f>
        <v>0</v>
      </c>
    </row>
    <row r="1237" spans="1:10" x14ac:dyDescent="0.25">
      <c r="A1237" t="s">
        <v>1404</v>
      </c>
      <c r="B1237" t="s">
        <v>191</v>
      </c>
      <c r="C1237" t="s">
        <v>122</v>
      </c>
      <c r="D1237" t="s">
        <v>67</v>
      </c>
      <c r="E1237" t="s">
        <v>138</v>
      </c>
      <c r="F1237" s="1">
        <v>42796</v>
      </c>
      <c r="G1237" s="1">
        <v>42870</v>
      </c>
      <c r="H1237">
        <v>4506</v>
      </c>
      <c r="I1237" t="str">
        <f>IF(COUNTIF(Products!$A$2:$A$8,C1237)=0,C1237,"")</f>
        <v/>
      </c>
      <c r="J1237">
        <f>IF(OR(E1237="Prospecting",E1237="Engaging"),VLOOKUP(C1237,Products!$A$2:$C$8,3,FALSE),0)</f>
        <v>0</v>
      </c>
    </row>
    <row r="1238" spans="1:10" x14ac:dyDescent="0.25">
      <c r="A1238" t="s">
        <v>1405</v>
      </c>
      <c r="B1238" t="s">
        <v>191</v>
      </c>
      <c r="C1238" t="s">
        <v>122</v>
      </c>
      <c r="D1238" t="s">
        <v>100</v>
      </c>
      <c r="E1238" t="s">
        <v>138</v>
      </c>
      <c r="F1238" s="1">
        <v>42796</v>
      </c>
      <c r="G1238" s="1">
        <v>42861</v>
      </c>
      <c r="H1238">
        <v>4512</v>
      </c>
      <c r="I1238" t="str">
        <f>IF(COUNTIF(Products!$A$2:$A$8,C1238)=0,C1238,"")</f>
        <v/>
      </c>
      <c r="J1238">
        <f>IF(OR(E1238="Prospecting",E1238="Engaging"),VLOOKUP(C1238,Products!$A$2:$C$8,3,FALSE),0)</f>
        <v>0</v>
      </c>
    </row>
    <row r="1239" spans="1:10" x14ac:dyDescent="0.25">
      <c r="A1239" t="s">
        <v>1406</v>
      </c>
      <c r="B1239" t="s">
        <v>217</v>
      </c>
      <c r="C1239" t="s">
        <v>120</v>
      </c>
      <c r="D1239" t="s">
        <v>55</v>
      </c>
      <c r="E1239" t="s">
        <v>159</v>
      </c>
      <c r="F1239" s="1">
        <v>42796</v>
      </c>
      <c r="G1239" s="1">
        <v>42856</v>
      </c>
      <c r="H1239">
        <v>0</v>
      </c>
      <c r="I1239" t="str">
        <f>IF(COUNTIF(Products!$A$2:$A$8,C1239)=0,C1239,"")</f>
        <v/>
      </c>
      <c r="J1239">
        <f>IF(OR(E1239="Prospecting",E1239="Engaging"),VLOOKUP(C1239,Products!$A$2:$C$8,3,FALSE),0)</f>
        <v>0</v>
      </c>
    </row>
    <row r="1240" spans="1:10" x14ac:dyDescent="0.25">
      <c r="A1240" t="s">
        <v>1407</v>
      </c>
      <c r="B1240" t="s">
        <v>162</v>
      </c>
      <c r="C1240" t="s">
        <v>127</v>
      </c>
      <c r="D1240" t="s">
        <v>75</v>
      </c>
      <c r="E1240" t="s">
        <v>138</v>
      </c>
      <c r="F1240" s="1">
        <v>42796</v>
      </c>
      <c r="G1240" s="1">
        <v>42861</v>
      </c>
      <c r="H1240">
        <v>1102</v>
      </c>
      <c r="I1240" t="str">
        <f>IF(COUNTIF(Products!$A$2:$A$8,C1240)=0,C1240,"")</f>
        <v/>
      </c>
      <c r="J1240">
        <f>IF(OR(E1240="Prospecting",E1240="Engaging"),VLOOKUP(C1240,Products!$A$2:$C$8,3,FALSE),0)</f>
        <v>0</v>
      </c>
    </row>
    <row r="1241" spans="1:10" x14ac:dyDescent="0.25">
      <c r="A1241" t="s">
        <v>1408</v>
      </c>
      <c r="B1241" t="s">
        <v>166</v>
      </c>
      <c r="C1241" t="s">
        <v>120</v>
      </c>
      <c r="E1241" t="s">
        <v>155</v>
      </c>
      <c r="F1241" s="1">
        <v>42796</v>
      </c>
      <c r="I1241" t="str">
        <f>IF(COUNTIF(Products!$A$2:$A$8,C1241)=0,C1241,"")</f>
        <v/>
      </c>
      <c r="J1241">
        <f>IF(OR(E1241="Prospecting",E1241="Engaging"),VLOOKUP(C1241,Products!$A$2:$C$8,3,FALSE),0)</f>
        <v>550</v>
      </c>
    </row>
    <row r="1242" spans="1:10" x14ac:dyDescent="0.25">
      <c r="A1242" t="s">
        <v>1409</v>
      </c>
      <c r="B1242" t="s">
        <v>166</v>
      </c>
      <c r="C1242" t="s">
        <v>120</v>
      </c>
      <c r="D1242" t="s">
        <v>87</v>
      </c>
      <c r="E1242" t="s">
        <v>159</v>
      </c>
      <c r="F1242" s="1">
        <v>42796</v>
      </c>
      <c r="G1242" s="1">
        <v>42896</v>
      </c>
      <c r="H1242">
        <v>0</v>
      </c>
      <c r="I1242" t="str">
        <f>IF(COUNTIF(Products!$A$2:$A$8,C1242)=0,C1242,"")</f>
        <v/>
      </c>
      <c r="J1242">
        <f>IF(OR(E1242="Prospecting",E1242="Engaging"),VLOOKUP(C1242,Products!$A$2:$C$8,3,FALSE),0)</f>
        <v>0</v>
      </c>
    </row>
    <row r="1243" spans="1:10" x14ac:dyDescent="0.25">
      <c r="A1243" t="s">
        <v>1410</v>
      </c>
      <c r="B1243" t="s">
        <v>169</v>
      </c>
      <c r="C1243" t="s">
        <v>123</v>
      </c>
      <c r="D1243" t="s">
        <v>27</v>
      </c>
      <c r="E1243" t="s">
        <v>138</v>
      </c>
      <c r="F1243" s="1">
        <v>42796</v>
      </c>
      <c r="G1243" s="1">
        <v>42867</v>
      </c>
      <c r="H1243">
        <v>54</v>
      </c>
      <c r="I1243" t="str">
        <f>IF(COUNTIF(Products!$A$2:$A$8,C1243)=0,C1243,"")</f>
        <v/>
      </c>
      <c r="J1243">
        <f>IF(OR(E1243="Prospecting",E1243="Engaging"),VLOOKUP(C1243,Products!$A$2:$C$8,3,FALSE),0)</f>
        <v>0</v>
      </c>
    </row>
    <row r="1244" spans="1:10" x14ac:dyDescent="0.25">
      <c r="A1244" t="s">
        <v>1411</v>
      </c>
      <c r="B1244" t="s">
        <v>169</v>
      </c>
      <c r="C1244" t="s">
        <v>123</v>
      </c>
      <c r="D1244" t="s">
        <v>61</v>
      </c>
      <c r="E1244" t="s">
        <v>138</v>
      </c>
      <c r="F1244" s="1">
        <v>42796</v>
      </c>
      <c r="G1244" s="1">
        <v>42811</v>
      </c>
      <c r="H1244">
        <v>62</v>
      </c>
      <c r="I1244" t="str">
        <f>IF(COUNTIF(Products!$A$2:$A$8,C1244)=0,C1244,"")</f>
        <v/>
      </c>
      <c r="J1244">
        <f>IF(OR(E1244="Prospecting",E1244="Engaging"),VLOOKUP(C1244,Products!$A$2:$C$8,3,FALSE),0)</f>
        <v>0</v>
      </c>
    </row>
    <row r="1245" spans="1:10" x14ac:dyDescent="0.25">
      <c r="A1245" t="s">
        <v>1412</v>
      </c>
      <c r="B1245" t="s">
        <v>148</v>
      </c>
      <c r="C1245" t="s">
        <v>120</v>
      </c>
      <c r="D1245" t="s">
        <v>87</v>
      </c>
      <c r="E1245" t="s">
        <v>155</v>
      </c>
      <c r="F1245" s="1">
        <v>42796</v>
      </c>
      <c r="I1245" t="str">
        <f>IF(COUNTIF(Products!$A$2:$A$8,C1245)=0,C1245,"")</f>
        <v/>
      </c>
      <c r="J1245">
        <f>IF(OR(E1245="Prospecting",E1245="Engaging"),VLOOKUP(C1245,Products!$A$2:$C$8,3,FALSE),0)</f>
        <v>550</v>
      </c>
    </row>
    <row r="1246" spans="1:10" x14ac:dyDescent="0.25">
      <c r="A1246" t="s">
        <v>1413</v>
      </c>
      <c r="B1246" t="s">
        <v>148</v>
      </c>
      <c r="C1246" t="s">
        <v>120</v>
      </c>
      <c r="E1246" t="s">
        <v>155</v>
      </c>
      <c r="F1246" s="1">
        <v>42796</v>
      </c>
      <c r="I1246" t="str">
        <f>IF(COUNTIF(Products!$A$2:$A$8,C1246)=0,C1246,"")</f>
        <v/>
      </c>
      <c r="J1246">
        <f>IF(OR(E1246="Prospecting",E1246="Engaging"),VLOOKUP(C1246,Products!$A$2:$C$8,3,FALSE),0)</f>
        <v>550</v>
      </c>
    </row>
    <row r="1247" spans="1:10" x14ac:dyDescent="0.25">
      <c r="A1247" t="s">
        <v>1414</v>
      </c>
      <c r="B1247" t="s">
        <v>148</v>
      </c>
      <c r="C1247" t="s">
        <v>123</v>
      </c>
      <c r="E1247" t="s">
        <v>155</v>
      </c>
      <c r="F1247" s="1">
        <v>42796</v>
      </c>
      <c r="I1247" t="str">
        <f>IF(COUNTIF(Products!$A$2:$A$8,C1247)=0,C1247,"")</f>
        <v/>
      </c>
      <c r="J1247">
        <f>IF(OR(E1247="Prospecting",E1247="Engaging"),VLOOKUP(C1247,Products!$A$2:$C$8,3,FALSE),0)</f>
        <v>55</v>
      </c>
    </row>
    <row r="1248" spans="1:10" x14ac:dyDescent="0.25">
      <c r="A1248" t="s">
        <v>1415</v>
      </c>
      <c r="B1248" t="s">
        <v>177</v>
      </c>
      <c r="C1248" t="s">
        <v>123</v>
      </c>
      <c r="D1248" t="s">
        <v>102</v>
      </c>
      <c r="E1248" t="s">
        <v>138</v>
      </c>
      <c r="F1248" s="1">
        <v>42796</v>
      </c>
      <c r="G1248" s="1">
        <v>42803</v>
      </c>
      <c r="H1248">
        <v>61</v>
      </c>
      <c r="I1248" t="str">
        <f>IF(COUNTIF(Products!$A$2:$A$8,C1248)=0,C1248,"")</f>
        <v/>
      </c>
      <c r="J1248">
        <f>IF(OR(E1248="Prospecting",E1248="Engaging"),VLOOKUP(C1248,Products!$A$2:$C$8,3,FALSE),0)</f>
        <v>0</v>
      </c>
    </row>
    <row r="1249" spans="1:10" x14ac:dyDescent="0.25">
      <c r="A1249" t="s">
        <v>1416</v>
      </c>
      <c r="B1249" t="s">
        <v>144</v>
      </c>
      <c r="C1249" t="s">
        <v>120</v>
      </c>
      <c r="E1249" t="s">
        <v>155</v>
      </c>
      <c r="F1249" s="1">
        <v>42796</v>
      </c>
      <c r="I1249" t="str">
        <f>IF(COUNTIF(Products!$A$2:$A$8,C1249)=0,C1249,"")</f>
        <v/>
      </c>
      <c r="J1249">
        <f>IF(OR(E1249="Prospecting",E1249="Engaging"),VLOOKUP(C1249,Products!$A$2:$C$8,3,FALSE),0)</f>
        <v>550</v>
      </c>
    </row>
    <row r="1250" spans="1:10" x14ac:dyDescent="0.25">
      <c r="A1250" t="s">
        <v>1417</v>
      </c>
      <c r="B1250" t="s">
        <v>144</v>
      </c>
      <c r="C1250" t="s">
        <v>122</v>
      </c>
      <c r="D1250" t="s">
        <v>93</v>
      </c>
      <c r="E1250" t="s">
        <v>159</v>
      </c>
      <c r="F1250" s="1">
        <v>42796</v>
      </c>
      <c r="G1250" s="1">
        <v>42878</v>
      </c>
      <c r="H1250">
        <v>0</v>
      </c>
      <c r="I1250" t="str">
        <f>IF(COUNTIF(Products!$A$2:$A$8,C1250)=0,C1250,"")</f>
        <v/>
      </c>
      <c r="J1250">
        <f>IF(OR(E1250="Prospecting",E1250="Engaging"),VLOOKUP(C1250,Products!$A$2:$C$8,3,FALSE),0)</f>
        <v>0</v>
      </c>
    </row>
    <row r="1251" spans="1:10" x14ac:dyDescent="0.25">
      <c r="A1251" t="s">
        <v>1418</v>
      </c>
      <c r="B1251" t="s">
        <v>144</v>
      </c>
      <c r="C1251" t="s">
        <v>122</v>
      </c>
      <c r="D1251" t="s">
        <v>71</v>
      </c>
      <c r="E1251" t="s">
        <v>138</v>
      </c>
      <c r="F1251" s="1">
        <v>42796</v>
      </c>
      <c r="G1251" s="1">
        <v>42810</v>
      </c>
      <c r="H1251">
        <v>4277</v>
      </c>
      <c r="I1251" t="str">
        <f>IF(COUNTIF(Products!$A$2:$A$8,C1251)=0,C1251,"")</f>
        <v/>
      </c>
      <c r="J1251">
        <f>IF(OR(E1251="Prospecting",E1251="Engaging"),VLOOKUP(C1251,Products!$A$2:$C$8,3,FALSE),0)</f>
        <v>0</v>
      </c>
    </row>
    <row r="1252" spans="1:10" x14ac:dyDescent="0.25">
      <c r="A1252" t="s">
        <v>1419</v>
      </c>
      <c r="B1252" t="s">
        <v>146</v>
      </c>
      <c r="C1252" t="s">
        <v>123</v>
      </c>
      <c r="D1252" t="s">
        <v>53</v>
      </c>
      <c r="E1252" t="s">
        <v>138</v>
      </c>
      <c r="F1252" s="1">
        <v>42797</v>
      </c>
      <c r="G1252" s="1">
        <v>42878</v>
      </c>
      <c r="H1252">
        <v>46</v>
      </c>
      <c r="I1252" t="str">
        <f>IF(COUNTIF(Products!$A$2:$A$8,C1252)=0,C1252,"")</f>
        <v/>
      </c>
      <c r="J1252">
        <f>IF(OR(E1252="Prospecting",E1252="Engaging"),VLOOKUP(C1252,Products!$A$2:$C$8,3,FALSE),0)</f>
        <v>0</v>
      </c>
    </row>
    <row r="1253" spans="1:10" x14ac:dyDescent="0.25">
      <c r="A1253" t="s">
        <v>1420</v>
      </c>
      <c r="B1253" t="s">
        <v>146</v>
      </c>
      <c r="C1253" t="s">
        <v>123</v>
      </c>
      <c r="D1253" t="s">
        <v>89</v>
      </c>
      <c r="E1253" t="s">
        <v>138</v>
      </c>
      <c r="F1253" s="1">
        <v>42797</v>
      </c>
      <c r="G1253" s="1">
        <v>42908</v>
      </c>
      <c r="H1253">
        <v>54</v>
      </c>
      <c r="I1253" t="str">
        <f>IF(COUNTIF(Products!$A$2:$A$8,C1253)=0,C1253,"")</f>
        <v/>
      </c>
      <c r="J1253">
        <f>IF(OR(E1253="Prospecting",E1253="Engaging"),VLOOKUP(C1253,Products!$A$2:$C$8,3,FALSE),0)</f>
        <v>0</v>
      </c>
    </row>
    <row r="1254" spans="1:10" x14ac:dyDescent="0.25">
      <c r="A1254" t="s">
        <v>1421</v>
      </c>
      <c r="B1254" t="s">
        <v>222</v>
      </c>
      <c r="C1254" t="s">
        <v>126</v>
      </c>
      <c r="D1254" t="s">
        <v>35</v>
      </c>
      <c r="E1254" t="s">
        <v>138</v>
      </c>
      <c r="F1254" s="1">
        <v>42797</v>
      </c>
      <c r="G1254" s="1">
        <v>42894</v>
      </c>
      <c r="H1254">
        <v>6173</v>
      </c>
      <c r="I1254" t="str">
        <f>IF(COUNTIF(Products!$A$2:$A$8,C1254)=0,C1254,"")</f>
        <v/>
      </c>
      <c r="J1254">
        <f>IF(OR(E1254="Prospecting",E1254="Engaging"),VLOOKUP(C1254,Products!$A$2:$C$8,3,FALSE),0)</f>
        <v>0</v>
      </c>
    </row>
    <row r="1255" spans="1:10" x14ac:dyDescent="0.25">
      <c r="A1255" t="s">
        <v>1422</v>
      </c>
      <c r="B1255" t="s">
        <v>207</v>
      </c>
      <c r="C1255" t="s">
        <v>122</v>
      </c>
      <c r="D1255" t="s">
        <v>53</v>
      </c>
      <c r="E1255" t="s">
        <v>155</v>
      </c>
      <c r="F1255" s="1">
        <v>42797</v>
      </c>
      <c r="I1255" t="str">
        <f>IF(COUNTIF(Products!$A$2:$A$8,C1255)=0,C1255,"")</f>
        <v/>
      </c>
      <c r="J1255">
        <f>IF(OR(E1255="Prospecting",E1255="Engaging"),VLOOKUP(C1255,Products!$A$2:$C$8,3,FALSE),0)</f>
        <v>4821</v>
      </c>
    </row>
    <row r="1256" spans="1:10" x14ac:dyDescent="0.25">
      <c r="A1256" t="s">
        <v>1423</v>
      </c>
      <c r="B1256" t="s">
        <v>207</v>
      </c>
      <c r="C1256" t="s">
        <v>125</v>
      </c>
      <c r="D1256" t="s">
        <v>48</v>
      </c>
      <c r="E1256" t="s">
        <v>159</v>
      </c>
      <c r="F1256" s="1">
        <v>42797</v>
      </c>
      <c r="G1256" s="1">
        <v>42815</v>
      </c>
      <c r="H1256">
        <v>0</v>
      </c>
      <c r="I1256" t="str">
        <f>IF(COUNTIF(Products!$A$2:$A$8,C1256)=0,C1256,"")</f>
        <v/>
      </c>
      <c r="J1256">
        <f>IF(OR(E1256="Prospecting",E1256="Engaging"),VLOOKUP(C1256,Products!$A$2:$C$8,3,FALSE),0)</f>
        <v>0</v>
      </c>
    </row>
    <row r="1257" spans="1:10" x14ac:dyDescent="0.25">
      <c r="A1257" t="s">
        <v>1424</v>
      </c>
      <c r="B1257" t="s">
        <v>171</v>
      </c>
      <c r="C1257" t="s">
        <v>122</v>
      </c>
      <c r="D1257" t="s">
        <v>98</v>
      </c>
      <c r="E1257" t="s">
        <v>159</v>
      </c>
      <c r="F1257" s="1">
        <v>42797</v>
      </c>
      <c r="G1257" s="1">
        <v>42897</v>
      </c>
      <c r="H1257">
        <v>0</v>
      </c>
      <c r="I1257" t="str">
        <f>IF(COUNTIF(Products!$A$2:$A$8,C1257)=0,C1257,"")</f>
        <v/>
      </c>
      <c r="J1257">
        <f>IF(OR(E1257="Prospecting",E1257="Engaging"),VLOOKUP(C1257,Products!$A$2:$C$8,3,FALSE),0)</f>
        <v>0</v>
      </c>
    </row>
    <row r="1258" spans="1:10" x14ac:dyDescent="0.25">
      <c r="A1258" t="s">
        <v>1425</v>
      </c>
      <c r="B1258" t="s">
        <v>140</v>
      </c>
      <c r="C1258" t="s">
        <v>122</v>
      </c>
      <c r="D1258" t="s">
        <v>103</v>
      </c>
      <c r="E1258" t="s">
        <v>159</v>
      </c>
      <c r="F1258" s="1">
        <v>42797</v>
      </c>
      <c r="G1258" s="1">
        <v>42871</v>
      </c>
      <c r="H1258">
        <v>0</v>
      </c>
      <c r="I1258" t="str">
        <f>IF(COUNTIF(Products!$A$2:$A$8,C1258)=0,C1258,"")</f>
        <v/>
      </c>
      <c r="J1258">
        <f>IF(OR(E1258="Prospecting",E1258="Engaging"),VLOOKUP(C1258,Products!$A$2:$C$8,3,FALSE),0)</f>
        <v>0</v>
      </c>
    </row>
    <row r="1259" spans="1:10" x14ac:dyDescent="0.25">
      <c r="A1259" t="s">
        <v>1426</v>
      </c>
      <c r="B1259" t="s">
        <v>140</v>
      </c>
      <c r="C1259" t="s">
        <v>127</v>
      </c>
      <c r="D1259" t="s">
        <v>70</v>
      </c>
      <c r="E1259" t="s">
        <v>138</v>
      </c>
      <c r="F1259" s="1">
        <v>42797</v>
      </c>
      <c r="G1259" s="1">
        <v>42883</v>
      </c>
      <c r="H1259">
        <v>1149</v>
      </c>
      <c r="I1259" t="str">
        <f>IF(COUNTIF(Products!$A$2:$A$8,C1259)=0,C1259,"")</f>
        <v/>
      </c>
      <c r="J1259">
        <f>IF(OR(E1259="Prospecting",E1259="Engaging"),VLOOKUP(C1259,Products!$A$2:$C$8,3,FALSE),0)</f>
        <v>0</v>
      </c>
    </row>
    <row r="1260" spans="1:10" x14ac:dyDescent="0.25">
      <c r="A1260" t="s">
        <v>1427</v>
      </c>
      <c r="B1260" t="s">
        <v>198</v>
      </c>
      <c r="C1260" t="s">
        <v>120</v>
      </c>
      <c r="D1260" t="s">
        <v>92</v>
      </c>
      <c r="E1260" t="s">
        <v>159</v>
      </c>
      <c r="F1260" s="1">
        <v>42797</v>
      </c>
      <c r="G1260" s="1">
        <v>42859</v>
      </c>
      <c r="H1260">
        <v>0</v>
      </c>
      <c r="I1260" t="str">
        <f>IF(COUNTIF(Products!$A$2:$A$8,C1260)=0,C1260,"")</f>
        <v/>
      </c>
      <c r="J1260">
        <f>IF(OR(E1260="Prospecting",E1260="Engaging"),VLOOKUP(C1260,Products!$A$2:$C$8,3,FALSE),0)</f>
        <v>0</v>
      </c>
    </row>
    <row r="1261" spans="1:10" x14ac:dyDescent="0.25">
      <c r="A1261" t="s">
        <v>1428</v>
      </c>
      <c r="B1261" t="s">
        <v>303</v>
      </c>
      <c r="C1261" t="s">
        <v>127</v>
      </c>
      <c r="D1261" t="s">
        <v>36</v>
      </c>
      <c r="E1261" t="s">
        <v>159</v>
      </c>
      <c r="F1261" s="1">
        <v>42797</v>
      </c>
      <c r="G1261" s="1">
        <v>42810</v>
      </c>
      <c r="H1261">
        <v>0</v>
      </c>
      <c r="I1261" t="str">
        <f>IF(COUNTIF(Products!$A$2:$A$8,C1261)=0,C1261,"")</f>
        <v/>
      </c>
      <c r="J1261">
        <f>IF(OR(E1261="Prospecting",E1261="Engaging"),VLOOKUP(C1261,Products!$A$2:$C$8,3,FALSE),0)</f>
        <v>0</v>
      </c>
    </row>
    <row r="1262" spans="1:10" x14ac:dyDescent="0.25">
      <c r="A1262" t="s">
        <v>1429</v>
      </c>
      <c r="B1262" t="s">
        <v>191</v>
      </c>
      <c r="C1262" t="s">
        <v>122</v>
      </c>
      <c r="E1262" t="s">
        <v>155</v>
      </c>
      <c r="F1262" s="1">
        <v>42797</v>
      </c>
      <c r="I1262" t="str">
        <f>IF(COUNTIF(Products!$A$2:$A$8,C1262)=0,C1262,"")</f>
        <v/>
      </c>
      <c r="J1262">
        <f>IF(OR(E1262="Prospecting",E1262="Engaging"),VLOOKUP(C1262,Products!$A$2:$C$8,3,FALSE),0)</f>
        <v>4821</v>
      </c>
    </row>
    <row r="1263" spans="1:10" x14ac:dyDescent="0.25">
      <c r="A1263" t="s">
        <v>1430</v>
      </c>
      <c r="B1263" t="s">
        <v>191</v>
      </c>
      <c r="C1263" t="s">
        <v>120</v>
      </c>
      <c r="D1263" t="s">
        <v>56</v>
      </c>
      <c r="E1263" t="s">
        <v>138</v>
      </c>
      <c r="F1263" s="1">
        <v>42797</v>
      </c>
      <c r="G1263" s="1">
        <v>42877</v>
      </c>
      <c r="H1263">
        <v>568</v>
      </c>
      <c r="I1263" t="str">
        <f>IF(COUNTIF(Products!$A$2:$A$8,C1263)=0,C1263,"")</f>
        <v/>
      </c>
      <c r="J1263">
        <f>IF(OR(E1263="Prospecting",E1263="Engaging"),VLOOKUP(C1263,Products!$A$2:$C$8,3,FALSE),0)</f>
        <v>0</v>
      </c>
    </row>
    <row r="1264" spans="1:10" x14ac:dyDescent="0.25">
      <c r="A1264" t="s">
        <v>1431</v>
      </c>
      <c r="B1264" t="s">
        <v>191</v>
      </c>
      <c r="C1264" t="s">
        <v>120</v>
      </c>
      <c r="D1264" t="s">
        <v>66</v>
      </c>
      <c r="E1264" t="s">
        <v>138</v>
      </c>
      <c r="F1264" s="1">
        <v>42797</v>
      </c>
      <c r="G1264" s="1">
        <v>42885</v>
      </c>
      <c r="H1264">
        <v>567</v>
      </c>
      <c r="I1264" t="str">
        <f>IF(COUNTIF(Products!$A$2:$A$8,C1264)=0,C1264,"")</f>
        <v/>
      </c>
      <c r="J1264">
        <f>IF(OR(E1264="Prospecting",E1264="Engaging"),VLOOKUP(C1264,Products!$A$2:$C$8,3,FALSE),0)</f>
        <v>0</v>
      </c>
    </row>
    <row r="1265" spans="1:10" x14ac:dyDescent="0.25">
      <c r="A1265" t="s">
        <v>1432</v>
      </c>
      <c r="B1265" t="s">
        <v>217</v>
      </c>
      <c r="C1265" t="s">
        <v>120</v>
      </c>
      <c r="D1265" t="s">
        <v>51</v>
      </c>
      <c r="E1265" t="s">
        <v>138</v>
      </c>
      <c r="F1265" s="1">
        <v>42797</v>
      </c>
      <c r="G1265" s="1">
        <v>42803</v>
      </c>
      <c r="H1265">
        <v>542</v>
      </c>
      <c r="I1265" t="str">
        <f>IF(COUNTIF(Products!$A$2:$A$8,C1265)=0,C1265,"")</f>
        <v/>
      </c>
      <c r="J1265">
        <f>IF(OR(E1265="Prospecting",E1265="Engaging"),VLOOKUP(C1265,Products!$A$2:$C$8,3,FALSE),0)</f>
        <v>0</v>
      </c>
    </row>
    <row r="1266" spans="1:10" x14ac:dyDescent="0.25">
      <c r="A1266" t="s">
        <v>1433</v>
      </c>
      <c r="B1266" t="s">
        <v>205</v>
      </c>
      <c r="C1266" t="s">
        <v>120</v>
      </c>
      <c r="D1266" t="s">
        <v>28</v>
      </c>
      <c r="E1266" t="s">
        <v>159</v>
      </c>
      <c r="F1266" s="1">
        <v>42797</v>
      </c>
      <c r="G1266" s="1">
        <v>42883</v>
      </c>
      <c r="H1266">
        <v>0</v>
      </c>
      <c r="I1266" t="str">
        <f>IF(COUNTIF(Products!$A$2:$A$8,C1266)=0,C1266,"")</f>
        <v/>
      </c>
      <c r="J1266">
        <f>IF(OR(E1266="Prospecting",E1266="Engaging"),VLOOKUP(C1266,Products!$A$2:$C$8,3,FALSE),0)</f>
        <v>0</v>
      </c>
    </row>
    <row r="1267" spans="1:10" x14ac:dyDescent="0.25">
      <c r="A1267" t="s">
        <v>1434</v>
      </c>
      <c r="B1267" t="s">
        <v>205</v>
      </c>
      <c r="C1267" t="s">
        <v>127</v>
      </c>
      <c r="D1267" t="s">
        <v>46</v>
      </c>
      <c r="E1267" t="s">
        <v>138</v>
      </c>
      <c r="F1267" s="1">
        <v>42797</v>
      </c>
      <c r="G1267" s="1">
        <v>42810</v>
      </c>
      <c r="H1267">
        <v>1062</v>
      </c>
      <c r="I1267" t="str">
        <f>IF(COUNTIF(Products!$A$2:$A$8,C1267)=0,C1267,"")</f>
        <v/>
      </c>
      <c r="J1267">
        <f>IF(OR(E1267="Prospecting",E1267="Engaging"),VLOOKUP(C1267,Products!$A$2:$C$8,3,FALSE),0)</f>
        <v>0</v>
      </c>
    </row>
    <row r="1268" spans="1:10" x14ac:dyDescent="0.25">
      <c r="A1268" t="s">
        <v>1435</v>
      </c>
      <c r="B1268" t="s">
        <v>162</v>
      </c>
      <c r="C1268" t="s">
        <v>127</v>
      </c>
      <c r="D1268" t="s">
        <v>38</v>
      </c>
      <c r="E1268" t="s">
        <v>138</v>
      </c>
      <c r="F1268" s="1">
        <v>42797</v>
      </c>
      <c r="G1268" s="1">
        <v>42807</v>
      </c>
      <c r="H1268">
        <v>1057</v>
      </c>
      <c r="I1268" t="str">
        <f>IF(COUNTIF(Products!$A$2:$A$8,C1268)=0,C1268,"")</f>
        <v/>
      </c>
      <c r="J1268">
        <f>IF(OR(E1268="Prospecting",E1268="Engaging"),VLOOKUP(C1268,Products!$A$2:$C$8,3,FALSE),0)</f>
        <v>0</v>
      </c>
    </row>
    <row r="1269" spans="1:10" x14ac:dyDescent="0.25">
      <c r="A1269" t="s">
        <v>1436</v>
      </c>
      <c r="B1269" t="s">
        <v>137</v>
      </c>
      <c r="C1269" t="s">
        <v>127</v>
      </c>
      <c r="D1269" t="s">
        <v>53</v>
      </c>
      <c r="E1269" t="s">
        <v>138</v>
      </c>
      <c r="F1269" s="1">
        <v>42797</v>
      </c>
      <c r="G1269" s="1">
        <v>42887</v>
      </c>
      <c r="H1269">
        <v>1020</v>
      </c>
      <c r="I1269" t="str">
        <f>IF(COUNTIF(Products!$A$2:$A$8,C1269)=0,C1269,"")</f>
        <v/>
      </c>
      <c r="J1269">
        <f>IF(OR(E1269="Prospecting",E1269="Engaging"),VLOOKUP(C1269,Products!$A$2:$C$8,3,FALSE),0)</f>
        <v>0</v>
      </c>
    </row>
    <row r="1270" spans="1:10" x14ac:dyDescent="0.25">
      <c r="A1270" t="s">
        <v>1437</v>
      </c>
      <c r="B1270" t="s">
        <v>148</v>
      </c>
      <c r="C1270" t="s">
        <v>123</v>
      </c>
      <c r="E1270" t="s">
        <v>155</v>
      </c>
      <c r="F1270" s="1">
        <v>42797</v>
      </c>
      <c r="I1270" t="str">
        <f>IF(COUNTIF(Products!$A$2:$A$8,C1270)=0,C1270,"")</f>
        <v/>
      </c>
      <c r="J1270">
        <f>IF(OR(E1270="Prospecting",E1270="Engaging"),VLOOKUP(C1270,Products!$A$2:$C$8,3,FALSE),0)</f>
        <v>55</v>
      </c>
    </row>
    <row r="1271" spans="1:10" x14ac:dyDescent="0.25">
      <c r="A1271" t="s">
        <v>1438</v>
      </c>
      <c r="B1271" t="s">
        <v>196</v>
      </c>
      <c r="C1271" t="s">
        <v>126</v>
      </c>
      <c r="E1271" t="s">
        <v>155</v>
      </c>
      <c r="F1271" s="1">
        <v>42797</v>
      </c>
      <c r="I1271" t="str">
        <f>IF(COUNTIF(Products!$A$2:$A$8,C1271)=0,C1271,"")</f>
        <v/>
      </c>
      <c r="J1271">
        <f>IF(OR(E1271="Prospecting",E1271="Engaging"),VLOOKUP(C1271,Products!$A$2:$C$8,3,FALSE),0)</f>
        <v>5482</v>
      </c>
    </row>
    <row r="1272" spans="1:10" x14ac:dyDescent="0.25">
      <c r="A1272" t="s">
        <v>1439</v>
      </c>
      <c r="B1272" t="s">
        <v>144</v>
      </c>
      <c r="C1272" t="s">
        <v>120</v>
      </c>
      <c r="E1272" t="s">
        <v>155</v>
      </c>
      <c r="F1272" s="1">
        <v>42797</v>
      </c>
      <c r="I1272" t="str">
        <f>IF(COUNTIF(Products!$A$2:$A$8,C1272)=0,C1272,"")</f>
        <v/>
      </c>
      <c r="J1272">
        <f>IF(OR(E1272="Prospecting",E1272="Engaging"),VLOOKUP(C1272,Products!$A$2:$C$8,3,FALSE),0)</f>
        <v>550</v>
      </c>
    </row>
    <row r="1273" spans="1:10" x14ac:dyDescent="0.25">
      <c r="A1273" t="s">
        <v>1440</v>
      </c>
      <c r="B1273" t="s">
        <v>144</v>
      </c>
      <c r="C1273" t="s">
        <v>120</v>
      </c>
      <c r="D1273" t="s">
        <v>57</v>
      </c>
      <c r="E1273" t="s">
        <v>138</v>
      </c>
      <c r="F1273" s="1">
        <v>42797</v>
      </c>
      <c r="G1273" s="1">
        <v>42866</v>
      </c>
      <c r="H1273">
        <v>535</v>
      </c>
      <c r="I1273" t="str">
        <f>IF(COUNTIF(Products!$A$2:$A$8,C1273)=0,C1273,"")</f>
        <v/>
      </c>
      <c r="J1273">
        <f>IF(OR(E1273="Prospecting",E1273="Engaging"),VLOOKUP(C1273,Products!$A$2:$C$8,3,FALSE),0)</f>
        <v>0</v>
      </c>
    </row>
    <row r="1274" spans="1:10" x14ac:dyDescent="0.25">
      <c r="A1274" t="s">
        <v>1441</v>
      </c>
      <c r="B1274" t="s">
        <v>146</v>
      </c>
      <c r="C1274" t="s">
        <v>120</v>
      </c>
      <c r="D1274" t="s">
        <v>26</v>
      </c>
      <c r="E1274" t="s">
        <v>138</v>
      </c>
      <c r="F1274" s="1">
        <v>42798</v>
      </c>
      <c r="G1274" s="1">
        <v>42899</v>
      </c>
      <c r="H1274">
        <v>522</v>
      </c>
      <c r="I1274" t="str">
        <f>IF(COUNTIF(Products!$A$2:$A$8,C1274)=0,C1274,"")</f>
        <v/>
      </c>
      <c r="J1274">
        <f>IF(OR(E1274="Prospecting",E1274="Engaging"),VLOOKUP(C1274,Products!$A$2:$C$8,3,FALSE),0)</f>
        <v>0</v>
      </c>
    </row>
    <row r="1275" spans="1:10" x14ac:dyDescent="0.25">
      <c r="A1275" t="s">
        <v>1442</v>
      </c>
      <c r="B1275" t="s">
        <v>146</v>
      </c>
      <c r="C1275" t="s">
        <v>120</v>
      </c>
      <c r="D1275" t="s">
        <v>85</v>
      </c>
      <c r="E1275" t="s">
        <v>138</v>
      </c>
      <c r="F1275" s="1">
        <v>42798</v>
      </c>
      <c r="G1275" s="1">
        <v>42869</v>
      </c>
      <c r="H1275">
        <v>544</v>
      </c>
      <c r="I1275" t="str">
        <f>IF(COUNTIF(Products!$A$2:$A$8,C1275)=0,C1275,"")</f>
        <v/>
      </c>
      <c r="J1275">
        <f>IF(OR(E1275="Prospecting",E1275="Engaging"),VLOOKUP(C1275,Products!$A$2:$C$8,3,FALSE),0)</f>
        <v>0</v>
      </c>
    </row>
    <row r="1276" spans="1:10" x14ac:dyDescent="0.25">
      <c r="A1276" t="s">
        <v>1443</v>
      </c>
      <c r="B1276" t="s">
        <v>146</v>
      </c>
      <c r="C1276" t="s">
        <v>125</v>
      </c>
      <c r="D1276" t="s">
        <v>51</v>
      </c>
      <c r="E1276" t="s">
        <v>138</v>
      </c>
      <c r="F1276" s="1">
        <v>42798</v>
      </c>
      <c r="G1276" s="1">
        <v>42893</v>
      </c>
      <c r="H1276">
        <v>3081</v>
      </c>
      <c r="I1276" t="str">
        <f>IF(COUNTIF(Products!$A$2:$A$8,C1276)=0,C1276,"")</f>
        <v/>
      </c>
      <c r="J1276">
        <f>IF(OR(E1276="Prospecting",E1276="Engaging"),VLOOKUP(C1276,Products!$A$2:$C$8,3,FALSE),0)</f>
        <v>0</v>
      </c>
    </row>
    <row r="1277" spans="1:10" x14ac:dyDescent="0.25">
      <c r="A1277" t="s">
        <v>1444</v>
      </c>
      <c r="B1277" t="s">
        <v>207</v>
      </c>
      <c r="C1277" t="s">
        <v>125</v>
      </c>
      <c r="E1277" t="s">
        <v>155</v>
      </c>
      <c r="F1277" s="1">
        <v>42798</v>
      </c>
      <c r="I1277" t="str">
        <f>IF(COUNTIF(Products!$A$2:$A$8,C1277)=0,C1277,"")</f>
        <v/>
      </c>
      <c r="J1277">
        <f>IF(OR(E1277="Prospecting",E1277="Engaging"),VLOOKUP(C1277,Products!$A$2:$C$8,3,FALSE),0)</f>
        <v>3393</v>
      </c>
    </row>
    <row r="1278" spans="1:10" x14ac:dyDescent="0.25">
      <c r="A1278" t="s">
        <v>1445</v>
      </c>
      <c r="B1278" t="s">
        <v>264</v>
      </c>
      <c r="C1278" t="s">
        <v>123</v>
      </c>
      <c r="D1278" t="s">
        <v>30</v>
      </c>
      <c r="E1278" t="s">
        <v>138</v>
      </c>
      <c r="F1278" s="1">
        <v>42798</v>
      </c>
      <c r="G1278" s="1">
        <v>42873</v>
      </c>
      <c r="H1278">
        <v>51</v>
      </c>
      <c r="I1278" t="str">
        <f>IF(COUNTIF(Products!$A$2:$A$8,C1278)=0,C1278,"")</f>
        <v/>
      </c>
      <c r="J1278">
        <f>IF(OR(E1278="Prospecting",E1278="Engaging"),VLOOKUP(C1278,Products!$A$2:$C$8,3,FALSE),0)</f>
        <v>0</v>
      </c>
    </row>
    <row r="1279" spans="1:10" x14ac:dyDescent="0.25">
      <c r="A1279" t="s">
        <v>1446</v>
      </c>
      <c r="B1279" t="s">
        <v>239</v>
      </c>
      <c r="C1279" t="s">
        <v>127</v>
      </c>
      <c r="D1279" t="s">
        <v>112</v>
      </c>
      <c r="E1279" t="s">
        <v>159</v>
      </c>
      <c r="F1279" s="1">
        <v>42798</v>
      </c>
      <c r="G1279" s="1">
        <v>42864</v>
      </c>
      <c r="H1279">
        <v>0</v>
      </c>
      <c r="I1279" t="str">
        <f>IF(COUNTIF(Products!$A$2:$A$8,C1279)=0,C1279,"")</f>
        <v/>
      </c>
      <c r="J1279">
        <f>IF(OR(E1279="Prospecting",E1279="Engaging"),VLOOKUP(C1279,Products!$A$2:$C$8,3,FALSE),0)</f>
        <v>0</v>
      </c>
    </row>
    <row r="1280" spans="1:10" x14ac:dyDescent="0.25">
      <c r="A1280" t="s">
        <v>1447</v>
      </c>
      <c r="B1280" t="s">
        <v>171</v>
      </c>
      <c r="C1280" t="s">
        <v>120</v>
      </c>
      <c r="E1280" t="s">
        <v>155</v>
      </c>
      <c r="F1280" s="1">
        <v>42798</v>
      </c>
      <c r="I1280" t="str">
        <f>IF(COUNTIF(Products!$A$2:$A$8,C1280)=0,C1280,"")</f>
        <v/>
      </c>
      <c r="J1280">
        <f>IF(OR(E1280="Prospecting",E1280="Engaging"),VLOOKUP(C1280,Products!$A$2:$C$8,3,FALSE),0)</f>
        <v>550</v>
      </c>
    </row>
    <row r="1281" spans="1:10" x14ac:dyDescent="0.25">
      <c r="A1281" t="s">
        <v>1448</v>
      </c>
      <c r="B1281" t="s">
        <v>171</v>
      </c>
      <c r="C1281" t="s">
        <v>127</v>
      </c>
      <c r="D1281" t="s">
        <v>7</v>
      </c>
      <c r="E1281" t="s">
        <v>159</v>
      </c>
      <c r="F1281" s="1">
        <v>42798</v>
      </c>
      <c r="G1281" s="1">
        <v>42861</v>
      </c>
      <c r="H1281">
        <v>0</v>
      </c>
      <c r="I1281" t="str">
        <f>IF(COUNTIF(Products!$A$2:$A$8,C1281)=0,C1281,"")</f>
        <v/>
      </c>
      <c r="J1281">
        <f>IF(OR(E1281="Prospecting",E1281="Engaging"),VLOOKUP(C1281,Products!$A$2:$C$8,3,FALSE),0)</f>
        <v>0</v>
      </c>
    </row>
    <row r="1282" spans="1:10" x14ac:dyDescent="0.25">
      <c r="A1282" t="s">
        <v>1449</v>
      </c>
      <c r="B1282" t="s">
        <v>140</v>
      </c>
      <c r="C1282" t="s">
        <v>127</v>
      </c>
      <c r="D1282" t="s">
        <v>96</v>
      </c>
      <c r="E1282" t="s">
        <v>138</v>
      </c>
      <c r="F1282" s="1">
        <v>42798</v>
      </c>
      <c r="G1282" s="1">
        <v>42814</v>
      </c>
      <c r="H1282">
        <v>1076</v>
      </c>
      <c r="I1282" t="str">
        <f>IF(COUNTIF(Products!$A$2:$A$8,C1282)=0,C1282,"")</f>
        <v/>
      </c>
      <c r="J1282">
        <f>IF(OR(E1282="Prospecting",E1282="Engaging"),VLOOKUP(C1282,Products!$A$2:$C$8,3,FALSE),0)</f>
        <v>0</v>
      </c>
    </row>
    <row r="1283" spans="1:10" x14ac:dyDescent="0.25">
      <c r="A1283" t="s">
        <v>1450</v>
      </c>
      <c r="B1283" t="s">
        <v>154</v>
      </c>
      <c r="C1283" t="s">
        <v>125</v>
      </c>
      <c r="D1283" t="s">
        <v>109</v>
      </c>
      <c r="E1283" t="s">
        <v>138</v>
      </c>
      <c r="F1283" s="1">
        <v>42798</v>
      </c>
      <c r="G1283" s="1">
        <v>42864</v>
      </c>
      <c r="H1283">
        <v>3685</v>
      </c>
      <c r="I1283" t="str">
        <f>IF(COUNTIF(Products!$A$2:$A$8,C1283)=0,C1283,"")</f>
        <v/>
      </c>
      <c r="J1283">
        <f>IF(OR(E1283="Prospecting",E1283="Engaging"),VLOOKUP(C1283,Products!$A$2:$C$8,3,FALSE),0)</f>
        <v>0</v>
      </c>
    </row>
    <row r="1284" spans="1:10" x14ac:dyDescent="0.25">
      <c r="A1284" t="s">
        <v>1451</v>
      </c>
      <c r="B1284" t="s">
        <v>303</v>
      </c>
      <c r="C1284" t="s">
        <v>127</v>
      </c>
      <c r="D1284" t="s">
        <v>61</v>
      </c>
      <c r="E1284" t="s">
        <v>159</v>
      </c>
      <c r="F1284" s="1">
        <v>42798</v>
      </c>
      <c r="G1284" s="1">
        <v>42868</v>
      </c>
      <c r="H1284">
        <v>0</v>
      </c>
      <c r="I1284" t="str">
        <f>IF(COUNTIF(Products!$A$2:$A$8,C1284)=0,C1284,"")</f>
        <v/>
      </c>
      <c r="J1284">
        <f>IF(OR(E1284="Prospecting",E1284="Engaging"),VLOOKUP(C1284,Products!$A$2:$C$8,3,FALSE),0)</f>
        <v>0</v>
      </c>
    </row>
    <row r="1285" spans="1:10" x14ac:dyDescent="0.25">
      <c r="A1285" t="s">
        <v>1452</v>
      </c>
      <c r="B1285" t="s">
        <v>180</v>
      </c>
      <c r="C1285" t="s">
        <v>122</v>
      </c>
      <c r="D1285" t="s">
        <v>47</v>
      </c>
      <c r="E1285" t="s">
        <v>138</v>
      </c>
      <c r="F1285" s="1">
        <v>42798</v>
      </c>
      <c r="G1285" s="1">
        <v>42873</v>
      </c>
      <c r="H1285">
        <v>3997</v>
      </c>
      <c r="I1285" t="str">
        <f>IF(COUNTIF(Products!$A$2:$A$8,C1285)=0,C1285,"")</f>
        <v/>
      </c>
      <c r="J1285">
        <f>IF(OR(E1285="Prospecting",E1285="Engaging"),VLOOKUP(C1285,Products!$A$2:$C$8,3,FALSE),0)</f>
        <v>0</v>
      </c>
    </row>
    <row r="1286" spans="1:10" x14ac:dyDescent="0.25">
      <c r="A1286" t="s">
        <v>1453</v>
      </c>
      <c r="B1286" t="s">
        <v>180</v>
      </c>
      <c r="C1286" t="s">
        <v>123</v>
      </c>
      <c r="D1286" t="s">
        <v>109</v>
      </c>
      <c r="E1286" t="s">
        <v>138</v>
      </c>
      <c r="F1286" s="1">
        <v>42798</v>
      </c>
      <c r="G1286" s="1">
        <v>42812</v>
      </c>
      <c r="H1286">
        <v>51</v>
      </c>
      <c r="I1286" t="str">
        <f>IF(COUNTIF(Products!$A$2:$A$8,C1286)=0,C1286,"")</f>
        <v/>
      </c>
      <c r="J1286">
        <f>IF(OR(E1286="Prospecting",E1286="Engaging"),VLOOKUP(C1286,Products!$A$2:$C$8,3,FALSE),0)</f>
        <v>0</v>
      </c>
    </row>
    <row r="1287" spans="1:10" x14ac:dyDescent="0.25">
      <c r="A1287" t="s">
        <v>1454</v>
      </c>
      <c r="B1287" t="s">
        <v>180</v>
      </c>
      <c r="C1287" t="s">
        <v>125</v>
      </c>
      <c r="D1287" t="s">
        <v>100</v>
      </c>
      <c r="E1287" t="s">
        <v>138</v>
      </c>
      <c r="F1287" s="1">
        <v>42798</v>
      </c>
      <c r="G1287" s="1">
        <v>42815</v>
      </c>
      <c r="H1287">
        <v>3164</v>
      </c>
      <c r="I1287" t="str">
        <f>IF(COUNTIF(Products!$A$2:$A$8,C1287)=0,C1287,"")</f>
        <v/>
      </c>
      <c r="J1287">
        <f>IF(OR(E1287="Prospecting",E1287="Engaging"),VLOOKUP(C1287,Products!$A$2:$C$8,3,FALSE),0)</f>
        <v>0</v>
      </c>
    </row>
    <row r="1288" spans="1:10" x14ac:dyDescent="0.25">
      <c r="A1288" t="s">
        <v>1455</v>
      </c>
      <c r="B1288" t="s">
        <v>217</v>
      </c>
      <c r="C1288" t="s">
        <v>120</v>
      </c>
      <c r="D1288" t="s">
        <v>46</v>
      </c>
      <c r="E1288" t="s">
        <v>138</v>
      </c>
      <c r="F1288" s="1">
        <v>42798</v>
      </c>
      <c r="G1288" s="1">
        <v>42908</v>
      </c>
      <c r="H1288">
        <v>496</v>
      </c>
      <c r="I1288" t="str">
        <f>IF(COUNTIF(Products!$A$2:$A$8,C1288)=0,C1288,"")</f>
        <v/>
      </c>
      <c r="J1288">
        <f>IF(OR(E1288="Prospecting",E1288="Engaging"),VLOOKUP(C1288,Products!$A$2:$C$8,3,FALSE),0)</f>
        <v>0</v>
      </c>
    </row>
    <row r="1289" spans="1:10" x14ac:dyDescent="0.25">
      <c r="A1289" t="s">
        <v>1456</v>
      </c>
      <c r="B1289" t="s">
        <v>150</v>
      </c>
      <c r="C1289" t="s">
        <v>125</v>
      </c>
      <c r="D1289" t="s">
        <v>39</v>
      </c>
      <c r="E1289" t="s">
        <v>159</v>
      </c>
      <c r="F1289" s="1">
        <v>42798</v>
      </c>
      <c r="G1289" s="1">
        <v>42868</v>
      </c>
      <c r="H1289">
        <v>0</v>
      </c>
      <c r="I1289" t="str">
        <f>IF(COUNTIF(Products!$A$2:$A$8,C1289)=0,C1289,"")</f>
        <v/>
      </c>
      <c r="J1289">
        <f>IF(OR(E1289="Prospecting",E1289="Engaging"),VLOOKUP(C1289,Products!$A$2:$C$8,3,FALSE),0)</f>
        <v>0</v>
      </c>
    </row>
    <row r="1290" spans="1:10" x14ac:dyDescent="0.25">
      <c r="A1290" t="s">
        <v>1457</v>
      </c>
      <c r="B1290" t="s">
        <v>205</v>
      </c>
      <c r="C1290" t="s">
        <v>120</v>
      </c>
      <c r="D1290" t="s">
        <v>94</v>
      </c>
      <c r="E1290" t="s">
        <v>138</v>
      </c>
      <c r="F1290" s="1">
        <v>42798</v>
      </c>
      <c r="G1290" s="1">
        <v>42820</v>
      </c>
      <c r="H1290">
        <v>579</v>
      </c>
      <c r="I1290" t="str">
        <f>IF(COUNTIF(Products!$A$2:$A$8,C1290)=0,C1290,"")</f>
        <v/>
      </c>
      <c r="J1290">
        <f>IF(OR(E1290="Prospecting",E1290="Engaging"),VLOOKUP(C1290,Products!$A$2:$C$8,3,FALSE),0)</f>
        <v>0</v>
      </c>
    </row>
    <row r="1291" spans="1:10" x14ac:dyDescent="0.25">
      <c r="A1291" t="s">
        <v>1458</v>
      </c>
      <c r="B1291" t="s">
        <v>162</v>
      </c>
      <c r="C1291" t="s">
        <v>120</v>
      </c>
      <c r="D1291" t="s">
        <v>107</v>
      </c>
      <c r="E1291" t="s">
        <v>159</v>
      </c>
      <c r="F1291" s="1">
        <v>42798</v>
      </c>
      <c r="G1291" s="1">
        <v>42875</v>
      </c>
      <c r="H1291">
        <v>0</v>
      </c>
      <c r="I1291" t="str">
        <f>IF(COUNTIF(Products!$A$2:$A$8,C1291)=0,C1291,"")</f>
        <v/>
      </c>
      <c r="J1291">
        <f>IF(OR(E1291="Prospecting",E1291="Engaging"),VLOOKUP(C1291,Products!$A$2:$C$8,3,FALSE),0)</f>
        <v>0</v>
      </c>
    </row>
    <row r="1292" spans="1:10" x14ac:dyDescent="0.25">
      <c r="A1292" t="s">
        <v>1459</v>
      </c>
      <c r="B1292" t="s">
        <v>152</v>
      </c>
      <c r="C1292" t="s">
        <v>122</v>
      </c>
      <c r="D1292" t="s">
        <v>14</v>
      </c>
      <c r="E1292" t="s">
        <v>159</v>
      </c>
      <c r="F1292" s="1">
        <v>42798</v>
      </c>
      <c r="G1292" s="1">
        <v>42857</v>
      </c>
      <c r="H1292">
        <v>0</v>
      </c>
      <c r="I1292" t="str">
        <f>IF(COUNTIF(Products!$A$2:$A$8,C1292)=0,C1292,"")</f>
        <v/>
      </c>
      <c r="J1292">
        <f>IF(OR(E1292="Prospecting",E1292="Engaging"),VLOOKUP(C1292,Products!$A$2:$C$8,3,FALSE),0)</f>
        <v>0</v>
      </c>
    </row>
    <row r="1293" spans="1:10" x14ac:dyDescent="0.25">
      <c r="A1293" t="s">
        <v>1460</v>
      </c>
      <c r="B1293" t="s">
        <v>152</v>
      </c>
      <c r="C1293" t="s">
        <v>122</v>
      </c>
      <c r="D1293" t="s">
        <v>104</v>
      </c>
      <c r="E1293" t="s">
        <v>159</v>
      </c>
      <c r="F1293" s="1">
        <v>42798</v>
      </c>
      <c r="G1293" s="1">
        <v>42882</v>
      </c>
      <c r="H1293">
        <v>0</v>
      </c>
      <c r="I1293" t="str">
        <f>IF(COUNTIF(Products!$A$2:$A$8,C1293)=0,C1293,"")</f>
        <v/>
      </c>
      <c r="J1293">
        <f>IF(OR(E1293="Prospecting",E1293="Engaging"),VLOOKUP(C1293,Products!$A$2:$C$8,3,FALSE),0)</f>
        <v>0</v>
      </c>
    </row>
    <row r="1294" spans="1:10" x14ac:dyDescent="0.25">
      <c r="A1294" t="s">
        <v>1461</v>
      </c>
      <c r="B1294" t="s">
        <v>193</v>
      </c>
      <c r="C1294" t="s">
        <v>120</v>
      </c>
      <c r="D1294" t="s">
        <v>67</v>
      </c>
      <c r="E1294" t="s">
        <v>138</v>
      </c>
      <c r="F1294" s="1">
        <v>42798</v>
      </c>
      <c r="G1294" s="1">
        <v>42913</v>
      </c>
      <c r="H1294">
        <v>521</v>
      </c>
      <c r="I1294" t="str">
        <f>IF(COUNTIF(Products!$A$2:$A$8,C1294)=0,C1294,"")</f>
        <v/>
      </c>
      <c r="J1294">
        <f>IF(OR(E1294="Prospecting",E1294="Engaging"),VLOOKUP(C1294,Products!$A$2:$C$8,3,FALSE),0)</f>
        <v>0</v>
      </c>
    </row>
    <row r="1295" spans="1:10" x14ac:dyDescent="0.25">
      <c r="A1295" t="s">
        <v>1462</v>
      </c>
      <c r="B1295" t="s">
        <v>193</v>
      </c>
      <c r="C1295" t="s">
        <v>125</v>
      </c>
      <c r="D1295" t="s">
        <v>50</v>
      </c>
      <c r="E1295" t="s">
        <v>138</v>
      </c>
      <c r="F1295" s="1">
        <v>42798</v>
      </c>
      <c r="G1295" s="1">
        <v>42801</v>
      </c>
      <c r="H1295">
        <v>3889</v>
      </c>
      <c r="I1295" t="str">
        <f>IF(COUNTIF(Products!$A$2:$A$8,C1295)=0,C1295,"")</f>
        <v/>
      </c>
      <c r="J1295">
        <f>IF(OR(E1295="Prospecting",E1295="Engaging"),VLOOKUP(C1295,Products!$A$2:$C$8,3,FALSE),0)</f>
        <v>0</v>
      </c>
    </row>
    <row r="1296" spans="1:10" x14ac:dyDescent="0.25">
      <c r="A1296" t="s">
        <v>1463</v>
      </c>
      <c r="B1296" t="s">
        <v>187</v>
      </c>
      <c r="C1296" t="s">
        <v>125</v>
      </c>
      <c r="D1296" t="s">
        <v>84</v>
      </c>
      <c r="E1296" t="s">
        <v>138</v>
      </c>
      <c r="F1296" s="1">
        <v>42798</v>
      </c>
      <c r="G1296" s="1">
        <v>42806</v>
      </c>
      <c r="H1296">
        <v>3340</v>
      </c>
      <c r="I1296" t="str">
        <f>IF(COUNTIF(Products!$A$2:$A$8,C1296)=0,C1296,"")</f>
        <v/>
      </c>
      <c r="J1296">
        <f>IF(OR(E1296="Prospecting",E1296="Engaging"),VLOOKUP(C1296,Products!$A$2:$C$8,3,FALSE),0)</f>
        <v>0</v>
      </c>
    </row>
    <row r="1297" spans="1:10" x14ac:dyDescent="0.25">
      <c r="A1297" t="s">
        <v>1464</v>
      </c>
      <c r="B1297" t="s">
        <v>169</v>
      </c>
      <c r="C1297" t="s">
        <v>123</v>
      </c>
      <c r="D1297" t="s">
        <v>42</v>
      </c>
      <c r="E1297" t="s">
        <v>159</v>
      </c>
      <c r="F1297" s="1">
        <v>42798</v>
      </c>
      <c r="G1297" s="1">
        <v>42814</v>
      </c>
      <c r="H1297">
        <v>0</v>
      </c>
      <c r="I1297" t="str">
        <f>IF(COUNTIF(Products!$A$2:$A$8,C1297)=0,C1297,"")</f>
        <v/>
      </c>
      <c r="J1297">
        <f>IF(OR(E1297="Prospecting",E1297="Engaging"),VLOOKUP(C1297,Products!$A$2:$C$8,3,FALSE),0)</f>
        <v>0</v>
      </c>
    </row>
    <row r="1298" spans="1:10" x14ac:dyDescent="0.25">
      <c r="A1298" t="s">
        <v>1465</v>
      </c>
      <c r="B1298" t="s">
        <v>148</v>
      </c>
      <c r="C1298" t="s">
        <v>122</v>
      </c>
      <c r="D1298" t="s">
        <v>23</v>
      </c>
      <c r="E1298" t="s">
        <v>159</v>
      </c>
      <c r="F1298" s="1">
        <v>42798</v>
      </c>
      <c r="G1298" s="1">
        <v>42866</v>
      </c>
      <c r="H1298">
        <v>0</v>
      </c>
      <c r="I1298" t="str">
        <f>IF(COUNTIF(Products!$A$2:$A$8,C1298)=0,C1298,"")</f>
        <v/>
      </c>
      <c r="J1298">
        <f>IF(OR(E1298="Prospecting",E1298="Engaging"),VLOOKUP(C1298,Products!$A$2:$C$8,3,FALSE),0)</f>
        <v>0</v>
      </c>
    </row>
    <row r="1299" spans="1:10" x14ac:dyDescent="0.25">
      <c r="A1299" t="s">
        <v>1466</v>
      </c>
      <c r="B1299" t="s">
        <v>144</v>
      </c>
      <c r="C1299" t="s">
        <v>122</v>
      </c>
      <c r="D1299" t="s">
        <v>7</v>
      </c>
      <c r="E1299" t="s">
        <v>155</v>
      </c>
      <c r="F1299" s="1">
        <v>42798</v>
      </c>
      <c r="I1299" t="str">
        <f>IF(COUNTIF(Products!$A$2:$A$8,C1299)=0,C1299,"")</f>
        <v/>
      </c>
      <c r="J1299">
        <f>IF(OR(E1299="Prospecting",E1299="Engaging"),VLOOKUP(C1299,Products!$A$2:$C$8,3,FALSE),0)</f>
        <v>4821</v>
      </c>
    </row>
    <row r="1300" spans="1:10" x14ac:dyDescent="0.25">
      <c r="A1300" t="s">
        <v>1467</v>
      </c>
      <c r="B1300" t="s">
        <v>144</v>
      </c>
      <c r="C1300" t="s">
        <v>122</v>
      </c>
      <c r="E1300" t="s">
        <v>155</v>
      </c>
      <c r="F1300" s="1">
        <v>42798</v>
      </c>
      <c r="I1300" t="str">
        <f>IF(COUNTIF(Products!$A$2:$A$8,C1300)=0,C1300,"")</f>
        <v/>
      </c>
      <c r="J1300">
        <f>IF(OR(E1300="Prospecting",E1300="Engaging"),VLOOKUP(C1300,Products!$A$2:$C$8,3,FALSE),0)</f>
        <v>4821</v>
      </c>
    </row>
    <row r="1301" spans="1:10" x14ac:dyDescent="0.25">
      <c r="A1301" t="s">
        <v>1468</v>
      </c>
      <c r="B1301" t="s">
        <v>144</v>
      </c>
      <c r="C1301" t="s">
        <v>122</v>
      </c>
      <c r="D1301" t="s">
        <v>17</v>
      </c>
      <c r="E1301" t="s">
        <v>138</v>
      </c>
      <c r="F1301" s="1">
        <v>42798</v>
      </c>
      <c r="G1301" s="1">
        <v>42897</v>
      </c>
      <c r="H1301">
        <v>5876</v>
      </c>
      <c r="I1301" t="str">
        <f>IF(COUNTIF(Products!$A$2:$A$8,C1301)=0,C1301,"")</f>
        <v/>
      </c>
      <c r="J1301">
        <f>IF(OR(E1301="Prospecting",E1301="Engaging"),VLOOKUP(C1301,Products!$A$2:$C$8,3,FALSE),0)</f>
        <v>0</v>
      </c>
    </row>
    <row r="1302" spans="1:10" x14ac:dyDescent="0.25">
      <c r="A1302" t="s">
        <v>1469</v>
      </c>
      <c r="B1302" t="s">
        <v>146</v>
      </c>
      <c r="C1302" t="s">
        <v>126</v>
      </c>
      <c r="D1302" t="s">
        <v>103</v>
      </c>
      <c r="E1302" t="s">
        <v>138</v>
      </c>
      <c r="F1302" s="1">
        <v>42799</v>
      </c>
      <c r="G1302" s="1">
        <v>42884</v>
      </c>
      <c r="H1302">
        <v>5092</v>
      </c>
      <c r="I1302" t="str">
        <f>IF(COUNTIF(Products!$A$2:$A$8,C1302)=0,C1302,"")</f>
        <v/>
      </c>
      <c r="J1302">
        <f>IF(OR(E1302="Prospecting",E1302="Engaging"),VLOOKUP(C1302,Products!$A$2:$C$8,3,FALSE),0)</f>
        <v>0</v>
      </c>
    </row>
    <row r="1303" spans="1:10" x14ac:dyDescent="0.25">
      <c r="A1303" t="s">
        <v>1470</v>
      </c>
      <c r="B1303" t="s">
        <v>222</v>
      </c>
      <c r="C1303" t="s">
        <v>127</v>
      </c>
      <c r="D1303" t="s">
        <v>25</v>
      </c>
      <c r="E1303" t="s">
        <v>159</v>
      </c>
      <c r="F1303" s="1">
        <v>42799</v>
      </c>
      <c r="G1303" s="1">
        <v>42864</v>
      </c>
      <c r="H1303">
        <v>0</v>
      </c>
      <c r="I1303" t="str">
        <f>IF(COUNTIF(Products!$A$2:$A$8,C1303)=0,C1303,"")</f>
        <v/>
      </c>
      <c r="J1303">
        <f>IF(OR(E1303="Prospecting",E1303="Engaging"),VLOOKUP(C1303,Products!$A$2:$C$8,3,FALSE),0)</f>
        <v>0</v>
      </c>
    </row>
    <row r="1304" spans="1:10" x14ac:dyDescent="0.25">
      <c r="A1304" t="s">
        <v>1471</v>
      </c>
      <c r="B1304" t="s">
        <v>207</v>
      </c>
      <c r="C1304" t="s">
        <v>125</v>
      </c>
      <c r="E1304" t="s">
        <v>155</v>
      </c>
      <c r="F1304" s="1">
        <v>42799</v>
      </c>
      <c r="I1304" t="str">
        <f>IF(COUNTIF(Products!$A$2:$A$8,C1304)=0,C1304,"")</f>
        <v/>
      </c>
      <c r="J1304">
        <f>IF(OR(E1304="Prospecting",E1304="Engaging"),VLOOKUP(C1304,Products!$A$2:$C$8,3,FALSE),0)</f>
        <v>3393</v>
      </c>
    </row>
    <row r="1305" spans="1:10" x14ac:dyDescent="0.25">
      <c r="A1305" t="s">
        <v>1472</v>
      </c>
      <c r="B1305" t="s">
        <v>171</v>
      </c>
      <c r="C1305" t="s">
        <v>120</v>
      </c>
      <c r="E1305" t="s">
        <v>155</v>
      </c>
      <c r="F1305" s="1">
        <v>42799</v>
      </c>
      <c r="I1305" t="str">
        <f>IF(COUNTIF(Products!$A$2:$A$8,C1305)=0,C1305,"")</f>
        <v/>
      </c>
      <c r="J1305">
        <f>IF(OR(E1305="Prospecting",E1305="Engaging"),VLOOKUP(C1305,Products!$A$2:$C$8,3,FALSE),0)</f>
        <v>550</v>
      </c>
    </row>
    <row r="1306" spans="1:10" x14ac:dyDescent="0.25">
      <c r="A1306" t="s">
        <v>1473</v>
      </c>
      <c r="B1306" t="s">
        <v>171</v>
      </c>
      <c r="C1306" t="s">
        <v>127</v>
      </c>
      <c r="D1306" t="s">
        <v>7</v>
      </c>
      <c r="E1306" t="s">
        <v>138</v>
      </c>
      <c r="F1306" s="1">
        <v>42799</v>
      </c>
      <c r="G1306" s="1">
        <v>42894</v>
      </c>
      <c r="H1306">
        <v>966</v>
      </c>
      <c r="I1306" t="str">
        <f>IF(COUNTIF(Products!$A$2:$A$8,C1306)=0,C1306,"")</f>
        <v/>
      </c>
      <c r="J1306">
        <f>IF(OR(E1306="Prospecting",E1306="Engaging"),VLOOKUP(C1306,Products!$A$2:$C$8,3,FALSE),0)</f>
        <v>0</v>
      </c>
    </row>
    <row r="1307" spans="1:10" x14ac:dyDescent="0.25">
      <c r="A1307" t="s">
        <v>1474</v>
      </c>
      <c r="B1307" t="s">
        <v>171</v>
      </c>
      <c r="C1307" t="s">
        <v>126</v>
      </c>
      <c r="D1307" t="s">
        <v>81</v>
      </c>
      <c r="E1307" t="s">
        <v>138</v>
      </c>
      <c r="F1307" s="1">
        <v>42799</v>
      </c>
      <c r="G1307" s="1">
        <v>42815</v>
      </c>
      <c r="H1307">
        <v>6024</v>
      </c>
      <c r="I1307" t="str">
        <f>IF(COUNTIF(Products!$A$2:$A$8,C1307)=0,C1307,"")</f>
        <v/>
      </c>
      <c r="J1307">
        <f>IF(OR(E1307="Prospecting",E1307="Engaging"),VLOOKUP(C1307,Products!$A$2:$C$8,3,FALSE),0)</f>
        <v>0</v>
      </c>
    </row>
    <row r="1308" spans="1:10" x14ac:dyDescent="0.25">
      <c r="A1308" t="s">
        <v>1475</v>
      </c>
      <c r="B1308" t="s">
        <v>171</v>
      </c>
      <c r="C1308" t="s">
        <v>125</v>
      </c>
      <c r="D1308" t="s">
        <v>27</v>
      </c>
      <c r="E1308" t="s">
        <v>138</v>
      </c>
      <c r="F1308" s="1">
        <v>42799</v>
      </c>
      <c r="G1308" s="1">
        <v>42808</v>
      </c>
      <c r="H1308">
        <v>3759</v>
      </c>
      <c r="I1308" t="str">
        <f>IF(COUNTIF(Products!$A$2:$A$8,C1308)=0,C1308,"")</f>
        <v/>
      </c>
      <c r="J1308">
        <f>IF(OR(E1308="Prospecting",E1308="Engaging"),VLOOKUP(C1308,Products!$A$2:$C$8,3,FALSE),0)</f>
        <v>0</v>
      </c>
    </row>
    <row r="1309" spans="1:10" x14ac:dyDescent="0.25">
      <c r="A1309" t="s">
        <v>1476</v>
      </c>
      <c r="B1309" t="s">
        <v>140</v>
      </c>
      <c r="C1309" t="s">
        <v>122</v>
      </c>
      <c r="D1309" t="s">
        <v>96</v>
      </c>
      <c r="E1309" t="s">
        <v>159</v>
      </c>
      <c r="F1309" s="1">
        <v>42799</v>
      </c>
      <c r="G1309" s="1">
        <v>42879</v>
      </c>
      <c r="H1309">
        <v>0</v>
      </c>
      <c r="I1309" t="str">
        <f>IF(COUNTIF(Products!$A$2:$A$8,C1309)=0,C1309,"")</f>
        <v/>
      </c>
      <c r="J1309">
        <f>IF(OR(E1309="Prospecting",E1309="Engaging"),VLOOKUP(C1309,Products!$A$2:$C$8,3,FALSE),0)</f>
        <v>0</v>
      </c>
    </row>
    <row r="1310" spans="1:10" x14ac:dyDescent="0.25">
      <c r="A1310" t="s">
        <v>1477</v>
      </c>
      <c r="B1310" t="s">
        <v>224</v>
      </c>
      <c r="C1310" t="s">
        <v>122</v>
      </c>
      <c r="D1310" t="s">
        <v>35</v>
      </c>
      <c r="E1310" t="s">
        <v>138</v>
      </c>
      <c r="F1310" s="1">
        <v>42799</v>
      </c>
      <c r="G1310" s="1">
        <v>42817</v>
      </c>
      <c r="H1310">
        <v>4443</v>
      </c>
      <c r="I1310" t="str">
        <f>IF(COUNTIF(Products!$A$2:$A$8,C1310)=0,C1310,"")</f>
        <v/>
      </c>
      <c r="J1310">
        <f>IF(OR(E1310="Prospecting",E1310="Engaging"),VLOOKUP(C1310,Products!$A$2:$C$8,3,FALSE),0)</f>
        <v>0</v>
      </c>
    </row>
    <row r="1311" spans="1:10" x14ac:dyDescent="0.25">
      <c r="A1311" t="s">
        <v>1478</v>
      </c>
      <c r="B1311" t="s">
        <v>164</v>
      </c>
      <c r="C1311" t="s">
        <v>125</v>
      </c>
      <c r="D1311" t="s">
        <v>23</v>
      </c>
      <c r="E1311" t="s">
        <v>138</v>
      </c>
      <c r="F1311" s="1">
        <v>42799</v>
      </c>
      <c r="G1311" s="1">
        <v>42914</v>
      </c>
      <c r="H1311">
        <v>3397</v>
      </c>
      <c r="I1311" t="str">
        <f>IF(COUNTIF(Products!$A$2:$A$8,C1311)=0,C1311,"")</f>
        <v/>
      </c>
      <c r="J1311">
        <f>IF(OR(E1311="Prospecting",E1311="Engaging"),VLOOKUP(C1311,Products!$A$2:$C$8,3,FALSE),0)</f>
        <v>0</v>
      </c>
    </row>
    <row r="1312" spans="1:10" x14ac:dyDescent="0.25">
      <c r="A1312" t="s">
        <v>1479</v>
      </c>
      <c r="B1312" t="s">
        <v>154</v>
      </c>
      <c r="C1312" t="s">
        <v>126</v>
      </c>
      <c r="D1312" t="s">
        <v>93</v>
      </c>
      <c r="E1312" t="s">
        <v>159</v>
      </c>
      <c r="F1312" s="1">
        <v>42799</v>
      </c>
      <c r="G1312" s="1">
        <v>42809</v>
      </c>
      <c r="H1312">
        <v>0</v>
      </c>
      <c r="I1312" t="str">
        <f>IF(COUNTIF(Products!$A$2:$A$8,C1312)=0,C1312,"")</f>
        <v/>
      </c>
      <c r="J1312">
        <f>IF(OR(E1312="Prospecting",E1312="Engaging"),VLOOKUP(C1312,Products!$A$2:$C$8,3,FALSE),0)</f>
        <v>0</v>
      </c>
    </row>
    <row r="1313" spans="1:10" x14ac:dyDescent="0.25">
      <c r="A1313" t="s">
        <v>1480</v>
      </c>
      <c r="B1313" t="s">
        <v>154</v>
      </c>
      <c r="C1313" t="s">
        <v>123</v>
      </c>
      <c r="D1313" t="s">
        <v>100</v>
      </c>
      <c r="E1313" t="s">
        <v>159</v>
      </c>
      <c r="F1313" s="1">
        <v>42799</v>
      </c>
      <c r="G1313" s="1">
        <v>42869</v>
      </c>
      <c r="H1313">
        <v>0</v>
      </c>
      <c r="I1313" t="str">
        <f>IF(COUNTIF(Products!$A$2:$A$8,C1313)=0,C1313,"")</f>
        <v/>
      </c>
      <c r="J1313">
        <f>IF(OR(E1313="Prospecting",E1313="Engaging"),VLOOKUP(C1313,Products!$A$2:$C$8,3,FALSE),0)</f>
        <v>0</v>
      </c>
    </row>
    <row r="1314" spans="1:10" x14ac:dyDescent="0.25">
      <c r="A1314" t="s">
        <v>1481</v>
      </c>
      <c r="B1314" t="s">
        <v>303</v>
      </c>
      <c r="C1314" t="s">
        <v>123</v>
      </c>
      <c r="D1314" t="s">
        <v>33</v>
      </c>
      <c r="E1314" t="s">
        <v>138</v>
      </c>
      <c r="F1314" s="1">
        <v>42799</v>
      </c>
      <c r="G1314" s="1">
        <v>42860</v>
      </c>
      <c r="H1314">
        <v>59</v>
      </c>
      <c r="I1314" t="str">
        <f>IF(COUNTIF(Products!$A$2:$A$8,C1314)=0,C1314,"")</f>
        <v/>
      </c>
      <c r="J1314">
        <f>IF(OR(E1314="Prospecting",E1314="Engaging"),VLOOKUP(C1314,Products!$A$2:$C$8,3,FALSE),0)</f>
        <v>0</v>
      </c>
    </row>
    <row r="1315" spans="1:10" x14ac:dyDescent="0.25">
      <c r="A1315" t="s">
        <v>1482</v>
      </c>
      <c r="B1315" t="s">
        <v>180</v>
      </c>
      <c r="C1315" t="s">
        <v>120</v>
      </c>
      <c r="E1315" t="s">
        <v>155</v>
      </c>
      <c r="F1315" s="1">
        <v>42799</v>
      </c>
      <c r="I1315" t="str">
        <f>IF(COUNTIF(Products!$A$2:$A$8,C1315)=0,C1315,"")</f>
        <v/>
      </c>
      <c r="J1315">
        <f>IF(OR(E1315="Prospecting",E1315="Engaging"),VLOOKUP(C1315,Products!$A$2:$C$8,3,FALSE),0)</f>
        <v>550</v>
      </c>
    </row>
    <row r="1316" spans="1:10" x14ac:dyDescent="0.25">
      <c r="A1316" t="s">
        <v>1483</v>
      </c>
      <c r="B1316" t="s">
        <v>217</v>
      </c>
      <c r="C1316" t="s">
        <v>120</v>
      </c>
      <c r="D1316" t="s">
        <v>22</v>
      </c>
      <c r="E1316" t="s">
        <v>159</v>
      </c>
      <c r="F1316" s="1">
        <v>42799</v>
      </c>
      <c r="G1316" s="1">
        <v>42867</v>
      </c>
      <c r="H1316">
        <v>0</v>
      </c>
      <c r="I1316" t="str">
        <f>IF(COUNTIF(Products!$A$2:$A$8,C1316)=0,C1316,"")</f>
        <v/>
      </c>
      <c r="J1316">
        <f>IF(OR(E1316="Prospecting",E1316="Engaging"),VLOOKUP(C1316,Products!$A$2:$C$8,3,FALSE),0)</f>
        <v>0</v>
      </c>
    </row>
    <row r="1317" spans="1:10" x14ac:dyDescent="0.25">
      <c r="A1317" t="s">
        <v>1484</v>
      </c>
      <c r="B1317" t="s">
        <v>217</v>
      </c>
      <c r="C1317" t="s">
        <v>120</v>
      </c>
      <c r="D1317" t="s">
        <v>30</v>
      </c>
      <c r="E1317" t="s">
        <v>159</v>
      </c>
      <c r="F1317" s="1">
        <v>42799</v>
      </c>
      <c r="G1317" s="1">
        <v>42876</v>
      </c>
      <c r="H1317">
        <v>0</v>
      </c>
      <c r="I1317" t="str">
        <f>IF(COUNTIF(Products!$A$2:$A$8,C1317)=0,C1317,"")</f>
        <v/>
      </c>
      <c r="J1317">
        <f>IF(OR(E1317="Prospecting",E1317="Engaging"),VLOOKUP(C1317,Products!$A$2:$C$8,3,FALSE),0)</f>
        <v>0</v>
      </c>
    </row>
    <row r="1318" spans="1:10" x14ac:dyDescent="0.25">
      <c r="A1318" t="s">
        <v>1485</v>
      </c>
      <c r="B1318" t="s">
        <v>217</v>
      </c>
      <c r="C1318" t="s">
        <v>120</v>
      </c>
      <c r="D1318" t="s">
        <v>85</v>
      </c>
      <c r="E1318" t="s">
        <v>138</v>
      </c>
      <c r="F1318" s="1">
        <v>42799</v>
      </c>
      <c r="G1318" s="1">
        <v>42892</v>
      </c>
      <c r="H1318">
        <v>494</v>
      </c>
      <c r="I1318" t="str">
        <f>IF(COUNTIF(Products!$A$2:$A$8,C1318)=0,C1318,"")</f>
        <v/>
      </c>
      <c r="J1318">
        <f>IF(OR(E1318="Prospecting",E1318="Engaging"),VLOOKUP(C1318,Products!$A$2:$C$8,3,FALSE),0)</f>
        <v>0</v>
      </c>
    </row>
    <row r="1319" spans="1:10" x14ac:dyDescent="0.25">
      <c r="A1319" t="s">
        <v>1486</v>
      </c>
      <c r="B1319" t="s">
        <v>217</v>
      </c>
      <c r="C1319" t="s">
        <v>127</v>
      </c>
      <c r="D1319" t="s">
        <v>26</v>
      </c>
      <c r="E1319" t="s">
        <v>138</v>
      </c>
      <c r="F1319" s="1">
        <v>42799</v>
      </c>
      <c r="G1319" s="1">
        <v>42871</v>
      </c>
      <c r="H1319">
        <v>1060</v>
      </c>
      <c r="I1319" t="str">
        <f>IF(COUNTIF(Products!$A$2:$A$8,C1319)=0,C1319,"")</f>
        <v/>
      </c>
      <c r="J1319">
        <f>IF(OR(E1319="Prospecting",E1319="Engaging"),VLOOKUP(C1319,Products!$A$2:$C$8,3,FALSE),0)</f>
        <v>0</v>
      </c>
    </row>
    <row r="1320" spans="1:10" x14ac:dyDescent="0.25">
      <c r="A1320" t="s">
        <v>1487</v>
      </c>
      <c r="B1320" t="s">
        <v>150</v>
      </c>
      <c r="C1320" t="s">
        <v>123</v>
      </c>
      <c r="D1320" t="s">
        <v>17</v>
      </c>
      <c r="E1320" t="s">
        <v>155</v>
      </c>
      <c r="F1320" s="1">
        <v>42799</v>
      </c>
      <c r="I1320" t="str">
        <f>IF(COUNTIF(Products!$A$2:$A$8,C1320)=0,C1320,"")</f>
        <v/>
      </c>
      <c r="J1320">
        <f>IF(OR(E1320="Prospecting",E1320="Engaging"),VLOOKUP(C1320,Products!$A$2:$C$8,3,FALSE),0)</f>
        <v>55</v>
      </c>
    </row>
    <row r="1321" spans="1:10" x14ac:dyDescent="0.25">
      <c r="A1321" t="s">
        <v>1488</v>
      </c>
      <c r="B1321" t="s">
        <v>205</v>
      </c>
      <c r="C1321" t="s">
        <v>123</v>
      </c>
      <c r="D1321" t="s">
        <v>91</v>
      </c>
      <c r="E1321" t="s">
        <v>159</v>
      </c>
      <c r="F1321" s="1">
        <v>42799</v>
      </c>
      <c r="G1321" s="1">
        <v>42881</v>
      </c>
      <c r="H1321">
        <v>0</v>
      </c>
      <c r="I1321" t="str">
        <f>IF(COUNTIF(Products!$A$2:$A$8,C1321)=0,C1321,"")</f>
        <v/>
      </c>
      <c r="J1321">
        <f>IF(OR(E1321="Prospecting",E1321="Engaging"),VLOOKUP(C1321,Products!$A$2:$C$8,3,FALSE),0)</f>
        <v>0</v>
      </c>
    </row>
    <row r="1322" spans="1:10" x14ac:dyDescent="0.25">
      <c r="A1322" t="s">
        <v>1489</v>
      </c>
      <c r="B1322" t="s">
        <v>187</v>
      </c>
      <c r="C1322" t="s">
        <v>123</v>
      </c>
      <c r="D1322" t="s">
        <v>16</v>
      </c>
      <c r="E1322" t="s">
        <v>155</v>
      </c>
      <c r="F1322" s="1">
        <v>42799</v>
      </c>
      <c r="I1322" t="str">
        <f>IF(COUNTIF(Products!$A$2:$A$8,C1322)=0,C1322,"")</f>
        <v/>
      </c>
      <c r="J1322">
        <f>IF(OR(E1322="Prospecting",E1322="Engaging"),VLOOKUP(C1322,Products!$A$2:$C$8,3,FALSE),0)</f>
        <v>55</v>
      </c>
    </row>
    <row r="1323" spans="1:10" x14ac:dyDescent="0.25">
      <c r="A1323" t="s">
        <v>1490</v>
      </c>
      <c r="B1323" t="s">
        <v>187</v>
      </c>
      <c r="C1323" t="s">
        <v>123</v>
      </c>
      <c r="D1323" t="s">
        <v>106</v>
      </c>
      <c r="E1323" t="s">
        <v>159</v>
      </c>
      <c r="F1323" s="1">
        <v>42799</v>
      </c>
      <c r="G1323" s="1">
        <v>42874</v>
      </c>
      <c r="H1323">
        <v>0</v>
      </c>
      <c r="I1323" t="str">
        <f>IF(COUNTIF(Products!$A$2:$A$8,C1323)=0,C1323,"")</f>
        <v/>
      </c>
      <c r="J1323">
        <f>IF(OR(E1323="Prospecting",E1323="Engaging"),VLOOKUP(C1323,Products!$A$2:$C$8,3,FALSE),0)</f>
        <v>0</v>
      </c>
    </row>
    <row r="1324" spans="1:10" x14ac:dyDescent="0.25">
      <c r="A1324" t="s">
        <v>1491</v>
      </c>
      <c r="B1324" t="s">
        <v>169</v>
      </c>
      <c r="C1324" t="s">
        <v>120</v>
      </c>
      <c r="D1324" t="s">
        <v>33</v>
      </c>
      <c r="E1324" t="s">
        <v>159</v>
      </c>
      <c r="F1324" s="1">
        <v>42799</v>
      </c>
      <c r="G1324" s="1">
        <v>42885</v>
      </c>
      <c r="H1324">
        <v>0</v>
      </c>
      <c r="I1324" t="str">
        <f>IF(COUNTIF(Products!$A$2:$A$8,C1324)=0,C1324,"")</f>
        <v/>
      </c>
      <c r="J1324">
        <f>IF(OR(E1324="Prospecting",E1324="Engaging"),VLOOKUP(C1324,Products!$A$2:$C$8,3,FALSE),0)</f>
        <v>0</v>
      </c>
    </row>
    <row r="1325" spans="1:10" x14ac:dyDescent="0.25">
      <c r="A1325" t="s">
        <v>1492</v>
      </c>
      <c r="B1325" t="s">
        <v>148</v>
      </c>
      <c r="C1325" t="s">
        <v>120</v>
      </c>
      <c r="D1325" t="s">
        <v>39</v>
      </c>
      <c r="E1325" t="s">
        <v>138</v>
      </c>
      <c r="F1325" s="1">
        <v>42799</v>
      </c>
      <c r="G1325" s="1">
        <v>42866</v>
      </c>
      <c r="H1325">
        <v>624</v>
      </c>
      <c r="I1325" t="str">
        <f>IF(COUNTIF(Products!$A$2:$A$8,C1325)=0,C1325,"")</f>
        <v/>
      </c>
      <c r="J1325">
        <f>IF(OR(E1325="Prospecting",E1325="Engaging"),VLOOKUP(C1325,Products!$A$2:$C$8,3,FALSE),0)</f>
        <v>0</v>
      </c>
    </row>
    <row r="1326" spans="1:10" x14ac:dyDescent="0.25">
      <c r="A1326" t="s">
        <v>1493</v>
      </c>
      <c r="B1326" t="s">
        <v>148</v>
      </c>
      <c r="C1326" t="s">
        <v>120</v>
      </c>
      <c r="D1326" t="s">
        <v>56</v>
      </c>
      <c r="E1326" t="s">
        <v>138</v>
      </c>
      <c r="F1326" s="1">
        <v>42799</v>
      </c>
      <c r="G1326" s="1">
        <v>42863</v>
      </c>
      <c r="H1326">
        <v>565</v>
      </c>
      <c r="I1326" t="str">
        <f>IF(COUNTIF(Products!$A$2:$A$8,C1326)=0,C1326,"")</f>
        <v/>
      </c>
      <c r="J1326">
        <f>IF(OR(E1326="Prospecting",E1326="Engaging"),VLOOKUP(C1326,Products!$A$2:$C$8,3,FALSE),0)</f>
        <v>0</v>
      </c>
    </row>
    <row r="1327" spans="1:10" x14ac:dyDescent="0.25">
      <c r="A1327" t="s">
        <v>1494</v>
      </c>
      <c r="B1327" t="s">
        <v>148</v>
      </c>
      <c r="C1327" t="s">
        <v>120</v>
      </c>
      <c r="D1327" t="s">
        <v>69</v>
      </c>
      <c r="E1327" t="s">
        <v>138</v>
      </c>
      <c r="F1327" s="1">
        <v>42799</v>
      </c>
      <c r="G1327" s="1">
        <v>42900</v>
      </c>
      <c r="H1327">
        <v>642</v>
      </c>
      <c r="I1327" t="str">
        <f>IF(COUNTIF(Products!$A$2:$A$8,C1327)=0,C1327,"")</f>
        <v/>
      </c>
      <c r="J1327">
        <f>IF(OR(E1327="Prospecting",E1327="Engaging"),VLOOKUP(C1327,Products!$A$2:$C$8,3,FALSE),0)</f>
        <v>0</v>
      </c>
    </row>
    <row r="1328" spans="1:10" x14ac:dyDescent="0.25">
      <c r="A1328" t="s">
        <v>1495</v>
      </c>
      <c r="B1328" t="s">
        <v>177</v>
      </c>
      <c r="C1328" t="s">
        <v>125</v>
      </c>
      <c r="D1328" t="s">
        <v>78</v>
      </c>
      <c r="E1328" t="s">
        <v>155</v>
      </c>
      <c r="F1328" s="1">
        <v>42799</v>
      </c>
      <c r="I1328" t="str">
        <f>IF(COUNTIF(Products!$A$2:$A$8,C1328)=0,C1328,"")</f>
        <v/>
      </c>
      <c r="J1328">
        <f>IF(OR(E1328="Prospecting",E1328="Engaging"),VLOOKUP(C1328,Products!$A$2:$C$8,3,FALSE),0)</f>
        <v>3393</v>
      </c>
    </row>
    <row r="1329" spans="1:10" x14ac:dyDescent="0.25">
      <c r="A1329" t="s">
        <v>1496</v>
      </c>
      <c r="B1329" t="s">
        <v>177</v>
      </c>
      <c r="C1329" t="s">
        <v>123</v>
      </c>
      <c r="D1329" t="s">
        <v>10</v>
      </c>
      <c r="E1329" t="s">
        <v>138</v>
      </c>
      <c r="F1329" s="1">
        <v>42799</v>
      </c>
      <c r="G1329" s="1">
        <v>42808</v>
      </c>
      <c r="H1329">
        <v>48</v>
      </c>
      <c r="I1329" t="str">
        <f>IF(COUNTIF(Products!$A$2:$A$8,C1329)=0,C1329,"")</f>
        <v/>
      </c>
      <c r="J1329">
        <f>IF(OR(E1329="Prospecting",E1329="Engaging"),VLOOKUP(C1329,Products!$A$2:$C$8,3,FALSE),0)</f>
        <v>0</v>
      </c>
    </row>
    <row r="1330" spans="1:10" x14ac:dyDescent="0.25">
      <c r="A1330" t="s">
        <v>1497</v>
      </c>
      <c r="B1330" t="s">
        <v>177</v>
      </c>
      <c r="C1330" t="s">
        <v>123</v>
      </c>
      <c r="D1330" t="s">
        <v>37</v>
      </c>
      <c r="E1330" t="s">
        <v>138</v>
      </c>
      <c r="F1330" s="1">
        <v>42799</v>
      </c>
      <c r="G1330" s="1">
        <v>42874</v>
      </c>
      <c r="H1330">
        <v>60</v>
      </c>
      <c r="I1330" t="str">
        <f>IF(COUNTIF(Products!$A$2:$A$8,C1330)=0,C1330,"")</f>
        <v/>
      </c>
      <c r="J1330">
        <f>IF(OR(E1330="Prospecting",E1330="Engaging"),VLOOKUP(C1330,Products!$A$2:$C$8,3,FALSE),0)</f>
        <v>0</v>
      </c>
    </row>
    <row r="1331" spans="1:10" x14ac:dyDescent="0.25">
      <c r="A1331" t="s">
        <v>1498</v>
      </c>
      <c r="B1331" t="s">
        <v>222</v>
      </c>
      <c r="C1331" t="s">
        <v>120</v>
      </c>
      <c r="D1331" t="s">
        <v>67</v>
      </c>
      <c r="E1331" t="s">
        <v>138</v>
      </c>
      <c r="F1331" s="1">
        <v>42800</v>
      </c>
      <c r="G1331" s="1">
        <v>42873</v>
      </c>
      <c r="H1331">
        <v>522</v>
      </c>
      <c r="I1331" t="str">
        <f>IF(COUNTIF(Products!$A$2:$A$8,C1331)=0,C1331,"")</f>
        <v/>
      </c>
      <c r="J1331">
        <f>IF(OR(E1331="Prospecting",E1331="Engaging"),VLOOKUP(C1331,Products!$A$2:$C$8,3,FALSE),0)</f>
        <v>0</v>
      </c>
    </row>
    <row r="1332" spans="1:10" x14ac:dyDescent="0.25">
      <c r="A1332" t="s">
        <v>1499</v>
      </c>
      <c r="B1332" t="s">
        <v>207</v>
      </c>
      <c r="C1332" t="s">
        <v>120</v>
      </c>
      <c r="E1332" t="s">
        <v>155</v>
      </c>
      <c r="F1332" s="1">
        <v>42800</v>
      </c>
      <c r="I1332" t="str">
        <f>IF(COUNTIF(Products!$A$2:$A$8,C1332)=0,C1332,"")</f>
        <v/>
      </c>
      <c r="J1332">
        <f>IF(OR(E1332="Prospecting",E1332="Engaging"),VLOOKUP(C1332,Products!$A$2:$C$8,3,FALSE),0)</f>
        <v>550</v>
      </c>
    </row>
    <row r="1333" spans="1:10" x14ac:dyDescent="0.25">
      <c r="A1333" t="s">
        <v>1500</v>
      </c>
      <c r="B1333" t="s">
        <v>207</v>
      </c>
      <c r="C1333" t="s">
        <v>126</v>
      </c>
      <c r="D1333" t="s">
        <v>105</v>
      </c>
      <c r="E1333" t="s">
        <v>138</v>
      </c>
      <c r="F1333" s="1">
        <v>42800</v>
      </c>
      <c r="G1333" s="1">
        <v>42812</v>
      </c>
      <c r="H1333">
        <v>4701</v>
      </c>
      <c r="I1333" t="str">
        <f>IF(COUNTIF(Products!$A$2:$A$8,C1333)=0,C1333,"")</f>
        <v/>
      </c>
      <c r="J1333">
        <f>IF(OR(E1333="Prospecting",E1333="Engaging"),VLOOKUP(C1333,Products!$A$2:$C$8,3,FALSE),0)</f>
        <v>0</v>
      </c>
    </row>
    <row r="1334" spans="1:10" x14ac:dyDescent="0.25">
      <c r="A1334" t="s">
        <v>1501</v>
      </c>
      <c r="B1334" t="s">
        <v>140</v>
      </c>
      <c r="C1334" t="s">
        <v>126</v>
      </c>
      <c r="D1334" t="s">
        <v>91</v>
      </c>
      <c r="E1334" t="s">
        <v>159</v>
      </c>
      <c r="F1334" s="1">
        <v>42800</v>
      </c>
      <c r="G1334" s="1">
        <v>42875</v>
      </c>
      <c r="H1334">
        <v>0</v>
      </c>
      <c r="I1334" t="str">
        <f>IF(COUNTIF(Products!$A$2:$A$8,C1334)=0,C1334,"")</f>
        <v/>
      </c>
      <c r="J1334">
        <f>IF(OR(E1334="Prospecting",E1334="Engaging"),VLOOKUP(C1334,Products!$A$2:$C$8,3,FALSE),0)</f>
        <v>0</v>
      </c>
    </row>
    <row r="1335" spans="1:10" x14ac:dyDescent="0.25">
      <c r="A1335" t="s">
        <v>1502</v>
      </c>
      <c r="B1335" t="s">
        <v>173</v>
      </c>
      <c r="C1335" t="s">
        <v>122</v>
      </c>
      <c r="D1335" t="s">
        <v>93</v>
      </c>
      <c r="E1335" t="s">
        <v>138</v>
      </c>
      <c r="F1335" s="1">
        <v>42800</v>
      </c>
      <c r="G1335" s="1">
        <v>42807</v>
      </c>
      <c r="H1335">
        <v>4987</v>
      </c>
      <c r="I1335" t="str">
        <f>IF(COUNTIF(Products!$A$2:$A$8,C1335)=0,C1335,"")</f>
        <v/>
      </c>
      <c r="J1335">
        <f>IF(OR(E1335="Prospecting",E1335="Engaging"),VLOOKUP(C1335,Products!$A$2:$C$8,3,FALSE),0)</f>
        <v>0</v>
      </c>
    </row>
    <row r="1336" spans="1:10" x14ac:dyDescent="0.25">
      <c r="A1336" t="s">
        <v>1503</v>
      </c>
      <c r="B1336" t="s">
        <v>303</v>
      </c>
      <c r="C1336" t="s">
        <v>120</v>
      </c>
      <c r="D1336" t="s">
        <v>32</v>
      </c>
      <c r="E1336" t="s">
        <v>138</v>
      </c>
      <c r="F1336" s="1">
        <v>42800</v>
      </c>
      <c r="G1336" s="1">
        <v>42886</v>
      </c>
      <c r="H1336">
        <v>579</v>
      </c>
      <c r="I1336" t="str">
        <f>IF(COUNTIF(Products!$A$2:$A$8,C1336)=0,C1336,"")</f>
        <v/>
      </c>
      <c r="J1336">
        <f>IF(OR(E1336="Prospecting",E1336="Engaging"),VLOOKUP(C1336,Products!$A$2:$C$8,3,FALSE),0)</f>
        <v>0</v>
      </c>
    </row>
    <row r="1337" spans="1:10" x14ac:dyDescent="0.25">
      <c r="A1337" t="s">
        <v>1504</v>
      </c>
      <c r="B1337" t="s">
        <v>191</v>
      </c>
      <c r="C1337" t="s">
        <v>123</v>
      </c>
      <c r="E1337" t="s">
        <v>155</v>
      </c>
      <c r="F1337" s="1">
        <v>42800</v>
      </c>
      <c r="I1337" t="str">
        <f>IF(COUNTIF(Products!$A$2:$A$8,C1337)=0,C1337,"")</f>
        <v/>
      </c>
      <c r="J1337">
        <f>IF(OR(E1337="Prospecting",E1337="Engaging"),VLOOKUP(C1337,Products!$A$2:$C$8,3,FALSE),0)</f>
        <v>55</v>
      </c>
    </row>
    <row r="1338" spans="1:10" x14ac:dyDescent="0.25">
      <c r="A1338" t="s">
        <v>1505</v>
      </c>
      <c r="B1338" t="s">
        <v>191</v>
      </c>
      <c r="C1338" t="s">
        <v>120</v>
      </c>
      <c r="D1338" t="s">
        <v>67</v>
      </c>
      <c r="E1338" t="s">
        <v>138</v>
      </c>
      <c r="F1338" s="1">
        <v>42800</v>
      </c>
      <c r="G1338" s="1">
        <v>42915</v>
      </c>
      <c r="H1338">
        <v>494</v>
      </c>
      <c r="I1338" t="str">
        <f>IF(COUNTIF(Products!$A$2:$A$8,C1338)=0,C1338,"")</f>
        <v/>
      </c>
      <c r="J1338">
        <f>IF(OR(E1338="Prospecting",E1338="Engaging"),VLOOKUP(C1338,Products!$A$2:$C$8,3,FALSE),0)</f>
        <v>0</v>
      </c>
    </row>
    <row r="1339" spans="1:10" x14ac:dyDescent="0.25">
      <c r="A1339" t="s">
        <v>1506</v>
      </c>
      <c r="B1339" t="s">
        <v>205</v>
      </c>
      <c r="C1339" t="s">
        <v>120</v>
      </c>
      <c r="D1339" t="s">
        <v>64</v>
      </c>
      <c r="E1339" t="s">
        <v>138</v>
      </c>
      <c r="F1339" s="1">
        <v>42800</v>
      </c>
      <c r="G1339" s="1">
        <v>42897</v>
      </c>
      <c r="H1339">
        <v>545</v>
      </c>
      <c r="I1339" t="str">
        <f>IF(COUNTIF(Products!$A$2:$A$8,C1339)=0,C1339,"")</f>
        <v/>
      </c>
      <c r="J1339">
        <f>IF(OR(E1339="Prospecting",E1339="Engaging"),VLOOKUP(C1339,Products!$A$2:$C$8,3,FALSE),0)</f>
        <v>0</v>
      </c>
    </row>
    <row r="1340" spans="1:10" x14ac:dyDescent="0.25">
      <c r="A1340" t="s">
        <v>1507</v>
      </c>
      <c r="B1340" t="s">
        <v>162</v>
      </c>
      <c r="C1340" t="s">
        <v>120</v>
      </c>
      <c r="D1340" t="s">
        <v>109</v>
      </c>
      <c r="E1340" t="s">
        <v>138</v>
      </c>
      <c r="F1340" s="1">
        <v>42800</v>
      </c>
      <c r="G1340" s="1">
        <v>42887</v>
      </c>
      <c r="H1340">
        <v>584</v>
      </c>
      <c r="I1340" t="str">
        <f>IF(COUNTIF(Products!$A$2:$A$8,C1340)=0,C1340,"")</f>
        <v/>
      </c>
      <c r="J1340">
        <f>IF(OR(E1340="Prospecting",E1340="Engaging"),VLOOKUP(C1340,Products!$A$2:$C$8,3,FALSE),0)</f>
        <v>0</v>
      </c>
    </row>
    <row r="1341" spans="1:10" x14ac:dyDescent="0.25">
      <c r="A1341" t="s">
        <v>1508</v>
      </c>
      <c r="B1341" t="s">
        <v>137</v>
      </c>
      <c r="C1341" t="s">
        <v>125</v>
      </c>
      <c r="D1341" t="s">
        <v>30</v>
      </c>
      <c r="E1341" t="s">
        <v>138</v>
      </c>
      <c r="F1341" s="1">
        <v>42800</v>
      </c>
      <c r="G1341" s="1">
        <v>42895</v>
      </c>
      <c r="H1341">
        <v>3714</v>
      </c>
      <c r="I1341" t="str">
        <f>IF(COUNTIF(Products!$A$2:$A$8,C1341)=0,C1341,"")</f>
        <v/>
      </c>
      <c r="J1341">
        <f>IF(OR(E1341="Prospecting",E1341="Engaging"),VLOOKUP(C1341,Products!$A$2:$C$8,3,FALSE),0)</f>
        <v>0</v>
      </c>
    </row>
    <row r="1342" spans="1:10" x14ac:dyDescent="0.25">
      <c r="A1342" t="s">
        <v>1509</v>
      </c>
      <c r="B1342" t="s">
        <v>152</v>
      </c>
      <c r="C1342" t="s">
        <v>125</v>
      </c>
      <c r="D1342" t="s">
        <v>42</v>
      </c>
      <c r="E1342" t="s">
        <v>138</v>
      </c>
      <c r="F1342" s="1">
        <v>42800</v>
      </c>
      <c r="G1342" s="1">
        <v>42870</v>
      </c>
      <c r="H1342">
        <v>3423</v>
      </c>
      <c r="I1342" t="str">
        <f>IF(COUNTIF(Products!$A$2:$A$8,C1342)=0,C1342,"")</f>
        <v/>
      </c>
      <c r="J1342">
        <f>IF(OR(E1342="Prospecting",E1342="Engaging"),VLOOKUP(C1342,Products!$A$2:$C$8,3,FALSE),0)</f>
        <v>0</v>
      </c>
    </row>
    <row r="1343" spans="1:10" x14ac:dyDescent="0.25">
      <c r="A1343" t="s">
        <v>1510</v>
      </c>
      <c r="B1343" t="s">
        <v>152</v>
      </c>
      <c r="C1343" t="s">
        <v>125</v>
      </c>
      <c r="D1343" t="s">
        <v>88</v>
      </c>
      <c r="E1343" t="s">
        <v>138</v>
      </c>
      <c r="F1343" s="1">
        <v>42800</v>
      </c>
      <c r="G1343" s="1">
        <v>42813</v>
      </c>
      <c r="H1343">
        <v>3167</v>
      </c>
      <c r="I1343" t="str">
        <f>IF(COUNTIF(Products!$A$2:$A$8,C1343)=0,C1343,"")</f>
        <v/>
      </c>
      <c r="J1343">
        <f>IF(OR(E1343="Prospecting",E1343="Engaging"),VLOOKUP(C1343,Products!$A$2:$C$8,3,FALSE),0)</f>
        <v>0</v>
      </c>
    </row>
    <row r="1344" spans="1:10" x14ac:dyDescent="0.25">
      <c r="A1344" t="s">
        <v>1511</v>
      </c>
      <c r="B1344" t="s">
        <v>193</v>
      </c>
      <c r="C1344" t="s">
        <v>120</v>
      </c>
      <c r="D1344" t="s">
        <v>7</v>
      </c>
      <c r="E1344" t="s">
        <v>159</v>
      </c>
      <c r="F1344" s="1">
        <v>42800</v>
      </c>
      <c r="G1344" s="1">
        <v>42884</v>
      </c>
      <c r="H1344">
        <v>0</v>
      </c>
      <c r="I1344" t="str">
        <f>IF(COUNTIF(Products!$A$2:$A$8,C1344)=0,C1344,"")</f>
        <v/>
      </c>
      <c r="J1344">
        <f>IF(OR(E1344="Prospecting",E1344="Engaging"),VLOOKUP(C1344,Products!$A$2:$C$8,3,FALSE),0)</f>
        <v>0</v>
      </c>
    </row>
    <row r="1345" spans="1:10" x14ac:dyDescent="0.25">
      <c r="A1345" t="s">
        <v>1512</v>
      </c>
      <c r="B1345" t="s">
        <v>166</v>
      </c>
      <c r="C1345" t="s">
        <v>127</v>
      </c>
      <c r="D1345" t="s">
        <v>107</v>
      </c>
      <c r="E1345" t="s">
        <v>138</v>
      </c>
      <c r="F1345" s="1">
        <v>42800</v>
      </c>
      <c r="G1345" s="1">
        <v>42884</v>
      </c>
      <c r="H1345">
        <v>987</v>
      </c>
      <c r="I1345" t="str">
        <f>IF(COUNTIF(Products!$A$2:$A$8,C1345)=0,C1345,"")</f>
        <v/>
      </c>
      <c r="J1345">
        <f>IF(OR(E1345="Prospecting",E1345="Engaging"),VLOOKUP(C1345,Products!$A$2:$C$8,3,FALSE),0)</f>
        <v>0</v>
      </c>
    </row>
    <row r="1346" spans="1:10" x14ac:dyDescent="0.25">
      <c r="A1346" t="s">
        <v>1513</v>
      </c>
      <c r="B1346" t="s">
        <v>187</v>
      </c>
      <c r="C1346" t="s">
        <v>127</v>
      </c>
      <c r="E1346" t="s">
        <v>155</v>
      </c>
      <c r="F1346" s="1">
        <v>42800</v>
      </c>
      <c r="I1346" t="str">
        <f>IF(COUNTIF(Products!$A$2:$A$8,C1346)=0,C1346,"")</f>
        <v/>
      </c>
      <c r="J1346">
        <f>IF(OR(E1346="Prospecting",E1346="Engaging"),VLOOKUP(C1346,Products!$A$2:$C$8,3,FALSE),0)</f>
        <v>1096</v>
      </c>
    </row>
    <row r="1347" spans="1:10" x14ac:dyDescent="0.25">
      <c r="A1347" t="s">
        <v>1514</v>
      </c>
      <c r="B1347" t="s">
        <v>187</v>
      </c>
      <c r="C1347" t="s">
        <v>125</v>
      </c>
      <c r="D1347" t="s">
        <v>69</v>
      </c>
      <c r="E1347" t="s">
        <v>159</v>
      </c>
      <c r="F1347" s="1">
        <v>42800</v>
      </c>
      <c r="G1347" s="1">
        <v>42892</v>
      </c>
      <c r="H1347">
        <v>0</v>
      </c>
      <c r="I1347" t="str">
        <f>IF(COUNTIF(Products!$A$2:$A$8,C1347)=0,C1347,"")</f>
        <v/>
      </c>
      <c r="J1347">
        <f>IF(OR(E1347="Prospecting",E1347="Engaging"),VLOOKUP(C1347,Products!$A$2:$C$8,3,FALSE),0)</f>
        <v>0</v>
      </c>
    </row>
    <row r="1348" spans="1:10" x14ac:dyDescent="0.25">
      <c r="A1348" t="s">
        <v>1515</v>
      </c>
      <c r="B1348" t="s">
        <v>169</v>
      </c>
      <c r="C1348" t="s">
        <v>125</v>
      </c>
      <c r="D1348" t="s">
        <v>33</v>
      </c>
      <c r="E1348" t="s">
        <v>159</v>
      </c>
      <c r="F1348" s="1">
        <v>42800</v>
      </c>
      <c r="G1348" s="1">
        <v>42876</v>
      </c>
      <c r="H1348">
        <v>0</v>
      </c>
      <c r="I1348" t="str">
        <f>IF(COUNTIF(Products!$A$2:$A$8,C1348)=0,C1348,"")</f>
        <v/>
      </c>
      <c r="J1348">
        <f>IF(OR(E1348="Prospecting",E1348="Engaging"),VLOOKUP(C1348,Products!$A$2:$C$8,3,FALSE),0)</f>
        <v>0</v>
      </c>
    </row>
    <row r="1349" spans="1:10" x14ac:dyDescent="0.25">
      <c r="A1349" t="s">
        <v>1516</v>
      </c>
      <c r="B1349" t="s">
        <v>169</v>
      </c>
      <c r="C1349" t="s">
        <v>125</v>
      </c>
      <c r="D1349" t="s">
        <v>36</v>
      </c>
      <c r="E1349" t="s">
        <v>138</v>
      </c>
      <c r="F1349" s="1">
        <v>42800</v>
      </c>
      <c r="G1349" s="1">
        <v>42879</v>
      </c>
      <c r="H1349">
        <v>3428</v>
      </c>
      <c r="I1349" t="str">
        <f>IF(COUNTIF(Products!$A$2:$A$8,C1349)=0,C1349,"")</f>
        <v/>
      </c>
      <c r="J1349">
        <f>IF(OR(E1349="Prospecting",E1349="Engaging"),VLOOKUP(C1349,Products!$A$2:$C$8,3,FALSE),0)</f>
        <v>0</v>
      </c>
    </row>
    <row r="1350" spans="1:10" x14ac:dyDescent="0.25">
      <c r="A1350" t="s">
        <v>1517</v>
      </c>
      <c r="B1350" t="s">
        <v>177</v>
      </c>
      <c r="C1350" t="s">
        <v>123</v>
      </c>
      <c r="D1350" t="s">
        <v>77</v>
      </c>
      <c r="E1350" t="s">
        <v>155</v>
      </c>
      <c r="F1350" s="1">
        <v>42800</v>
      </c>
      <c r="I1350" t="str">
        <f>IF(COUNTIF(Products!$A$2:$A$8,C1350)=0,C1350,"")</f>
        <v/>
      </c>
      <c r="J1350">
        <f>IF(OR(E1350="Prospecting",E1350="Engaging"),VLOOKUP(C1350,Products!$A$2:$C$8,3,FALSE),0)</f>
        <v>55</v>
      </c>
    </row>
    <row r="1351" spans="1:10" x14ac:dyDescent="0.25">
      <c r="A1351" t="s">
        <v>1518</v>
      </c>
      <c r="B1351" t="s">
        <v>177</v>
      </c>
      <c r="C1351" t="s">
        <v>123</v>
      </c>
      <c r="D1351" t="s">
        <v>50</v>
      </c>
      <c r="E1351" t="s">
        <v>159</v>
      </c>
      <c r="F1351" s="1">
        <v>42800</v>
      </c>
      <c r="G1351" s="1">
        <v>42877</v>
      </c>
      <c r="H1351">
        <v>0</v>
      </c>
      <c r="I1351" t="str">
        <f>IF(COUNTIF(Products!$A$2:$A$8,C1351)=0,C1351,"")</f>
        <v/>
      </c>
      <c r="J1351">
        <f>IF(OR(E1351="Prospecting",E1351="Engaging"),VLOOKUP(C1351,Products!$A$2:$C$8,3,FALSE),0)</f>
        <v>0</v>
      </c>
    </row>
    <row r="1352" spans="1:10" x14ac:dyDescent="0.25">
      <c r="A1352" t="s">
        <v>1519</v>
      </c>
      <c r="B1352" t="s">
        <v>144</v>
      </c>
      <c r="C1352" t="s">
        <v>127</v>
      </c>
      <c r="D1352" t="s">
        <v>61</v>
      </c>
      <c r="E1352" t="s">
        <v>138</v>
      </c>
      <c r="F1352" s="1">
        <v>42800</v>
      </c>
      <c r="G1352" s="1">
        <v>42886</v>
      </c>
      <c r="H1352">
        <v>1149</v>
      </c>
      <c r="I1352" t="str">
        <f>IF(COUNTIF(Products!$A$2:$A$8,C1352)=0,C1352,"")</f>
        <v/>
      </c>
      <c r="J1352">
        <f>IF(OR(E1352="Prospecting",E1352="Engaging"),VLOOKUP(C1352,Products!$A$2:$C$8,3,FALSE),0)</f>
        <v>0</v>
      </c>
    </row>
    <row r="1353" spans="1:10" x14ac:dyDescent="0.25">
      <c r="A1353" t="s">
        <v>1520</v>
      </c>
      <c r="B1353" t="s">
        <v>146</v>
      </c>
      <c r="C1353" t="s">
        <v>126</v>
      </c>
      <c r="D1353" t="s">
        <v>53</v>
      </c>
      <c r="E1353" t="s">
        <v>138</v>
      </c>
      <c r="F1353" s="1">
        <v>42801</v>
      </c>
      <c r="G1353" s="1">
        <v>42897</v>
      </c>
      <c r="H1353">
        <v>6023</v>
      </c>
      <c r="I1353" t="str">
        <f>IF(COUNTIF(Products!$A$2:$A$8,C1353)=0,C1353,"")</f>
        <v/>
      </c>
      <c r="J1353">
        <f>IF(OR(E1353="Prospecting",E1353="Engaging"),VLOOKUP(C1353,Products!$A$2:$C$8,3,FALSE),0)</f>
        <v>0</v>
      </c>
    </row>
    <row r="1354" spans="1:10" x14ac:dyDescent="0.25">
      <c r="A1354" t="s">
        <v>1521</v>
      </c>
      <c r="B1354" t="s">
        <v>222</v>
      </c>
      <c r="C1354" t="s">
        <v>120</v>
      </c>
      <c r="E1354" t="s">
        <v>155</v>
      </c>
      <c r="F1354" s="1">
        <v>42801</v>
      </c>
      <c r="I1354" t="str">
        <f>IF(COUNTIF(Products!$A$2:$A$8,C1354)=0,C1354,"")</f>
        <v/>
      </c>
      <c r="J1354">
        <f>IF(OR(E1354="Prospecting",E1354="Engaging"),VLOOKUP(C1354,Products!$A$2:$C$8,3,FALSE),0)</f>
        <v>550</v>
      </c>
    </row>
    <row r="1355" spans="1:10" x14ac:dyDescent="0.25">
      <c r="A1355" t="s">
        <v>1522</v>
      </c>
      <c r="B1355" t="s">
        <v>222</v>
      </c>
      <c r="C1355" t="s">
        <v>127</v>
      </c>
      <c r="E1355" t="s">
        <v>155</v>
      </c>
      <c r="F1355" s="1">
        <v>42801</v>
      </c>
      <c r="I1355" t="str">
        <f>IF(COUNTIF(Products!$A$2:$A$8,C1355)=0,C1355,"")</f>
        <v/>
      </c>
      <c r="J1355">
        <f>IF(OR(E1355="Prospecting",E1355="Engaging"),VLOOKUP(C1355,Products!$A$2:$C$8,3,FALSE),0)</f>
        <v>1096</v>
      </c>
    </row>
    <row r="1356" spans="1:10" x14ac:dyDescent="0.25">
      <c r="A1356" t="s">
        <v>1523</v>
      </c>
      <c r="B1356" t="s">
        <v>207</v>
      </c>
      <c r="C1356" t="s">
        <v>120</v>
      </c>
      <c r="D1356" t="s">
        <v>19</v>
      </c>
      <c r="E1356" t="s">
        <v>159</v>
      </c>
      <c r="F1356" s="1">
        <v>42801</v>
      </c>
      <c r="G1356" s="1">
        <v>42890</v>
      </c>
      <c r="H1356">
        <v>0</v>
      </c>
      <c r="I1356" t="str">
        <f>IF(COUNTIF(Products!$A$2:$A$8,C1356)=0,C1356,"")</f>
        <v/>
      </c>
      <c r="J1356">
        <f>IF(OR(E1356="Prospecting",E1356="Engaging"),VLOOKUP(C1356,Products!$A$2:$C$8,3,FALSE),0)</f>
        <v>0</v>
      </c>
    </row>
    <row r="1357" spans="1:10" x14ac:dyDescent="0.25">
      <c r="A1357" t="s">
        <v>1524</v>
      </c>
      <c r="B1357" t="s">
        <v>264</v>
      </c>
      <c r="C1357" t="s">
        <v>123</v>
      </c>
      <c r="D1357" t="s">
        <v>91</v>
      </c>
      <c r="E1357" t="s">
        <v>138</v>
      </c>
      <c r="F1357" s="1">
        <v>42801</v>
      </c>
      <c r="G1357" s="1">
        <v>42811</v>
      </c>
      <c r="H1357">
        <v>47</v>
      </c>
      <c r="I1357" t="str">
        <f>IF(COUNTIF(Products!$A$2:$A$8,C1357)=0,C1357,"")</f>
        <v/>
      </c>
      <c r="J1357">
        <f>IF(OR(E1357="Prospecting",E1357="Engaging"),VLOOKUP(C1357,Products!$A$2:$C$8,3,FALSE),0)</f>
        <v>0</v>
      </c>
    </row>
    <row r="1358" spans="1:10" x14ac:dyDescent="0.25">
      <c r="A1358" t="s">
        <v>1525</v>
      </c>
      <c r="B1358" t="s">
        <v>239</v>
      </c>
      <c r="C1358" t="s">
        <v>120</v>
      </c>
      <c r="D1358" t="s">
        <v>35</v>
      </c>
      <c r="E1358" t="s">
        <v>138</v>
      </c>
      <c r="F1358" s="1">
        <v>42801</v>
      </c>
      <c r="G1358" s="1">
        <v>42804</v>
      </c>
      <c r="H1358">
        <v>542</v>
      </c>
      <c r="I1358" t="str">
        <f>IF(COUNTIF(Products!$A$2:$A$8,C1358)=0,C1358,"")</f>
        <v/>
      </c>
      <c r="J1358">
        <f>IF(OR(E1358="Prospecting",E1358="Engaging"),VLOOKUP(C1358,Products!$A$2:$C$8,3,FALSE),0)</f>
        <v>0</v>
      </c>
    </row>
    <row r="1359" spans="1:10" x14ac:dyDescent="0.25">
      <c r="A1359" t="s">
        <v>1526</v>
      </c>
      <c r="B1359" t="s">
        <v>239</v>
      </c>
      <c r="C1359" t="s">
        <v>122</v>
      </c>
      <c r="D1359" t="s">
        <v>108</v>
      </c>
      <c r="E1359" t="s">
        <v>138</v>
      </c>
      <c r="F1359" s="1">
        <v>42801</v>
      </c>
      <c r="G1359" s="1">
        <v>42810</v>
      </c>
      <c r="H1359">
        <v>4980</v>
      </c>
      <c r="I1359" t="str">
        <f>IF(COUNTIF(Products!$A$2:$A$8,C1359)=0,C1359,"")</f>
        <v/>
      </c>
      <c r="J1359">
        <f>IF(OR(E1359="Prospecting",E1359="Engaging"),VLOOKUP(C1359,Products!$A$2:$C$8,3,FALSE),0)</f>
        <v>0</v>
      </c>
    </row>
    <row r="1360" spans="1:10" x14ac:dyDescent="0.25">
      <c r="A1360" t="s">
        <v>1527</v>
      </c>
      <c r="B1360" t="s">
        <v>140</v>
      </c>
      <c r="C1360" t="s">
        <v>122</v>
      </c>
      <c r="D1360" t="s">
        <v>46</v>
      </c>
      <c r="E1360" t="s">
        <v>138</v>
      </c>
      <c r="F1360" s="1">
        <v>42801</v>
      </c>
      <c r="G1360" s="1">
        <v>42883</v>
      </c>
      <c r="H1360">
        <v>4978</v>
      </c>
      <c r="I1360" t="str">
        <f>IF(COUNTIF(Products!$A$2:$A$8,C1360)=0,C1360,"")</f>
        <v/>
      </c>
      <c r="J1360">
        <f>IF(OR(E1360="Prospecting",E1360="Engaging"),VLOOKUP(C1360,Products!$A$2:$C$8,3,FALSE),0)</f>
        <v>0</v>
      </c>
    </row>
    <row r="1361" spans="1:10" x14ac:dyDescent="0.25">
      <c r="A1361" t="s">
        <v>1528</v>
      </c>
      <c r="B1361" t="s">
        <v>224</v>
      </c>
      <c r="C1361" t="s">
        <v>122</v>
      </c>
      <c r="D1361" t="s">
        <v>106</v>
      </c>
      <c r="E1361" t="s">
        <v>138</v>
      </c>
      <c r="F1361" s="1">
        <v>42801</v>
      </c>
      <c r="G1361" s="1">
        <v>42896</v>
      </c>
      <c r="H1361">
        <v>5256</v>
      </c>
      <c r="I1361" t="str">
        <f>IF(COUNTIF(Products!$A$2:$A$8,C1361)=0,C1361,"")</f>
        <v/>
      </c>
      <c r="J1361">
        <f>IF(OR(E1361="Prospecting",E1361="Engaging"),VLOOKUP(C1361,Products!$A$2:$C$8,3,FALSE),0)</f>
        <v>0</v>
      </c>
    </row>
    <row r="1362" spans="1:10" x14ac:dyDescent="0.25">
      <c r="A1362" t="s">
        <v>1529</v>
      </c>
      <c r="B1362" t="s">
        <v>173</v>
      </c>
      <c r="C1362" t="s">
        <v>122</v>
      </c>
      <c r="D1362" t="s">
        <v>61</v>
      </c>
      <c r="E1362" t="s">
        <v>138</v>
      </c>
      <c r="F1362" s="1">
        <v>42801</v>
      </c>
      <c r="G1362" s="1">
        <v>42893</v>
      </c>
      <c r="H1362">
        <v>4327</v>
      </c>
      <c r="I1362" t="str">
        <f>IF(COUNTIF(Products!$A$2:$A$8,C1362)=0,C1362,"")</f>
        <v/>
      </c>
      <c r="J1362">
        <f>IF(OR(E1362="Prospecting",E1362="Engaging"),VLOOKUP(C1362,Products!$A$2:$C$8,3,FALSE),0)</f>
        <v>0</v>
      </c>
    </row>
    <row r="1363" spans="1:10" x14ac:dyDescent="0.25">
      <c r="A1363" t="s">
        <v>1530</v>
      </c>
      <c r="B1363" t="s">
        <v>198</v>
      </c>
      <c r="C1363" t="s">
        <v>122</v>
      </c>
      <c r="D1363" t="s">
        <v>37</v>
      </c>
      <c r="E1363" t="s">
        <v>138</v>
      </c>
      <c r="F1363" s="1">
        <v>42801</v>
      </c>
      <c r="G1363" s="1">
        <v>42870</v>
      </c>
      <c r="H1363">
        <v>5022</v>
      </c>
      <c r="I1363" t="str">
        <f>IF(COUNTIF(Products!$A$2:$A$8,C1363)=0,C1363,"")</f>
        <v/>
      </c>
      <c r="J1363">
        <f>IF(OR(E1363="Prospecting",E1363="Engaging"),VLOOKUP(C1363,Products!$A$2:$C$8,3,FALSE),0)</f>
        <v>0</v>
      </c>
    </row>
    <row r="1364" spans="1:10" x14ac:dyDescent="0.25">
      <c r="A1364" t="s">
        <v>1531</v>
      </c>
      <c r="B1364" t="s">
        <v>158</v>
      </c>
      <c r="C1364" t="s">
        <v>126</v>
      </c>
      <c r="D1364" t="s">
        <v>14</v>
      </c>
      <c r="E1364" t="s">
        <v>138</v>
      </c>
      <c r="F1364" s="1">
        <v>42801</v>
      </c>
      <c r="G1364" s="1">
        <v>42805</v>
      </c>
      <c r="H1364">
        <v>4887</v>
      </c>
      <c r="I1364" t="str">
        <f>IF(COUNTIF(Products!$A$2:$A$8,C1364)=0,C1364,"")</f>
        <v/>
      </c>
      <c r="J1364">
        <f>IF(OR(E1364="Prospecting",E1364="Engaging"),VLOOKUP(C1364,Products!$A$2:$C$8,3,FALSE),0)</f>
        <v>0</v>
      </c>
    </row>
    <row r="1365" spans="1:10" x14ac:dyDescent="0.25">
      <c r="A1365" t="s">
        <v>1532</v>
      </c>
      <c r="B1365" t="s">
        <v>158</v>
      </c>
      <c r="C1365" t="s">
        <v>125</v>
      </c>
      <c r="D1365" t="s">
        <v>94</v>
      </c>
      <c r="E1365" t="s">
        <v>138</v>
      </c>
      <c r="F1365" s="1">
        <v>42801</v>
      </c>
      <c r="G1365" s="1">
        <v>42815</v>
      </c>
      <c r="H1365">
        <v>3724</v>
      </c>
      <c r="I1365" t="str">
        <f>IF(COUNTIF(Products!$A$2:$A$8,C1365)=0,C1365,"")</f>
        <v/>
      </c>
      <c r="J1365">
        <f>IF(OR(E1365="Prospecting",E1365="Engaging"),VLOOKUP(C1365,Products!$A$2:$C$8,3,FALSE),0)</f>
        <v>0</v>
      </c>
    </row>
    <row r="1366" spans="1:10" x14ac:dyDescent="0.25">
      <c r="A1366" t="s">
        <v>1533</v>
      </c>
      <c r="B1366" t="s">
        <v>154</v>
      </c>
      <c r="C1366" t="s">
        <v>127</v>
      </c>
      <c r="E1366" t="s">
        <v>155</v>
      </c>
      <c r="F1366" s="1">
        <v>42801</v>
      </c>
      <c r="I1366" t="str">
        <f>IF(COUNTIF(Products!$A$2:$A$8,C1366)=0,C1366,"")</f>
        <v/>
      </c>
      <c r="J1366">
        <f>IF(OR(E1366="Prospecting",E1366="Engaging"),VLOOKUP(C1366,Products!$A$2:$C$8,3,FALSE),0)</f>
        <v>1096</v>
      </c>
    </row>
    <row r="1367" spans="1:10" x14ac:dyDescent="0.25">
      <c r="A1367" t="s">
        <v>1534</v>
      </c>
      <c r="B1367" t="s">
        <v>154</v>
      </c>
      <c r="C1367" t="s">
        <v>120</v>
      </c>
      <c r="D1367" t="s">
        <v>109</v>
      </c>
      <c r="E1367" t="s">
        <v>138</v>
      </c>
      <c r="F1367" s="1">
        <v>42801</v>
      </c>
      <c r="G1367" s="1">
        <v>42805</v>
      </c>
      <c r="H1367">
        <v>535</v>
      </c>
      <c r="I1367" t="str">
        <f>IF(COUNTIF(Products!$A$2:$A$8,C1367)=0,C1367,"")</f>
        <v/>
      </c>
      <c r="J1367">
        <f>IF(OR(E1367="Prospecting",E1367="Engaging"),VLOOKUP(C1367,Products!$A$2:$C$8,3,FALSE),0)</f>
        <v>0</v>
      </c>
    </row>
    <row r="1368" spans="1:10" x14ac:dyDescent="0.25">
      <c r="A1368" t="s">
        <v>1535</v>
      </c>
      <c r="B1368" t="s">
        <v>191</v>
      </c>
      <c r="C1368" t="s">
        <v>120</v>
      </c>
      <c r="D1368" t="s">
        <v>36</v>
      </c>
      <c r="E1368" t="s">
        <v>155</v>
      </c>
      <c r="F1368" s="1">
        <v>42801</v>
      </c>
      <c r="I1368" t="str">
        <f>IF(COUNTIF(Products!$A$2:$A$8,C1368)=0,C1368,"")</f>
        <v/>
      </c>
      <c r="J1368">
        <f>IF(OR(E1368="Prospecting",E1368="Engaging"),VLOOKUP(C1368,Products!$A$2:$C$8,3,FALSE),0)</f>
        <v>550</v>
      </c>
    </row>
    <row r="1369" spans="1:10" x14ac:dyDescent="0.25">
      <c r="A1369" t="s">
        <v>1536</v>
      </c>
      <c r="B1369" t="s">
        <v>191</v>
      </c>
      <c r="C1369" t="s">
        <v>126</v>
      </c>
      <c r="D1369" t="s">
        <v>17</v>
      </c>
      <c r="E1369" t="s">
        <v>159</v>
      </c>
      <c r="F1369" s="1">
        <v>42801</v>
      </c>
      <c r="G1369" s="1">
        <v>42879</v>
      </c>
      <c r="H1369">
        <v>0</v>
      </c>
      <c r="I1369" t="str">
        <f>IF(COUNTIF(Products!$A$2:$A$8,C1369)=0,C1369,"")</f>
        <v/>
      </c>
      <c r="J1369">
        <f>IF(OR(E1369="Prospecting",E1369="Engaging"),VLOOKUP(C1369,Products!$A$2:$C$8,3,FALSE),0)</f>
        <v>0</v>
      </c>
    </row>
    <row r="1370" spans="1:10" x14ac:dyDescent="0.25">
      <c r="A1370" t="s">
        <v>1537</v>
      </c>
      <c r="B1370" t="s">
        <v>150</v>
      </c>
      <c r="C1370" t="s">
        <v>125</v>
      </c>
      <c r="D1370" t="s">
        <v>93</v>
      </c>
      <c r="E1370" t="s">
        <v>138</v>
      </c>
      <c r="F1370" s="1">
        <v>42801</v>
      </c>
      <c r="G1370" s="1">
        <v>42809</v>
      </c>
      <c r="H1370">
        <v>3969</v>
      </c>
      <c r="I1370" t="str">
        <f>IF(COUNTIF(Products!$A$2:$A$8,C1370)=0,C1370,"")</f>
        <v/>
      </c>
      <c r="J1370">
        <f>IF(OR(E1370="Prospecting",E1370="Engaging"),VLOOKUP(C1370,Products!$A$2:$C$8,3,FALSE),0)</f>
        <v>0</v>
      </c>
    </row>
    <row r="1371" spans="1:10" x14ac:dyDescent="0.25">
      <c r="A1371" t="s">
        <v>1538</v>
      </c>
      <c r="B1371" t="s">
        <v>162</v>
      </c>
      <c r="C1371" t="s">
        <v>127</v>
      </c>
      <c r="D1371" t="s">
        <v>17</v>
      </c>
      <c r="E1371" t="s">
        <v>155</v>
      </c>
      <c r="F1371" s="1">
        <v>42801</v>
      </c>
      <c r="I1371" t="str">
        <f>IF(COUNTIF(Products!$A$2:$A$8,C1371)=0,C1371,"")</f>
        <v/>
      </c>
      <c r="J1371">
        <f>IF(OR(E1371="Prospecting",E1371="Engaging"),VLOOKUP(C1371,Products!$A$2:$C$8,3,FALSE),0)</f>
        <v>1096</v>
      </c>
    </row>
    <row r="1372" spans="1:10" x14ac:dyDescent="0.25">
      <c r="A1372" t="s">
        <v>1539</v>
      </c>
      <c r="B1372" t="s">
        <v>137</v>
      </c>
      <c r="C1372" t="s">
        <v>126</v>
      </c>
      <c r="D1372" t="s">
        <v>103</v>
      </c>
      <c r="E1372" t="s">
        <v>138</v>
      </c>
      <c r="F1372" s="1">
        <v>42801</v>
      </c>
      <c r="G1372" s="1">
        <v>42807</v>
      </c>
      <c r="H1372">
        <v>6805</v>
      </c>
      <c r="I1372" t="str">
        <f>IF(COUNTIF(Products!$A$2:$A$8,C1372)=0,C1372,"")</f>
        <v/>
      </c>
      <c r="J1372">
        <f>IF(OR(E1372="Prospecting",E1372="Engaging"),VLOOKUP(C1372,Products!$A$2:$C$8,3,FALSE),0)</f>
        <v>0</v>
      </c>
    </row>
    <row r="1373" spans="1:10" x14ac:dyDescent="0.25">
      <c r="A1373" t="s">
        <v>1540</v>
      </c>
      <c r="B1373" t="s">
        <v>152</v>
      </c>
      <c r="C1373" t="s">
        <v>127</v>
      </c>
      <c r="D1373" t="s">
        <v>64</v>
      </c>
      <c r="E1373" t="s">
        <v>138</v>
      </c>
      <c r="F1373" s="1">
        <v>42801</v>
      </c>
      <c r="G1373" s="1">
        <v>42898</v>
      </c>
      <c r="H1373">
        <v>1190</v>
      </c>
      <c r="I1373" t="str">
        <f>IF(COUNTIF(Products!$A$2:$A$8,C1373)=0,C1373,"")</f>
        <v/>
      </c>
      <c r="J1373">
        <f>IF(OR(E1373="Prospecting",E1373="Engaging"),VLOOKUP(C1373,Products!$A$2:$C$8,3,FALSE),0)</f>
        <v>0</v>
      </c>
    </row>
    <row r="1374" spans="1:10" x14ac:dyDescent="0.25">
      <c r="A1374" t="s">
        <v>1541</v>
      </c>
      <c r="B1374" t="s">
        <v>187</v>
      </c>
      <c r="C1374" t="s">
        <v>126</v>
      </c>
      <c r="D1374" t="s">
        <v>27</v>
      </c>
      <c r="E1374" t="s">
        <v>138</v>
      </c>
      <c r="F1374" s="1">
        <v>42801</v>
      </c>
      <c r="G1374" s="1">
        <v>42884</v>
      </c>
      <c r="H1374">
        <v>4821</v>
      </c>
      <c r="I1374" t="str">
        <f>IF(COUNTIF(Products!$A$2:$A$8,C1374)=0,C1374,"")</f>
        <v/>
      </c>
      <c r="J1374">
        <f>IF(OR(E1374="Prospecting",E1374="Engaging"),VLOOKUP(C1374,Products!$A$2:$C$8,3,FALSE),0)</f>
        <v>0</v>
      </c>
    </row>
    <row r="1375" spans="1:10" x14ac:dyDescent="0.25">
      <c r="A1375" t="s">
        <v>1542</v>
      </c>
      <c r="B1375" t="s">
        <v>148</v>
      </c>
      <c r="C1375" t="s">
        <v>120</v>
      </c>
      <c r="D1375" t="s">
        <v>29</v>
      </c>
      <c r="E1375" t="s">
        <v>155</v>
      </c>
      <c r="F1375" s="1">
        <v>42801</v>
      </c>
      <c r="I1375" t="str">
        <f>IF(COUNTIF(Products!$A$2:$A$8,C1375)=0,C1375,"")</f>
        <v/>
      </c>
      <c r="J1375">
        <f>IF(OR(E1375="Prospecting",E1375="Engaging"),VLOOKUP(C1375,Products!$A$2:$C$8,3,FALSE),0)</f>
        <v>550</v>
      </c>
    </row>
    <row r="1376" spans="1:10" x14ac:dyDescent="0.25">
      <c r="A1376" t="s">
        <v>1543</v>
      </c>
      <c r="B1376" t="s">
        <v>177</v>
      </c>
      <c r="C1376" t="s">
        <v>123</v>
      </c>
      <c r="D1376" t="s">
        <v>68</v>
      </c>
      <c r="E1376" t="s">
        <v>138</v>
      </c>
      <c r="F1376" s="1">
        <v>42801</v>
      </c>
      <c r="G1376" s="1">
        <v>42861</v>
      </c>
      <c r="H1376">
        <v>53</v>
      </c>
      <c r="I1376" t="str">
        <f>IF(COUNTIF(Products!$A$2:$A$8,C1376)=0,C1376,"")</f>
        <v/>
      </c>
      <c r="J1376">
        <f>IF(OR(E1376="Prospecting",E1376="Engaging"),VLOOKUP(C1376,Products!$A$2:$C$8,3,FALSE),0)</f>
        <v>0</v>
      </c>
    </row>
    <row r="1377" spans="1:10" x14ac:dyDescent="0.25">
      <c r="A1377" t="s">
        <v>1544</v>
      </c>
      <c r="B1377" t="s">
        <v>196</v>
      </c>
      <c r="C1377" t="s">
        <v>127</v>
      </c>
      <c r="E1377" t="s">
        <v>155</v>
      </c>
      <c r="F1377" s="1">
        <v>42801</v>
      </c>
      <c r="I1377" t="str">
        <f>IF(COUNTIF(Products!$A$2:$A$8,C1377)=0,C1377,"")</f>
        <v/>
      </c>
      <c r="J1377">
        <f>IF(OR(E1377="Prospecting",E1377="Engaging"),VLOOKUP(C1377,Products!$A$2:$C$8,3,FALSE),0)</f>
        <v>1096</v>
      </c>
    </row>
    <row r="1378" spans="1:10" x14ac:dyDescent="0.25">
      <c r="A1378" t="s">
        <v>1545</v>
      </c>
      <c r="B1378" t="s">
        <v>196</v>
      </c>
      <c r="C1378" t="s">
        <v>125</v>
      </c>
      <c r="E1378" t="s">
        <v>155</v>
      </c>
      <c r="F1378" s="1">
        <v>42801</v>
      </c>
      <c r="I1378" t="str">
        <f>IF(COUNTIF(Products!$A$2:$A$8,C1378)=0,C1378,"")</f>
        <v/>
      </c>
      <c r="J1378">
        <f>IF(OR(E1378="Prospecting",E1378="Engaging"),VLOOKUP(C1378,Products!$A$2:$C$8,3,FALSE),0)</f>
        <v>3393</v>
      </c>
    </row>
    <row r="1379" spans="1:10" x14ac:dyDescent="0.25">
      <c r="A1379" t="s">
        <v>1546</v>
      </c>
      <c r="B1379" t="s">
        <v>144</v>
      </c>
      <c r="C1379" t="s">
        <v>122</v>
      </c>
      <c r="E1379" t="s">
        <v>155</v>
      </c>
      <c r="F1379" s="1">
        <v>42801</v>
      </c>
      <c r="I1379" t="str">
        <f>IF(COUNTIF(Products!$A$2:$A$8,C1379)=0,C1379,"")</f>
        <v/>
      </c>
      <c r="J1379">
        <f>IF(OR(E1379="Prospecting",E1379="Engaging"),VLOOKUP(C1379,Products!$A$2:$C$8,3,FALSE),0)</f>
        <v>4821</v>
      </c>
    </row>
    <row r="1380" spans="1:10" x14ac:dyDescent="0.25">
      <c r="A1380" t="s">
        <v>1547</v>
      </c>
      <c r="B1380" t="s">
        <v>207</v>
      </c>
      <c r="C1380" t="s">
        <v>125</v>
      </c>
      <c r="D1380" t="s">
        <v>106</v>
      </c>
      <c r="E1380" t="s">
        <v>138</v>
      </c>
      <c r="F1380" s="1">
        <v>42802</v>
      </c>
      <c r="G1380" s="1">
        <v>42877</v>
      </c>
      <c r="H1380">
        <v>3087</v>
      </c>
      <c r="I1380" t="str">
        <f>IF(COUNTIF(Products!$A$2:$A$8,C1380)=0,C1380,"")</f>
        <v/>
      </c>
      <c r="J1380">
        <f>IF(OR(E1380="Prospecting",E1380="Engaging"),VLOOKUP(C1380,Products!$A$2:$C$8,3,FALSE),0)</f>
        <v>0</v>
      </c>
    </row>
    <row r="1381" spans="1:10" x14ac:dyDescent="0.25">
      <c r="A1381" t="s">
        <v>1548</v>
      </c>
      <c r="B1381" t="s">
        <v>264</v>
      </c>
      <c r="C1381" t="s">
        <v>123</v>
      </c>
      <c r="D1381" t="s">
        <v>14</v>
      </c>
      <c r="E1381" t="s">
        <v>138</v>
      </c>
      <c r="F1381" s="1">
        <v>42802</v>
      </c>
      <c r="G1381" s="1">
        <v>42889</v>
      </c>
      <c r="H1381">
        <v>59</v>
      </c>
      <c r="I1381" t="str">
        <f>IF(COUNTIF(Products!$A$2:$A$8,C1381)=0,C1381,"")</f>
        <v/>
      </c>
      <c r="J1381">
        <f>IF(OR(E1381="Prospecting",E1381="Engaging"),VLOOKUP(C1381,Products!$A$2:$C$8,3,FALSE),0)</f>
        <v>0</v>
      </c>
    </row>
    <row r="1382" spans="1:10" x14ac:dyDescent="0.25">
      <c r="A1382" t="s">
        <v>1549</v>
      </c>
      <c r="B1382" t="s">
        <v>239</v>
      </c>
      <c r="C1382" t="s">
        <v>127</v>
      </c>
      <c r="D1382" t="s">
        <v>20</v>
      </c>
      <c r="E1382" t="s">
        <v>138</v>
      </c>
      <c r="F1382" s="1">
        <v>42802</v>
      </c>
      <c r="G1382" s="1">
        <v>42888</v>
      </c>
      <c r="H1382">
        <v>857</v>
      </c>
      <c r="I1382" t="str">
        <f>IF(COUNTIF(Products!$A$2:$A$8,C1382)=0,C1382,"")</f>
        <v/>
      </c>
      <c r="J1382">
        <f>IF(OR(E1382="Prospecting",E1382="Engaging"),VLOOKUP(C1382,Products!$A$2:$C$8,3,FALSE),0)</f>
        <v>0</v>
      </c>
    </row>
    <row r="1383" spans="1:10" x14ac:dyDescent="0.25">
      <c r="A1383" t="s">
        <v>1550</v>
      </c>
      <c r="B1383" t="s">
        <v>171</v>
      </c>
      <c r="C1383" t="s">
        <v>127</v>
      </c>
      <c r="D1383" t="s">
        <v>25</v>
      </c>
      <c r="E1383" t="s">
        <v>138</v>
      </c>
      <c r="F1383" s="1">
        <v>42802</v>
      </c>
      <c r="G1383" s="1">
        <v>42913</v>
      </c>
      <c r="H1383">
        <v>1142</v>
      </c>
      <c r="I1383" t="str">
        <f>IF(COUNTIF(Products!$A$2:$A$8,C1383)=0,C1383,"")</f>
        <v/>
      </c>
      <c r="J1383">
        <f>IF(OR(E1383="Prospecting",E1383="Engaging"),VLOOKUP(C1383,Products!$A$2:$C$8,3,FALSE),0)</f>
        <v>0</v>
      </c>
    </row>
    <row r="1384" spans="1:10" x14ac:dyDescent="0.25">
      <c r="A1384" t="s">
        <v>1551</v>
      </c>
      <c r="B1384" t="s">
        <v>224</v>
      </c>
      <c r="C1384" t="s">
        <v>120</v>
      </c>
      <c r="D1384" t="s">
        <v>48</v>
      </c>
      <c r="E1384" t="s">
        <v>138</v>
      </c>
      <c r="F1384" s="1">
        <v>42802</v>
      </c>
      <c r="G1384" s="1">
        <v>42869</v>
      </c>
      <c r="H1384">
        <v>566</v>
      </c>
      <c r="I1384" t="str">
        <f>IF(COUNTIF(Products!$A$2:$A$8,C1384)=0,C1384,"")</f>
        <v/>
      </c>
      <c r="J1384">
        <f>IF(OR(E1384="Prospecting",E1384="Engaging"),VLOOKUP(C1384,Products!$A$2:$C$8,3,FALSE),0)</f>
        <v>0</v>
      </c>
    </row>
    <row r="1385" spans="1:10" x14ac:dyDescent="0.25">
      <c r="A1385" t="s">
        <v>1552</v>
      </c>
      <c r="B1385" t="s">
        <v>198</v>
      </c>
      <c r="C1385" t="s">
        <v>125</v>
      </c>
      <c r="D1385" t="s">
        <v>108</v>
      </c>
      <c r="E1385" t="s">
        <v>138</v>
      </c>
      <c r="F1385" s="1">
        <v>42802</v>
      </c>
      <c r="G1385" s="1">
        <v>42812</v>
      </c>
      <c r="H1385">
        <v>4291</v>
      </c>
      <c r="I1385" t="str">
        <f>IF(COUNTIF(Products!$A$2:$A$8,C1385)=0,C1385,"")</f>
        <v/>
      </c>
      <c r="J1385">
        <f>IF(OR(E1385="Prospecting",E1385="Engaging"),VLOOKUP(C1385,Products!$A$2:$C$8,3,FALSE),0)</f>
        <v>0</v>
      </c>
    </row>
    <row r="1386" spans="1:10" x14ac:dyDescent="0.25">
      <c r="A1386" t="s">
        <v>1553</v>
      </c>
      <c r="B1386" t="s">
        <v>164</v>
      </c>
      <c r="C1386" t="s">
        <v>127</v>
      </c>
      <c r="D1386" t="s">
        <v>87</v>
      </c>
      <c r="E1386" t="s">
        <v>138</v>
      </c>
      <c r="F1386" s="1">
        <v>42802</v>
      </c>
      <c r="G1386" s="1">
        <v>42902</v>
      </c>
      <c r="H1386">
        <v>1039</v>
      </c>
      <c r="I1386" t="str">
        <f>IF(COUNTIF(Products!$A$2:$A$8,C1386)=0,C1386,"")</f>
        <v/>
      </c>
      <c r="J1386">
        <f>IF(OR(E1386="Prospecting",E1386="Engaging"),VLOOKUP(C1386,Products!$A$2:$C$8,3,FALSE),0)</f>
        <v>0</v>
      </c>
    </row>
    <row r="1387" spans="1:10" x14ac:dyDescent="0.25">
      <c r="A1387" t="s">
        <v>1554</v>
      </c>
      <c r="B1387" t="s">
        <v>164</v>
      </c>
      <c r="C1387" t="s">
        <v>125</v>
      </c>
      <c r="D1387" t="s">
        <v>107</v>
      </c>
      <c r="E1387" t="s">
        <v>138</v>
      </c>
      <c r="F1387" s="1">
        <v>42802</v>
      </c>
      <c r="G1387" s="1">
        <v>42874</v>
      </c>
      <c r="H1387">
        <v>3151</v>
      </c>
      <c r="I1387" t="str">
        <f>IF(COUNTIF(Products!$A$2:$A$8,C1387)=0,C1387,"")</f>
        <v/>
      </c>
      <c r="J1387">
        <f>IF(OR(E1387="Prospecting",E1387="Engaging"),VLOOKUP(C1387,Products!$A$2:$C$8,3,FALSE),0)</f>
        <v>0</v>
      </c>
    </row>
    <row r="1388" spans="1:10" x14ac:dyDescent="0.25">
      <c r="A1388" t="s">
        <v>1555</v>
      </c>
      <c r="B1388" t="s">
        <v>303</v>
      </c>
      <c r="C1388" t="s">
        <v>120</v>
      </c>
      <c r="D1388" t="s">
        <v>55</v>
      </c>
      <c r="E1388" t="s">
        <v>138</v>
      </c>
      <c r="F1388" s="1">
        <v>42802</v>
      </c>
      <c r="G1388" s="1">
        <v>42818</v>
      </c>
      <c r="H1388">
        <v>590</v>
      </c>
      <c r="I1388" t="str">
        <f>IF(COUNTIF(Products!$A$2:$A$8,C1388)=0,C1388,"")</f>
        <v/>
      </c>
      <c r="J1388">
        <f>IF(OR(E1388="Prospecting",E1388="Engaging"),VLOOKUP(C1388,Products!$A$2:$C$8,3,FALSE),0)</f>
        <v>0</v>
      </c>
    </row>
    <row r="1389" spans="1:10" x14ac:dyDescent="0.25">
      <c r="A1389" t="s">
        <v>1556</v>
      </c>
      <c r="B1389" t="s">
        <v>303</v>
      </c>
      <c r="C1389" t="s">
        <v>125</v>
      </c>
      <c r="D1389" t="s">
        <v>88</v>
      </c>
      <c r="E1389" t="s">
        <v>138</v>
      </c>
      <c r="F1389" s="1">
        <v>42802</v>
      </c>
      <c r="G1389" s="1">
        <v>42812</v>
      </c>
      <c r="H1389">
        <v>3217</v>
      </c>
      <c r="I1389" t="str">
        <f>IF(COUNTIF(Products!$A$2:$A$8,C1389)=0,C1389,"")</f>
        <v/>
      </c>
      <c r="J1389">
        <f>IF(OR(E1389="Prospecting",E1389="Engaging"),VLOOKUP(C1389,Products!$A$2:$C$8,3,FALSE),0)</f>
        <v>0</v>
      </c>
    </row>
    <row r="1390" spans="1:10" x14ac:dyDescent="0.25">
      <c r="A1390" t="s">
        <v>1557</v>
      </c>
      <c r="B1390" t="s">
        <v>180</v>
      </c>
      <c r="C1390" t="s">
        <v>120</v>
      </c>
      <c r="D1390" t="s">
        <v>114</v>
      </c>
      <c r="E1390" t="s">
        <v>138</v>
      </c>
      <c r="F1390" s="1">
        <v>42802</v>
      </c>
      <c r="G1390" s="1">
        <v>42805</v>
      </c>
      <c r="H1390">
        <v>597</v>
      </c>
      <c r="I1390" t="str">
        <f>IF(COUNTIF(Products!$A$2:$A$8,C1390)=0,C1390,"")</f>
        <v/>
      </c>
      <c r="J1390">
        <f>IF(OR(E1390="Prospecting",E1390="Engaging"),VLOOKUP(C1390,Products!$A$2:$C$8,3,FALSE),0)</f>
        <v>0</v>
      </c>
    </row>
    <row r="1391" spans="1:10" x14ac:dyDescent="0.25">
      <c r="A1391" t="s">
        <v>1558</v>
      </c>
      <c r="B1391" t="s">
        <v>191</v>
      </c>
      <c r="C1391" t="s">
        <v>122</v>
      </c>
      <c r="D1391" t="s">
        <v>78</v>
      </c>
      <c r="E1391" t="s">
        <v>138</v>
      </c>
      <c r="F1391" s="1">
        <v>42802</v>
      </c>
      <c r="G1391" s="1">
        <v>42866</v>
      </c>
      <c r="H1391">
        <v>4918</v>
      </c>
      <c r="I1391" t="str">
        <f>IF(COUNTIF(Products!$A$2:$A$8,C1391)=0,C1391,"")</f>
        <v/>
      </c>
      <c r="J1391">
        <f>IF(OR(E1391="Prospecting",E1391="Engaging"),VLOOKUP(C1391,Products!$A$2:$C$8,3,FALSE),0)</f>
        <v>0</v>
      </c>
    </row>
    <row r="1392" spans="1:10" x14ac:dyDescent="0.25">
      <c r="A1392" t="s">
        <v>1559</v>
      </c>
      <c r="B1392" t="s">
        <v>191</v>
      </c>
      <c r="C1392" t="s">
        <v>122</v>
      </c>
      <c r="D1392" t="s">
        <v>90</v>
      </c>
      <c r="E1392" t="s">
        <v>138</v>
      </c>
      <c r="F1392" s="1">
        <v>42802</v>
      </c>
      <c r="G1392" s="1">
        <v>42813</v>
      </c>
      <c r="H1392">
        <v>5266</v>
      </c>
      <c r="I1392" t="str">
        <f>IF(COUNTIF(Products!$A$2:$A$8,C1392)=0,C1392,"")</f>
        <v/>
      </c>
      <c r="J1392">
        <f>IF(OR(E1392="Prospecting",E1392="Engaging"),VLOOKUP(C1392,Products!$A$2:$C$8,3,FALSE),0)</f>
        <v>0</v>
      </c>
    </row>
    <row r="1393" spans="1:10" x14ac:dyDescent="0.25">
      <c r="A1393" t="s">
        <v>1560</v>
      </c>
      <c r="B1393" t="s">
        <v>217</v>
      </c>
      <c r="C1393" t="s">
        <v>125</v>
      </c>
      <c r="D1393" t="s">
        <v>42</v>
      </c>
      <c r="E1393" t="s">
        <v>159</v>
      </c>
      <c r="F1393" s="1">
        <v>42802</v>
      </c>
      <c r="G1393" s="1">
        <v>42869</v>
      </c>
      <c r="H1393">
        <v>0</v>
      </c>
      <c r="I1393" t="str">
        <f>IF(COUNTIF(Products!$A$2:$A$8,C1393)=0,C1393,"")</f>
        <v/>
      </c>
      <c r="J1393">
        <f>IF(OR(E1393="Prospecting",E1393="Engaging"),VLOOKUP(C1393,Products!$A$2:$C$8,3,FALSE),0)</f>
        <v>0</v>
      </c>
    </row>
    <row r="1394" spans="1:10" x14ac:dyDescent="0.25">
      <c r="A1394" t="s">
        <v>1561</v>
      </c>
      <c r="B1394" t="s">
        <v>150</v>
      </c>
      <c r="C1394" t="s">
        <v>120</v>
      </c>
      <c r="D1394" t="s">
        <v>92</v>
      </c>
      <c r="E1394" t="s">
        <v>155</v>
      </c>
      <c r="F1394" s="1">
        <v>42802</v>
      </c>
      <c r="I1394" t="str">
        <f>IF(COUNTIF(Products!$A$2:$A$8,C1394)=0,C1394,"")</f>
        <v/>
      </c>
      <c r="J1394">
        <f>IF(OR(E1394="Prospecting",E1394="Engaging"),VLOOKUP(C1394,Products!$A$2:$C$8,3,FALSE),0)</f>
        <v>550</v>
      </c>
    </row>
    <row r="1395" spans="1:10" x14ac:dyDescent="0.25">
      <c r="A1395" t="s">
        <v>1562</v>
      </c>
      <c r="B1395" t="s">
        <v>150</v>
      </c>
      <c r="C1395" t="s">
        <v>120</v>
      </c>
      <c r="D1395" t="s">
        <v>93</v>
      </c>
      <c r="E1395" t="s">
        <v>159</v>
      </c>
      <c r="F1395" s="1">
        <v>42802</v>
      </c>
      <c r="G1395" s="1">
        <v>42872</v>
      </c>
      <c r="H1395">
        <v>0</v>
      </c>
      <c r="I1395" t="str">
        <f>IF(COUNTIF(Products!$A$2:$A$8,C1395)=0,C1395,"")</f>
        <v/>
      </c>
      <c r="J1395">
        <f>IF(OR(E1395="Prospecting",E1395="Engaging"),VLOOKUP(C1395,Products!$A$2:$C$8,3,FALSE),0)</f>
        <v>0</v>
      </c>
    </row>
    <row r="1396" spans="1:10" x14ac:dyDescent="0.25">
      <c r="A1396" t="s">
        <v>1563</v>
      </c>
      <c r="B1396" t="s">
        <v>150</v>
      </c>
      <c r="C1396" t="s">
        <v>123</v>
      </c>
      <c r="D1396" t="s">
        <v>17</v>
      </c>
      <c r="E1396" t="s">
        <v>138</v>
      </c>
      <c r="F1396" s="1">
        <v>42802</v>
      </c>
      <c r="G1396" s="1">
        <v>42862</v>
      </c>
      <c r="H1396">
        <v>61</v>
      </c>
      <c r="I1396" t="str">
        <f>IF(COUNTIF(Products!$A$2:$A$8,C1396)=0,C1396,"")</f>
        <v/>
      </c>
      <c r="J1396">
        <f>IF(OR(E1396="Prospecting",E1396="Engaging"),VLOOKUP(C1396,Products!$A$2:$C$8,3,FALSE),0)</f>
        <v>0</v>
      </c>
    </row>
    <row r="1397" spans="1:10" x14ac:dyDescent="0.25">
      <c r="A1397" t="s">
        <v>1564</v>
      </c>
      <c r="B1397" t="s">
        <v>150</v>
      </c>
      <c r="C1397" t="s">
        <v>125</v>
      </c>
      <c r="D1397" t="s">
        <v>39</v>
      </c>
      <c r="E1397" t="s">
        <v>138</v>
      </c>
      <c r="F1397" s="1">
        <v>42802</v>
      </c>
      <c r="G1397" s="1">
        <v>42886</v>
      </c>
      <c r="H1397">
        <v>3470</v>
      </c>
      <c r="I1397" t="str">
        <f>IF(COUNTIF(Products!$A$2:$A$8,C1397)=0,C1397,"")</f>
        <v/>
      </c>
      <c r="J1397">
        <f>IF(OR(E1397="Prospecting",E1397="Engaging"),VLOOKUP(C1397,Products!$A$2:$C$8,3,FALSE),0)</f>
        <v>0</v>
      </c>
    </row>
    <row r="1398" spans="1:10" x14ac:dyDescent="0.25">
      <c r="A1398" t="s">
        <v>1565</v>
      </c>
      <c r="B1398" t="s">
        <v>137</v>
      </c>
      <c r="C1398" t="s">
        <v>120</v>
      </c>
      <c r="D1398" t="s">
        <v>12</v>
      </c>
      <c r="E1398" t="s">
        <v>159</v>
      </c>
      <c r="F1398" s="1">
        <v>42802</v>
      </c>
      <c r="G1398" s="1">
        <v>42912</v>
      </c>
      <c r="H1398">
        <v>0</v>
      </c>
      <c r="I1398" t="str">
        <f>IF(COUNTIF(Products!$A$2:$A$8,C1398)=0,C1398,"")</f>
        <v/>
      </c>
      <c r="J1398">
        <f>IF(OR(E1398="Prospecting",E1398="Engaging"),VLOOKUP(C1398,Products!$A$2:$C$8,3,FALSE),0)</f>
        <v>0</v>
      </c>
    </row>
    <row r="1399" spans="1:10" x14ac:dyDescent="0.25">
      <c r="A1399" t="s">
        <v>1566</v>
      </c>
      <c r="B1399" t="s">
        <v>166</v>
      </c>
      <c r="C1399" t="s">
        <v>123</v>
      </c>
      <c r="D1399" t="s">
        <v>78</v>
      </c>
      <c r="E1399" t="s">
        <v>138</v>
      </c>
      <c r="F1399" s="1">
        <v>42802</v>
      </c>
      <c r="G1399" s="1">
        <v>42883</v>
      </c>
      <c r="H1399">
        <v>48</v>
      </c>
      <c r="I1399" t="str">
        <f>IF(COUNTIF(Products!$A$2:$A$8,C1399)=0,C1399,"")</f>
        <v/>
      </c>
      <c r="J1399">
        <f>IF(OR(E1399="Prospecting",E1399="Engaging"),VLOOKUP(C1399,Products!$A$2:$C$8,3,FALSE),0)</f>
        <v>0</v>
      </c>
    </row>
    <row r="1400" spans="1:10" x14ac:dyDescent="0.25">
      <c r="A1400" t="s">
        <v>1567</v>
      </c>
      <c r="B1400" t="s">
        <v>187</v>
      </c>
      <c r="C1400" t="s">
        <v>123</v>
      </c>
      <c r="D1400" t="s">
        <v>7</v>
      </c>
      <c r="E1400" t="s">
        <v>138</v>
      </c>
      <c r="F1400" s="1">
        <v>42802</v>
      </c>
      <c r="G1400" s="1">
        <v>42908</v>
      </c>
      <c r="H1400">
        <v>61</v>
      </c>
      <c r="I1400" t="str">
        <f>IF(COUNTIF(Products!$A$2:$A$8,C1400)=0,C1400,"")</f>
        <v/>
      </c>
      <c r="J1400">
        <f>IF(OR(E1400="Prospecting",E1400="Engaging"),VLOOKUP(C1400,Products!$A$2:$C$8,3,FALSE),0)</f>
        <v>0</v>
      </c>
    </row>
    <row r="1401" spans="1:10" x14ac:dyDescent="0.25">
      <c r="A1401" t="s">
        <v>1568</v>
      </c>
      <c r="B1401" t="s">
        <v>148</v>
      </c>
      <c r="C1401" t="s">
        <v>123</v>
      </c>
      <c r="D1401" t="s">
        <v>17</v>
      </c>
      <c r="E1401" t="s">
        <v>159</v>
      </c>
      <c r="F1401" s="1">
        <v>42802</v>
      </c>
      <c r="G1401" s="1">
        <v>42881</v>
      </c>
      <c r="H1401">
        <v>0</v>
      </c>
      <c r="I1401" t="str">
        <f>IF(COUNTIF(Products!$A$2:$A$8,C1401)=0,C1401,"")</f>
        <v/>
      </c>
      <c r="J1401">
        <f>IF(OR(E1401="Prospecting",E1401="Engaging"),VLOOKUP(C1401,Products!$A$2:$C$8,3,FALSE),0)</f>
        <v>0</v>
      </c>
    </row>
    <row r="1402" spans="1:10" x14ac:dyDescent="0.25">
      <c r="A1402" t="s">
        <v>1569</v>
      </c>
      <c r="B1402" t="s">
        <v>177</v>
      </c>
      <c r="C1402" t="s">
        <v>120</v>
      </c>
      <c r="D1402" t="s">
        <v>92</v>
      </c>
      <c r="E1402" t="s">
        <v>159</v>
      </c>
      <c r="F1402" s="1">
        <v>42802</v>
      </c>
      <c r="G1402" s="1">
        <v>42884</v>
      </c>
      <c r="H1402">
        <v>0</v>
      </c>
      <c r="I1402" t="str">
        <f>IF(COUNTIF(Products!$A$2:$A$8,C1402)=0,C1402,"")</f>
        <v/>
      </c>
      <c r="J1402">
        <f>IF(OR(E1402="Prospecting",E1402="Engaging"),VLOOKUP(C1402,Products!$A$2:$C$8,3,FALSE),0)</f>
        <v>0</v>
      </c>
    </row>
    <row r="1403" spans="1:10" x14ac:dyDescent="0.25">
      <c r="A1403" t="s">
        <v>1570</v>
      </c>
      <c r="B1403" t="s">
        <v>144</v>
      </c>
      <c r="C1403" t="s">
        <v>120</v>
      </c>
      <c r="D1403" t="s">
        <v>109</v>
      </c>
      <c r="E1403" t="s">
        <v>159</v>
      </c>
      <c r="F1403" s="1">
        <v>42802</v>
      </c>
      <c r="G1403" s="1">
        <v>42891</v>
      </c>
      <c r="H1403">
        <v>0</v>
      </c>
      <c r="I1403" t="str">
        <f>IF(COUNTIF(Products!$A$2:$A$8,C1403)=0,C1403,"")</f>
        <v/>
      </c>
      <c r="J1403">
        <f>IF(OR(E1403="Prospecting",E1403="Engaging"),VLOOKUP(C1403,Products!$A$2:$C$8,3,FALSE),0)</f>
        <v>0</v>
      </c>
    </row>
    <row r="1404" spans="1:10" x14ac:dyDescent="0.25">
      <c r="A1404" t="s">
        <v>1571</v>
      </c>
      <c r="B1404" t="s">
        <v>144</v>
      </c>
      <c r="C1404" t="s">
        <v>127</v>
      </c>
      <c r="D1404" t="s">
        <v>83</v>
      </c>
      <c r="E1404" t="s">
        <v>159</v>
      </c>
      <c r="F1404" s="1">
        <v>42802</v>
      </c>
      <c r="G1404" s="1">
        <v>42882</v>
      </c>
      <c r="H1404">
        <v>0</v>
      </c>
      <c r="I1404" t="str">
        <f>IF(COUNTIF(Products!$A$2:$A$8,C1404)=0,C1404,"")</f>
        <v/>
      </c>
      <c r="J1404">
        <f>IF(OR(E1404="Prospecting",E1404="Engaging"),VLOOKUP(C1404,Products!$A$2:$C$8,3,FALSE),0)</f>
        <v>0</v>
      </c>
    </row>
    <row r="1405" spans="1:10" x14ac:dyDescent="0.25">
      <c r="A1405" t="s">
        <v>1572</v>
      </c>
      <c r="B1405" t="s">
        <v>146</v>
      </c>
      <c r="C1405" t="s">
        <v>120</v>
      </c>
      <c r="D1405" t="s">
        <v>32</v>
      </c>
      <c r="E1405" t="s">
        <v>159</v>
      </c>
      <c r="F1405" s="1">
        <v>42803</v>
      </c>
      <c r="G1405" s="1">
        <v>42877</v>
      </c>
      <c r="H1405">
        <v>0</v>
      </c>
      <c r="I1405" t="str">
        <f>IF(COUNTIF(Products!$A$2:$A$8,C1405)=0,C1405,"")</f>
        <v/>
      </c>
      <c r="J1405">
        <f>IF(OR(E1405="Prospecting",E1405="Engaging"),VLOOKUP(C1405,Products!$A$2:$C$8,3,FALSE),0)</f>
        <v>0</v>
      </c>
    </row>
    <row r="1406" spans="1:10" x14ac:dyDescent="0.25">
      <c r="A1406" t="s">
        <v>1573</v>
      </c>
      <c r="B1406" t="s">
        <v>146</v>
      </c>
      <c r="C1406" t="s">
        <v>126</v>
      </c>
      <c r="D1406" t="s">
        <v>61</v>
      </c>
      <c r="E1406" t="s">
        <v>159</v>
      </c>
      <c r="F1406" s="1">
        <v>42803</v>
      </c>
      <c r="G1406" s="1">
        <v>42866</v>
      </c>
      <c r="H1406">
        <v>0</v>
      </c>
      <c r="I1406" t="str">
        <f>IF(COUNTIF(Products!$A$2:$A$8,C1406)=0,C1406,"")</f>
        <v/>
      </c>
      <c r="J1406">
        <f>IF(OR(E1406="Prospecting",E1406="Engaging"),VLOOKUP(C1406,Products!$A$2:$C$8,3,FALSE),0)</f>
        <v>0</v>
      </c>
    </row>
    <row r="1407" spans="1:10" x14ac:dyDescent="0.25">
      <c r="A1407" t="s">
        <v>1574</v>
      </c>
      <c r="B1407" t="s">
        <v>146</v>
      </c>
      <c r="C1407" t="s">
        <v>120</v>
      </c>
      <c r="D1407" t="s">
        <v>96</v>
      </c>
      <c r="E1407" t="s">
        <v>138</v>
      </c>
      <c r="F1407" s="1">
        <v>42803</v>
      </c>
      <c r="G1407" s="1">
        <v>42897</v>
      </c>
      <c r="H1407">
        <v>595</v>
      </c>
      <c r="I1407" t="str">
        <f>IF(COUNTIF(Products!$A$2:$A$8,C1407)=0,C1407,"")</f>
        <v/>
      </c>
      <c r="J1407">
        <f>IF(OR(E1407="Prospecting",E1407="Engaging"),VLOOKUP(C1407,Products!$A$2:$C$8,3,FALSE),0)</f>
        <v>0</v>
      </c>
    </row>
    <row r="1408" spans="1:10" x14ac:dyDescent="0.25">
      <c r="A1408" t="s">
        <v>1575</v>
      </c>
      <c r="B1408" t="s">
        <v>146</v>
      </c>
      <c r="C1408" t="s">
        <v>123</v>
      </c>
      <c r="D1408" t="s">
        <v>116</v>
      </c>
      <c r="E1408" t="s">
        <v>138</v>
      </c>
      <c r="F1408" s="1">
        <v>42803</v>
      </c>
      <c r="G1408" s="1">
        <v>42887</v>
      </c>
      <c r="H1408">
        <v>51</v>
      </c>
      <c r="I1408" t="str">
        <f>IF(COUNTIF(Products!$A$2:$A$8,C1408)=0,C1408,"")</f>
        <v/>
      </c>
      <c r="J1408">
        <f>IF(OR(E1408="Prospecting",E1408="Engaging"),VLOOKUP(C1408,Products!$A$2:$C$8,3,FALSE),0)</f>
        <v>0</v>
      </c>
    </row>
    <row r="1409" spans="1:10" x14ac:dyDescent="0.25">
      <c r="A1409" t="s">
        <v>1576</v>
      </c>
      <c r="B1409" t="s">
        <v>222</v>
      </c>
      <c r="C1409" t="s">
        <v>123</v>
      </c>
      <c r="D1409" t="s">
        <v>81</v>
      </c>
      <c r="E1409" t="s">
        <v>159</v>
      </c>
      <c r="F1409" s="1">
        <v>42803</v>
      </c>
      <c r="G1409" s="1">
        <v>42894</v>
      </c>
      <c r="H1409">
        <v>0</v>
      </c>
      <c r="I1409" t="str">
        <f>IF(COUNTIF(Products!$A$2:$A$8,C1409)=0,C1409,"")</f>
        <v/>
      </c>
      <c r="J1409">
        <f>IF(OR(E1409="Prospecting",E1409="Engaging"),VLOOKUP(C1409,Products!$A$2:$C$8,3,FALSE),0)</f>
        <v>0</v>
      </c>
    </row>
    <row r="1410" spans="1:10" x14ac:dyDescent="0.25">
      <c r="A1410" t="s">
        <v>1577</v>
      </c>
      <c r="B1410" t="s">
        <v>207</v>
      </c>
      <c r="C1410" t="s">
        <v>122</v>
      </c>
      <c r="D1410" t="s">
        <v>67</v>
      </c>
      <c r="E1410" t="s">
        <v>138</v>
      </c>
      <c r="F1410" s="1">
        <v>42803</v>
      </c>
      <c r="G1410" s="1">
        <v>42880</v>
      </c>
      <c r="H1410">
        <v>4624</v>
      </c>
      <c r="I1410" t="str">
        <f>IF(COUNTIF(Products!$A$2:$A$8,C1410)=0,C1410,"")</f>
        <v/>
      </c>
      <c r="J1410">
        <f>IF(OR(E1410="Prospecting",E1410="Engaging"),VLOOKUP(C1410,Products!$A$2:$C$8,3,FALSE),0)</f>
        <v>0</v>
      </c>
    </row>
    <row r="1411" spans="1:10" x14ac:dyDescent="0.25">
      <c r="A1411" t="s">
        <v>1578</v>
      </c>
      <c r="B1411" t="s">
        <v>239</v>
      </c>
      <c r="C1411" t="s">
        <v>127</v>
      </c>
      <c r="E1411" t="s">
        <v>155</v>
      </c>
      <c r="F1411" s="1">
        <v>42803</v>
      </c>
      <c r="I1411" t="str">
        <f>IF(COUNTIF(Products!$A$2:$A$8,C1411)=0,C1411,"")</f>
        <v/>
      </c>
      <c r="J1411">
        <f>IF(OR(E1411="Prospecting",E1411="Engaging"),VLOOKUP(C1411,Products!$A$2:$C$8,3,FALSE),0)</f>
        <v>1096</v>
      </c>
    </row>
    <row r="1412" spans="1:10" x14ac:dyDescent="0.25">
      <c r="A1412" t="s">
        <v>1579</v>
      </c>
      <c r="B1412" t="s">
        <v>171</v>
      </c>
      <c r="C1412" t="s">
        <v>120</v>
      </c>
      <c r="D1412" t="s">
        <v>73</v>
      </c>
      <c r="E1412" t="s">
        <v>155</v>
      </c>
      <c r="F1412" s="1">
        <v>42803</v>
      </c>
      <c r="I1412" t="str">
        <f>IF(COUNTIF(Products!$A$2:$A$8,C1412)=0,C1412,"")</f>
        <v/>
      </c>
      <c r="J1412">
        <f>IF(OR(E1412="Prospecting",E1412="Engaging"),VLOOKUP(C1412,Products!$A$2:$C$8,3,FALSE),0)</f>
        <v>550</v>
      </c>
    </row>
    <row r="1413" spans="1:10" x14ac:dyDescent="0.25">
      <c r="A1413" t="s">
        <v>1580</v>
      </c>
      <c r="B1413" t="s">
        <v>171</v>
      </c>
      <c r="C1413" t="s">
        <v>120</v>
      </c>
      <c r="E1413" t="s">
        <v>155</v>
      </c>
      <c r="F1413" s="1">
        <v>42803</v>
      </c>
      <c r="I1413" t="str">
        <f>IF(COUNTIF(Products!$A$2:$A$8,C1413)=0,C1413,"")</f>
        <v/>
      </c>
      <c r="J1413">
        <f>IF(OR(E1413="Prospecting",E1413="Engaging"),VLOOKUP(C1413,Products!$A$2:$C$8,3,FALSE),0)</f>
        <v>550</v>
      </c>
    </row>
    <row r="1414" spans="1:10" x14ac:dyDescent="0.25">
      <c r="A1414" t="s">
        <v>1581</v>
      </c>
      <c r="B1414" t="s">
        <v>140</v>
      </c>
      <c r="C1414" t="s">
        <v>127</v>
      </c>
      <c r="D1414" t="s">
        <v>42</v>
      </c>
      <c r="E1414" t="s">
        <v>159</v>
      </c>
      <c r="F1414" s="1">
        <v>42803</v>
      </c>
      <c r="G1414" s="1">
        <v>42870</v>
      </c>
      <c r="H1414">
        <v>0</v>
      </c>
      <c r="I1414" t="str">
        <f>IF(COUNTIF(Products!$A$2:$A$8,C1414)=0,C1414,"")</f>
        <v/>
      </c>
      <c r="J1414">
        <f>IF(OR(E1414="Prospecting",E1414="Engaging"),VLOOKUP(C1414,Products!$A$2:$C$8,3,FALSE),0)</f>
        <v>0</v>
      </c>
    </row>
    <row r="1415" spans="1:10" x14ac:dyDescent="0.25">
      <c r="A1415" t="s">
        <v>1582</v>
      </c>
      <c r="B1415" t="s">
        <v>140</v>
      </c>
      <c r="C1415" t="s">
        <v>123</v>
      </c>
      <c r="D1415" t="s">
        <v>14</v>
      </c>
      <c r="E1415" t="s">
        <v>159</v>
      </c>
      <c r="F1415" s="1">
        <v>42803</v>
      </c>
      <c r="G1415" s="1">
        <v>42883</v>
      </c>
      <c r="H1415">
        <v>0</v>
      </c>
      <c r="I1415" t="str">
        <f>IF(COUNTIF(Products!$A$2:$A$8,C1415)=0,C1415,"")</f>
        <v/>
      </c>
      <c r="J1415">
        <f>IF(OR(E1415="Prospecting",E1415="Engaging"),VLOOKUP(C1415,Products!$A$2:$C$8,3,FALSE),0)</f>
        <v>0</v>
      </c>
    </row>
    <row r="1416" spans="1:10" x14ac:dyDescent="0.25">
      <c r="A1416" t="s">
        <v>1583</v>
      </c>
      <c r="B1416" t="s">
        <v>140</v>
      </c>
      <c r="C1416" t="s">
        <v>120</v>
      </c>
      <c r="D1416" t="s">
        <v>46</v>
      </c>
      <c r="E1416" t="s">
        <v>138</v>
      </c>
      <c r="F1416" s="1">
        <v>42803</v>
      </c>
      <c r="G1416" s="1">
        <v>42903</v>
      </c>
      <c r="H1416">
        <v>571</v>
      </c>
      <c r="I1416" t="str">
        <f>IF(COUNTIF(Products!$A$2:$A$8,C1416)=0,C1416,"")</f>
        <v/>
      </c>
      <c r="J1416">
        <f>IF(OR(E1416="Prospecting",E1416="Engaging"),VLOOKUP(C1416,Products!$A$2:$C$8,3,FALSE),0)</f>
        <v>0</v>
      </c>
    </row>
    <row r="1417" spans="1:10" x14ac:dyDescent="0.25">
      <c r="A1417" t="s">
        <v>1584</v>
      </c>
      <c r="B1417" t="s">
        <v>173</v>
      </c>
      <c r="C1417" t="s">
        <v>125</v>
      </c>
      <c r="D1417" t="s">
        <v>72</v>
      </c>
      <c r="E1417" t="s">
        <v>138</v>
      </c>
      <c r="F1417" s="1">
        <v>42803</v>
      </c>
      <c r="G1417" s="1">
        <v>42819</v>
      </c>
      <c r="H1417">
        <v>3333</v>
      </c>
      <c r="I1417" t="str">
        <f>IF(COUNTIF(Products!$A$2:$A$8,C1417)=0,C1417,"")</f>
        <v/>
      </c>
      <c r="J1417">
        <f>IF(OR(E1417="Prospecting",E1417="Engaging"),VLOOKUP(C1417,Products!$A$2:$C$8,3,FALSE),0)</f>
        <v>0</v>
      </c>
    </row>
    <row r="1418" spans="1:10" x14ac:dyDescent="0.25">
      <c r="A1418" t="s">
        <v>1585</v>
      </c>
      <c r="B1418" t="s">
        <v>158</v>
      </c>
      <c r="C1418" t="s">
        <v>126</v>
      </c>
      <c r="D1418" t="s">
        <v>64</v>
      </c>
      <c r="E1418" t="s">
        <v>138</v>
      </c>
      <c r="F1418" s="1">
        <v>42803</v>
      </c>
      <c r="G1418" s="1">
        <v>42871</v>
      </c>
      <c r="H1418">
        <v>4853</v>
      </c>
      <c r="I1418" t="str">
        <f>IF(COUNTIF(Products!$A$2:$A$8,C1418)=0,C1418,"")</f>
        <v/>
      </c>
      <c r="J1418">
        <f>IF(OR(E1418="Prospecting",E1418="Engaging"),VLOOKUP(C1418,Products!$A$2:$C$8,3,FALSE),0)</f>
        <v>0</v>
      </c>
    </row>
    <row r="1419" spans="1:10" x14ac:dyDescent="0.25">
      <c r="A1419" t="s">
        <v>1586</v>
      </c>
      <c r="B1419" t="s">
        <v>158</v>
      </c>
      <c r="C1419" t="s">
        <v>123</v>
      </c>
      <c r="D1419" t="s">
        <v>103</v>
      </c>
      <c r="E1419" t="s">
        <v>138</v>
      </c>
      <c r="F1419" s="1">
        <v>42803</v>
      </c>
      <c r="G1419" s="1">
        <v>42894</v>
      </c>
      <c r="H1419">
        <v>51</v>
      </c>
      <c r="I1419" t="str">
        <f>IF(COUNTIF(Products!$A$2:$A$8,C1419)=0,C1419,"")</f>
        <v/>
      </c>
      <c r="J1419">
        <f>IF(OR(E1419="Prospecting",E1419="Engaging"),VLOOKUP(C1419,Products!$A$2:$C$8,3,FALSE),0)</f>
        <v>0</v>
      </c>
    </row>
    <row r="1420" spans="1:10" x14ac:dyDescent="0.25">
      <c r="A1420" t="s">
        <v>1587</v>
      </c>
      <c r="B1420" t="s">
        <v>154</v>
      </c>
      <c r="C1420" t="s">
        <v>123</v>
      </c>
      <c r="D1420" t="s">
        <v>115</v>
      </c>
      <c r="E1420" t="s">
        <v>155</v>
      </c>
      <c r="F1420" s="1">
        <v>42803</v>
      </c>
      <c r="I1420" t="str">
        <f>IF(COUNTIF(Products!$A$2:$A$8,C1420)=0,C1420,"")</f>
        <v/>
      </c>
      <c r="J1420">
        <f>IF(OR(E1420="Prospecting",E1420="Engaging"),VLOOKUP(C1420,Products!$A$2:$C$8,3,FALSE),0)</f>
        <v>55</v>
      </c>
    </row>
    <row r="1421" spans="1:10" x14ac:dyDescent="0.25">
      <c r="A1421" t="s">
        <v>1588</v>
      </c>
      <c r="B1421" t="s">
        <v>154</v>
      </c>
      <c r="C1421" t="s">
        <v>125</v>
      </c>
      <c r="E1421" t="s">
        <v>155</v>
      </c>
      <c r="F1421" s="1">
        <v>42803</v>
      </c>
      <c r="I1421" t="str">
        <f>IF(COUNTIF(Products!$A$2:$A$8,C1421)=0,C1421,"")</f>
        <v/>
      </c>
      <c r="J1421">
        <f>IF(OR(E1421="Prospecting",E1421="Engaging"),VLOOKUP(C1421,Products!$A$2:$C$8,3,FALSE),0)</f>
        <v>3393</v>
      </c>
    </row>
    <row r="1422" spans="1:10" x14ac:dyDescent="0.25">
      <c r="A1422" t="s">
        <v>1589</v>
      </c>
      <c r="B1422" t="s">
        <v>154</v>
      </c>
      <c r="C1422" t="s">
        <v>120</v>
      </c>
      <c r="D1422" t="s">
        <v>23</v>
      </c>
      <c r="E1422" t="s">
        <v>159</v>
      </c>
      <c r="F1422" s="1">
        <v>42803</v>
      </c>
      <c r="G1422" s="1">
        <v>42878</v>
      </c>
      <c r="H1422">
        <v>0</v>
      </c>
      <c r="I1422" t="str">
        <f>IF(COUNTIF(Products!$A$2:$A$8,C1422)=0,C1422,"")</f>
        <v/>
      </c>
      <c r="J1422">
        <f>IF(OR(E1422="Prospecting",E1422="Engaging"),VLOOKUP(C1422,Products!$A$2:$C$8,3,FALSE),0)</f>
        <v>0</v>
      </c>
    </row>
    <row r="1423" spans="1:10" x14ac:dyDescent="0.25">
      <c r="A1423" t="s">
        <v>1590</v>
      </c>
      <c r="B1423" t="s">
        <v>180</v>
      </c>
      <c r="C1423" t="s">
        <v>122</v>
      </c>
      <c r="D1423" t="s">
        <v>23</v>
      </c>
      <c r="E1423" t="s">
        <v>138</v>
      </c>
      <c r="F1423" s="1">
        <v>42803</v>
      </c>
      <c r="G1423" s="1">
        <v>42903</v>
      </c>
      <c r="H1423">
        <v>5035</v>
      </c>
      <c r="I1423" t="str">
        <f>IF(COUNTIF(Products!$A$2:$A$8,C1423)=0,C1423,"")</f>
        <v/>
      </c>
      <c r="J1423">
        <f>IF(OR(E1423="Prospecting",E1423="Engaging"),VLOOKUP(C1423,Products!$A$2:$C$8,3,FALSE),0)</f>
        <v>0</v>
      </c>
    </row>
    <row r="1424" spans="1:10" x14ac:dyDescent="0.25">
      <c r="A1424" t="s">
        <v>1591</v>
      </c>
      <c r="B1424" t="s">
        <v>205</v>
      </c>
      <c r="C1424" t="s">
        <v>123</v>
      </c>
      <c r="D1424" t="s">
        <v>26</v>
      </c>
      <c r="E1424" t="s">
        <v>138</v>
      </c>
      <c r="F1424" s="1">
        <v>42803</v>
      </c>
      <c r="G1424" s="1">
        <v>42887</v>
      </c>
      <c r="H1424">
        <v>51</v>
      </c>
      <c r="I1424" t="str">
        <f>IF(COUNTIF(Products!$A$2:$A$8,C1424)=0,C1424,"")</f>
        <v/>
      </c>
      <c r="J1424">
        <f>IF(OR(E1424="Prospecting",E1424="Engaging"),VLOOKUP(C1424,Products!$A$2:$C$8,3,FALSE),0)</f>
        <v>0</v>
      </c>
    </row>
    <row r="1425" spans="1:10" x14ac:dyDescent="0.25">
      <c r="A1425" t="s">
        <v>1592</v>
      </c>
      <c r="B1425" t="s">
        <v>162</v>
      </c>
      <c r="C1425" t="s">
        <v>122</v>
      </c>
      <c r="D1425" t="s">
        <v>29</v>
      </c>
      <c r="E1425" t="s">
        <v>138</v>
      </c>
      <c r="F1425" s="1">
        <v>42803</v>
      </c>
      <c r="G1425" s="1">
        <v>42895</v>
      </c>
      <c r="H1425">
        <v>4342</v>
      </c>
      <c r="I1425" t="str">
        <f>IF(COUNTIF(Products!$A$2:$A$8,C1425)=0,C1425,"")</f>
        <v/>
      </c>
      <c r="J1425">
        <f>IF(OR(E1425="Prospecting",E1425="Engaging"),VLOOKUP(C1425,Products!$A$2:$C$8,3,FALSE),0)</f>
        <v>0</v>
      </c>
    </row>
    <row r="1426" spans="1:10" x14ac:dyDescent="0.25">
      <c r="A1426" t="s">
        <v>1593</v>
      </c>
      <c r="B1426" t="s">
        <v>169</v>
      </c>
      <c r="C1426" t="s">
        <v>125</v>
      </c>
      <c r="D1426" t="s">
        <v>26</v>
      </c>
      <c r="E1426" t="s">
        <v>159</v>
      </c>
      <c r="F1426" s="1">
        <v>42803</v>
      </c>
      <c r="G1426" s="1">
        <v>42807</v>
      </c>
      <c r="H1426">
        <v>0</v>
      </c>
      <c r="I1426" t="str">
        <f>IF(COUNTIF(Products!$A$2:$A$8,C1426)=0,C1426,"")</f>
        <v/>
      </c>
      <c r="J1426">
        <f>IF(OR(E1426="Prospecting",E1426="Engaging"),VLOOKUP(C1426,Products!$A$2:$C$8,3,FALSE),0)</f>
        <v>0</v>
      </c>
    </row>
    <row r="1427" spans="1:10" x14ac:dyDescent="0.25">
      <c r="A1427" t="s">
        <v>1594</v>
      </c>
      <c r="B1427" t="s">
        <v>177</v>
      </c>
      <c r="C1427" t="s">
        <v>123</v>
      </c>
      <c r="E1427" t="s">
        <v>155</v>
      </c>
      <c r="F1427" s="1">
        <v>42803</v>
      </c>
      <c r="I1427" t="str">
        <f>IF(COUNTIF(Products!$A$2:$A$8,C1427)=0,C1427,"")</f>
        <v/>
      </c>
      <c r="J1427">
        <f>IF(OR(E1427="Prospecting",E1427="Engaging"),VLOOKUP(C1427,Products!$A$2:$C$8,3,FALSE),0)</f>
        <v>55</v>
      </c>
    </row>
    <row r="1428" spans="1:10" x14ac:dyDescent="0.25">
      <c r="A1428" t="s">
        <v>1595</v>
      </c>
      <c r="B1428" t="s">
        <v>177</v>
      </c>
      <c r="C1428" t="s">
        <v>123</v>
      </c>
      <c r="D1428" t="s">
        <v>106</v>
      </c>
      <c r="E1428" t="s">
        <v>138</v>
      </c>
      <c r="F1428" s="1">
        <v>42803</v>
      </c>
      <c r="G1428" s="1">
        <v>42908</v>
      </c>
      <c r="H1428">
        <v>48</v>
      </c>
      <c r="I1428" t="str">
        <f>IF(COUNTIF(Products!$A$2:$A$8,C1428)=0,C1428,"")</f>
        <v/>
      </c>
      <c r="J1428">
        <f>IF(OR(E1428="Prospecting",E1428="Engaging"),VLOOKUP(C1428,Products!$A$2:$C$8,3,FALSE),0)</f>
        <v>0</v>
      </c>
    </row>
    <row r="1429" spans="1:10" x14ac:dyDescent="0.25">
      <c r="A1429" t="s">
        <v>1596</v>
      </c>
      <c r="B1429" t="s">
        <v>144</v>
      </c>
      <c r="C1429" t="s">
        <v>126</v>
      </c>
      <c r="D1429" t="s">
        <v>67</v>
      </c>
      <c r="E1429" t="s">
        <v>138</v>
      </c>
      <c r="F1429" s="1">
        <v>42803</v>
      </c>
      <c r="G1429" s="1">
        <v>42873</v>
      </c>
      <c r="H1429">
        <v>5215</v>
      </c>
      <c r="I1429" t="str">
        <f>IF(COUNTIF(Products!$A$2:$A$8,C1429)=0,C1429,"")</f>
        <v/>
      </c>
      <c r="J1429">
        <f>IF(OR(E1429="Prospecting",E1429="Engaging"),VLOOKUP(C1429,Products!$A$2:$C$8,3,FALSE),0)</f>
        <v>0</v>
      </c>
    </row>
    <row r="1430" spans="1:10" x14ac:dyDescent="0.25">
      <c r="A1430" t="s">
        <v>1597</v>
      </c>
      <c r="B1430" t="s">
        <v>146</v>
      </c>
      <c r="C1430" t="s">
        <v>127</v>
      </c>
      <c r="D1430" t="s">
        <v>96</v>
      </c>
      <c r="E1430" t="s">
        <v>159</v>
      </c>
      <c r="F1430" s="1">
        <v>42804</v>
      </c>
      <c r="G1430" s="1">
        <v>42867</v>
      </c>
      <c r="H1430">
        <v>0</v>
      </c>
      <c r="I1430" t="str">
        <f>IF(COUNTIF(Products!$A$2:$A$8,C1430)=0,C1430,"")</f>
        <v/>
      </c>
      <c r="J1430">
        <f>IF(OR(E1430="Prospecting",E1430="Engaging"),VLOOKUP(C1430,Products!$A$2:$C$8,3,FALSE),0)</f>
        <v>0</v>
      </c>
    </row>
    <row r="1431" spans="1:10" x14ac:dyDescent="0.25">
      <c r="A1431" t="s">
        <v>1598</v>
      </c>
      <c r="B1431" t="s">
        <v>146</v>
      </c>
      <c r="C1431" t="s">
        <v>123</v>
      </c>
      <c r="D1431" t="s">
        <v>55</v>
      </c>
      <c r="E1431" t="s">
        <v>138</v>
      </c>
      <c r="F1431" s="1">
        <v>42804</v>
      </c>
      <c r="G1431" s="1">
        <v>42813</v>
      </c>
      <c r="H1431">
        <v>58</v>
      </c>
      <c r="I1431" t="str">
        <f>IF(COUNTIF(Products!$A$2:$A$8,C1431)=0,C1431,"")</f>
        <v/>
      </c>
      <c r="J1431">
        <f>IF(OR(E1431="Prospecting",E1431="Engaging"),VLOOKUP(C1431,Products!$A$2:$C$8,3,FALSE),0)</f>
        <v>0</v>
      </c>
    </row>
    <row r="1432" spans="1:10" x14ac:dyDescent="0.25">
      <c r="A1432" t="s">
        <v>1599</v>
      </c>
      <c r="B1432" t="s">
        <v>264</v>
      </c>
      <c r="C1432" t="s">
        <v>125</v>
      </c>
      <c r="D1432" t="s">
        <v>42</v>
      </c>
      <c r="E1432" t="s">
        <v>138</v>
      </c>
      <c r="F1432" s="1">
        <v>42804</v>
      </c>
      <c r="G1432" s="1">
        <v>42814</v>
      </c>
      <c r="H1432">
        <v>3587</v>
      </c>
      <c r="I1432" t="str">
        <f>IF(COUNTIF(Products!$A$2:$A$8,C1432)=0,C1432,"")</f>
        <v/>
      </c>
      <c r="J1432">
        <f>IF(OR(E1432="Prospecting",E1432="Engaging"),VLOOKUP(C1432,Products!$A$2:$C$8,3,FALSE),0)</f>
        <v>0</v>
      </c>
    </row>
    <row r="1433" spans="1:10" x14ac:dyDescent="0.25">
      <c r="A1433" t="s">
        <v>1600</v>
      </c>
      <c r="B1433" t="s">
        <v>264</v>
      </c>
      <c r="C1433" t="s">
        <v>125</v>
      </c>
      <c r="D1433" t="s">
        <v>77</v>
      </c>
      <c r="E1433" t="s">
        <v>138</v>
      </c>
      <c r="F1433" s="1">
        <v>42804</v>
      </c>
      <c r="G1433" s="1">
        <v>42884</v>
      </c>
      <c r="H1433">
        <v>2915</v>
      </c>
      <c r="I1433" t="str">
        <f>IF(COUNTIF(Products!$A$2:$A$8,C1433)=0,C1433,"")</f>
        <v/>
      </c>
      <c r="J1433">
        <f>IF(OR(E1433="Prospecting",E1433="Engaging"),VLOOKUP(C1433,Products!$A$2:$C$8,3,FALSE),0)</f>
        <v>0</v>
      </c>
    </row>
    <row r="1434" spans="1:10" x14ac:dyDescent="0.25">
      <c r="A1434" t="s">
        <v>1601</v>
      </c>
      <c r="B1434" t="s">
        <v>171</v>
      </c>
      <c r="C1434" t="s">
        <v>122</v>
      </c>
      <c r="D1434" t="s">
        <v>69</v>
      </c>
      <c r="E1434" t="s">
        <v>138</v>
      </c>
      <c r="F1434" s="1">
        <v>42804</v>
      </c>
      <c r="G1434" s="1">
        <v>42914</v>
      </c>
      <c r="H1434">
        <v>4762</v>
      </c>
      <c r="I1434" t="str">
        <f>IF(COUNTIF(Products!$A$2:$A$8,C1434)=0,C1434,"")</f>
        <v/>
      </c>
      <c r="J1434">
        <f>IF(OR(E1434="Prospecting",E1434="Engaging"),VLOOKUP(C1434,Products!$A$2:$C$8,3,FALSE),0)</f>
        <v>0</v>
      </c>
    </row>
    <row r="1435" spans="1:10" x14ac:dyDescent="0.25">
      <c r="A1435" t="s">
        <v>1602</v>
      </c>
      <c r="B1435" t="s">
        <v>198</v>
      </c>
      <c r="C1435" t="s">
        <v>127</v>
      </c>
      <c r="D1435" t="s">
        <v>50</v>
      </c>
      <c r="E1435" t="s">
        <v>138</v>
      </c>
      <c r="F1435" s="1">
        <v>42804</v>
      </c>
      <c r="G1435" s="1">
        <v>42898</v>
      </c>
      <c r="H1435">
        <v>1062</v>
      </c>
      <c r="I1435" t="str">
        <f>IF(COUNTIF(Products!$A$2:$A$8,C1435)=0,C1435,"")</f>
        <v/>
      </c>
      <c r="J1435">
        <f>IF(OR(E1435="Prospecting",E1435="Engaging"),VLOOKUP(C1435,Products!$A$2:$C$8,3,FALSE),0)</f>
        <v>0</v>
      </c>
    </row>
    <row r="1436" spans="1:10" x14ac:dyDescent="0.25">
      <c r="A1436" t="s">
        <v>1603</v>
      </c>
      <c r="B1436" t="s">
        <v>158</v>
      </c>
      <c r="C1436" t="s">
        <v>126</v>
      </c>
      <c r="D1436" t="s">
        <v>42</v>
      </c>
      <c r="E1436" t="s">
        <v>159</v>
      </c>
      <c r="F1436" s="1">
        <v>42804</v>
      </c>
      <c r="G1436" s="1">
        <v>42865</v>
      </c>
      <c r="H1436">
        <v>0</v>
      </c>
      <c r="I1436" t="str">
        <f>IF(COUNTIF(Products!$A$2:$A$8,C1436)=0,C1436,"")</f>
        <v/>
      </c>
      <c r="J1436">
        <f>IF(OR(E1436="Prospecting",E1436="Engaging"),VLOOKUP(C1436,Products!$A$2:$C$8,3,FALSE),0)</f>
        <v>0</v>
      </c>
    </row>
    <row r="1437" spans="1:10" x14ac:dyDescent="0.25">
      <c r="A1437" t="s">
        <v>1604</v>
      </c>
      <c r="B1437" t="s">
        <v>154</v>
      </c>
      <c r="C1437" t="s">
        <v>126</v>
      </c>
      <c r="E1437" t="s">
        <v>155</v>
      </c>
      <c r="F1437" s="1">
        <v>42804</v>
      </c>
      <c r="I1437" t="str">
        <f>IF(COUNTIF(Products!$A$2:$A$8,C1437)=0,C1437,"")</f>
        <v/>
      </c>
      <c r="J1437">
        <f>IF(OR(E1437="Prospecting",E1437="Engaging"),VLOOKUP(C1437,Products!$A$2:$C$8,3,FALSE),0)</f>
        <v>5482</v>
      </c>
    </row>
    <row r="1438" spans="1:10" x14ac:dyDescent="0.25">
      <c r="A1438" t="s">
        <v>1605</v>
      </c>
      <c r="B1438" t="s">
        <v>191</v>
      </c>
      <c r="C1438" t="s">
        <v>120</v>
      </c>
      <c r="E1438" t="s">
        <v>155</v>
      </c>
      <c r="F1438" s="1">
        <v>42804</v>
      </c>
      <c r="I1438" t="str">
        <f>IF(COUNTIF(Products!$A$2:$A$8,C1438)=0,C1438,"")</f>
        <v/>
      </c>
      <c r="J1438">
        <f>IF(OR(E1438="Prospecting",E1438="Engaging"),VLOOKUP(C1438,Products!$A$2:$C$8,3,FALSE),0)</f>
        <v>550</v>
      </c>
    </row>
    <row r="1439" spans="1:10" x14ac:dyDescent="0.25">
      <c r="A1439" t="s">
        <v>1606</v>
      </c>
      <c r="B1439" t="s">
        <v>191</v>
      </c>
      <c r="C1439" t="s">
        <v>120</v>
      </c>
      <c r="E1439" t="s">
        <v>155</v>
      </c>
      <c r="F1439" s="1">
        <v>42804</v>
      </c>
      <c r="I1439" t="str">
        <f>IF(COUNTIF(Products!$A$2:$A$8,C1439)=0,C1439,"")</f>
        <v/>
      </c>
      <c r="J1439">
        <f>IF(OR(E1439="Prospecting",E1439="Engaging"),VLOOKUP(C1439,Products!$A$2:$C$8,3,FALSE),0)</f>
        <v>550</v>
      </c>
    </row>
    <row r="1440" spans="1:10" x14ac:dyDescent="0.25">
      <c r="A1440" t="s">
        <v>1607</v>
      </c>
      <c r="B1440" t="s">
        <v>191</v>
      </c>
      <c r="C1440" t="s">
        <v>120</v>
      </c>
      <c r="D1440" t="s">
        <v>67</v>
      </c>
      <c r="E1440" t="s">
        <v>159</v>
      </c>
      <c r="F1440" s="1">
        <v>42804</v>
      </c>
      <c r="G1440" s="1">
        <v>42885</v>
      </c>
      <c r="H1440">
        <v>0</v>
      </c>
      <c r="I1440" t="str">
        <f>IF(COUNTIF(Products!$A$2:$A$8,C1440)=0,C1440,"")</f>
        <v/>
      </c>
      <c r="J1440">
        <f>IF(OR(E1440="Prospecting",E1440="Engaging"),VLOOKUP(C1440,Products!$A$2:$C$8,3,FALSE),0)</f>
        <v>0</v>
      </c>
    </row>
    <row r="1441" spans="1:10" x14ac:dyDescent="0.25">
      <c r="A1441" t="s">
        <v>1608</v>
      </c>
      <c r="B1441" t="s">
        <v>162</v>
      </c>
      <c r="C1441" t="s">
        <v>126</v>
      </c>
      <c r="D1441" t="s">
        <v>67</v>
      </c>
      <c r="E1441" t="s">
        <v>159</v>
      </c>
      <c r="F1441" s="1">
        <v>42804</v>
      </c>
      <c r="G1441" s="1">
        <v>42814</v>
      </c>
      <c r="H1441">
        <v>0</v>
      </c>
      <c r="I1441" t="str">
        <f>IF(COUNTIF(Products!$A$2:$A$8,C1441)=0,C1441,"")</f>
        <v/>
      </c>
      <c r="J1441">
        <f>IF(OR(E1441="Prospecting",E1441="Engaging"),VLOOKUP(C1441,Products!$A$2:$C$8,3,FALSE),0)</f>
        <v>0</v>
      </c>
    </row>
    <row r="1442" spans="1:10" x14ac:dyDescent="0.25">
      <c r="A1442" t="s">
        <v>1609</v>
      </c>
      <c r="B1442" t="s">
        <v>187</v>
      </c>
      <c r="C1442" t="s">
        <v>123</v>
      </c>
      <c r="D1442" t="s">
        <v>32</v>
      </c>
      <c r="E1442" t="s">
        <v>155</v>
      </c>
      <c r="F1442" s="1">
        <v>42804</v>
      </c>
      <c r="I1442" t="str">
        <f>IF(COUNTIF(Products!$A$2:$A$8,C1442)=0,C1442,"")</f>
        <v/>
      </c>
      <c r="J1442">
        <f>IF(OR(E1442="Prospecting",E1442="Engaging"),VLOOKUP(C1442,Products!$A$2:$C$8,3,FALSE),0)</f>
        <v>55</v>
      </c>
    </row>
    <row r="1443" spans="1:10" x14ac:dyDescent="0.25">
      <c r="A1443" t="s">
        <v>1610</v>
      </c>
      <c r="B1443" t="s">
        <v>177</v>
      </c>
      <c r="C1443" t="s">
        <v>123</v>
      </c>
      <c r="D1443" t="s">
        <v>25</v>
      </c>
      <c r="E1443" t="s">
        <v>159</v>
      </c>
      <c r="F1443" s="1">
        <v>42804</v>
      </c>
      <c r="G1443" s="1">
        <v>42884</v>
      </c>
      <c r="H1443">
        <v>0</v>
      </c>
      <c r="I1443" t="str">
        <f>IF(COUNTIF(Products!$A$2:$A$8,C1443)=0,C1443,"")</f>
        <v/>
      </c>
      <c r="J1443">
        <f>IF(OR(E1443="Prospecting",E1443="Engaging"),VLOOKUP(C1443,Products!$A$2:$C$8,3,FALSE),0)</f>
        <v>0</v>
      </c>
    </row>
    <row r="1444" spans="1:10" x14ac:dyDescent="0.25">
      <c r="A1444" t="s">
        <v>1611</v>
      </c>
      <c r="B1444" t="s">
        <v>177</v>
      </c>
      <c r="C1444" t="s">
        <v>127</v>
      </c>
      <c r="D1444" t="s">
        <v>112</v>
      </c>
      <c r="E1444" t="s">
        <v>138</v>
      </c>
      <c r="F1444" s="1">
        <v>42804</v>
      </c>
      <c r="G1444" s="1">
        <v>42914</v>
      </c>
      <c r="H1444">
        <v>1074</v>
      </c>
      <c r="I1444" t="str">
        <f>IF(COUNTIF(Products!$A$2:$A$8,C1444)=0,C1444,"")</f>
        <v/>
      </c>
      <c r="J1444">
        <f>IF(OR(E1444="Prospecting",E1444="Engaging"),VLOOKUP(C1444,Products!$A$2:$C$8,3,FALSE),0)</f>
        <v>0</v>
      </c>
    </row>
    <row r="1445" spans="1:10" x14ac:dyDescent="0.25">
      <c r="A1445" t="s">
        <v>1612</v>
      </c>
      <c r="B1445" t="s">
        <v>144</v>
      </c>
      <c r="C1445" t="s">
        <v>123</v>
      </c>
      <c r="D1445" t="s">
        <v>78</v>
      </c>
      <c r="E1445" t="s">
        <v>159</v>
      </c>
      <c r="F1445" s="1">
        <v>42804</v>
      </c>
      <c r="G1445" s="1">
        <v>42860</v>
      </c>
      <c r="H1445">
        <v>0</v>
      </c>
      <c r="I1445" t="str">
        <f>IF(COUNTIF(Products!$A$2:$A$8,C1445)=0,C1445,"")</f>
        <v/>
      </c>
      <c r="J1445">
        <f>IF(OR(E1445="Prospecting",E1445="Engaging"),VLOOKUP(C1445,Products!$A$2:$C$8,3,FALSE),0)</f>
        <v>0</v>
      </c>
    </row>
    <row r="1446" spans="1:10" x14ac:dyDescent="0.25">
      <c r="A1446" t="s">
        <v>1613</v>
      </c>
      <c r="B1446" t="s">
        <v>146</v>
      </c>
      <c r="C1446" t="s">
        <v>123</v>
      </c>
      <c r="D1446" t="s">
        <v>32</v>
      </c>
      <c r="E1446" t="s">
        <v>159</v>
      </c>
      <c r="F1446" s="1">
        <v>42805</v>
      </c>
      <c r="G1446" s="1">
        <v>42885</v>
      </c>
      <c r="H1446">
        <v>0</v>
      </c>
      <c r="I1446" t="str">
        <f>IF(COUNTIF(Products!$A$2:$A$8,C1446)=0,C1446,"")</f>
        <v/>
      </c>
      <c r="J1446">
        <f>IF(OR(E1446="Prospecting",E1446="Engaging"),VLOOKUP(C1446,Products!$A$2:$C$8,3,FALSE),0)</f>
        <v>0</v>
      </c>
    </row>
    <row r="1447" spans="1:10" x14ac:dyDescent="0.25">
      <c r="A1447" t="s">
        <v>1614</v>
      </c>
      <c r="B1447" t="s">
        <v>146</v>
      </c>
      <c r="C1447" t="s">
        <v>123</v>
      </c>
      <c r="D1447" t="s">
        <v>91</v>
      </c>
      <c r="E1447" t="s">
        <v>138</v>
      </c>
      <c r="F1447" s="1">
        <v>42805</v>
      </c>
      <c r="G1447" s="1">
        <v>42811</v>
      </c>
      <c r="H1447">
        <v>57</v>
      </c>
      <c r="I1447" t="str">
        <f>IF(COUNTIF(Products!$A$2:$A$8,C1447)=0,C1447,"")</f>
        <v/>
      </c>
      <c r="J1447">
        <f>IF(OR(E1447="Prospecting",E1447="Engaging"),VLOOKUP(C1447,Products!$A$2:$C$8,3,FALSE),0)</f>
        <v>0</v>
      </c>
    </row>
    <row r="1448" spans="1:10" x14ac:dyDescent="0.25">
      <c r="A1448" t="s">
        <v>1615</v>
      </c>
      <c r="B1448" t="s">
        <v>207</v>
      </c>
      <c r="C1448" t="s">
        <v>120</v>
      </c>
      <c r="D1448" t="s">
        <v>115</v>
      </c>
      <c r="E1448" t="s">
        <v>138</v>
      </c>
      <c r="F1448" s="1">
        <v>42805</v>
      </c>
      <c r="G1448" s="1">
        <v>42877</v>
      </c>
      <c r="H1448">
        <v>586</v>
      </c>
      <c r="I1448" t="str">
        <f>IF(COUNTIF(Products!$A$2:$A$8,C1448)=0,C1448,"")</f>
        <v/>
      </c>
      <c r="J1448">
        <f>IF(OR(E1448="Prospecting",E1448="Engaging"),VLOOKUP(C1448,Products!$A$2:$C$8,3,FALSE),0)</f>
        <v>0</v>
      </c>
    </row>
    <row r="1449" spans="1:10" x14ac:dyDescent="0.25">
      <c r="A1449" t="s">
        <v>1616</v>
      </c>
      <c r="B1449" t="s">
        <v>264</v>
      </c>
      <c r="C1449" t="s">
        <v>127</v>
      </c>
      <c r="D1449" t="s">
        <v>89</v>
      </c>
      <c r="E1449" t="s">
        <v>138</v>
      </c>
      <c r="F1449" s="1">
        <v>42805</v>
      </c>
      <c r="G1449" s="1">
        <v>42899</v>
      </c>
      <c r="H1449">
        <v>1184</v>
      </c>
      <c r="I1449" t="str">
        <f>IF(COUNTIF(Products!$A$2:$A$8,C1449)=0,C1449,"")</f>
        <v/>
      </c>
      <c r="J1449">
        <f>IF(OR(E1449="Prospecting",E1449="Engaging"),VLOOKUP(C1449,Products!$A$2:$C$8,3,FALSE),0)</f>
        <v>0</v>
      </c>
    </row>
    <row r="1450" spans="1:10" x14ac:dyDescent="0.25">
      <c r="A1450" t="s">
        <v>1617</v>
      </c>
      <c r="B1450" t="s">
        <v>224</v>
      </c>
      <c r="C1450" t="s">
        <v>120</v>
      </c>
      <c r="D1450" t="s">
        <v>92</v>
      </c>
      <c r="E1450" t="s">
        <v>159</v>
      </c>
      <c r="F1450" s="1">
        <v>42805</v>
      </c>
      <c r="G1450" s="1">
        <v>42874</v>
      </c>
      <c r="H1450">
        <v>0</v>
      </c>
      <c r="I1450" t="str">
        <f>IF(COUNTIF(Products!$A$2:$A$8,C1450)=0,C1450,"")</f>
        <v/>
      </c>
      <c r="J1450">
        <f>IF(OR(E1450="Prospecting",E1450="Engaging"),VLOOKUP(C1450,Products!$A$2:$C$8,3,FALSE),0)</f>
        <v>0</v>
      </c>
    </row>
    <row r="1451" spans="1:10" x14ac:dyDescent="0.25">
      <c r="A1451" t="s">
        <v>1618</v>
      </c>
      <c r="B1451" t="s">
        <v>154</v>
      </c>
      <c r="C1451" t="s">
        <v>125</v>
      </c>
      <c r="E1451" t="s">
        <v>155</v>
      </c>
      <c r="F1451" s="1">
        <v>42805</v>
      </c>
      <c r="I1451" t="str">
        <f>IF(COUNTIF(Products!$A$2:$A$8,C1451)=0,C1451,"")</f>
        <v/>
      </c>
      <c r="J1451">
        <f>IF(OR(E1451="Prospecting",E1451="Engaging"),VLOOKUP(C1451,Products!$A$2:$C$8,3,FALSE),0)</f>
        <v>3393</v>
      </c>
    </row>
    <row r="1452" spans="1:10" x14ac:dyDescent="0.25">
      <c r="A1452" t="s">
        <v>1619</v>
      </c>
      <c r="B1452" t="s">
        <v>154</v>
      </c>
      <c r="C1452" t="s">
        <v>127</v>
      </c>
      <c r="D1452" t="s">
        <v>72</v>
      </c>
      <c r="E1452" t="s">
        <v>159</v>
      </c>
      <c r="F1452" s="1">
        <v>42805</v>
      </c>
      <c r="G1452" s="1">
        <v>42894</v>
      </c>
      <c r="H1452">
        <v>0</v>
      </c>
      <c r="I1452" t="str">
        <f>IF(COUNTIF(Products!$A$2:$A$8,C1452)=0,C1452,"")</f>
        <v/>
      </c>
      <c r="J1452">
        <f>IF(OR(E1452="Prospecting",E1452="Engaging"),VLOOKUP(C1452,Products!$A$2:$C$8,3,FALSE),0)</f>
        <v>0</v>
      </c>
    </row>
    <row r="1453" spans="1:10" x14ac:dyDescent="0.25">
      <c r="A1453" t="s">
        <v>1620</v>
      </c>
      <c r="B1453" t="s">
        <v>154</v>
      </c>
      <c r="C1453" t="s">
        <v>120</v>
      </c>
      <c r="D1453" t="s">
        <v>66</v>
      </c>
      <c r="E1453" t="s">
        <v>138</v>
      </c>
      <c r="F1453" s="1">
        <v>42805</v>
      </c>
      <c r="G1453" s="1">
        <v>42896</v>
      </c>
      <c r="H1453">
        <v>526</v>
      </c>
      <c r="I1453" t="str">
        <f>IF(COUNTIF(Products!$A$2:$A$8,C1453)=0,C1453,"")</f>
        <v/>
      </c>
      <c r="J1453">
        <f>IF(OR(E1453="Prospecting",E1453="Engaging"),VLOOKUP(C1453,Products!$A$2:$C$8,3,FALSE),0)</f>
        <v>0</v>
      </c>
    </row>
    <row r="1454" spans="1:10" x14ac:dyDescent="0.25">
      <c r="A1454" t="s">
        <v>1621</v>
      </c>
      <c r="B1454" t="s">
        <v>154</v>
      </c>
      <c r="C1454" t="s">
        <v>126</v>
      </c>
      <c r="D1454" t="s">
        <v>27</v>
      </c>
      <c r="E1454" t="s">
        <v>138</v>
      </c>
      <c r="F1454" s="1">
        <v>42805</v>
      </c>
      <c r="G1454" s="1">
        <v>42898</v>
      </c>
      <c r="H1454">
        <v>5344</v>
      </c>
      <c r="I1454" t="str">
        <f>IF(COUNTIF(Products!$A$2:$A$8,C1454)=0,C1454,"")</f>
        <v/>
      </c>
      <c r="J1454">
        <f>IF(OR(E1454="Prospecting",E1454="Engaging"),VLOOKUP(C1454,Products!$A$2:$C$8,3,FALSE),0)</f>
        <v>0</v>
      </c>
    </row>
    <row r="1455" spans="1:10" x14ac:dyDescent="0.25">
      <c r="A1455" t="s">
        <v>1622</v>
      </c>
      <c r="B1455" t="s">
        <v>154</v>
      </c>
      <c r="C1455" t="s">
        <v>122</v>
      </c>
      <c r="D1455" t="s">
        <v>69</v>
      </c>
      <c r="E1455" t="s">
        <v>138</v>
      </c>
      <c r="F1455" s="1">
        <v>42805</v>
      </c>
      <c r="G1455" s="1">
        <v>42877</v>
      </c>
      <c r="H1455">
        <v>4125</v>
      </c>
      <c r="I1455" t="str">
        <f>IF(COUNTIF(Products!$A$2:$A$8,C1455)=0,C1455,"")</f>
        <v/>
      </c>
      <c r="J1455">
        <f>IF(OR(E1455="Prospecting",E1455="Engaging"),VLOOKUP(C1455,Products!$A$2:$C$8,3,FALSE),0)</f>
        <v>0</v>
      </c>
    </row>
    <row r="1456" spans="1:10" x14ac:dyDescent="0.25">
      <c r="A1456" t="s">
        <v>1623</v>
      </c>
      <c r="B1456" t="s">
        <v>180</v>
      </c>
      <c r="C1456" t="s">
        <v>120</v>
      </c>
      <c r="D1456" t="s">
        <v>29</v>
      </c>
      <c r="E1456" t="s">
        <v>138</v>
      </c>
      <c r="F1456" s="1">
        <v>42805</v>
      </c>
      <c r="G1456" s="1">
        <v>42892</v>
      </c>
      <c r="H1456">
        <v>528</v>
      </c>
      <c r="I1456" t="str">
        <f>IF(COUNTIF(Products!$A$2:$A$8,C1456)=0,C1456,"")</f>
        <v/>
      </c>
      <c r="J1456">
        <f>IF(OR(E1456="Prospecting",E1456="Engaging"),VLOOKUP(C1456,Products!$A$2:$C$8,3,FALSE),0)</f>
        <v>0</v>
      </c>
    </row>
    <row r="1457" spans="1:10" x14ac:dyDescent="0.25">
      <c r="A1457" t="s">
        <v>1624</v>
      </c>
      <c r="B1457" t="s">
        <v>180</v>
      </c>
      <c r="C1457" t="s">
        <v>125</v>
      </c>
      <c r="D1457" t="s">
        <v>93</v>
      </c>
      <c r="E1457" t="s">
        <v>138</v>
      </c>
      <c r="F1457" s="1">
        <v>42805</v>
      </c>
      <c r="G1457" s="1">
        <v>42820</v>
      </c>
      <c r="H1457">
        <v>3254</v>
      </c>
      <c r="I1457" t="str">
        <f>IF(COUNTIF(Products!$A$2:$A$8,C1457)=0,C1457,"")</f>
        <v/>
      </c>
      <c r="J1457">
        <f>IF(OR(E1457="Prospecting",E1457="Engaging"),VLOOKUP(C1457,Products!$A$2:$C$8,3,FALSE),0)</f>
        <v>0</v>
      </c>
    </row>
    <row r="1458" spans="1:10" x14ac:dyDescent="0.25">
      <c r="A1458" t="s">
        <v>1625</v>
      </c>
      <c r="B1458" t="s">
        <v>191</v>
      </c>
      <c r="C1458" t="s">
        <v>122</v>
      </c>
      <c r="D1458" t="s">
        <v>57</v>
      </c>
      <c r="E1458" t="s">
        <v>159</v>
      </c>
      <c r="F1458" s="1">
        <v>42805</v>
      </c>
      <c r="G1458" s="1">
        <v>42862</v>
      </c>
      <c r="H1458">
        <v>0</v>
      </c>
      <c r="I1458" t="str">
        <f>IF(COUNTIF(Products!$A$2:$A$8,C1458)=0,C1458,"")</f>
        <v/>
      </c>
      <c r="J1458">
        <f>IF(OR(E1458="Prospecting",E1458="Engaging"),VLOOKUP(C1458,Products!$A$2:$C$8,3,FALSE),0)</f>
        <v>0</v>
      </c>
    </row>
    <row r="1459" spans="1:10" x14ac:dyDescent="0.25">
      <c r="A1459" t="s">
        <v>1626</v>
      </c>
      <c r="B1459" t="s">
        <v>191</v>
      </c>
      <c r="C1459" t="s">
        <v>120</v>
      </c>
      <c r="D1459" t="s">
        <v>66</v>
      </c>
      <c r="E1459" t="s">
        <v>138</v>
      </c>
      <c r="F1459" s="1">
        <v>42805</v>
      </c>
      <c r="G1459" s="1">
        <v>42879</v>
      </c>
      <c r="H1459">
        <v>516</v>
      </c>
      <c r="I1459" t="str">
        <f>IF(COUNTIF(Products!$A$2:$A$8,C1459)=0,C1459,"")</f>
        <v/>
      </c>
      <c r="J1459">
        <f>IF(OR(E1459="Prospecting",E1459="Engaging"),VLOOKUP(C1459,Products!$A$2:$C$8,3,FALSE),0)</f>
        <v>0</v>
      </c>
    </row>
    <row r="1460" spans="1:10" x14ac:dyDescent="0.25">
      <c r="A1460" t="s">
        <v>1627</v>
      </c>
      <c r="B1460" t="s">
        <v>191</v>
      </c>
      <c r="C1460" t="s">
        <v>120</v>
      </c>
      <c r="D1460" t="s">
        <v>109</v>
      </c>
      <c r="E1460" t="s">
        <v>138</v>
      </c>
      <c r="F1460" s="1">
        <v>42805</v>
      </c>
      <c r="G1460" s="1">
        <v>42821</v>
      </c>
      <c r="H1460">
        <v>538</v>
      </c>
      <c r="I1460" t="str">
        <f>IF(COUNTIF(Products!$A$2:$A$8,C1460)=0,C1460,"")</f>
        <v/>
      </c>
      <c r="J1460">
        <f>IF(OR(E1460="Prospecting",E1460="Engaging"),VLOOKUP(C1460,Products!$A$2:$C$8,3,FALSE),0)</f>
        <v>0</v>
      </c>
    </row>
    <row r="1461" spans="1:10" x14ac:dyDescent="0.25">
      <c r="A1461" t="s">
        <v>1628</v>
      </c>
      <c r="B1461" t="s">
        <v>217</v>
      </c>
      <c r="C1461" t="s">
        <v>120</v>
      </c>
      <c r="D1461" t="s">
        <v>26</v>
      </c>
      <c r="E1461" t="s">
        <v>138</v>
      </c>
      <c r="F1461" s="1">
        <v>42805</v>
      </c>
      <c r="G1461" s="1">
        <v>42903</v>
      </c>
      <c r="H1461">
        <v>459</v>
      </c>
      <c r="I1461" t="str">
        <f>IF(COUNTIF(Products!$A$2:$A$8,C1461)=0,C1461,"")</f>
        <v/>
      </c>
      <c r="J1461">
        <f>IF(OR(E1461="Prospecting",E1461="Engaging"),VLOOKUP(C1461,Products!$A$2:$C$8,3,FALSE),0)</f>
        <v>0</v>
      </c>
    </row>
    <row r="1462" spans="1:10" x14ac:dyDescent="0.25">
      <c r="A1462" t="s">
        <v>1629</v>
      </c>
      <c r="B1462" t="s">
        <v>162</v>
      </c>
      <c r="C1462" t="s">
        <v>120</v>
      </c>
      <c r="D1462" t="s">
        <v>23</v>
      </c>
      <c r="E1462" t="s">
        <v>159</v>
      </c>
      <c r="F1462" s="1">
        <v>42805</v>
      </c>
      <c r="G1462" s="1">
        <v>42912</v>
      </c>
      <c r="H1462">
        <v>0</v>
      </c>
      <c r="I1462" t="str">
        <f>IF(COUNTIF(Products!$A$2:$A$8,C1462)=0,C1462,"")</f>
        <v/>
      </c>
      <c r="J1462">
        <f>IF(OR(E1462="Prospecting",E1462="Engaging"),VLOOKUP(C1462,Products!$A$2:$C$8,3,FALSE),0)</f>
        <v>0</v>
      </c>
    </row>
    <row r="1463" spans="1:10" x14ac:dyDescent="0.25">
      <c r="A1463" t="s">
        <v>1630</v>
      </c>
      <c r="B1463" t="s">
        <v>162</v>
      </c>
      <c r="C1463" t="s">
        <v>122</v>
      </c>
      <c r="D1463" t="s">
        <v>100</v>
      </c>
      <c r="E1463" t="s">
        <v>138</v>
      </c>
      <c r="F1463" s="1">
        <v>42805</v>
      </c>
      <c r="G1463" s="1">
        <v>42877</v>
      </c>
      <c r="H1463">
        <v>5137</v>
      </c>
      <c r="I1463" t="str">
        <f>IF(COUNTIF(Products!$A$2:$A$8,C1463)=0,C1463,"")</f>
        <v/>
      </c>
      <c r="J1463">
        <f>IF(OR(E1463="Prospecting",E1463="Engaging"),VLOOKUP(C1463,Products!$A$2:$C$8,3,FALSE),0)</f>
        <v>0</v>
      </c>
    </row>
    <row r="1464" spans="1:10" x14ac:dyDescent="0.25">
      <c r="A1464" t="s">
        <v>1631</v>
      </c>
      <c r="B1464" t="s">
        <v>137</v>
      </c>
      <c r="C1464" t="s">
        <v>125</v>
      </c>
      <c r="D1464" t="s">
        <v>70</v>
      </c>
      <c r="E1464" t="s">
        <v>138</v>
      </c>
      <c r="F1464" s="1">
        <v>42805</v>
      </c>
      <c r="G1464" s="1">
        <v>42890</v>
      </c>
      <c r="H1464">
        <v>3330</v>
      </c>
      <c r="I1464" t="str">
        <f>IF(COUNTIF(Products!$A$2:$A$8,C1464)=0,C1464,"")</f>
        <v/>
      </c>
      <c r="J1464">
        <f>IF(OR(E1464="Prospecting",E1464="Engaging"),VLOOKUP(C1464,Products!$A$2:$C$8,3,FALSE),0)</f>
        <v>0</v>
      </c>
    </row>
    <row r="1465" spans="1:10" x14ac:dyDescent="0.25">
      <c r="A1465" t="s">
        <v>1632</v>
      </c>
      <c r="B1465" t="s">
        <v>169</v>
      </c>
      <c r="C1465" t="s">
        <v>120</v>
      </c>
      <c r="D1465" t="s">
        <v>28</v>
      </c>
      <c r="E1465" t="s">
        <v>138</v>
      </c>
      <c r="F1465" s="1">
        <v>42805</v>
      </c>
      <c r="G1465" s="1">
        <v>42865</v>
      </c>
      <c r="H1465">
        <v>589</v>
      </c>
      <c r="I1465" t="str">
        <f>IF(COUNTIF(Products!$A$2:$A$8,C1465)=0,C1465,"")</f>
        <v/>
      </c>
      <c r="J1465">
        <f>IF(OR(E1465="Prospecting",E1465="Engaging"),VLOOKUP(C1465,Products!$A$2:$C$8,3,FALSE),0)</f>
        <v>0</v>
      </c>
    </row>
    <row r="1466" spans="1:10" x14ac:dyDescent="0.25">
      <c r="A1466" t="s">
        <v>1633</v>
      </c>
      <c r="B1466" t="s">
        <v>148</v>
      </c>
      <c r="C1466" t="s">
        <v>123</v>
      </c>
      <c r="D1466" t="s">
        <v>56</v>
      </c>
      <c r="E1466" t="s">
        <v>138</v>
      </c>
      <c r="F1466" s="1">
        <v>42805</v>
      </c>
      <c r="G1466" s="1">
        <v>42824</v>
      </c>
      <c r="H1466">
        <v>45</v>
      </c>
      <c r="I1466" t="str">
        <f>IF(COUNTIF(Products!$A$2:$A$8,C1466)=0,C1466,"")</f>
        <v/>
      </c>
      <c r="J1466">
        <f>IF(OR(E1466="Prospecting",E1466="Engaging"),VLOOKUP(C1466,Products!$A$2:$C$8,3,FALSE),0)</f>
        <v>0</v>
      </c>
    </row>
    <row r="1467" spans="1:10" x14ac:dyDescent="0.25">
      <c r="A1467" t="s">
        <v>1634</v>
      </c>
      <c r="B1467" t="s">
        <v>144</v>
      </c>
      <c r="C1467" t="s">
        <v>123</v>
      </c>
      <c r="E1467" t="s">
        <v>155</v>
      </c>
      <c r="F1467" s="1">
        <v>42805</v>
      </c>
      <c r="I1467" t="str">
        <f>IF(COUNTIF(Products!$A$2:$A$8,C1467)=0,C1467,"")</f>
        <v/>
      </c>
      <c r="J1467">
        <f>IF(OR(E1467="Prospecting",E1467="Engaging"),VLOOKUP(C1467,Products!$A$2:$C$8,3,FALSE),0)</f>
        <v>55</v>
      </c>
    </row>
    <row r="1468" spans="1:10" x14ac:dyDescent="0.25">
      <c r="A1468" t="s">
        <v>1635</v>
      </c>
      <c r="B1468" t="s">
        <v>146</v>
      </c>
      <c r="C1468" t="s">
        <v>123</v>
      </c>
      <c r="D1468" t="s">
        <v>46</v>
      </c>
      <c r="E1468" t="s">
        <v>159</v>
      </c>
      <c r="F1468" s="1">
        <v>42806</v>
      </c>
      <c r="G1468" s="1">
        <v>42880</v>
      </c>
      <c r="H1468">
        <v>0</v>
      </c>
      <c r="I1468" t="str">
        <f>IF(COUNTIF(Products!$A$2:$A$8,C1468)=0,C1468,"")</f>
        <v/>
      </c>
      <c r="J1468">
        <f>IF(OR(E1468="Prospecting",E1468="Engaging"),VLOOKUP(C1468,Products!$A$2:$C$8,3,FALSE),0)</f>
        <v>0</v>
      </c>
    </row>
    <row r="1469" spans="1:10" x14ac:dyDescent="0.25">
      <c r="A1469" t="s">
        <v>1636</v>
      </c>
      <c r="B1469" t="s">
        <v>207</v>
      </c>
      <c r="C1469" t="s">
        <v>120</v>
      </c>
      <c r="D1469" t="s">
        <v>44</v>
      </c>
      <c r="E1469" t="s">
        <v>155</v>
      </c>
      <c r="F1469" s="1">
        <v>42806</v>
      </c>
      <c r="I1469" t="str">
        <f>IF(COUNTIF(Products!$A$2:$A$8,C1469)=0,C1469,"")</f>
        <v/>
      </c>
      <c r="J1469">
        <f>IF(OR(E1469="Prospecting",E1469="Engaging"),VLOOKUP(C1469,Products!$A$2:$C$8,3,FALSE),0)</f>
        <v>550</v>
      </c>
    </row>
    <row r="1470" spans="1:10" x14ac:dyDescent="0.25">
      <c r="A1470" t="s">
        <v>1637</v>
      </c>
      <c r="B1470" t="s">
        <v>207</v>
      </c>
      <c r="C1470" t="s">
        <v>126</v>
      </c>
      <c r="D1470" t="s">
        <v>81</v>
      </c>
      <c r="E1470" t="s">
        <v>138</v>
      </c>
      <c r="F1470" s="1">
        <v>42806</v>
      </c>
      <c r="G1470" s="1">
        <v>42897</v>
      </c>
      <c r="H1470">
        <v>5664</v>
      </c>
      <c r="I1470" t="str">
        <f>IF(COUNTIF(Products!$A$2:$A$8,C1470)=0,C1470,"")</f>
        <v/>
      </c>
      <c r="J1470">
        <f>IF(OR(E1470="Prospecting",E1470="Engaging"),VLOOKUP(C1470,Products!$A$2:$C$8,3,FALSE),0)</f>
        <v>0</v>
      </c>
    </row>
    <row r="1471" spans="1:10" x14ac:dyDescent="0.25">
      <c r="A1471" t="s">
        <v>1638</v>
      </c>
      <c r="B1471" t="s">
        <v>264</v>
      </c>
      <c r="C1471" t="s">
        <v>125</v>
      </c>
      <c r="D1471" t="s">
        <v>96</v>
      </c>
      <c r="E1471" t="s">
        <v>159</v>
      </c>
      <c r="F1471" s="1">
        <v>42806</v>
      </c>
      <c r="G1471" s="1">
        <v>42857</v>
      </c>
      <c r="H1471">
        <v>0</v>
      </c>
      <c r="I1471" t="str">
        <f>IF(COUNTIF(Products!$A$2:$A$8,C1471)=0,C1471,"")</f>
        <v/>
      </c>
      <c r="J1471">
        <f>IF(OR(E1471="Prospecting",E1471="Engaging"),VLOOKUP(C1471,Products!$A$2:$C$8,3,FALSE),0)</f>
        <v>0</v>
      </c>
    </row>
    <row r="1472" spans="1:10" x14ac:dyDescent="0.25">
      <c r="A1472" t="s">
        <v>1639</v>
      </c>
      <c r="B1472" t="s">
        <v>239</v>
      </c>
      <c r="C1472" t="s">
        <v>127</v>
      </c>
      <c r="D1472" t="s">
        <v>63</v>
      </c>
      <c r="E1472" t="s">
        <v>138</v>
      </c>
      <c r="F1472" s="1">
        <v>42806</v>
      </c>
      <c r="G1472" s="1">
        <v>42897</v>
      </c>
      <c r="H1472">
        <v>1074</v>
      </c>
      <c r="I1472" t="str">
        <f>IF(COUNTIF(Products!$A$2:$A$8,C1472)=0,C1472,"")</f>
        <v/>
      </c>
      <c r="J1472">
        <f>IF(OR(E1472="Prospecting",E1472="Engaging"),VLOOKUP(C1472,Products!$A$2:$C$8,3,FALSE),0)</f>
        <v>0</v>
      </c>
    </row>
    <row r="1473" spans="1:10" x14ac:dyDescent="0.25">
      <c r="A1473" t="s">
        <v>1640</v>
      </c>
      <c r="B1473" t="s">
        <v>140</v>
      </c>
      <c r="C1473" t="s">
        <v>127</v>
      </c>
      <c r="D1473" t="s">
        <v>53</v>
      </c>
      <c r="E1473" t="s">
        <v>159</v>
      </c>
      <c r="F1473" s="1">
        <v>42806</v>
      </c>
      <c r="G1473" s="1">
        <v>42857</v>
      </c>
      <c r="H1473">
        <v>0</v>
      </c>
      <c r="I1473" t="str">
        <f>IF(COUNTIF(Products!$A$2:$A$8,C1473)=0,C1473,"")</f>
        <v/>
      </c>
      <c r="J1473">
        <f>IF(OR(E1473="Prospecting",E1473="Engaging"),VLOOKUP(C1473,Products!$A$2:$C$8,3,FALSE),0)</f>
        <v>0</v>
      </c>
    </row>
    <row r="1474" spans="1:10" x14ac:dyDescent="0.25">
      <c r="A1474" t="s">
        <v>1641</v>
      </c>
      <c r="B1474" t="s">
        <v>140</v>
      </c>
      <c r="C1474" t="s">
        <v>122</v>
      </c>
      <c r="D1474" t="s">
        <v>104</v>
      </c>
      <c r="E1474" t="s">
        <v>159</v>
      </c>
      <c r="F1474" s="1">
        <v>42806</v>
      </c>
      <c r="G1474" s="1">
        <v>42881</v>
      </c>
      <c r="H1474">
        <v>0</v>
      </c>
      <c r="I1474" t="str">
        <f>IF(COUNTIF(Products!$A$2:$A$8,C1474)=0,C1474,"")</f>
        <v/>
      </c>
      <c r="J1474">
        <f>IF(OR(E1474="Prospecting",E1474="Engaging"),VLOOKUP(C1474,Products!$A$2:$C$8,3,FALSE),0)</f>
        <v>0</v>
      </c>
    </row>
    <row r="1475" spans="1:10" x14ac:dyDescent="0.25">
      <c r="A1475" t="s">
        <v>1642</v>
      </c>
      <c r="B1475" t="s">
        <v>173</v>
      </c>
      <c r="C1475" t="s">
        <v>120</v>
      </c>
      <c r="D1475" t="s">
        <v>44</v>
      </c>
      <c r="E1475" t="s">
        <v>138</v>
      </c>
      <c r="F1475" s="1">
        <v>42806</v>
      </c>
      <c r="G1475" s="1">
        <v>42825</v>
      </c>
      <c r="H1475">
        <v>481</v>
      </c>
      <c r="I1475" t="str">
        <f>IF(COUNTIF(Products!$A$2:$A$8,C1475)=0,C1475,"")</f>
        <v/>
      </c>
      <c r="J1475">
        <f>IF(OR(E1475="Prospecting",E1475="Engaging"),VLOOKUP(C1475,Products!$A$2:$C$8,3,FALSE),0)</f>
        <v>0</v>
      </c>
    </row>
    <row r="1476" spans="1:10" x14ac:dyDescent="0.25">
      <c r="A1476" t="s">
        <v>1643</v>
      </c>
      <c r="B1476" t="s">
        <v>173</v>
      </c>
      <c r="C1476" t="s">
        <v>127</v>
      </c>
      <c r="D1476" t="s">
        <v>71</v>
      </c>
      <c r="E1476" t="s">
        <v>138</v>
      </c>
      <c r="F1476" s="1">
        <v>42806</v>
      </c>
      <c r="G1476" s="1">
        <v>42888</v>
      </c>
      <c r="H1476">
        <v>1101</v>
      </c>
      <c r="I1476" t="str">
        <f>IF(COUNTIF(Products!$A$2:$A$8,C1476)=0,C1476,"")</f>
        <v/>
      </c>
      <c r="J1476">
        <f>IF(OR(E1476="Prospecting",E1476="Engaging"),VLOOKUP(C1476,Products!$A$2:$C$8,3,FALSE),0)</f>
        <v>0</v>
      </c>
    </row>
    <row r="1477" spans="1:10" x14ac:dyDescent="0.25">
      <c r="A1477" t="s">
        <v>1644</v>
      </c>
      <c r="B1477" t="s">
        <v>158</v>
      </c>
      <c r="C1477" t="s">
        <v>120</v>
      </c>
      <c r="D1477" t="s">
        <v>77</v>
      </c>
      <c r="E1477" t="s">
        <v>138</v>
      </c>
      <c r="F1477" s="1">
        <v>42806</v>
      </c>
      <c r="G1477" s="1">
        <v>42909</v>
      </c>
      <c r="H1477">
        <v>522</v>
      </c>
      <c r="I1477" t="str">
        <f>IF(COUNTIF(Products!$A$2:$A$8,C1477)=0,C1477,"")</f>
        <v/>
      </c>
      <c r="J1477">
        <f>IF(OR(E1477="Prospecting",E1477="Engaging"),VLOOKUP(C1477,Products!$A$2:$C$8,3,FALSE),0)</f>
        <v>0</v>
      </c>
    </row>
    <row r="1478" spans="1:10" x14ac:dyDescent="0.25">
      <c r="A1478" t="s">
        <v>1645</v>
      </c>
      <c r="B1478" t="s">
        <v>164</v>
      </c>
      <c r="C1478" t="s">
        <v>123</v>
      </c>
      <c r="D1478" t="s">
        <v>60</v>
      </c>
      <c r="E1478" t="s">
        <v>155</v>
      </c>
      <c r="F1478" s="1">
        <v>42806</v>
      </c>
      <c r="I1478" t="str">
        <f>IF(COUNTIF(Products!$A$2:$A$8,C1478)=0,C1478,"")</f>
        <v/>
      </c>
      <c r="J1478">
        <f>IF(OR(E1478="Prospecting",E1478="Engaging"),VLOOKUP(C1478,Products!$A$2:$C$8,3,FALSE),0)</f>
        <v>55</v>
      </c>
    </row>
    <row r="1479" spans="1:10" x14ac:dyDescent="0.25">
      <c r="A1479" t="s">
        <v>1646</v>
      </c>
      <c r="B1479" t="s">
        <v>164</v>
      </c>
      <c r="C1479" t="s">
        <v>123</v>
      </c>
      <c r="D1479" t="s">
        <v>109</v>
      </c>
      <c r="E1479" t="s">
        <v>138</v>
      </c>
      <c r="F1479" s="1">
        <v>42806</v>
      </c>
      <c r="G1479" s="1">
        <v>42899</v>
      </c>
      <c r="H1479">
        <v>49</v>
      </c>
      <c r="I1479" t="str">
        <f>IF(COUNTIF(Products!$A$2:$A$8,C1479)=0,C1479,"")</f>
        <v/>
      </c>
      <c r="J1479">
        <f>IF(OR(E1479="Prospecting",E1479="Engaging"),VLOOKUP(C1479,Products!$A$2:$C$8,3,FALSE),0)</f>
        <v>0</v>
      </c>
    </row>
    <row r="1480" spans="1:10" x14ac:dyDescent="0.25">
      <c r="A1480" t="s">
        <v>1647</v>
      </c>
      <c r="B1480" t="s">
        <v>180</v>
      </c>
      <c r="C1480" t="s">
        <v>122</v>
      </c>
      <c r="E1480" t="s">
        <v>155</v>
      </c>
      <c r="F1480" s="1">
        <v>42806</v>
      </c>
      <c r="I1480" t="str">
        <f>IF(COUNTIF(Products!$A$2:$A$8,C1480)=0,C1480,"")</f>
        <v/>
      </c>
      <c r="J1480">
        <f>IF(OR(E1480="Prospecting",E1480="Engaging"),VLOOKUP(C1480,Products!$A$2:$C$8,3,FALSE),0)</f>
        <v>4821</v>
      </c>
    </row>
    <row r="1481" spans="1:10" x14ac:dyDescent="0.25">
      <c r="A1481" t="s">
        <v>1648</v>
      </c>
      <c r="B1481" t="s">
        <v>180</v>
      </c>
      <c r="C1481" t="s">
        <v>122</v>
      </c>
      <c r="D1481" t="s">
        <v>78</v>
      </c>
      <c r="E1481" t="s">
        <v>138</v>
      </c>
      <c r="F1481" s="1">
        <v>42806</v>
      </c>
      <c r="G1481" s="1">
        <v>42888</v>
      </c>
      <c r="H1481">
        <v>4865</v>
      </c>
      <c r="I1481" t="str">
        <f>IF(COUNTIF(Products!$A$2:$A$8,C1481)=0,C1481,"")</f>
        <v/>
      </c>
      <c r="J1481">
        <f>IF(OR(E1481="Prospecting",E1481="Engaging"),VLOOKUP(C1481,Products!$A$2:$C$8,3,FALSE),0)</f>
        <v>0</v>
      </c>
    </row>
    <row r="1482" spans="1:10" x14ac:dyDescent="0.25">
      <c r="A1482" t="s">
        <v>1649</v>
      </c>
      <c r="B1482" t="s">
        <v>217</v>
      </c>
      <c r="C1482" t="s">
        <v>127</v>
      </c>
      <c r="D1482" t="s">
        <v>64</v>
      </c>
      <c r="E1482" t="s">
        <v>138</v>
      </c>
      <c r="F1482" s="1">
        <v>42806</v>
      </c>
      <c r="G1482" s="1">
        <v>42877</v>
      </c>
      <c r="H1482">
        <v>991</v>
      </c>
      <c r="I1482" t="str">
        <f>IF(COUNTIF(Products!$A$2:$A$8,C1482)=0,C1482,"")</f>
        <v/>
      </c>
      <c r="J1482">
        <f>IF(OR(E1482="Prospecting",E1482="Engaging"),VLOOKUP(C1482,Products!$A$2:$C$8,3,FALSE),0)</f>
        <v>0</v>
      </c>
    </row>
    <row r="1483" spans="1:10" x14ac:dyDescent="0.25">
      <c r="A1483" t="s">
        <v>1650</v>
      </c>
      <c r="B1483" t="s">
        <v>217</v>
      </c>
      <c r="C1483" t="s">
        <v>126</v>
      </c>
      <c r="D1483" t="s">
        <v>36</v>
      </c>
      <c r="E1483" t="s">
        <v>138</v>
      </c>
      <c r="F1483" s="1">
        <v>42806</v>
      </c>
      <c r="G1483" s="1">
        <v>42882</v>
      </c>
      <c r="H1483">
        <v>4509</v>
      </c>
      <c r="I1483" t="str">
        <f>IF(COUNTIF(Products!$A$2:$A$8,C1483)=0,C1483,"")</f>
        <v/>
      </c>
      <c r="J1483">
        <f>IF(OR(E1483="Prospecting",E1483="Engaging"),VLOOKUP(C1483,Products!$A$2:$C$8,3,FALSE),0)</f>
        <v>0</v>
      </c>
    </row>
    <row r="1484" spans="1:10" x14ac:dyDescent="0.25">
      <c r="A1484" t="s">
        <v>1651</v>
      </c>
      <c r="B1484" t="s">
        <v>150</v>
      </c>
      <c r="C1484" t="s">
        <v>122</v>
      </c>
      <c r="D1484" t="s">
        <v>75</v>
      </c>
      <c r="E1484" t="s">
        <v>138</v>
      </c>
      <c r="F1484" s="1">
        <v>42806</v>
      </c>
      <c r="G1484" s="1">
        <v>42858</v>
      </c>
      <c r="H1484">
        <v>5169</v>
      </c>
      <c r="I1484" t="str">
        <f>IF(COUNTIF(Products!$A$2:$A$8,C1484)=0,C1484,"")</f>
        <v/>
      </c>
      <c r="J1484">
        <f>IF(OR(E1484="Prospecting",E1484="Engaging"),VLOOKUP(C1484,Products!$A$2:$C$8,3,FALSE),0)</f>
        <v>0</v>
      </c>
    </row>
    <row r="1485" spans="1:10" x14ac:dyDescent="0.25">
      <c r="A1485" t="s">
        <v>1652</v>
      </c>
      <c r="B1485" t="s">
        <v>162</v>
      </c>
      <c r="C1485" t="s">
        <v>120</v>
      </c>
      <c r="D1485" t="s">
        <v>41</v>
      </c>
      <c r="E1485" t="s">
        <v>138</v>
      </c>
      <c r="F1485" s="1">
        <v>42806</v>
      </c>
      <c r="G1485" s="1">
        <v>42821</v>
      </c>
      <c r="H1485">
        <v>491</v>
      </c>
      <c r="I1485" t="str">
        <f>IF(COUNTIF(Products!$A$2:$A$8,C1485)=0,C1485,"")</f>
        <v/>
      </c>
      <c r="J1485">
        <f>IF(OR(E1485="Prospecting",E1485="Engaging"),VLOOKUP(C1485,Products!$A$2:$C$8,3,FALSE),0)</f>
        <v>0</v>
      </c>
    </row>
    <row r="1486" spans="1:10" x14ac:dyDescent="0.25">
      <c r="A1486" t="s">
        <v>1653</v>
      </c>
      <c r="B1486" t="s">
        <v>162</v>
      </c>
      <c r="C1486" t="s">
        <v>122</v>
      </c>
      <c r="D1486" t="s">
        <v>71</v>
      </c>
      <c r="E1486" t="s">
        <v>138</v>
      </c>
      <c r="F1486" s="1">
        <v>42806</v>
      </c>
      <c r="G1486" s="1">
        <v>42901</v>
      </c>
      <c r="H1486">
        <v>4281</v>
      </c>
      <c r="I1486" t="str">
        <f>IF(COUNTIF(Products!$A$2:$A$8,C1486)=0,C1486,"")</f>
        <v/>
      </c>
      <c r="J1486">
        <f>IF(OR(E1486="Prospecting",E1486="Engaging"),VLOOKUP(C1486,Products!$A$2:$C$8,3,FALSE),0)</f>
        <v>0</v>
      </c>
    </row>
    <row r="1487" spans="1:10" x14ac:dyDescent="0.25">
      <c r="A1487" t="s">
        <v>1654</v>
      </c>
      <c r="B1487" t="s">
        <v>152</v>
      </c>
      <c r="C1487" t="s">
        <v>127</v>
      </c>
      <c r="D1487" t="s">
        <v>42</v>
      </c>
      <c r="E1487" t="s">
        <v>159</v>
      </c>
      <c r="F1487" s="1">
        <v>42806</v>
      </c>
      <c r="G1487" s="1">
        <v>42863</v>
      </c>
      <c r="H1487">
        <v>0</v>
      </c>
      <c r="I1487" t="str">
        <f>IF(COUNTIF(Products!$A$2:$A$8,C1487)=0,C1487,"")</f>
        <v/>
      </c>
      <c r="J1487">
        <f>IF(OR(E1487="Prospecting",E1487="Engaging"),VLOOKUP(C1487,Products!$A$2:$C$8,3,FALSE),0)</f>
        <v>0</v>
      </c>
    </row>
    <row r="1488" spans="1:10" x14ac:dyDescent="0.25">
      <c r="A1488" t="s">
        <v>1655</v>
      </c>
      <c r="B1488" t="s">
        <v>187</v>
      </c>
      <c r="C1488" t="s">
        <v>123</v>
      </c>
      <c r="D1488" t="s">
        <v>105</v>
      </c>
      <c r="E1488" t="s">
        <v>159</v>
      </c>
      <c r="F1488" s="1">
        <v>42806</v>
      </c>
      <c r="G1488" s="1">
        <v>42873</v>
      </c>
      <c r="H1488">
        <v>0</v>
      </c>
      <c r="I1488" t="str">
        <f>IF(COUNTIF(Products!$A$2:$A$8,C1488)=0,C1488,"")</f>
        <v/>
      </c>
      <c r="J1488">
        <f>IF(OR(E1488="Prospecting",E1488="Engaging"),VLOOKUP(C1488,Products!$A$2:$C$8,3,FALSE),0)</f>
        <v>0</v>
      </c>
    </row>
    <row r="1489" spans="1:10" x14ac:dyDescent="0.25">
      <c r="A1489" t="s">
        <v>1656</v>
      </c>
      <c r="B1489" t="s">
        <v>187</v>
      </c>
      <c r="C1489" t="s">
        <v>125</v>
      </c>
      <c r="D1489" t="s">
        <v>68</v>
      </c>
      <c r="E1489" t="s">
        <v>138</v>
      </c>
      <c r="F1489" s="1">
        <v>42806</v>
      </c>
      <c r="G1489" s="1">
        <v>42913</v>
      </c>
      <c r="H1489">
        <v>3443</v>
      </c>
      <c r="I1489" t="str">
        <f>IF(COUNTIF(Products!$A$2:$A$8,C1489)=0,C1489,"")</f>
        <v/>
      </c>
      <c r="J1489">
        <f>IF(OR(E1489="Prospecting",E1489="Engaging"),VLOOKUP(C1489,Products!$A$2:$C$8,3,FALSE),0)</f>
        <v>0</v>
      </c>
    </row>
    <row r="1490" spans="1:10" x14ac:dyDescent="0.25">
      <c r="A1490" t="s">
        <v>1657</v>
      </c>
      <c r="B1490" t="s">
        <v>169</v>
      </c>
      <c r="C1490" t="s">
        <v>123</v>
      </c>
      <c r="D1490" t="s">
        <v>55</v>
      </c>
      <c r="E1490" t="s">
        <v>138</v>
      </c>
      <c r="F1490" s="1">
        <v>42806</v>
      </c>
      <c r="G1490" s="1">
        <v>42884</v>
      </c>
      <c r="H1490">
        <v>60</v>
      </c>
      <c r="I1490" t="str">
        <f>IF(COUNTIF(Products!$A$2:$A$8,C1490)=0,C1490,"")</f>
        <v/>
      </c>
      <c r="J1490">
        <f>IF(OR(E1490="Prospecting",E1490="Engaging"),VLOOKUP(C1490,Products!$A$2:$C$8,3,FALSE),0)</f>
        <v>0</v>
      </c>
    </row>
    <row r="1491" spans="1:10" x14ac:dyDescent="0.25">
      <c r="A1491" t="s">
        <v>1658</v>
      </c>
      <c r="B1491" t="s">
        <v>169</v>
      </c>
      <c r="C1491" t="s">
        <v>123</v>
      </c>
      <c r="D1491" t="s">
        <v>61</v>
      </c>
      <c r="E1491" t="s">
        <v>138</v>
      </c>
      <c r="F1491" s="1">
        <v>42806</v>
      </c>
      <c r="G1491" s="1">
        <v>42906</v>
      </c>
      <c r="H1491">
        <v>53</v>
      </c>
      <c r="I1491" t="str">
        <f>IF(COUNTIF(Products!$A$2:$A$8,C1491)=0,C1491,"")</f>
        <v/>
      </c>
      <c r="J1491">
        <f>IF(OR(E1491="Prospecting",E1491="Engaging"),VLOOKUP(C1491,Products!$A$2:$C$8,3,FALSE),0)</f>
        <v>0</v>
      </c>
    </row>
    <row r="1492" spans="1:10" x14ac:dyDescent="0.25">
      <c r="A1492" t="s">
        <v>1659</v>
      </c>
      <c r="B1492" t="s">
        <v>148</v>
      </c>
      <c r="C1492" t="s">
        <v>123</v>
      </c>
      <c r="D1492" t="s">
        <v>44</v>
      </c>
      <c r="E1492" t="s">
        <v>138</v>
      </c>
      <c r="F1492" s="1">
        <v>42806</v>
      </c>
      <c r="G1492" s="1">
        <v>42881</v>
      </c>
      <c r="H1492">
        <v>56</v>
      </c>
      <c r="I1492" t="str">
        <f>IF(COUNTIF(Products!$A$2:$A$8,C1492)=0,C1492,"")</f>
        <v/>
      </c>
      <c r="J1492">
        <f>IF(OR(E1492="Prospecting",E1492="Engaging"),VLOOKUP(C1492,Products!$A$2:$C$8,3,FALSE),0)</f>
        <v>0</v>
      </c>
    </row>
    <row r="1493" spans="1:10" x14ac:dyDescent="0.25">
      <c r="A1493" t="s">
        <v>1660</v>
      </c>
      <c r="B1493" t="s">
        <v>144</v>
      </c>
      <c r="C1493" t="s">
        <v>120</v>
      </c>
      <c r="D1493" t="s">
        <v>90</v>
      </c>
      <c r="E1493" t="s">
        <v>138</v>
      </c>
      <c r="F1493" s="1">
        <v>42806</v>
      </c>
      <c r="G1493" s="1">
        <v>42811</v>
      </c>
      <c r="H1493">
        <v>665</v>
      </c>
      <c r="I1493" t="str">
        <f>IF(COUNTIF(Products!$A$2:$A$8,C1493)=0,C1493,"")</f>
        <v/>
      </c>
      <c r="J1493">
        <f>IF(OR(E1493="Prospecting",E1493="Engaging"),VLOOKUP(C1493,Products!$A$2:$C$8,3,FALSE),0)</f>
        <v>0</v>
      </c>
    </row>
    <row r="1494" spans="1:10" x14ac:dyDescent="0.25">
      <c r="A1494" t="s">
        <v>1661</v>
      </c>
      <c r="B1494" t="s">
        <v>146</v>
      </c>
      <c r="C1494" t="s">
        <v>127</v>
      </c>
      <c r="D1494" t="s">
        <v>32</v>
      </c>
      <c r="E1494" t="s">
        <v>138</v>
      </c>
      <c r="F1494" s="1">
        <v>42807</v>
      </c>
      <c r="G1494" s="1">
        <v>42864</v>
      </c>
      <c r="H1494">
        <v>1140</v>
      </c>
      <c r="I1494" t="str">
        <f>IF(COUNTIF(Products!$A$2:$A$8,C1494)=0,C1494,"")</f>
        <v/>
      </c>
      <c r="J1494">
        <f>IF(OR(E1494="Prospecting",E1494="Engaging"),VLOOKUP(C1494,Products!$A$2:$C$8,3,FALSE),0)</f>
        <v>0</v>
      </c>
    </row>
    <row r="1495" spans="1:10" x14ac:dyDescent="0.25">
      <c r="A1495" t="s">
        <v>1662</v>
      </c>
      <c r="B1495" t="s">
        <v>146</v>
      </c>
      <c r="C1495" t="s">
        <v>123</v>
      </c>
      <c r="D1495" t="s">
        <v>96</v>
      </c>
      <c r="E1495" t="s">
        <v>138</v>
      </c>
      <c r="F1495" s="1">
        <v>42807</v>
      </c>
      <c r="G1495" s="1">
        <v>42880</v>
      </c>
      <c r="H1495">
        <v>52</v>
      </c>
      <c r="I1495" t="str">
        <f>IF(COUNTIF(Products!$A$2:$A$8,C1495)=0,C1495,"")</f>
        <v/>
      </c>
      <c r="J1495">
        <f>IF(OR(E1495="Prospecting",E1495="Engaging"),VLOOKUP(C1495,Products!$A$2:$C$8,3,FALSE),0)</f>
        <v>0</v>
      </c>
    </row>
    <row r="1496" spans="1:10" x14ac:dyDescent="0.25">
      <c r="A1496" t="s">
        <v>1663</v>
      </c>
      <c r="B1496" t="s">
        <v>146</v>
      </c>
      <c r="C1496" t="s">
        <v>123</v>
      </c>
      <c r="D1496" t="s">
        <v>77</v>
      </c>
      <c r="E1496" t="s">
        <v>138</v>
      </c>
      <c r="F1496" s="1">
        <v>42807</v>
      </c>
      <c r="G1496" s="1">
        <v>42894</v>
      </c>
      <c r="H1496">
        <v>52</v>
      </c>
      <c r="I1496" t="str">
        <f>IF(COUNTIF(Products!$A$2:$A$8,C1496)=0,C1496,"")</f>
        <v/>
      </c>
      <c r="J1496">
        <f>IF(OR(E1496="Prospecting",E1496="Engaging"),VLOOKUP(C1496,Products!$A$2:$C$8,3,FALSE),0)</f>
        <v>0</v>
      </c>
    </row>
    <row r="1497" spans="1:10" x14ac:dyDescent="0.25">
      <c r="A1497" t="s">
        <v>1664</v>
      </c>
      <c r="B1497" t="s">
        <v>222</v>
      </c>
      <c r="C1497" t="s">
        <v>126</v>
      </c>
      <c r="D1497" t="s">
        <v>35</v>
      </c>
      <c r="E1497" t="s">
        <v>159</v>
      </c>
      <c r="F1497" s="1">
        <v>42807</v>
      </c>
      <c r="G1497" s="1">
        <v>42818</v>
      </c>
      <c r="H1497">
        <v>0</v>
      </c>
      <c r="I1497" t="str">
        <f>IF(COUNTIF(Products!$A$2:$A$8,C1497)=0,C1497,"")</f>
        <v/>
      </c>
      <c r="J1497">
        <f>IF(OR(E1497="Prospecting",E1497="Engaging"),VLOOKUP(C1497,Products!$A$2:$C$8,3,FALSE),0)</f>
        <v>0</v>
      </c>
    </row>
    <row r="1498" spans="1:10" x14ac:dyDescent="0.25">
      <c r="A1498" t="s">
        <v>1665</v>
      </c>
      <c r="B1498" t="s">
        <v>207</v>
      </c>
      <c r="C1498" t="s">
        <v>125</v>
      </c>
      <c r="E1498" t="s">
        <v>155</v>
      </c>
      <c r="F1498" s="1">
        <v>42807</v>
      </c>
      <c r="I1498" t="str">
        <f>IF(COUNTIF(Products!$A$2:$A$8,C1498)=0,C1498,"")</f>
        <v/>
      </c>
      <c r="J1498">
        <f>IF(OR(E1498="Prospecting",E1498="Engaging"),VLOOKUP(C1498,Products!$A$2:$C$8,3,FALSE),0)</f>
        <v>3393</v>
      </c>
    </row>
    <row r="1499" spans="1:10" x14ac:dyDescent="0.25">
      <c r="A1499" t="s">
        <v>1666</v>
      </c>
      <c r="B1499" t="s">
        <v>264</v>
      </c>
      <c r="C1499" t="s">
        <v>126</v>
      </c>
      <c r="D1499" t="s">
        <v>70</v>
      </c>
      <c r="E1499" t="s">
        <v>138</v>
      </c>
      <c r="F1499" s="1">
        <v>42807</v>
      </c>
      <c r="G1499" s="1">
        <v>42868</v>
      </c>
      <c r="H1499">
        <v>5121</v>
      </c>
      <c r="I1499" t="str">
        <f>IF(COUNTIF(Products!$A$2:$A$8,C1499)=0,C1499,"")</f>
        <v/>
      </c>
      <c r="J1499">
        <f>IF(OR(E1499="Prospecting",E1499="Engaging"),VLOOKUP(C1499,Products!$A$2:$C$8,3,FALSE),0)</f>
        <v>0</v>
      </c>
    </row>
    <row r="1500" spans="1:10" x14ac:dyDescent="0.25">
      <c r="A1500" t="s">
        <v>1667</v>
      </c>
      <c r="B1500" t="s">
        <v>264</v>
      </c>
      <c r="C1500" t="s">
        <v>125</v>
      </c>
      <c r="D1500" t="s">
        <v>89</v>
      </c>
      <c r="E1500" t="s">
        <v>138</v>
      </c>
      <c r="F1500" s="1">
        <v>42807</v>
      </c>
      <c r="G1500" s="1">
        <v>42825</v>
      </c>
      <c r="H1500">
        <v>3611</v>
      </c>
      <c r="I1500" t="str">
        <f>IF(COUNTIF(Products!$A$2:$A$8,C1500)=0,C1500,"")</f>
        <v/>
      </c>
      <c r="J1500">
        <f>IF(OR(E1500="Prospecting",E1500="Engaging"),VLOOKUP(C1500,Products!$A$2:$C$8,3,FALSE),0)</f>
        <v>0</v>
      </c>
    </row>
    <row r="1501" spans="1:10" x14ac:dyDescent="0.25">
      <c r="A1501" t="s">
        <v>1668</v>
      </c>
      <c r="B1501" t="s">
        <v>239</v>
      </c>
      <c r="C1501" t="s">
        <v>123</v>
      </c>
      <c r="D1501" t="s">
        <v>25</v>
      </c>
      <c r="E1501" t="s">
        <v>138</v>
      </c>
      <c r="F1501" s="1">
        <v>42807</v>
      </c>
      <c r="G1501" s="1">
        <v>42818</v>
      </c>
      <c r="H1501">
        <v>50</v>
      </c>
      <c r="I1501" t="str">
        <f>IF(COUNTIF(Products!$A$2:$A$8,C1501)=0,C1501,"")</f>
        <v/>
      </c>
      <c r="J1501">
        <f>IF(OR(E1501="Prospecting",E1501="Engaging"),VLOOKUP(C1501,Products!$A$2:$C$8,3,FALSE),0)</f>
        <v>0</v>
      </c>
    </row>
    <row r="1502" spans="1:10" x14ac:dyDescent="0.25">
      <c r="A1502" t="s">
        <v>1669</v>
      </c>
      <c r="B1502" t="s">
        <v>140</v>
      </c>
      <c r="C1502" t="s">
        <v>120</v>
      </c>
      <c r="D1502" t="s">
        <v>89</v>
      </c>
      <c r="E1502" t="s">
        <v>138</v>
      </c>
      <c r="F1502" s="1">
        <v>42807</v>
      </c>
      <c r="G1502" s="1">
        <v>42870</v>
      </c>
      <c r="H1502">
        <v>618</v>
      </c>
      <c r="I1502" t="str">
        <f>IF(COUNTIF(Products!$A$2:$A$8,C1502)=0,C1502,"")</f>
        <v/>
      </c>
      <c r="J1502">
        <f>IF(OR(E1502="Prospecting",E1502="Engaging"),VLOOKUP(C1502,Products!$A$2:$C$8,3,FALSE),0)</f>
        <v>0</v>
      </c>
    </row>
    <row r="1503" spans="1:10" x14ac:dyDescent="0.25">
      <c r="A1503" t="s">
        <v>1670</v>
      </c>
      <c r="B1503" t="s">
        <v>140</v>
      </c>
      <c r="C1503" t="s">
        <v>127</v>
      </c>
      <c r="D1503" t="s">
        <v>53</v>
      </c>
      <c r="E1503" t="s">
        <v>138</v>
      </c>
      <c r="F1503" s="1">
        <v>42807</v>
      </c>
      <c r="G1503" s="1">
        <v>42811</v>
      </c>
      <c r="H1503">
        <v>1247</v>
      </c>
      <c r="I1503" t="str">
        <f>IF(COUNTIF(Products!$A$2:$A$8,C1503)=0,C1503,"")</f>
        <v/>
      </c>
      <c r="J1503">
        <f>IF(OR(E1503="Prospecting",E1503="Engaging"),VLOOKUP(C1503,Products!$A$2:$C$8,3,FALSE),0)</f>
        <v>0</v>
      </c>
    </row>
    <row r="1504" spans="1:10" x14ac:dyDescent="0.25">
      <c r="A1504" t="s">
        <v>1671</v>
      </c>
      <c r="B1504" t="s">
        <v>173</v>
      </c>
      <c r="C1504" t="s">
        <v>123</v>
      </c>
      <c r="D1504" t="s">
        <v>98</v>
      </c>
      <c r="E1504" t="s">
        <v>155</v>
      </c>
      <c r="F1504" s="1">
        <v>42807</v>
      </c>
      <c r="I1504" t="str">
        <f>IF(COUNTIF(Products!$A$2:$A$8,C1504)=0,C1504,"")</f>
        <v/>
      </c>
      <c r="J1504">
        <f>IF(OR(E1504="Prospecting",E1504="Engaging"),VLOOKUP(C1504,Products!$A$2:$C$8,3,FALSE),0)</f>
        <v>55</v>
      </c>
    </row>
    <row r="1505" spans="1:10" x14ac:dyDescent="0.25">
      <c r="A1505" t="s">
        <v>1672</v>
      </c>
      <c r="B1505" t="s">
        <v>198</v>
      </c>
      <c r="C1505" t="s">
        <v>123</v>
      </c>
      <c r="D1505" t="s">
        <v>37</v>
      </c>
      <c r="E1505" t="s">
        <v>138</v>
      </c>
      <c r="F1505" s="1">
        <v>42807</v>
      </c>
      <c r="G1505" s="1">
        <v>42858</v>
      </c>
      <c r="H1505">
        <v>55</v>
      </c>
      <c r="I1505" t="str">
        <f>IF(COUNTIF(Products!$A$2:$A$8,C1505)=0,C1505,"")</f>
        <v/>
      </c>
      <c r="J1505">
        <f>IF(OR(E1505="Prospecting",E1505="Engaging"),VLOOKUP(C1505,Products!$A$2:$C$8,3,FALSE),0)</f>
        <v>0</v>
      </c>
    </row>
    <row r="1506" spans="1:10" x14ac:dyDescent="0.25">
      <c r="A1506" t="s">
        <v>1673</v>
      </c>
      <c r="B1506" t="s">
        <v>164</v>
      </c>
      <c r="C1506" t="s">
        <v>127</v>
      </c>
      <c r="D1506" t="s">
        <v>93</v>
      </c>
      <c r="E1506" t="s">
        <v>138</v>
      </c>
      <c r="F1506" s="1">
        <v>42807</v>
      </c>
      <c r="G1506" s="1">
        <v>42903</v>
      </c>
      <c r="H1506">
        <v>1157</v>
      </c>
      <c r="I1506" t="str">
        <f>IF(COUNTIF(Products!$A$2:$A$8,C1506)=0,C1506,"")</f>
        <v/>
      </c>
      <c r="J1506">
        <f>IF(OR(E1506="Prospecting",E1506="Engaging"),VLOOKUP(C1506,Products!$A$2:$C$8,3,FALSE),0)</f>
        <v>0</v>
      </c>
    </row>
    <row r="1507" spans="1:10" x14ac:dyDescent="0.25">
      <c r="A1507" t="s">
        <v>1674</v>
      </c>
      <c r="B1507" t="s">
        <v>191</v>
      </c>
      <c r="C1507" t="s">
        <v>120</v>
      </c>
      <c r="D1507" t="s">
        <v>61</v>
      </c>
      <c r="E1507" t="s">
        <v>138</v>
      </c>
      <c r="F1507" s="1">
        <v>42807</v>
      </c>
      <c r="G1507" s="1">
        <v>42877</v>
      </c>
      <c r="H1507">
        <v>537</v>
      </c>
      <c r="I1507" t="str">
        <f>IF(COUNTIF(Products!$A$2:$A$8,C1507)=0,C1507,"")</f>
        <v/>
      </c>
      <c r="J1507">
        <f>IF(OR(E1507="Prospecting",E1507="Engaging"),VLOOKUP(C1507,Products!$A$2:$C$8,3,FALSE),0)</f>
        <v>0</v>
      </c>
    </row>
    <row r="1508" spans="1:10" x14ac:dyDescent="0.25">
      <c r="A1508" t="s">
        <v>1675</v>
      </c>
      <c r="B1508" t="s">
        <v>191</v>
      </c>
      <c r="C1508" t="s">
        <v>122</v>
      </c>
      <c r="D1508" t="s">
        <v>29</v>
      </c>
      <c r="E1508" t="s">
        <v>138</v>
      </c>
      <c r="F1508" s="1">
        <v>42807</v>
      </c>
      <c r="G1508" s="1">
        <v>42824</v>
      </c>
      <c r="H1508">
        <v>4955</v>
      </c>
      <c r="I1508" t="str">
        <f>IF(COUNTIF(Products!$A$2:$A$8,C1508)=0,C1508,"")</f>
        <v/>
      </c>
      <c r="J1508">
        <f>IF(OR(E1508="Prospecting",E1508="Engaging"),VLOOKUP(C1508,Products!$A$2:$C$8,3,FALSE),0)</f>
        <v>0</v>
      </c>
    </row>
    <row r="1509" spans="1:10" x14ac:dyDescent="0.25">
      <c r="A1509" t="s">
        <v>1676</v>
      </c>
      <c r="B1509" t="s">
        <v>191</v>
      </c>
      <c r="C1509" t="s">
        <v>122</v>
      </c>
      <c r="D1509" t="s">
        <v>93</v>
      </c>
      <c r="E1509" t="s">
        <v>138</v>
      </c>
      <c r="F1509" s="1">
        <v>42807</v>
      </c>
      <c r="G1509" s="1">
        <v>42888</v>
      </c>
      <c r="H1509">
        <v>5606</v>
      </c>
      <c r="I1509" t="str">
        <f>IF(COUNTIF(Products!$A$2:$A$8,C1509)=0,C1509,"")</f>
        <v/>
      </c>
      <c r="J1509">
        <f>IF(OR(E1509="Prospecting",E1509="Engaging"),VLOOKUP(C1509,Products!$A$2:$C$8,3,FALSE),0)</f>
        <v>0</v>
      </c>
    </row>
    <row r="1510" spans="1:10" x14ac:dyDescent="0.25">
      <c r="A1510" t="s">
        <v>1677</v>
      </c>
      <c r="B1510" t="s">
        <v>150</v>
      </c>
      <c r="C1510" t="s">
        <v>120</v>
      </c>
      <c r="E1510" t="s">
        <v>155</v>
      </c>
      <c r="F1510" s="1">
        <v>42807</v>
      </c>
      <c r="I1510" t="str">
        <f>IF(COUNTIF(Products!$A$2:$A$8,C1510)=0,C1510,"")</f>
        <v/>
      </c>
      <c r="J1510">
        <f>IF(OR(E1510="Prospecting",E1510="Engaging"),VLOOKUP(C1510,Products!$A$2:$C$8,3,FALSE),0)</f>
        <v>550</v>
      </c>
    </row>
    <row r="1511" spans="1:10" x14ac:dyDescent="0.25">
      <c r="A1511" t="s">
        <v>1678</v>
      </c>
      <c r="B1511" t="s">
        <v>137</v>
      </c>
      <c r="C1511" t="s">
        <v>123</v>
      </c>
      <c r="D1511" t="s">
        <v>64</v>
      </c>
      <c r="E1511" t="s">
        <v>138</v>
      </c>
      <c r="F1511" s="1">
        <v>42807</v>
      </c>
      <c r="G1511" s="1">
        <v>42866</v>
      </c>
      <c r="H1511">
        <v>57</v>
      </c>
      <c r="I1511" t="str">
        <f>IF(COUNTIF(Products!$A$2:$A$8,C1511)=0,C1511,"")</f>
        <v/>
      </c>
      <c r="J1511">
        <f>IF(OR(E1511="Prospecting",E1511="Engaging"),VLOOKUP(C1511,Products!$A$2:$C$8,3,FALSE),0)</f>
        <v>0</v>
      </c>
    </row>
    <row r="1512" spans="1:10" x14ac:dyDescent="0.25">
      <c r="A1512" t="s">
        <v>1679</v>
      </c>
      <c r="B1512" t="s">
        <v>166</v>
      </c>
      <c r="C1512" t="s">
        <v>123</v>
      </c>
      <c r="D1512" t="s">
        <v>100</v>
      </c>
      <c r="E1512" t="s">
        <v>138</v>
      </c>
      <c r="F1512" s="1">
        <v>42807</v>
      </c>
      <c r="G1512" s="1">
        <v>42875</v>
      </c>
      <c r="H1512">
        <v>66</v>
      </c>
      <c r="I1512" t="str">
        <f>IF(COUNTIF(Products!$A$2:$A$8,C1512)=0,C1512,"")</f>
        <v/>
      </c>
      <c r="J1512">
        <f>IF(OR(E1512="Prospecting",E1512="Engaging"),VLOOKUP(C1512,Products!$A$2:$C$8,3,FALSE),0)</f>
        <v>0</v>
      </c>
    </row>
    <row r="1513" spans="1:10" x14ac:dyDescent="0.25">
      <c r="A1513" t="s">
        <v>1680</v>
      </c>
      <c r="B1513" t="s">
        <v>144</v>
      </c>
      <c r="C1513" t="s">
        <v>122</v>
      </c>
      <c r="D1513" t="s">
        <v>29</v>
      </c>
      <c r="E1513" t="s">
        <v>138</v>
      </c>
      <c r="F1513" s="1">
        <v>42807</v>
      </c>
      <c r="G1513" s="1">
        <v>42913</v>
      </c>
      <c r="H1513">
        <v>5113</v>
      </c>
      <c r="I1513" t="str">
        <f>IF(COUNTIF(Products!$A$2:$A$8,C1513)=0,C1513,"")</f>
        <v/>
      </c>
      <c r="J1513">
        <f>IF(OR(E1513="Prospecting",E1513="Engaging"),VLOOKUP(C1513,Products!$A$2:$C$8,3,FALSE),0)</f>
        <v>0</v>
      </c>
    </row>
    <row r="1514" spans="1:10" x14ac:dyDescent="0.25">
      <c r="A1514" t="s">
        <v>1681</v>
      </c>
      <c r="B1514" t="s">
        <v>144</v>
      </c>
      <c r="C1514" t="s">
        <v>122</v>
      </c>
      <c r="D1514" t="s">
        <v>100</v>
      </c>
      <c r="E1514" t="s">
        <v>138</v>
      </c>
      <c r="F1514" s="1">
        <v>42807</v>
      </c>
      <c r="G1514" s="1">
        <v>42877</v>
      </c>
      <c r="H1514">
        <v>4595</v>
      </c>
      <c r="I1514" t="str">
        <f>IF(COUNTIF(Products!$A$2:$A$8,C1514)=0,C1514,"")</f>
        <v/>
      </c>
      <c r="J1514">
        <f>IF(OR(E1514="Prospecting",E1514="Engaging"),VLOOKUP(C1514,Products!$A$2:$C$8,3,FALSE),0)</f>
        <v>0</v>
      </c>
    </row>
    <row r="1515" spans="1:10" x14ac:dyDescent="0.25">
      <c r="A1515" t="s">
        <v>1682</v>
      </c>
      <c r="B1515" t="s">
        <v>222</v>
      </c>
      <c r="C1515" t="s">
        <v>127</v>
      </c>
      <c r="E1515" t="s">
        <v>155</v>
      </c>
      <c r="F1515" s="1">
        <v>42808</v>
      </c>
      <c r="I1515" t="str">
        <f>IF(COUNTIF(Products!$A$2:$A$8,C1515)=0,C1515,"")</f>
        <v/>
      </c>
      <c r="J1515">
        <f>IF(OR(E1515="Prospecting",E1515="Engaging"),VLOOKUP(C1515,Products!$A$2:$C$8,3,FALSE),0)</f>
        <v>1096</v>
      </c>
    </row>
    <row r="1516" spans="1:10" x14ac:dyDescent="0.25">
      <c r="A1516" t="s">
        <v>1683</v>
      </c>
      <c r="B1516" t="s">
        <v>207</v>
      </c>
      <c r="C1516" t="s">
        <v>125</v>
      </c>
      <c r="D1516" t="s">
        <v>50</v>
      </c>
      <c r="E1516" t="s">
        <v>138</v>
      </c>
      <c r="F1516" s="1">
        <v>42808</v>
      </c>
      <c r="G1516" s="1">
        <v>42815</v>
      </c>
      <c r="H1516">
        <v>3503</v>
      </c>
      <c r="I1516" t="str">
        <f>IF(COUNTIF(Products!$A$2:$A$8,C1516)=0,C1516,"")</f>
        <v/>
      </c>
      <c r="J1516">
        <f>IF(OR(E1516="Prospecting",E1516="Engaging"),VLOOKUP(C1516,Products!$A$2:$C$8,3,FALSE),0)</f>
        <v>0</v>
      </c>
    </row>
    <row r="1517" spans="1:10" x14ac:dyDescent="0.25">
      <c r="A1517" t="s">
        <v>1684</v>
      </c>
      <c r="B1517" t="s">
        <v>207</v>
      </c>
      <c r="C1517" t="s">
        <v>125</v>
      </c>
      <c r="D1517" t="s">
        <v>73</v>
      </c>
      <c r="E1517" t="s">
        <v>138</v>
      </c>
      <c r="F1517" s="1">
        <v>42808</v>
      </c>
      <c r="G1517" s="1">
        <v>42899</v>
      </c>
      <c r="H1517">
        <v>3600</v>
      </c>
      <c r="I1517" t="str">
        <f>IF(COUNTIF(Products!$A$2:$A$8,C1517)=0,C1517,"")</f>
        <v/>
      </c>
      <c r="J1517">
        <f>IF(OR(E1517="Prospecting",E1517="Engaging"),VLOOKUP(C1517,Products!$A$2:$C$8,3,FALSE),0)</f>
        <v>0</v>
      </c>
    </row>
    <row r="1518" spans="1:10" x14ac:dyDescent="0.25">
      <c r="A1518" t="s">
        <v>1685</v>
      </c>
      <c r="B1518" t="s">
        <v>171</v>
      </c>
      <c r="C1518" t="s">
        <v>122</v>
      </c>
      <c r="E1518" t="s">
        <v>155</v>
      </c>
      <c r="F1518" s="1">
        <v>42808</v>
      </c>
      <c r="I1518" t="str">
        <f>IF(COUNTIF(Products!$A$2:$A$8,C1518)=0,C1518,"")</f>
        <v/>
      </c>
      <c r="J1518">
        <f>IF(OR(E1518="Prospecting",E1518="Engaging"),VLOOKUP(C1518,Products!$A$2:$C$8,3,FALSE),0)</f>
        <v>4821</v>
      </c>
    </row>
    <row r="1519" spans="1:10" x14ac:dyDescent="0.25">
      <c r="A1519" t="s">
        <v>1686</v>
      </c>
      <c r="B1519" t="s">
        <v>171</v>
      </c>
      <c r="C1519" t="s">
        <v>120</v>
      </c>
      <c r="D1519" t="s">
        <v>25</v>
      </c>
      <c r="E1519" t="s">
        <v>138</v>
      </c>
      <c r="F1519" s="1">
        <v>42808</v>
      </c>
      <c r="G1519" s="1">
        <v>42813</v>
      </c>
      <c r="H1519">
        <v>425</v>
      </c>
      <c r="I1519" t="str">
        <f>IF(COUNTIF(Products!$A$2:$A$8,C1519)=0,C1519,"")</f>
        <v/>
      </c>
      <c r="J1519">
        <f>IF(OR(E1519="Prospecting",E1519="Engaging"),VLOOKUP(C1519,Products!$A$2:$C$8,3,FALSE),0)</f>
        <v>0</v>
      </c>
    </row>
    <row r="1520" spans="1:10" x14ac:dyDescent="0.25">
      <c r="A1520" t="s">
        <v>1687</v>
      </c>
      <c r="B1520" t="s">
        <v>140</v>
      </c>
      <c r="C1520" t="s">
        <v>122</v>
      </c>
      <c r="D1520" t="s">
        <v>36</v>
      </c>
      <c r="E1520" t="s">
        <v>138</v>
      </c>
      <c r="F1520" s="1">
        <v>42808</v>
      </c>
      <c r="G1520" s="1">
        <v>42906</v>
      </c>
      <c r="H1520">
        <v>4565</v>
      </c>
      <c r="I1520" t="str">
        <f>IF(COUNTIF(Products!$A$2:$A$8,C1520)=0,C1520,"")</f>
        <v/>
      </c>
      <c r="J1520">
        <f>IF(OR(E1520="Prospecting",E1520="Engaging"),VLOOKUP(C1520,Products!$A$2:$C$8,3,FALSE),0)</f>
        <v>0</v>
      </c>
    </row>
    <row r="1521" spans="1:10" x14ac:dyDescent="0.25">
      <c r="A1521" t="s">
        <v>1688</v>
      </c>
      <c r="B1521" t="s">
        <v>140</v>
      </c>
      <c r="C1521" t="s">
        <v>122</v>
      </c>
      <c r="D1521" t="s">
        <v>88</v>
      </c>
      <c r="E1521" t="s">
        <v>138</v>
      </c>
      <c r="F1521" s="1">
        <v>42808</v>
      </c>
      <c r="G1521" s="1">
        <v>42877</v>
      </c>
      <c r="H1521">
        <v>4754</v>
      </c>
      <c r="I1521" t="str">
        <f>IF(COUNTIF(Products!$A$2:$A$8,C1521)=0,C1521,"")</f>
        <v/>
      </c>
      <c r="J1521">
        <f>IF(OR(E1521="Prospecting",E1521="Engaging"),VLOOKUP(C1521,Products!$A$2:$C$8,3,FALSE),0)</f>
        <v>0</v>
      </c>
    </row>
    <row r="1522" spans="1:10" x14ac:dyDescent="0.25">
      <c r="A1522" t="s">
        <v>1689</v>
      </c>
      <c r="B1522" t="s">
        <v>140</v>
      </c>
      <c r="C1522" t="s">
        <v>123</v>
      </c>
      <c r="D1522" t="s">
        <v>30</v>
      </c>
      <c r="E1522" t="s">
        <v>138</v>
      </c>
      <c r="F1522" s="1">
        <v>42808</v>
      </c>
      <c r="G1522" s="1">
        <v>42861</v>
      </c>
      <c r="H1522">
        <v>62</v>
      </c>
      <c r="I1522" t="str">
        <f>IF(COUNTIF(Products!$A$2:$A$8,C1522)=0,C1522,"")</f>
        <v/>
      </c>
      <c r="J1522">
        <f>IF(OR(E1522="Prospecting",E1522="Engaging"),VLOOKUP(C1522,Products!$A$2:$C$8,3,FALSE),0)</f>
        <v>0</v>
      </c>
    </row>
    <row r="1523" spans="1:10" x14ac:dyDescent="0.25">
      <c r="A1523" t="s">
        <v>1690</v>
      </c>
      <c r="B1523" t="s">
        <v>224</v>
      </c>
      <c r="C1523" t="s">
        <v>122</v>
      </c>
      <c r="D1523" t="s">
        <v>10</v>
      </c>
      <c r="E1523" t="s">
        <v>138</v>
      </c>
      <c r="F1523" s="1">
        <v>42808</v>
      </c>
      <c r="G1523" s="1">
        <v>42885</v>
      </c>
      <c r="H1523">
        <v>4688</v>
      </c>
      <c r="I1523" t="str">
        <f>IF(COUNTIF(Products!$A$2:$A$8,C1523)=0,C1523,"")</f>
        <v/>
      </c>
      <c r="J1523">
        <f>IF(OR(E1523="Prospecting",E1523="Engaging"),VLOOKUP(C1523,Products!$A$2:$C$8,3,FALSE),0)</f>
        <v>0</v>
      </c>
    </row>
    <row r="1524" spans="1:10" x14ac:dyDescent="0.25">
      <c r="A1524" t="s">
        <v>1691</v>
      </c>
      <c r="B1524" t="s">
        <v>173</v>
      </c>
      <c r="C1524" t="s">
        <v>125</v>
      </c>
      <c r="D1524" t="s">
        <v>47</v>
      </c>
      <c r="E1524" t="s">
        <v>138</v>
      </c>
      <c r="F1524" s="1">
        <v>42808</v>
      </c>
      <c r="G1524" s="1">
        <v>42814</v>
      </c>
      <c r="H1524">
        <v>3386</v>
      </c>
      <c r="I1524" t="str">
        <f>IF(COUNTIF(Products!$A$2:$A$8,C1524)=0,C1524,"")</f>
        <v/>
      </c>
      <c r="J1524">
        <f>IF(OR(E1524="Prospecting",E1524="Engaging"),VLOOKUP(C1524,Products!$A$2:$C$8,3,FALSE),0)</f>
        <v>0</v>
      </c>
    </row>
    <row r="1525" spans="1:10" x14ac:dyDescent="0.25">
      <c r="A1525" t="s">
        <v>1692</v>
      </c>
      <c r="B1525" t="s">
        <v>198</v>
      </c>
      <c r="C1525" t="s">
        <v>122</v>
      </c>
      <c r="D1525" t="s">
        <v>108</v>
      </c>
      <c r="E1525" t="s">
        <v>138</v>
      </c>
      <c r="F1525" s="1">
        <v>42808</v>
      </c>
      <c r="G1525" s="1">
        <v>42892</v>
      </c>
      <c r="H1525">
        <v>3869</v>
      </c>
      <c r="I1525" t="str">
        <f>IF(COUNTIF(Products!$A$2:$A$8,C1525)=0,C1525,"")</f>
        <v/>
      </c>
      <c r="J1525">
        <f>IF(OR(E1525="Prospecting",E1525="Engaging"),VLOOKUP(C1525,Products!$A$2:$C$8,3,FALSE),0)</f>
        <v>0</v>
      </c>
    </row>
    <row r="1526" spans="1:10" x14ac:dyDescent="0.25">
      <c r="A1526" t="s">
        <v>1693</v>
      </c>
      <c r="B1526" t="s">
        <v>158</v>
      </c>
      <c r="C1526" t="s">
        <v>120</v>
      </c>
      <c r="D1526" t="s">
        <v>96</v>
      </c>
      <c r="E1526" t="s">
        <v>138</v>
      </c>
      <c r="F1526" s="1">
        <v>42808</v>
      </c>
      <c r="G1526" s="1">
        <v>42818</v>
      </c>
      <c r="H1526">
        <v>615</v>
      </c>
      <c r="I1526" t="str">
        <f>IF(COUNTIF(Products!$A$2:$A$8,C1526)=0,C1526,"")</f>
        <v/>
      </c>
      <c r="J1526">
        <f>IF(OR(E1526="Prospecting",E1526="Engaging"),VLOOKUP(C1526,Products!$A$2:$C$8,3,FALSE),0)</f>
        <v>0</v>
      </c>
    </row>
    <row r="1527" spans="1:10" x14ac:dyDescent="0.25">
      <c r="A1527" t="s">
        <v>1694</v>
      </c>
      <c r="B1527" t="s">
        <v>158</v>
      </c>
      <c r="C1527" t="s">
        <v>123</v>
      </c>
      <c r="D1527" t="s">
        <v>42</v>
      </c>
      <c r="E1527" t="s">
        <v>138</v>
      </c>
      <c r="F1527" s="1">
        <v>42808</v>
      </c>
      <c r="G1527" s="1">
        <v>42873</v>
      </c>
      <c r="H1527">
        <v>55</v>
      </c>
      <c r="I1527" t="str">
        <f>IF(COUNTIF(Products!$A$2:$A$8,C1527)=0,C1527,"")</f>
        <v/>
      </c>
      <c r="J1527">
        <f>IF(OR(E1527="Prospecting",E1527="Engaging"),VLOOKUP(C1527,Products!$A$2:$C$8,3,FALSE),0)</f>
        <v>0</v>
      </c>
    </row>
    <row r="1528" spans="1:10" x14ac:dyDescent="0.25">
      <c r="A1528" t="s">
        <v>1695</v>
      </c>
      <c r="B1528" t="s">
        <v>164</v>
      </c>
      <c r="C1528" t="s">
        <v>125</v>
      </c>
      <c r="E1528" t="s">
        <v>155</v>
      </c>
      <c r="F1528" s="1">
        <v>42808</v>
      </c>
      <c r="I1528" t="str">
        <f>IF(COUNTIF(Products!$A$2:$A$8,C1528)=0,C1528,"")</f>
        <v/>
      </c>
      <c r="J1528">
        <f>IF(OR(E1528="Prospecting",E1528="Engaging"),VLOOKUP(C1528,Products!$A$2:$C$8,3,FALSE),0)</f>
        <v>3393</v>
      </c>
    </row>
    <row r="1529" spans="1:10" x14ac:dyDescent="0.25">
      <c r="A1529" t="s">
        <v>1696</v>
      </c>
      <c r="B1529" t="s">
        <v>150</v>
      </c>
      <c r="C1529" t="s">
        <v>120</v>
      </c>
      <c r="D1529" t="s">
        <v>102</v>
      </c>
      <c r="E1529" t="s">
        <v>155</v>
      </c>
      <c r="F1529" s="1">
        <v>42808</v>
      </c>
      <c r="I1529" t="str">
        <f>IF(COUNTIF(Products!$A$2:$A$8,C1529)=0,C1529,"")</f>
        <v/>
      </c>
      <c r="J1529">
        <f>IF(OR(E1529="Prospecting",E1529="Engaging"),VLOOKUP(C1529,Products!$A$2:$C$8,3,FALSE),0)</f>
        <v>550</v>
      </c>
    </row>
    <row r="1530" spans="1:10" x14ac:dyDescent="0.25">
      <c r="A1530" t="s">
        <v>1697</v>
      </c>
      <c r="B1530" t="s">
        <v>150</v>
      </c>
      <c r="C1530" t="s">
        <v>126</v>
      </c>
      <c r="E1530" t="s">
        <v>155</v>
      </c>
      <c r="F1530" s="1">
        <v>42808</v>
      </c>
      <c r="I1530" t="str">
        <f>IF(COUNTIF(Products!$A$2:$A$8,C1530)=0,C1530,"")</f>
        <v/>
      </c>
      <c r="J1530">
        <f>IF(OR(E1530="Prospecting",E1530="Engaging"),VLOOKUP(C1530,Products!$A$2:$C$8,3,FALSE),0)</f>
        <v>5482</v>
      </c>
    </row>
    <row r="1531" spans="1:10" x14ac:dyDescent="0.25">
      <c r="A1531" t="s">
        <v>1698</v>
      </c>
      <c r="B1531" t="s">
        <v>205</v>
      </c>
      <c r="C1531" t="s">
        <v>120</v>
      </c>
      <c r="D1531" t="s">
        <v>64</v>
      </c>
      <c r="E1531" t="s">
        <v>159</v>
      </c>
      <c r="F1531" s="1">
        <v>42808</v>
      </c>
      <c r="G1531" s="1">
        <v>42872</v>
      </c>
      <c r="H1531">
        <v>0</v>
      </c>
      <c r="I1531" t="str">
        <f>IF(COUNTIF(Products!$A$2:$A$8,C1531)=0,C1531,"")</f>
        <v/>
      </c>
      <c r="J1531">
        <f>IF(OR(E1531="Prospecting",E1531="Engaging"),VLOOKUP(C1531,Products!$A$2:$C$8,3,FALSE),0)</f>
        <v>0</v>
      </c>
    </row>
    <row r="1532" spans="1:10" x14ac:dyDescent="0.25">
      <c r="A1532" t="s">
        <v>1699</v>
      </c>
      <c r="B1532" t="s">
        <v>162</v>
      </c>
      <c r="C1532" t="s">
        <v>127</v>
      </c>
      <c r="D1532" t="s">
        <v>60</v>
      </c>
      <c r="E1532" t="s">
        <v>138</v>
      </c>
      <c r="F1532" s="1">
        <v>42808</v>
      </c>
      <c r="G1532" s="1">
        <v>42819</v>
      </c>
      <c r="H1532">
        <v>1019</v>
      </c>
      <c r="I1532" t="str">
        <f>IF(COUNTIF(Products!$A$2:$A$8,C1532)=0,C1532,"")</f>
        <v/>
      </c>
      <c r="J1532">
        <f>IF(OR(E1532="Prospecting",E1532="Engaging"),VLOOKUP(C1532,Products!$A$2:$C$8,3,FALSE),0)</f>
        <v>0</v>
      </c>
    </row>
    <row r="1533" spans="1:10" x14ac:dyDescent="0.25">
      <c r="A1533" t="s">
        <v>1700</v>
      </c>
      <c r="B1533" t="s">
        <v>162</v>
      </c>
      <c r="C1533" t="s">
        <v>125</v>
      </c>
      <c r="D1533" t="s">
        <v>17</v>
      </c>
      <c r="E1533" t="s">
        <v>138</v>
      </c>
      <c r="F1533" s="1">
        <v>42808</v>
      </c>
      <c r="G1533" s="1">
        <v>42867</v>
      </c>
      <c r="H1533">
        <v>2798</v>
      </c>
      <c r="I1533" t="str">
        <f>IF(COUNTIF(Products!$A$2:$A$8,C1533)=0,C1533,"")</f>
        <v/>
      </c>
      <c r="J1533">
        <f>IF(OR(E1533="Prospecting",E1533="Engaging"),VLOOKUP(C1533,Products!$A$2:$C$8,3,FALSE),0)</f>
        <v>0</v>
      </c>
    </row>
    <row r="1534" spans="1:10" x14ac:dyDescent="0.25">
      <c r="A1534" t="s">
        <v>1701</v>
      </c>
      <c r="B1534" t="s">
        <v>137</v>
      </c>
      <c r="C1534" t="s">
        <v>120</v>
      </c>
      <c r="D1534" t="s">
        <v>96</v>
      </c>
      <c r="E1534" t="s">
        <v>138</v>
      </c>
      <c r="F1534" s="1">
        <v>42808</v>
      </c>
      <c r="G1534" s="1">
        <v>42889</v>
      </c>
      <c r="H1534">
        <v>502</v>
      </c>
      <c r="I1534" t="str">
        <f>IF(COUNTIF(Products!$A$2:$A$8,C1534)=0,C1534,"")</f>
        <v/>
      </c>
      <c r="J1534">
        <f>IF(OR(E1534="Prospecting",E1534="Engaging"),VLOOKUP(C1534,Products!$A$2:$C$8,3,FALSE),0)</f>
        <v>0</v>
      </c>
    </row>
    <row r="1535" spans="1:10" x14ac:dyDescent="0.25">
      <c r="A1535" t="s">
        <v>1702</v>
      </c>
      <c r="B1535" t="s">
        <v>137</v>
      </c>
      <c r="C1535" t="s">
        <v>125</v>
      </c>
      <c r="D1535" t="s">
        <v>64</v>
      </c>
      <c r="E1535" t="s">
        <v>138</v>
      </c>
      <c r="F1535" s="1">
        <v>42808</v>
      </c>
      <c r="G1535" s="1">
        <v>42810</v>
      </c>
      <c r="H1535">
        <v>3323</v>
      </c>
      <c r="I1535" t="str">
        <f>IF(COUNTIF(Products!$A$2:$A$8,C1535)=0,C1535,"")</f>
        <v/>
      </c>
      <c r="J1535">
        <f>IF(OR(E1535="Prospecting",E1535="Engaging"),VLOOKUP(C1535,Products!$A$2:$C$8,3,FALSE),0)</f>
        <v>0</v>
      </c>
    </row>
    <row r="1536" spans="1:10" x14ac:dyDescent="0.25">
      <c r="A1536" t="s">
        <v>1703</v>
      </c>
      <c r="B1536" t="s">
        <v>193</v>
      </c>
      <c r="C1536" t="s">
        <v>127</v>
      </c>
      <c r="D1536" t="s">
        <v>27</v>
      </c>
      <c r="E1536" t="s">
        <v>159</v>
      </c>
      <c r="F1536" s="1">
        <v>42808</v>
      </c>
      <c r="G1536" s="1">
        <v>42897</v>
      </c>
      <c r="H1536">
        <v>0</v>
      </c>
      <c r="I1536" t="str">
        <f>IF(COUNTIF(Products!$A$2:$A$8,C1536)=0,C1536,"")</f>
        <v/>
      </c>
      <c r="J1536">
        <f>IF(OR(E1536="Prospecting",E1536="Engaging"),VLOOKUP(C1536,Products!$A$2:$C$8,3,FALSE),0)</f>
        <v>0</v>
      </c>
    </row>
    <row r="1537" spans="1:10" x14ac:dyDescent="0.25">
      <c r="A1537" t="s">
        <v>1704</v>
      </c>
      <c r="B1537" t="s">
        <v>166</v>
      </c>
      <c r="C1537" t="s">
        <v>123</v>
      </c>
      <c r="D1537" t="s">
        <v>75</v>
      </c>
      <c r="E1537" t="s">
        <v>159</v>
      </c>
      <c r="F1537" s="1">
        <v>42808</v>
      </c>
      <c r="G1537" s="1">
        <v>42824</v>
      </c>
      <c r="H1537">
        <v>0</v>
      </c>
      <c r="I1537" t="str">
        <f>IF(COUNTIF(Products!$A$2:$A$8,C1537)=0,C1537,"")</f>
        <v/>
      </c>
      <c r="J1537">
        <f>IF(OR(E1537="Prospecting",E1537="Engaging"),VLOOKUP(C1537,Products!$A$2:$C$8,3,FALSE),0)</f>
        <v>0</v>
      </c>
    </row>
    <row r="1538" spans="1:10" x14ac:dyDescent="0.25">
      <c r="A1538" t="s">
        <v>1705</v>
      </c>
      <c r="B1538" t="s">
        <v>148</v>
      </c>
      <c r="C1538" t="s">
        <v>126</v>
      </c>
      <c r="D1538" t="s">
        <v>75</v>
      </c>
      <c r="E1538" t="s">
        <v>159</v>
      </c>
      <c r="F1538" s="1">
        <v>42808</v>
      </c>
      <c r="G1538" s="1">
        <v>42882</v>
      </c>
      <c r="H1538">
        <v>0</v>
      </c>
      <c r="I1538" t="str">
        <f>IF(COUNTIF(Products!$A$2:$A$8,C1538)=0,C1538,"")</f>
        <v/>
      </c>
      <c r="J1538">
        <f>IF(OR(E1538="Prospecting",E1538="Engaging"),VLOOKUP(C1538,Products!$A$2:$C$8,3,FALSE),0)</f>
        <v>0</v>
      </c>
    </row>
    <row r="1539" spans="1:10" x14ac:dyDescent="0.25">
      <c r="A1539" t="s">
        <v>1706</v>
      </c>
      <c r="B1539" t="s">
        <v>148</v>
      </c>
      <c r="C1539" t="s">
        <v>125</v>
      </c>
      <c r="D1539" t="s">
        <v>44</v>
      </c>
      <c r="E1539" t="s">
        <v>159</v>
      </c>
      <c r="F1539" s="1">
        <v>42808</v>
      </c>
      <c r="G1539" s="1">
        <v>42907</v>
      </c>
      <c r="H1539">
        <v>0</v>
      </c>
      <c r="I1539" t="str">
        <f>IF(COUNTIF(Products!$A$2:$A$8,C1539)=0,C1539,"")</f>
        <v/>
      </c>
      <c r="J1539">
        <f>IF(OR(E1539="Prospecting",E1539="Engaging"),VLOOKUP(C1539,Products!$A$2:$C$8,3,FALSE),0)</f>
        <v>0</v>
      </c>
    </row>
    <row r="1540" spans="1:10" x14ac:dyDescent="0.25">
      <c r="A1540" t="s">
        <v>1707</v>
      </c>
      <c r="B1540" t="s">
        <v>148</v>
      </c>
      <c r="C1540" t="s">
        <v>120</v>
      </c>
      <c r="D1540" t="s">
        <v>90</v>
      </c>
      <c r="E1540" t="s">
        <v>138</v>
      </c>
      <c r="F1540" s="1">
        <v>42808</v>
      </c>
      <c r="G1540" s="1">
        <v>42811</v>
      </c>
      <c r="H1540">
        <v>542</v>
      </c>
      <c r="I1540" t="str">
        <f>IF(COUNTIF(Products!$A$2:$A$8,C1540)=0,C1540,"")</f>
        <v/>
      </c>
      <c r="J1540">
        <f>IF(OR(E1540="Prospecting",E1540="Engaging"),VLOOKUP(C1540,Products!$A$2:$C$8,3,FALSE),0)</f>
        <v>0</v>
      </c>
    </row>
    <row r="1541" spans="1:10" x14ac:dyDescent="0.25">
      <c r="A1541" t="s">
        <v>1708</v>
      </c>
      <c r="B1541" t="s">
        <v>144</v>
      </c>
      <c r="C1541" t="s">
        <v>122</v>
      </c>
      <c r="D1541" t="s">
        <v>39</v>
      </c>
      <c r="E1541" t="s">
        <v>138</v>
      </c>
      <c r="F1541" s="1">
        <v>42808</v>
      </c>
      <c r="G1541" s="1">
        <v>42877</v>
      </c>
      <c r="H1541">
        <v>5172</v>
      </c>
      <c r="I1541" t="str">
        <f>IF(COUNTIF(Products!$A$2:$A$8,C1541)=0,C1541,"")</f>
        <v/>
      </c>
      <c r="J1541">
        <f>IF(OR(E1541="Prospecting",E1541="Engaging"),VLOOKUP(C1541,Products!$A$2:$C$8,3,FALSE),0)</f>
        <v>0</v>
      </c>
    </row>
    <row r="1542" spans="1:10" x14ac:dyDescent="0.25">
      <c r="A1542" t="s">
        <v>1709</v>
      </c>
      <c r="B1542" t="s">
        <v>207</v>
      </c>
      <c r="C1542" t="s">
        <v>125</v>
      </c>
      <c r="D1542" t="s">
        <v>25</v>
      </c>
      <c r="E1542" t="s">
        <v>159</v>
      </c>
      <c r="F1542" s="1">
        <v>42809</v>
      </c>
      <c r="G1542" s="1">
        <v>42910</v>
      </c>
      <c r="H1542">
        <v>0</v>
      </c>
      <c r="I1542" t="str">
        <f>IF(COUNTIF(Products!$A$2:$A$8,C1542)=0,C1542,"")</f>
        <v/>
      </c>
      <c r="J1542">
        <f>IF(OR(E1542="Prospecting",E1542="Engaging"),VLOOKUP(C1542,Products!$A$2:$C$8,3,FALSE),0)</f>
        <v>0</v>
      </c>
    </row>
    <row r="1543" spans="1:10" x14ac:dyDescent="0.25">
      <c r="A1543" t="s">
        <v>1710</v>
      </c>
      <c r="B1543" t="s">
        <v>207</v>
      </c>
      <c r="C1543" t="s">
        <v>120</v>
      </c>
      <c r="D1543" t="s">
        <v>105</v>
      </c>
      <c r="E1543" t="s">
        <v>138</v>
      </c>
      <c r="F1543" s="1">
        <v>42809</v>
      </c>
      <c r="G1543" s="1">
        <v>42825</v>
      </c>
      <c r="H1543">
        <v>538</v>
      </c>
      <c r="I1543" t="str">
        <f>IF(COUNTIF(Products!$A$2:$A$8,C1543)=0,C1543,"")</f>
        <v/>
      </c>
      <c r="J1543">
        <f>IF(OR(E1543="Prospecting",E1543="Engaging"),VLOOKUP(C1543,Products!$A$2:$C$8,3,FALSE),0)</f>
        <v>0</v>
      </c>
    </row>
    <row r="1544" spans="1:10" x14ac:dyDescent="0.25">
      <c r="A1544" t="s">
        <v>1711</v>
      </c>
      <c r="B1544" t="s">
        <v>207</v>
      </c>
      <c r="C1544" t="s">
        <v>122</v>
      </c>
      <c r="D1544" t="s">
        <v>10</v>
      </c>
      <c r="E1544" t="s">
        <v>138</v>
      </c>
      <c r="F1544" s="1">
        <v>42809</v>
      </c>
      <c r="G1544" s="1">
        <v>42873</v>
      </c>
      <c r="H1544">
        <v>4497</v>
      </c>
      <c r="I1544" t="str">
        <f>IF(COUNTIF(Products!$A$2:$A$8,C1544)=0,C1544,"")</f>
        <v/>
      </c>
      <c r="J1544">
        <f>IF(OR(E1544="Prospecting",E1544="Engaging"),VLOOKUP(C1544,Products!$A$2:$C$8,3,FALSE),0)</f>
        <v>0</v>
      </c>
    </row>
    <row r="1545" spans="1:10" x14ac:dyDescent="0.25">
      <c r="A1545" t="s">
        <v>1712</v>
      </c>
      <c r="B1545" t="s">
        <v>140</v>
      </c>
      <c r="C1545" t="s">
        <v>127</v>
      </c>
      <c r="D1545" t="s">
        <v>26</v>
      </c>
      <c r="E1545" t="s">
        <v>138</v>
      </c>
      <c r="F1545" s="1">
        <v>42809</v>
      </c>
      <c r="G1545" s="1">
        <v>42864</v>
      </c>
      <c r="H1545">
        <v>1178</v>
      </c>
      <c r="I1545" t="str">
        <f>IF(COUNTIF(Products!$A$2:$A$8,C1545)=0,C1545,"")</f>
        <v/>
      </c>
      <c r="J1545">
        <f>IF(OR(E1545="Prospecting",E1545="Engaging"),VLOOKUP(C1545,Products!$A$2:$C$8,3,FALSE),0)</f>
        <v>0</v>
      </c>
    </row>
    <row r="1546" spans="1:10" x14ac:dyDescent="0.25">
      <c r="A1546" t="s">
        <v>1713</v>
      </c>
      <c r="B1546" t="s">
        <v>140</v>
      </c>
      <c r="C1546" t="s">
        <v>122</v>
      </c>
      <c r="D1546" t="s">
        <v>104</v>
      </c>
      <c r="E1546" t="s">
        <v>138</v>
      </c>
      <c r="F1546" s="1">
        <v>42809</v>
      </c>
      <c r="G1546" s="1">
        <v>42907</v>
      </c>
      <c r="H1546">
        <v>4969</v>
      </c>
      <c r="I1546" t="str">
        <f>IF(COUNTIF(Products!$A$2:$A$8,C1546)=0,C1546,"")</f>
        <v/>
      </c>
      <c r="J1546">
        <f>IF(OR(E1546="Prospecting",E1546="Engaging"),VLOOKUP(C1546,Products!$A$2:$C$8,3,FALSE),0)</f>
        <v>0</v>
      </c>
    </row>
    <row r="1547" spans="1:10" x14ac:dyDescent="0.25">
      <c r="A1547" t="s">
        <v>1714</v>
      </c>
      <c r="B1547" t="s">
        <v>140</v>
      </c>
      <c r="C1547" t="s">
        <v>123</v>
      </c>
      <c r="D1547" t="s">
        <v>85</v>
      </c>
      <c r="E1547" t="s">
        <v>138</v>
      </c>
      <c r="F1547" s="1">
        <v>42809</v>
      </c>
      <c r="G1547" s="1">
        <v>42814</v>
      </c>
      <c r="H1547">
        <v>60</v>
      </c>
      <c r="I1547" t="str">
        <f>IF(COUNTIF(Products!$A$2:$A$8,C1547)=0,C1547,"")</f>
        <v/>
      </c>
      <c r="J1547">
        <f>IF(OR(E1547="Prospecting",E1547="Engaging"),VLOOKUP(C1547,Products!$A$2:$C$8,3,FALSE),0)</f>
        <v>0</v>
      </c>
    </row>
    <row r="1548" spans="1:10" x14ac:dyDescent="0.25">
      <c r="A1548" t="s">
        <v>1715</v>
      </c>
      <c r="B1548" t="s">
        <v>140</v>
      </c>
      <c r="C1548" t="s">
        <v>125</v>
      </c>
      <c r="D1548" t="s">
        <v>36</v>
      </c>
      <c r="E1548" t="s">
        <v>138</v>
      </c>
      <c r="F1548" s="1">
        <v>42809</v>
      </c>
      <c r="G1548" s="1">
        <v>42891</v>
      </c>
      <c r="H1548">
        <v>2875</v>
      </c>
      <c r="I1548" t="str">
        <f>IF(COUNTIF(Products!$A$2:$A$8,C1548)=0,C1548,"")</f>
        <v/>
      </c>
      <c r="J1548">
        <f>IF(OR(E1548="Prospecting",E1548="Engaging"),VLOOKUP(C1548,Products!$A$2:$C$8,3,FALSE),0)</f>
        <v>0</v>
      </c>
    </row>
    <row r="1549" spans="1:10" x14ac:dyDescent="0.25">
      <c r="A1549" t="s">
        <v>1716</v>
      </c>
      <c r="B1549" t="s">
        <v>173</v>
      </c>
      <c r="C1549" t="s">
        <v>120</v>
      </c>
      <c r="D1549" t="s">
        <v>17</v>
      </c>
      <c r="E1549" t="s">
        <v>155</v>
      </c>
      <c r="F1549" s="1">
        <v>42809</v>
      </c>
      <c r="I1549" t="str">
        <f>IF(COUNTIF(Products!$A$2:$A$8,C1549)=0,C1549,"")</f>
        <v/>
      </c>
      <c r="J1549">
        <f>IF(OR(E1549="Prospecting",E1549="Engaging"),VLOOKUP(C1549,Products!$A$2:$C$8,3,FALSE),0)</f>
        <v>550</v>
      </c>
    </row>
    <row r="1550" spans="1:10" x14ac:dyDescent="0.25">
      <c r="A1550" t="s">
        <v>1717</v>
      </c>
      <c r="B1550" t="s">
        <v>173</v>
      </c>
      <c r="C1550" t="s">
        <v>128</v>
      </c>
      <c r="D1550" t="s">
        <v>23</v>
      </c>
      <c r="E1550" t="s">
        <v>159</v>
      </c>
      <c r="F1550" s="1">
        <v>42809</v>
      </c>
      <c r="G1550" s="1">
        <v>42874</v>
      </c>
      <c r="H1550">
        <v>0</v>
      </c>
      <c r="I1550" t="str">
        <f>IF(COUNTIF(Products!$A$2:$A$8,C1550)=0,C1550,"")</f>
        <v/>
      </c>
      <c r="J1550">
        <f>IF(OR(E1550="Prospecting",E1550="Engaging"),VLOOKUP(C1550,Products!$A$2:$C$8,3,FALSE),0)</f>
        <v>0</v>
      </c>
    </row>
    <row r="1551" spans="1:10" x14ac:dyDescent="0.25">
      <c r="A1551" t="s">
        <v>1718</v>
      </c>
      <c r="B1551" t="s">
        <v>198</v>
      </c>
      <c r="C1551" t="s">
        <v>126</v>
      </c>
      <c r="D1551" t="s">
        <v>37</v>
      </c>
      <c r="E1551" t="s">
        <v>138</v>
      </c>
      <c r="F1551" s="1">
        <v>42809</v>
      </c>
      <c r="G1551" s="1">
        <v>42875</v>
      </c>
      <c r="H1551">
        <v>6177</v>
      </c>
      <c r="I1551" t="str">
        <f>IF(COUNTIF(Products!$A$2:$A$8,C1551)=0,C1551,"")</f>
        <v/>
      </c>
      <c r="J1551">
        <f>IF(OR(E1551="Prospecting",E1551="Engaging"),VLOOKUP(C1551,Products!$A$2:$C$8,3,FALSE),0)</f>
        <v>0</v>
      </c>
    </row>
    <row r="1552" spans="1:10" x14ac:dyDescent="0.25">
      <c r="A1552" t="s">
        <v>1719</v>
      </c>
      <c r="B1552" t="s">
        <v>158</v>
      </c>
      <c r="C1552" t="s">
        <v>125</v>
      </c>
      <c r="D1552" t="s">
        <v>89</v>
      </c>
      <c r="E1552" t="s">
        <v>159</v>
      </c>
      <c r="F1552" s="1">
        <v>42809</v>
      </c>
      <c r="G1552" s="1">
        <v>42914</v>
      </c>
      <c r="H1552">
        <v>0</v>
      </c>
      <c r="I1552" t="str">
        <f>IF(COUNTIF(Products!$A$2:$A$8,C1552)=0,C1552,"")</f>
        <v/>
      </c>
      <c r="J1552">
        <f>IF(OR(E1552="Prospecting",E1552="Engaging"),VLOOKUP(C1552,Products!$A$2:$C$8,3,FALSE),0)</f>
        <v>0</v>
      </c>
    </row>
    <row r="1553" spans="1:10" x14ac:dyDescent="0.25">
      <c r="A1553" t="s">
        <v>1720</v>
      </c>
      <c r="B1553" t="s">
        <v>191</v>
      </c>
      <c r="C1553" t="s">
        <v>122</v>
      </c>
      <c r="E1553" t="s">
        <v>155</v>
      </c>
      <c r="F1553" s="1">
        <v>42809</v>
      </c>
      <c r="I1553" t="str">
        <f>IF(COUNTIF(Products!$A$2:$A$8,C1553)=0,C1553,"")</f>
        <v/>
      </c>
      <c r="J1553">
        <f>IF(OR(E1553="Prospecting",E1553="Engaging"),VLOOKUP(C1553,Products!$A$2:$C$8,3,FALSE),0)</f>
        <v>4821</v>
      </c>
    </row>
    <row r="1554" spans="1:10" x14ac:dyDescent="0.25">
      <c r="A1554" t="s">
        <v>1721</v>
      </c>
      <c r="B1554" t="s">
        <v>191</v>
      </c>
      <c r="C1554" t="s">
        <v>122</v>
      </c>
      <c r="D1554" t="s">
        <v>44</v>
      </c>
      <c r="E1554" t="s">
        <v>159</v>
      </c>
      <c r="F1554" s="1">
        <v>42809</v>
      </c>
      <c r="G1554" s="1">
        <v>42861</v>
      </c>
      <c r="H1554">
        <v>0</v>
      </c>
      <c r="I1554" t="str">
        <f>IF(COUNTIF(Products!$A$2:$A$8,C1554)=0,C1554,"")</f>
        <v/>
      </c>
      <c r="J1554">
        <f>IF(OR(E1554="Prospecting",E1554="Engaging"),VLOOKUP(C1554,Products!$A$2:$C$8,3,FALSE),0)</f>
        <v>0</v>
      </c>
    </row>
    <row r="1555" spans="1:10" x14ac:dyDescent="0.25">
      <c r="A1555" t="s">
        <v>1722</v>
      </c>
      <c r="B1555" t="s">
        <v>191</v>
      </c>
      <c r="C1555" t="s">
        <v>122</v>
      </c>
      <c r="D1555" t="s">
        <v>67</v>
      </c>
      <c r="E1555" t="s">
        <v>138</v>
      </c>
      <c r="F1555" s="1">
        <v>42809</v>
      </c>
      <c r="G1555" s="1">
        <v>42900</v>
      </c>
      <c r="H1555">
        <v>4369</v>
      </c>
      <c r="I1555" t="str">
        <f>IF(COUNTIF(Products!$A$2:$A$8,C1555)=0,C1555,"")</f>
        <v/>
      </c>
      <c r="J1555">
        <f>IF(OR(E1555="Prospecting",E1555="Engaging"),VLOOKUP(C1555,Products!$A$2:$C$8,3,FALSE),0)</f>
        <v>0</v>
      </c>
    </row>
    <row r="1556" spans="1:10" x14ac:dyDescent="0.25">
      <c r="A1556" t="s">
        <v>1723</v>
      </c>
      <c r="B1556" t="s">
        <v>191</v>
      </c>
      <c r="C1556" t="s">
        <v>122</v>
      </c>
      <c r="D1556" t="s">
        <v>109</v>
      </c>
      <c r="E1556" t="s">
        <v>138</v>
      </c>
      <c r="F1556" s="1">
        <v>42809</v>
      </c>
      <c r="G1556" s="1">
        <v>42876</v>
      </c>
      <c r="H1556">
        <v>4878</v>
      </c>
      <c r="I1556" t="str">
        <f>IF(COUNTIF(Products!$A$2:$A$8,C1556)=0,C1556,"")</f>
        <v/>
      </c>
      <c r="J1556">
        <f>IF(OR(E1556="Prospecting",E1556="Engaging"),VLOOKUP(C1556,Products!$A$2:$C$8,3,FALSE),0)</f>
        <v>0</v>
      </c>
    </row>
    <row r="1557" spans="1:10" x14ac:dyDescent="0.25">
      <c r="A1557" t="s">
        <v>1724</v>
      </c>
      <c r="B1557" t="s">
        <v>217</v>
      </c>
      <c r="C1557" t="s">
        <v>126</v>
      </c>
      <c r="D1557" t="s">
        <v>51</v>
      </c>
      <c r="E1557" t="s">
        <v>138</v>
      </c>
      <c r="F1557" s="1">
        <v>42809</v>
      </c>
      <c r="G1557" s="1">
        <v>42907</v>
      </c>
      <c r="H1557">
        <v>4527</v>
      </c>
      <c r="I1557" t="str">
        <f>IF(COUNTIF(Products!$A$2:$A$8,C1557)=0,C1557,"")</f>
        <v/>
      </c>
      <c r="J1557">
        <f>IF(OR(E1557="Prospecting",E1557="Engaging"),VLOOKUP(C1557,Products!$A$2:$C$8,3,FALSE),0)</f>
        <v>0</v>
      </c>
    </row>
    <row r="1558" spans="1:10" x14ac:dyDescent="0.25">
      <c r="A1558" t="s">
        <v>1725</v>
      </c>
      <c r="B1558" t="s">
        <v>162</v>
      </c>
      <c r="C1558" t="s">
        <v>127</v>
      </c>
      <c r="D1558" t="s">
        <v>107</v>
      </c>
      <c r="E1558" t="s">
        <v>159</v>
      </c>
      <c r="F1558" s="1">
        <v>42809</v>
      </c>
      <c r="G1558" s="1">
        <v>42885</v>
      </c>
      <c r="H1558">
        <v>0</v>
      </c>
      <c r="I1558" t="str">
        <f>IF(COUNTIF(Products!$A$2:$A$8,C1558)=0,C1558,"")</f>
        <v/>
      </c>
      <c r="J1558">
        <f>IF(OR(E1558="Prospecting",E1558="Engaging"),VLOOKUP(C1558,Products!$A$2:$C$8,3,FALSE),0)</f>
        <v>0</v>
      </c>
    </row>
    <row r="1559" spans="1:10" x14ac:dyDescent="0.25">
      <c r="A1559" t="s">
        <v>1726</v>
      </c>
      <c r="B1559" t="s">
        <v>137</v>
      </c>
      <c r="C1559" t="s">
        <v>126</v>
      </c>
      <c r="D1559" t="s">
        <v>22</v>
      </c>
      <c r="E1559" t="s">
        <v>138</v>
      </c>
      <c r="F1559" s="1">
        <v>42809</v>
      </c>
      <c r="G1559" s="1">
        <v>42889</v>
      </c>
      <c r="H1559">
        <v>6102</v>
      </c>
      <c r="I1559" t="str">
        <f>IF(COUNTIF(Products!$A$2:$A$8,C1559)=0,C1559,"")</f>
        <v/>
      </c>
      <c r="J1559">
        <f>IF(OR(E1559="Prospecting",E1559="Engaging"),VLOOKUP(C1559,Products!$A$2:$C$8,3,FALSE),0)</f>
        <v>0</v>
      </c>
    </row>
    <row r="1560" spans="1:10" x14ac:dyDescent="0.25">
      <c r="A1560" t="s">
        <v>1727</v>
      </c>
      <c r="B1560" t="s">
        <v>187</v>
      </c>
      <c r="C1560" t="s">
        <v>126</v>
      </c>
      <c r="D1560" t="s">
        <v>20</v>
      </c>
      <c r="E1560" t="s">
        <v>138</v>
      </c>
      <c r="F1560" s="1">
        <v>42809</v>
      </c>
      <c r="G1560" s="1">
        <v>42865</v>
      </c>
      <c r="H1560">
        <v>4983</v>
      </c>
      <c r="I1560" t="str">
        <f>IF(COUNTIF(Products!$A$2:$A$8,C1560)=0,C1560,"")</f>
        <v/>
      </c>
      <c r="J1560">
        <f>IF(OR(E1560="Prospecting",E1560="Engaging"),VLOOKUP(C1560,Products!$A$2:$C$8,3,FALSE),0)</f>
        <v>0</v>
      </c>
    </row>
    <row r="1561" spans="1:10" x14ac:dyDescent="0.25">
      <c r="A1561" t="s">
        <v>1728</v>
      </c>
      <c r="B1561" t="s">
        <v>169</v>
      </c>
      <c r="C1561" t="s">
        <v>123</v>
      </c>
      <c r="D1561" t="s">
        <v>64</v>
      </c>
      <c r="E1561" t="s">
        <v>138</v>
      </c>
      <c r="F1561" s="1">
        <v>42809</v>
      </c>
      <c r="G1561" s="1">
        <v>42819</v>
      </c>
      <c r="H1561">
        <v>47</v>
      </c>
      <c r="I1561" t="str">
        <f>IF(COUNTIF(Products!$A$2:$A$8,C1561)=0,C1561,"")</f>
        <v/>
      </c>
      <c r="J1561">
        <f>IF(OR(E1561="Prospecting",E1561="Engaging"),VLOOKUP(C1561,Products!$A$2:$C$8,3,FALSE),0)</f>
        <v>0</v>
      </c>
    </row>
    <row r="1562" spans="1:10" x14ac:dyDescent="0.25">
      <c r="A1562" t="s">
        <v>1729</v>
      </c>
      <c r="B1562" t="s">
        <v>148</v>
      </c>
      <c r="C1562" t="s">
        <v>123</v>
      </c>
      <c r="D1562" t="s">
        <v>114</v>
      </c>
      <c r="E1562" t="s">
        <v>138</v>
      </c>
      <c r="F1562" s="1">
        <v>42809</v>
      </c>
      <c r="G1562" s="1">
        <v>42897</v>
      </c>
      <c r="H1562">
        <v>52</v>
      </c>
      <c r="I1562" t="str">
        <f>IF(COUNTIF(Products!$A$2:$A$8,C1562)=0,C1562,"")</f>
        <v/>
      </c>
      <c r="J1562">
        <f>IF(OR(E1562="Prospecting",E1562="Engaging"),VLOOKUP(C1562,Products!$A$2:$C$8,3,FALSE),0)</f>
        <v>0</v>
      </c>
    </row>
    <row r="1563" spans="1:10" x14ac:dyDescent="0.25">
      <c r="A1563" t="s">
        <v>1730</v>
      </c>
      <c r="B1563" t="s">
        <v>177</v>
      </c>
      <c r="C1563" t="s">
        <v>122</v>
      </c>
      <c r="D1563" t="s">
        <v>50</v>
      </c>
      <c r="E1563" t="s">
        <v>138</v>
      </c>
      <c r="F1563" s="1">
        <v>42809</v>
      </c>
      <c r="G1563" s="1">
        <v>42911</v>
      </c>
      <c r="H1563">
        <v>5031</v>
      </c>
      <c r="I1563" t="str">
        <f>IF(COUNTIF(Products!$A$2:$A$8,C1563)=0,C1563,"")</f>
        <v/>
      </c>
      <c r="J1563">
        <f>IF(OR(E1563="Prospecting",E1563="Engaging"),VLOOKUP(C1563,Products!$A$2:$C$8,3,FALSE),0)</f>
        <v>0</v>
      </c>
    </row>
    <row r="1564" spans="1:10" x14ac:dyDescent="0.25">
      <c r="A1564" t="s">
        <v>1731</v>
      </c>
      <c r="B1564" t="s">
        <v>177</v>
      </c>
      <c r="C1564" t="s">
        <v>123</v>
      </c>
      <c r="D1564" t="s">
        <v>16</v>
      </c>
      <c r="E1564" t="s">
        <v>138</v>
      </c>
      <c r="F1564" s="1">
        <v>42809</v>
      </c>
      <c r="G1564" s="1">
        <v>42892</v>
      </c>
      <c r="H1564">
        <v>53</v>
      </c>
      <c r="I1564" t="str">
        <f>IF(COUNTIF(Products!$A$2:$A$8,C1564)=0,C1564,"")</f>
        <v/>
      </c>
      <c r="J1564">
        <f>IF(OR(E1564="Prospecting",E1564="Engaging"),VLOOKUP(C1564,Products!$A$2:$C$8,3,FALSE),0)</f>
        <v>0</v>
      </c>
    </row>
    <row r="1565" spans="1:10" x14ac:dyDescent="0.25">
      <c r="A1565" t="s">
        <v>1732</v>
      </c>
      <c r="B1565" t="s">
        <v>196</v>
      </c>
      <c r="C1565" t="s">
        <v>127</v>
      </c>
      <c r="E1565" t="s">
        <v>155</v>
      </c>
      <c r="F1565" s="1">
        <v>42809</v>
      </c>
      <c r="I1565" t="str">
        <f>IF(COUNTIF(Products!$A$2:$A$8,C1565)=0,C1565,"")</f>
        <v/>
      </c>
      <c r="J1565">
        <f>IF(OR(E1565="Prospecting",E1565="Engaging"),VLOOKUP(C1565,Products!$A$2:$C$8,3,FALSE),0)</f>
        <v>1096</v>
      </c>
    </row>
    <row r="1566" spans="1:10" x14ac:dyDescent="0.25">
      <c r="A1566" t="s">
        <v>1733</v>
      </c>
      <c r="B1566" t="s">
        <v>146</v>
      </c>
      <c r="C1566" t="s">
        <v>120</v>
      </c>
      <c r="D1566" t="s">
        <v>32</v>
      </c>
      <c r="E1566" t="s">
        <v>138</v>
      </c>
      <c r="F1566" s="1">
        <v>42810</v>
      </c>
      <c r="G1566" s="1">
        <v>42857</v>
      </c>
      <c r="H1566">
        <v>550</v>
      </c>
      <c r="I1566" t="str">
        <f>IF(COUNTIF(Products!$A$2:$A$8,C1566)=0,C1566,"")</f>
        <v/>
      </c>
      <c r="J1566">
        <f>IF(OR(E1566="Prospecting",E1566="Engaging"),VLOOKUP(C1566,Products!$A$2:$C$8,3,FALSE),0)</f>
        <v>0</v>
      </c>
    </row>
    <row r="1567" spans="1:10" x14ac:dyDescent="0.25">
      <c r="A1567" t="s">
        <v>1734</v>
      </c>
      <c r="B1567" t="s">
        <v>222</v>
      </c>
      <c r="C1567" t="s">
        <v>127</v>
      </c>
      <c r="E1567" t="s">
        <v>155</v>
      </c>
      <c r="F1567" s="1">
        <v>42810</v>
      </c>
      <c r="I1567" t="str">
        <f>IF(COUNTIF(Products!$A$2:$A$8,C1567)=0,C1567,"")</f>
        <v/>
      </c>
      <c r="J1567">
        <f>IF(OR(E1567="Prospecting",E1567="Engaging"),VLOOKUP(C1567,Products!$A$2:$C$8,3,FALSE),0)</f>
        <v>1096</v>
      </c>
    </row>
    <row r="1568" spans="1:10" x14ac:dyDescent="0.25">
      <c r="A1568" t="s">
        <v>1735</v>
      </c>
      <c r="B1568" t="s">
        <v>222</v>
      </c>
      <c r="C1568" t="s">
        <v>122</v>
      </c>
      <c r="D1568" t="s">
        <v>35</v>
      </c>
      <c r="E1568" t="s">
        <v>138</v>
      </c>
      <c r="F1568" s="1">
        <v>42810</v>
      </c>
      <c r="G1568" s="1">
        <v>42892</v>
      </c>
      <c r="H1568">
        <v>5223</v>
      </c>
      <c r="I1568" t="str">
        <f>IF(COUNTIF(Products!$A$2:$A$8,C1568)=0,C1568,"")</f>
        <v/>
      </c>
      <c r="J1568">
        <f>IF(OR(E1568="Prospecting",E1568="Engaging"),VLOOKUP(C1568,Products!$A$2:$C$8,3,FALSE),0)</f>
        <v>0</v>
      </c>
    </row>
    <row r="1569" spans="1:10" x14ac:dyDescent="0.25">
      <c r="A1569" t="s">
        <v>1736</v>
      </c>
      <c r="B1569" t="s">
        <v>222</v>
      </c>
      <c r="C1569" t="s">
        <v>123</v>
      </c>
      <c r="D1569" t="s">
        <v>10</v>
      </c>
      <c r="E1569" t="s">
        <v>138</v>
      </c>
      <c r="F1569" s="1">
        <v>42810</v>
      </c>
      <c r="G1569" s="1">
        <v>42867</v>
      </c>
      <c r="H1569">
        <v>53</v>
      </c>
      <c r="I1569" t="str">
        <f>IF(COUNTIF(Products!$A$2:$A$8,C1569)=0,C1569,"")</f>
        <v/>
      </c>
      <c r="J1569">
        <f>IF(OR(E1569="Prospecting",E1569="Engaging"),VLOOKUP(C1569,Products!$A$2:$C$8,3,FALSE),0)</f>
        <v>0</v>
      </c>
    </row>
    <row r="1570" spans="1:10" x14ac:dyDescent="0.25">
      <c r="A1570" t="s">
        <v>1737</v>
      </c>
      <c r="B1570" t="s">
        <v>207</v>
      </c>
      <c r="C1570" t="s">
        <v>122</v>
      </c>
      <c r="D1570" t="s">
        <v>19</v>
      </c>
      <c r="E1570" t="s">
        <v>138</v>
      </c>
      <c r="F1570" s="1">
        <v>42810</v>
      </c>
      <c r="G1570" s="1">
        <v>42872</v>
      </c>
      <c r="H1570">
        <v>4519</v>
      </c>
      <c r="I1570" t="str">
        <f>IF(COUNTIF(Products!$A$2:$A$8,C1570)=0,C1570,"")</f>
        <v/>
      </c>
      <c r="J1570">
        <f>IF(OR(E1570="Prospecting",E1570="Engaging"),VLOOKUP(C1570,Products!$A$2:$C$8,3,FALSE),0)</f>
        <v>0</v>
      </c>
    </row>
    <row r="1571" spans="1:10" x14ac:dyDescent="0.25">
      <c r="A1571" t="s">
        <v>1738</v>
      </c>
      <c r="B1571" t="s">
        <v>239</v>
      </c>
      <c r="C1571" t="s">
        <v>122</v>
      </c>
      <c r="D1571" t="s">
        <v>106</v>
      </c>
      <c r="E1571" t="s">
        <v>138</v>
      </c>
      <c r="F1571" s="1">
        <v>42810</v>
      </c>
      <c r="G1571" s="1">
        <v>42887</v>
      </c>
      <c r="H1571">
        <v>4833</v>
      </c>
      <c r="I1571" t="str">
        <f>IF(COUNTIF(Products!$A$2:$A$8,C1571)=0,C1571,"")</f>
        <v/>
      </c>
      <c r="J1571">
        <f>IF(OR(E1571="Prospecting",E1571="Engaging"),VLOOKUP(C1571,Products!$A$2:$C$8,3,FALSE),0)</f>
        <v>0</v>
      </c>
    </row>
    <row r="1572" spans="1:10" x14ac:dyDescent="0.25">
      <c r="A1572" t="s">
        <v>1739</v>
      </c>
      <c r="B1572" t="s">
        <v>171</v>
      </c>
      <c r="C1572" t="s">
        <v>126</v>
      </c>
      <c r="E1572" t="s">
        <v>155</v>
      </c>
      <c r="F1572" s="1">
        <v>42810</v>
      </c>
      <c r="I1572" t="str">
        <f>IF(COUNTIF(Products!$A$2:$A$8,C1572)=0,C1572,"")</f>
        <v/>
      </c>
      <c r="J1572">
        <f>IF(OR(E1572="Prospecting",E1572="Engaging"),VLOOKUP(C1572,Products!$A$2:$C$8,3,FALSE),0)</f>
        <v>5482</v>
      </c>
    </row>
    <row r="1573" spans="1:10" x14ac:dyDescent="0.25">
      <c r="A1573" t="s">
        <v>1740</v>
      </c>
      <c r="B1573" t="s">
        <v>171</v>
      </c>
      <c r="C1573" t="s">
        <v>126</v>
      </c>
      <c r="D1573" t="s">
        <v>112</v>
      </c>
      <c r="E1573" t="s">
        <v>138</v>
      </c>
      <c r="F1573" s="1">
        <v>42810</v>
      </c>
      <c r="G1573" s="1">
        <v>42915</v>
      </c>
      <c r="H1573">
        <v>5407</v>
      </c>
      <c r="I1573" t="str">
        <f>IF(COUNTIF(Products!$A$2:$A$8,C1573)=0,C1573,"")</f>
        <v/>
      </c>
      <c r="J1573">
        <f>IF(OR(E1573="Prospecting",E1573="Engaging"),VLOOKUP(C1573,Products!$A$2:$C$8,3,FALSE),0)</f>
        <v>0</v>
      </c>
    </row>
    <row r="1574" spans="1:10" x14ac:dyDescent="0.25">
      <c r="A1574" t="s">
        <v>1741</v>
      </c>
      <c r="B1574" t="s">
        <v>140</v>
      </c>
      <c r="C1574" t="s">
        <v>120</v>
      </c>
      <c r="D1574" t="s">
        <v>89</v>
      </c>
      <c r="E1574" t="s">
        <v>159</v>
      </c>
      <c r="F1574" s="1">
        <v>42810</v>
      </c>
      <c r="G1574" s="1">
        <v>42857</v>
      </c>
      <c r="H1574">
        <v>0</v>
      </c>
      <c r="I1574" t="str">
        <f>IF(COUNTIF(Products!$A$2:$A$8,C1574)=0,C1574,"")</f>
        <v/>
      </c>
      <c r="J1574">
        <f>IF(OR(E1574="Prospecting",E1574="Engaging"),VLOOKUP(C1574,Products!$A$2:$C$8,3,FALSE),0)</f>
        <v>0</v>
      </c>
    </row>
    <row r="1575" spans="1:10" x14ac:dyDescent="0.25">
      <c r="A1575" t="s">
        <v>1742</v>
      </c>
      <c r="B1575" t="s">
        <v>164</v>
      </c>
      <c r="C1575" t="s">
        <v>123</v>
      </c>
      <c r="D1575" t="s">
        <v>44</v>
      </c>
      <c r="E1575" t="s">
        <v>138</v>
      </c>
      <c r="F1575" s="1">
        <v>42810</v>
      </c>
      <c r="G1575" s="1">
        <v>42863</v>
      </c>
      <c r="H1575">
        <v>56</v>
      </c>
      <c r="I1575" t="str">
        <f>IF(COUNTIF(Products!$A$2:$A$8,C1575)=0,C1575,"")</f>
        <v/>
      </c>
      <c r="J1575">
        <f>IF(OR(E1575="Prospecting",E1575="Engaging"),VLOOKUP(C1575,Products!$A$2:$C$8,3,FALSE),0)</f>
        <v>0</v>
      </c>
    </row>
    <row r="1576" spans="1:10" x14ac:dyDescent="0.25">
      <c r="A1576" t="s">
        <v>1743</v>
      </c>
      <c r="B1576" t="s">
        <v>180</v>
      </c>
      <c r="C1576" t="s">
        <v>120</v>
      </c>
      <c r="D1576" t="s">
        <v>65</v>
      </c>
      <c r="E1576" t="s">
        <v>155</v>
      </c>
      <c r="F1576" s="1">
        <v>42810</v>
      </c>
      <c r="I1576" t="str">
        <f>IF(COUNTIF(Products!$A$2:$A$8,C1576)=0,C1576,"")</f>
        <v/>
      </c>
      <c r="J1576">
        <f>IF(OR(E1576="Prospecting",E1576="Engaging"),VLOOKUP(C1576,Products!$A$2:$C$8,3,FALSE),0)</f>
        <v>550</v>
      </c>
    </row>
    <row r="1577" spans="1:10" x14ac:dyDescent="0.25">
      <c r="A1577" t="s">
        <v>1744</v>
      </c>
      <c r="B1577" t="s">
        <v>180</v>
      </c>
      <c r="C1577" t="s">
        <v>127</v>
      </c>
      <c r="D1577" t="s">
        <v>69</v>
      </c>
      <c r="E1577" t="s">
        <v>155</v>
      </c>
      <c r="F1577" s="1">
        <v>42810</v>
      </c>
      <c r="I1577" t="str">
        <f>IF(COUNTIF(Products!$A$2:$A$8,C1577)=0,C1577,"")</f>
        <v/>
      </c>
      <c r="J1577">
        <f>IF(OR(E1577="Prospecting",E1577="Engaging"),VLOOKUP(C1577,Products!$A$2:$C$8,3,FALSE),0)</f>
        <v>1096</v>
      </c>
    </row>
    <row r="1578" spans="1:10" x14ac:dyDescent="0.25">
      <c r="A1578" t="s">
        <v>1745</v>
      </c>
      <c r="B1578" t="s">
        <v>191</v>
      </c>
      <c r="C1578" t="s">
        <v>120</v>
      </c>
      <c r="D1578" t="s">
        <v>44</v>
      </c>
      <c r="E1578" t="s">
        <v>138</v>
      </c>
      <c r="F1578" s="1">
        <v>42810</v>
      </c>
      <c r="G1578" s="1">
        <v>42878</v>
      </c>
      <c r="H1578">
        <v>468</v>
      </c>
      <c r="I1578" t="str">
        <f>IF(COUNTIF(Products!$A$2:$A$8,C1578)=0,C1578,"")</f>
        <v/>
      </c>
      <c r="J1578">
        <f>IF(OR(E1578="Prospecting",E1578="Engaging"),VLOOKUP(C1578,Products!$A$2:$C$8,3,FALSE),0)</f>
        <v>0</v>
      </c>
    </row>
    <row r="1579" spans="1:10" x14ac:dyDescent="0.25">
      <c r="A1579" s="2" t="s">
        <v>1746</v>
      </c>
      <c r="B1579" t="s">
        <v>191</v>
      </c>
      <c r="C1579" t="s">
        <v>120</v>
      </c>
      <c r="D1579" t="s">
        <v>67</v>
      </c>
      <c r="E1579" t="s">
        <v>138</v>
      </c>
      <c r="F1579" s="1">
        <v>42810</v>
      </c>
      <c r="G1579" s="1">
        <v>42857</v>
      </c>
      <c r="H1579">
        <v>579</v>
      </c>
      <c r="I1579" t="str">
        <f>IF(COUNTIF(Products!$A$2:$A$8,C1579)=0,C1579,"")</f>
        <v/>
      </c>
      <c r="J1579">
        <f>IF(OR(E1579="Prospecting",E1579="Engaging"),VLOOKUP(C1579,Products!$A$2:$C$8,3,FALSE),0)</f>
        <v>0</v>
      </c>
    </row>
    <row r="1580" spans="1:10" x14ac:dyDescent="0.25">
      <c r="A1580" t="s">
        <v>1747</v>
      </c>
      <c r="B1580" t="s">
        <v>217</v>
      </c>
      <c r="C1580" t="s">
        <v>125</v>
      </c>
      <c r="D1580" t="s">
        <v>104</v>
      </c>
      <c r="E1580" t="s">
        <v>138</v>
      </c>
      <c r="F1580" s="1">
        <v>42810</v>
      </c>
      <c r="G1580" s="1">
        <v>42897</v>
      </c>
      <c r="H1580">
        <v>3185</v>
      </c>
      <c r="I1580" t="str">
        <f>IF(COUNTIF(Products!$A$2:$A$8,C1580)=0,C1580,"")</f>
        <v/>
      </c>
      <c r="J1580">
        <f>IF(OR(E1580="Prospecting",E1580="Engaging"),VLOOKUP(C1580,Products!$A$2:$C$8,3,FALSE),0)</f>
        <v>0</v>
      </c>
    </row>
    <row r="1581" spans="1:10" x14ac:dyDescent="0.25">
      <c r="A1581" t="s">
        <v>1748</v>
      </c>
      <c r="B1581" t="s">
        <v>150</v>
      </c>
      <c r="C1581" t="s">
        <v>122</v>
      </c>
      <c r="E1581" t="s">
        <v>155</v>
      </c>
      <c r="F1581" s="1">
        <v>42810</v>
      </c>
      <c r="I1581" t="str">
        <f>IF(COUNTIF(Products!$A$2:$A$8,C1581)=0,C1581,"")</f>
        <v/>
      </c>
      <c r="J1581">
        <f>IF(OR(E1581="Prospecting",E1581="Engaging"),VLOOKUP(C1581,Products!$A$2:$C$8,3,FALSE),0)</f>
        <v>4821</v>
      </c>
    </row>
    <row r="1582" spans="1:10" x14ac:dyDescent="0.25">
      <c r="A1582" t="s">
        <v>1749</v>
      </c>
      <c r="B1582" t="s">
        <v>150</v>
      </c>
      <c r="C1582" t="s">
        <v>123</v>
      </c>
      <c r="D1582" t="s">
        <v>23</v>
      </c>
      <c r="E1582" t="s">
        <v>138</v>
      </c>
      <c r="F1582" s="1">
        <v>42810</v>
      </c>
      <c r="G1582" s="1">
        <v>42889</v>
      </c>
      <c r="H1582">
        <v>54</v>
      </c>
      <c r="I1582" t="str">
        <f>IF(COUNTIF(Products!$A$2:$A$8,C1582)=0,C1582,"")</f>
        <v/>
      </c>
      <c r="J1582">
        <f>IF(OR(E1582="Prospecting",E1582="Engaging"),VLOOKUP(C1582,Products!$A$2:$C$8,3,FALSE),0)</f>
        <v>0</v>
      </c>
    </row>
    <row r="1583" spans="1:10" x14ac:dyDescent="0.25">
      <c r="A1583" t="s">
        <v>1750</v>
      </c>
      <c r="B1583" t="s">
        <v>162</v>
      </c>
      <c r="C1583" t="s">
        <v>123</v>
      </c>
      <c r="D1583" t="s">
        <v>78</v>
      </c>
      <c r="E1583" t="s">
        <v>138</v>
      </c>
      <c r="F1583" s="1">
        <v>42810</v>
      </c>
      <c r="G1583" s="1">
        <v>42912</v>
      </c>
      <c r="H1583">
        <v>62</v>
      </c>
      <c r="I1583" t="str">
        <f>IF(COUNTIF(Products!$A$2:$A$8,C1583)=0,C1583,"")</f>
        <v/>
      </c>
      <c r="J1583">
        <f>IF(OR(E1583="Prospecting",E1583="Engaging"),VLOOKUP(C1583,Products!$A$2:$C$8,3,FALSE),0)</f>
        <v>0</v>
      </c>
    </row>
    <row r="1584" spans="1:10" x14ac:dyDescent="0.25">
      <c r="A1584" t="s">
        <v>1751</v>
      </c>
      <c r="B1584" t="s">
        <v>137</v>
      </c>
      <c r="C1584" t="s">
        <v>120</v>
      </c>
      <c r="D1584" t="s">
        <v>30</v>
      </c>
      <c r="E1584" t="s">
        <v>159</v>
      </c>
      <c r="F1584" s="1">
        <v>42810</v>
      </c>
      <c r="G1584" s="1">
        <v>42878</v>
      </c>
      <c r="H1584">
        <v>0</v>
      </c>
      <c r="I1584" t="str">
        <f>IF(COUNTIF(Products!$A$2:$A$8,C1584)=0,C1584,"")</f>
        <v/>
      </c>
      <c r="J1584">
        <f>IF(OR(E1584="Prospecting",E1584="Engaging"),VLOOKUP(C1584,Products!$A$2:$C$8,3,FALSE),0)</f>
        <v>0</v>
      </c>
    </row>
    <row r="1585" spans="1:10" x14ac:dyDescent="0.25">
      <c r="A1585" t="s">
        <v>1752</v>
      </c>
      <c r="B1585" t="s">
        <v>137</v>
      </c>
      <c r="C1585" t="s">
        <v>120</v>
      </c>
      <c r="D1585" t="s">
        <v>12</v>
      </c>
      <c r="E1585" t="s">
        <v>138</v>
      </c>
      <c r="F1585" s="1">
        <v>42810</v>
      </c>
      <c r="G1585" s="1">
        <v>42911</v>
      </c>
      <c r="H1585">
        <v>619</v>
      </c>
      <c r="I1585" t="str">
        <f>IF(COUNTIF(Products!$A$2:$A$8,C1585)=0,C1585,"")</f>
        <v/>
      </c>
      <c r="J1585">
        <f>IF(OR(E1585="Prospecting",E1585="Engaging"),VLOOKUP(C1585,Products!$A$2:$C$8,3,FALSE),0)</f>
        <v>0</v>
      </c>
    </row>
    <row r="1586" spans="1:10" x14ac:dyDescent="0.25">
      <c r="A1586" t="s">
        <v>1753</v>
      </c>
      <c r="B1586" t="s">
        <v>166</v>
      </c>
      <c r="C1586" t="s">
        <v>123</v>
      </c>
      <c r="D1586" t="s">
        <v>47</v>
      </c>
      <c r="E1586" t="s">
        <v>159</v>
      </c>
      <c r="F1586" s="1">
        <v>42810</v>
      </c>
      <c r="G1586" s="1">
        <v>42875</v>
      </c>
      <c r="H1586">
        <v>0</v>
      </c>
      <c r="I1586" t="str">
        <f>IF(COUNTIF(Products!$A$2:$A$8,C1586)=0,C1586,"")</f>
        <v/>
      </c>
      <c r="J1586">
        <f>IF(OR(E1586="Prospecting",E1586="Engaging"),VLOOKUP(C1586,Products!$A$2:$C$8,3,FALSE),0)</f>
        <v>0</v>
      </c>
    </row>
    <row r="1587" spans="1:10" x14ac:dyDescent="0.25">
      <c r="A1587" t="s">
        <v>1754</v>
      </c>
      <c r="B1587" t="s">
        <v>166</v>
      </c>
      <c r="C1587" t="s">
        <v>123</v>
      </c>
      <c r="D1587" t="s">
        <v>60</v>
      </c>
      <c r="E1587" t="s">
        <v>159</v>
      </c>
      <c r="F1587" s="1">
        <v>42810</v>
      </c>
      <c r="G1587" s="1">
        <v>42872</v>
      </c>
      <c r="H1587">
        <v>0</v>
      </c>
      <c r="I1587" t="str">
        <f>IF(COUNTIF(Products!$A$2:$A$8,C1587)=0,C1587,"")</f>
        <v/>
      </c>
      <c r="J1587">
        <f>IF(OR(E1587="Prospecting",E1587="Engaging"),VLOOKUP(C1587,Products!$A$2:$C$8,3,FALSE),0)</f>
        <v>0</v>
      </c>
    </row>
    <row r="1588" spans="1:10" x14ac:dyDescent="0.25">
      <c r="A1588" t="s">
        <v>1755</v>
      </c>
      <c r="B1588" t="s">
        <v>166</v>
      </c>
      <c r="C1588" t="s">
        <v>125</v>
      </c>
      <c r="D1588" t="s">
        <v>107</v>
      </c>
      <c r="E1588" t="s">
        <v>159</v>
      </c>
      <c r="F1588" s="1">
        <v>42810</v>
      </c>
      <c r="G1588" s="1">
        <v>42891</v>
      </c>
      <c r="H1588">
        <v>0</v>
      </c>
      <c r="I1588" t="str">
        <f>IF(COUNTIF(Products!$A$2:$A$8,C1588)=0,C1588,"")</f>
        <v/>
      </c>
      <c r="J1588">
        <f>IF(OR(E1588="Prospecting",E1588="Engaging"),VLOOKUP(C1588,Products!$A$2:$C$8,3,FALSE),0)</f>
        <v>0</v>
      </c>
    </row>
    <row r="1589" spans="1:10" x14ac:dyDescent="0.25">
      <c r="A1589" t="s">
        <v>1756</v>
      </c>
      <c r="B1589" t="s">
        <v>187</v>
      </c>
      <c r="C1589" t="s">
        <v>126</v>
      </c>
      <c r="E1589" t="s">
        <v>155</v>
      </c>
      <c r="F1589" s="1">
        <v>42810</v>
      </c>
      <c r="I1589" t="str">
        <f>IF(COUNTIF(Products!$A$2:$A$8,C1589)=0,C1589,"")</f>
        <v/>
      </c>
      <c r="J1589">
        <f>IF(OR(E1589="Prospecting",E1589="Engaging"),VLOOKUP(C1589,Products!$A$2:$C$8,3,FALSE),0)</f>
        <v>5482</v>
      </c>
    </row>
    <row r="1590" spans="1:10" x14ac:dyDescent="0.25">
      <c r="A1590" t="s">
        <v>1757</v>
      </c>
      <c r="B1590" t="s">
        <v>148</v>
      </c>
      <c r="C1590" t="s">
        <v>122</v>
      </c>
      <c r="D1590" t="s">
        <v>107</v>
      </c>
      <c r="E1590" t="s">
        <v>138</v>
      </c>
      <c r="F1590" s="1">
        <v>42810</v>
      </c>
      <c r="G1590" s="1">
        <v>42823</v>
      </c>
      <c r="H1590">
        <v>4408</v>
      </c>
      <c r="I1590" t="str">
        <f>IF(COUNTIF(Products!$A$2:$A$8,C1590)=0,C1590,"")</f>
        <v/>
      </c>
      <c r="J1590">
        <f>IF(OR(E1590="Prospecting",E1590="Engaging"),VLOOKUP(C1590,Products!$A$2:$C$8,3,FALSE),0)</f>
        <v>0</v>
      </c>
    </row>
    <row r="1591" spans="1:10" x14ac:dyDescent="0.25">
      <c r="A1591" t="s">
        <v>1758</v>
      </c>
      <c r="B1591" t="s">
        <v>144</v>
      </c>
      <c r="C1591" t="s">
        <v>120</v>
      </c>
      <c r="D1591" t="s">
        <v>23</v>
      </c>
      <c r="E1591" t="s">
        <v>138</v>
      </c>
      <c r="F1591" s="1">
        <v>42810</v>
      </c>
      <c r="G1591" s="1">
        <v>42893</v>
      </c>
      <c r="H1591">
        <v>605</v>
      </c>
      <c r="I1591" t="str">
        <f>IF(COUNTIF(Products!$A$2:$A$8,C1591)=0,C1591,"")</f>
        <v/>
      </c>
      <c r="J1591">
        <f>IF(OR(E1591="Prospecting",E1591="Engaging"),VLOOKUP(C1591,Products!$A$2:$C$8,3,FALSE),0)</f>
        <v>0</v>
      </c>
    </row>
    <row r="1592" spans="1:10" x14ac:dyDescent="0.25">
      <c r="A1592" t="s">
        <v>1759</v>
      </c>
      <c r="B1592" t="s">
        <v>146</v>
      </c>
      <c r="C1592" t="s">
        <v>126</v>
      </c>
      <c r="D1592" t="s">
        <v>51</v>
      </c>
      <c r="E1592" t="s">
        <v>138</v>
      </c>
      <c r="F1592" s="1">
        <v>42811</v>
      </c>
      <c r="G1592" s="1">
        <v>42820</v>
      </c>
      <c r="H1592">
        <v>6064</v>
      </c>
      <c r="I1592" t="str">
        <f>IF(COUNTIF(Products!$A$2:$A$8,C1592)=0,C1592,"")</f>
        <v/>
      </c>
      <c r="J1592">
        <f>IF(OR(E1592="Prospecting",E1592="Engaging"),VLOOKUP(C1592,Products!$A$2:$C$8,3,FALSE),0)</f>
        <v>0</v>
      </c>
    </row>
    <row r="1593" spans="1:10" x14ac:dyDescent="0.25">
      <c r="A1593" t="s">
        <v>1760</v>
      </c>
      <c r="B1593" t="s">
        <v>207</v>
      </c>
      <c r="C1593" t="s">
        <v>120</v>
      </c>
      <c r="D1593" t="s">
        <v>84</v>
      </c>
      <c r="E1593" t="s">
        <v>138</v>
      </c>
      <c r="F1593" s="1">
        <v>42811</v>
      </c>
      <c r="G1593" s="1">
        <v>42903</v>
      </c>
      <c r="H1593">
        <v>641</v>
      </c>
      <c r="I1593" t="str">
        <f>IF(COUNTIF(Products!$A$2:$A$8,C1593)=0,C1593,"")</f>
        <v/>
      </c>
      <c r="J1593">
        <f>IF(OR(E1593="Prospecting",E1593="Engaging"),VLOOKUP(C1593,Products!$A$2:$C$8,3,FALSE),0)</f>
        <v>0</v>
      </c>
    </row>
    <row r="1594" spans="1:10" x14ac:dyDescent="0.25">
      <c r="A1594" t="s">
        <v>1761</v>
      </c>
      <c r="B1594" t="s">
        <v>207</v>
      </c>
      <c r="C1594" t="s">
        <v>120</v>
      </c>
      <c r="D1594" t="s">
        <v>106</v>
      </c>
      <c r="E1594" t="s">
        <v>138</v>
      </c>
      <c r="F1594" s="1">
        <v>42811</v>
      </c>
      <c r="G1594" s="1">
        <v>42872</v>
      </c>
      <c r="H1594">
        <v>491</v>
      </c>
      <c r="I1594" t="str">
        <f>IF(COUNTIF(Products!$A$2:$A$8,C1594)=0,C1594,"")</f>
        <v/>
      </c>
      <c r="J1594">
        <f>IF(OR(E1594="Prospecting",E1594="Engaging"),VLOOKUP(C1594,Products!$A$2:$C$8,3,FALSE),0)</f>
        <v>0</v>
      </c>
    </row>
    <row r="1595" spans="1:10" x14ac:dyDescent="0.25">
      <c r="A1595" t="s">
        <v>1762</v>
      </c>
      <c r="B1595" t="s">
        <v>239</v>
      </c>
      <c r="C1595" t="s">
        <v>120</v>
      </c>
      <c r="E1595" t="s">
        <v>155</v>
      </c>
      <c r="F1595" s="1">
        <v>42811</v>
      </c>
      <c r="I1595" t="str">
        <f>IF(COUNTIF(Products!$A$2:$A$8,C1595)=0,C1595,"")</f>
        <v/>
      </c>
      <c r="J1595">
        <f>IF(OR(E1595="Prospecting",E1595="Engaging"),VLOOKUP(C1595,Products!$A$2:$C$8,3,FALSE),0)</f>
        <v>550</v>
      </c>
    </row>
    <row r="1596" spans="1:10" x14ac:dyDescent="0.25">
      <c r="A1596" t="s">
        <v>1763</v>
      </c>
      <c r="B1596" t="s">
        <v>239</v>
      </c>
      <c r="C1596" t="s">
        <v>127</v>
      </c>
      <c r="D1596" t="s">
        <v>70</v>
      </c>
      <c r="E1596" t="s">
        <v>155</v>
      </c>
      <c r="F1596" s="1">
        <v>42811</v>
      </c>
      <c r="I1596" t="str">
        <f>IF(COUNTIF(Products!$A$2:$A$8,C1596)=0,C1596,"")</f>
        <v/>
      </c>
      <c r="J1596">
        <f>IF(OR(E1596="Prospecting",E1596="Engaging"),VLOOKUP(C1596,Products!$A$2:$C$8,3,FALSE),0)</f>
        <v>1096</v>
      </c>
    </row>
    <row r="1597" spans="1:10" x14ac:dyDescent="0.25">
      <c r="A1597" t="s">
        <v>1764</v>
      </c>
      <c r="B1597" t="s">
        <v>239</v>
      </c>
      <c r="C1597" t="s">
        <v>122</v>
      </c>
      <c r="D1597" t="s">
        <v>84</v>
      </c>
      <c r="E1597" t="s">
        <v>159</v>
      </c>
      <c r="F1597" s="1">
        <v>42811</v>
      </c>
      <c r="G1597" s="1">
        <v>42858</v>
      </c>
      <c r="H1597">
        <v>0</v>
      </c>
      <c r="I1597" t="str">
        <f>IF(COUNTIF(Products!$A$2:$A$8,C1597)=0,C1597,"")</f>
        <v/>
      </c>
      <c r="J1597">
        <f>IF(OR(E1597="Prospecting",E1597="Engaging"),VLOOKUP(C1597,Products!$A$2:$C$8,3,FALSE),0)</f>
        <v>0</v>
      </c>
    </row>
    <row r="1598" spans="1:10" x14ac:dyDescent="0.25">
      <c r="A1598" t="s">
        <v>1765</v>
      </c>
      <c r="B1598" t="s">
        <v>140</v>
      </c>
      <c r="C1598" t="s">
        <v>123</v>
      </c>
      <c r="D1598" t="s">
        <v>26</v>
      </c>
      <c r="E1598" t="s">
        <v>138</v>
      </c>
      <c r="F1598" s="1">
        <v>42811</v>
      </c>
      <c r="G1598" s="1">
        <v>42882</v>
      </c>
      <c r="H1598">
        <v>47</v>
      </c>
      <c r="I1598" t="str">
        <f>IF(COUNTIF(Products!$A$2:$A$8,C1598)=0,C1598,"")</f>
        <v/>
      </c>
      <c r="J1598">
        <f>IF(OR(E1598="Prospecting",E1598="Engaging"),VLOOKUP(C1598,Products!$A$2:$C$8,3,FALSE),0)</f>
        <v>0</v>
      </c>
    </row>
    <row r="1599" spans="1:10" x14ac:dyDescent="0.25">
      <c r="A1599" t="s">
        <v>1766</v>
      </c>
      <c r="B1599" t="s">
        <v>173</v>
      </c>
      <c r="C1599" t="s">
        <v>123</v>
      </c>
      <c r="D1599" t="s">
        <v>39</v>
      </c>
      <c r="E1599" t="s">
        <v>138</v>
      </c>
      <c r="F1599" s="1">
        <v>42811</v>
      </c>
      <c r="G1599" s="1">
        <v>42911</v>
      </c>
      <c r="H1599">
        <v>63</v>
      </c>
      <c r="I1599" t="str">
        <f>IF(COUNTIF(Products!$A$2:$A$8,C1599)=0,C1599,"")</f>
        <v/>
      </c>
      <c r="J1599">
        <f>IF(OR(E1599="Prospecting",E1599="Engaging"),VLOOKUP(C1599,Products!$A$2:$C$8,3,FALSE),0)</f>
        <v>0</v>
      </c>
    </row>
    <row r="1600" spans="1:10" x14ac:dyDescent="0.25">
      <c r="A1600" t="s">
        <v>1767</v>
      </c>
      <c r="B1600" t="s">
        <v>198</v>
      </c>
      <c r="C1600" t="s">
        <v>125</v>
      </c>
      <c r="D1600" t="s">
        <v>98</v>
      </c>
      <c r="E1600" t="s">
        <v>138</v>
      </c>
      <c r="F1600" s="1">
        <v>42811</v>
      </c>
      <c r="G1600" s="1">
        <v>42873</v>
      </c>
      <c r="H1600">
        <v>3291</v>
      </c>
      <c r="I1600" t="str">
        <f>IF(COUNTIF(Products!$A$2:$A$8,C1600)=0,C1600,"")</f>
        <v/>
      </c>
      <c r="J1600">
        <f>IF(OR(E1600="Prospecting",E1600="Engaging"),VLOOKUP(C1600,Products!$A$2:$C$8,3,FALSE),0)</f>
        <v>0</v>
      </c>
    </row>
    <row r="1601" spans="1:10" x14ac:dyDescent="0.25">
      <c r="A1601" t="s">
        <v>1768</v>
      </c>
      <c r="B1601" t="s">
        <v>164</v>
      </c>
      <c r="C1601" t="s">
        <v>127</v>
      </c>
      <c r="E1601" t="s">
        <v>155</v>
      </c>
      <c r="F1601" s="1">
        <v>42811</v>
      </c>
      <c r="I1601" t="str">
        <f>IF(COUNTIF(Products!$A$2:$A$8,C1601)=0,C1601,"")</f>
        <v/>
      </c>
      <c r="J1601">
        <f>IF(OR(E1601="Prospecting",E1601="Engaging"),VLOOKUP(C1601,Products!$A$2:$C$8,3,FALSE),0)</f>
        <v>1096</v>
      </c>
    </row>
    <row r="1602" spans="1:10" x14ac:dyDescent="0.25">
      <c r="A1602" t="s">
        <v>1769</v>
      </c>
      <c r="B1602" t="s">
        <v>164</v>
      </c>
      <c r="C1602" t="s">
        <v>127</v>
      </c>
      <c r="D1602" t="s">
        <v>93</v>
      </c>
      <c r="E1602" t="s">
        <v>138</v>
      </c>
      <c r="F1602" s="1">
        <v>42811</v>
      </c>
      <c r="G1602" s="1">
        <v>42896</v>
      </c>
      <c r="H1602">
        <v>1188</v>
      </c>
      <c r="I1602" t="str">
        <f>IF(COUNTIF(Products!$A$2:$A$8,C1602)=0,C1602,"")</f>
        <v/>
      </c>
      <c r="J1602">
        <f>IF(OR(E1602="Prospecting",E1602="Engaging"),VLOOKUP(C1602,Products!$A$2:$C$8,3,FALSE),0)</f>
        <v>0</v>
      </c>
    </row>
    <row r="1603" spans="1:10" x14ac:dyDescent="0.25">
      <c r="A1603" t="s">
        <v>1770</v>
      </c>
      <c r="B1603" t="s">
        <v>191</v>
      </c>
      <c r="C1603" t="s">
        <v>126</v>
      </c>
      <c r="E1603" t="s">
        <v>155</v>
      </c>
      <c r="F1603" s="1">
        <v>42811</v>
      </c>
      <c r="I1603" t="str">
        <f>IF(COUNTIF(Products!$A$2:$A$8,C1603)=0,C1603,"")</f>
        <v/>
      </c>
      <c r="J1603">
        <f>IF(OR(E1603="Prospecting",E1603="Engaging"),VLOOKUP(C1603,Products!$A$2:$C$8,3,FALSE),0)</f>
        <v>5482</v>
      </c>
    </row>
    <row r="1604" spans="1:10" x14ac:dyDescent="0.25">
      <c r="A1604" t="s">
        <v>1771</v>
      </c>
      <c r="B1604" t="s">
        <v>191</v>
      </c>
      <c r="C1604" t="s">
        <v>120</v>
      </c>
      <c r="D1604" t="s">
        <v>23</v>
      </c>
      <c r="E1604" t="s">
        <v>159</v>
      </c>
      <c r="F1604" s="1">
        <v>42811</v>
      </c>
      <c r="G1604" s="1">
        <v>42863</v>
      </c>
      <c r="H1604">
        <v>0</v>
      </c>
      <c r="I1604" t="str">
        <f>IF(COUNTIF(Products!$A$2:$A$8,C1604)=0,C1604,"")</f>
        <v/>
      </c>
      <c r="J1604">
        <f>IF(OR(E1604="Prospecting",E1604="Engaging"),VLOOKUP(C1604,Products!$A$2:$C$8,3,FALSE),0)</f>
        <v>0</v>
      </c>
    </row>
    <row r="1605" spans="1:10" x14ac:dyDescent="0.25">
      <c r="A1605" t="s">
        <v>1772</v>
      </c>
      <c r="B1605" t="s">
        <v>191</v>
      </c>
      <c r="C1605" t="s">
        <v>120</v>
      </c>
      <c r="D1605" t="s">
        <v>90</v>
      </c>
      <c r="E1605" t="s">
        <v>138</v>
      </c>
      <c r="F1605" s="1">
        <v>42811</v>
      </c>
      <c r="G1605" s="1">
        <v>42897</v>
      </c>
      <c r="H1605">
        <v>478</v>
      </c>
      <c r="I1605" t="str">
        <f>IF(COUNTIF(Products!$A$2:$A$8,C1605)=0,C1605,"")</f>
        <v/>
      </c>
      <c r="J1605">
        <f>IF(OR(E1605="Prospecting",E1605="Engaging"),VLOOKUP(C1605,Products!$A$2:$C$8,3,FALSE),0)</f>
        <v>0</v>
      </c>
    </row>
    <row r="1606" spans="1:10" x14ac:dyDescent="0.25">
      <c r="A1606" t="s">
        <v>1773</v>
      </c>
      <c r="B1606" t="s">
        <v>191</v>
      </c>
      <c r="C1606" t="s">
        <v>123</v>
      </c>
      <c r="D1606" t="s">
        <v>57</v>
      </c>
      <c r="E1606" t="s">
        <v>138</v>
      </c>
      <c r="F1606" s="1">
        <v>42811</v>
      </c>
      <c r="G1606" s="1">
        <v>42879</v>
      </c>
      <c r="H1606">
        <v>60</v>
      </c>
      <c r="I1606" t="str">
        <f>IF(COUNTIF(Products!$A$2:$A$8,C1606)=0,C1606,"")</f>
        <v/>
      </c>
      <c r="J1606">
        <f>IF(OR(E1606="Prospecting",E1606="Engaging"),VLOOKUP(C1606,Products!$A$2:$C$8,3,FALSE),0)</f>
        <v>0</v>
      </c>
    </row>
    <row r="1607" spans="1:10" x14ac:dyDescent="0.25">
      <c r="A1607" t="s">
        <v>1774</v>
      </c>
      <c r="B1607" t="s">
        <v>193</v>
      </c>
      <c r="C1607" t="s">
        <v>122</v>
      </c>
      <c r="D1607" t="s">
        <v>92</v>
      </c>
      <c r="E1607" t="s">
        <v>138</v>
      </c>
      <c r="F1607" s="1">
        <v>42811</v>
      </c>
      <c r="G1607" s="1">
        <v>42821</v>
      </c>
      <c r="H1607">
        <v>4064</v>
      </c>
      <c r="I1607" t="str">
        <f>IF(COUNTIF(Products!$A$2:$A$8,C1607)=0,C1607,"")</f>
        <v/>
      </c>
      <c r="J1607">
        <f>IF(OR(E1607="Prospecting",E1607="Engaging"),VLOOKUP(C1607,Products!$A$2:$C$8,3,FALSE),0)</f>
        <v>0</v>
      </c>
    </row>
    <row r="1608" spans="1:10" x14ac:dyDescent="0.25">
      <c r="A1608" t="s">
        <v>1775</v>
      </c>
      <c r="B1608" t="s">
        <v>193</v>
      </c>
      <c r="C1608" t="s">
        <v>125</v>
      </c>
      <c r="D1608" t="s">
        <v>80</v>
      </c>
      <c r="E1608" t="s">
        <v>138</v>
      </c>
      <c r="F1608" s="1">
        <v>42811</v>
      </c>
      <c r="G1608" s="1">
        <v>42825</v>
      </c>
      <c r="H1608">
        <v>2550</v>
      </c>
      <c r="I1608" t="str">
        <f>IF(COUNTIF(Products!$A$2:$A$8,C1608)=0,C1608,"")</f>
        <v/>
      </c>
      <c r="J1608">
        <f>IF(OR(E1608="Prospecting",E1608="Engaging"),VLOOKUP(C1608,Products!$A$2:$C$8,3,FALSE),0)</f>
        <v>0</v>
      </c>
    </row>
    <row r="1609" spans="1:10" x14ac:dyDescent="0.25">
      <c r="A1609" t="s">
        <v>1776</v>
      </c>
      <c r="B1609" t="s">
        <v>166</v>
      </c>
      <c r="C1609" t="s">
        <v>126</v>
      </c>
      <c r="D1609" t="s">
        <v>42</v>
      </c>
      <c r="E1609" t="s">
        <v>155</v>
      </c>
      <c r="F1609" s="1">
        <v>42811</v>
      </c>
      <c r="I1609" t="str">
        <f>IF(COUNTIF(Products!$A$2:$A$8,C1609)=0,C1609,"")</f>
        <v/>
      </c>
      <c r="J1609">
        <f>IF(OR(E1609="Prospecting",E1609="Engaging"),VLOOKUP(C1609,Products!$A$2:$C$8,3,FALSE),0)</f>
        <v>5482</v>
      </c>
    </row>
    <row r="1610" spans="1:10" x14ac:dyDescent="0.25">
      <c r="A1610" t="s">
        <v>1777</v>
      </c>
      <c r="B1610" t="s">
        <v>187</v>
      </c>
      <c r="C1610" t="s">
        <v>123</v>
      </c>
      <c r="D1610" t="s">
        <v>16</v>
      </c>
      <c r="E1610" t="s">
        <v>159</v>
      </c>
      <c r="F1610" s="1">
        <v>42811</v>
      </c>
      <c r="G1610" s="1">
        <v>42863</v>
      </c>
      <c r="H1610">
        <v>0</v>
      </c>
      <c r="I1610" t="str">
        <f>IF(COUNTIF(Products!$A$2:$A$8,C1610)=0,C1610,"")</f>
        <v/>
      </c>
      <c r="J1610">
        <f>IF(OR(E1610="Prospecting",E1610="Engaging"),VLOOKUP(C1610,Products!$A$2:$C$8,3,FALSE),0)</f>
        <v>0</v>
      </c>
    </row>
    <row r="1611" spans="1:10" x14ac:dyDescent="0.25">
      <c r="A1611" t="s">
        <v>1778</v>
      </c>
      <c r="B1611" t="s">
        <v>169</v>
      </c>
      <c r="C1611" t="s">
        <v>126</v>
      </c>
      <c r="D1611" t="s">
        <v>36</v>
      </c>
      <c r="E1611" t="s">
        <v>159</v>
      </c>
      <c r="F1611" s="1">
        <v>42811</v>
      </c>
      <c r="G1611" s="1">
        <v>42865</v>
      </c>
      <c r="H1611">
        <v>0</v>
      </c>
      <c r="I1611" t="str">
        <f>IF(COUNTIF(Products!$A$2:$A$8,C1611)=0,C1611,"")</f>
        <v/>
      </c>
      <c r="J1611">
        <f>IF(OR(E1611="Prospecting",E1611="Engaging"),VLOOKUP(C1611,Products!$A$2:$C$8,3,FALSE),0)</f>
        <v>0</v>
      </c>
    </row>
    <row r="1612" spans="1:10" x14ac:dyDescent="0.25">
      <c r="A1612" t="s">
        <v>1779</v>
      </c>
      <c r="B1612" t="s">
        <v>169</v>
      </c>
      <c r="C1612" t="s">
        <v>123</v>
      </c>
      <c r="D1612" t="s">
        <v>51</v>
      </c>
      <c r="E1612" t="s">
        <v>159</v>
      </c>
      <c r="F1612" s="1">
        <v>42811</v>
      </c>
      <c r="G1612" s="1">
        <v>42871</v>
      </c>
      <c r="H1612">
        <v>0</v>
      </c>
      <c r="I1612" t="str">
        <f>IF(COUNTIF(Products!$A$2:$A$8,C1612)=0,C1612,"")</f>
        <v/>
      </c>
      <c r="J1612">
        <f>IF(OR(E1612="Prospecting",E1612="Engaging"),VLOOKUP(C1612,Products!$A$2:$C$8,3,FALSE),0)</f>
        <v>0</v>
      </c>
    </row>
    <row r="1613" spans="1:10" x14ac:dyDescent="0.25">
      <c r="A1613" t="s">
        <v>1780</v>
      </c>
      <c r="B1613" t="s">
        <v>169</v>
      </c>
      <c r="C1613" t="s">
        <v>125</v>
      </c>
      <c r="D1613" t="s">
        <v>95</v>
      </c>
      <c r="E1613" t="s">
        <v>138</v>
      </c>
      <c r="F1613" s="1">
        <v>42811</v>
      </c>
      <c r="G1613" s="1">
        <v>42907</v>
      </c>
      <c r="H1613">
        <v>3378</v>
      </c>
      <c r="I1613" t="str">
        <f>IF(COUNTIF(Products!$A$2:$A$8,C1613)=0,C1613,"")</f>
        <v/>
      </c>
      <c r="J1613">
        <f>IF(OR(E1613="Prospecting",E1613="Engaging"),VLOOKUP(C1613,Products!$A$2:$C$8,3,FALSE),0)</f>
        <v>0</v>
      </c>
    </row>
    <row r="1614" spans="1:10" x14ac:dyDescent="0.25">
      <c r="A1614" t="s">
        <v>1781</v>
      </c>
      <c r="B1614" t="s">
        <v>148</v>
      </c>
      <c r="C1614" t="s">
        <v>126</v>
      </c>
      <c r="E1614" t="s">
        <v>155</v>
      </c>
      <c r="F1614" s="1">
        <v>42811</v>
      </c>
      <c r="I1614" t="str">
        <f>IF(COUNTIF(Products!$A$2:$A$8,C1614)=0,C1614,"")</f>
        <v/>
      </c>
      <c r="J1614">
        <f>IF(OR(E1614="Prospecting",E1614="Engaging"),VLOOKUP(C1614,Products!$A$2:$C$8,3,FALSE),0)</f>
        <v>5482</v>
      </c>
    </row>
    <row r="1615" spans="1:10" x14ac:dyDescent="0.25">
      <c r="A1615" t="s">
        <v>1782</v>
      </c>
      <c r="B1615" t="s">
        <v>177</v>
      </c>
      <c r="C1615" t="s">
        <v>120</v>
      </c>
      <c r="E1615" t="s">
        <v>155</v>
      </c>
      <c r="F1615" s="1">
        <v>42811</v>
      </c>
      <c r="I1615" t="str">
        <f>IF(COUNTIF(Products!$A$2:$A$8,C1615)=0,C1615,"")</f>
        <v/>
      </c>
      <c r="J1615">
        <f>IF(OR(E1615="Prospecting",E1615="Engaging"),VLOOKUP(C1615,Products!$A$2:$C$8,3,FALSE),0)</f>
        <v>550</v>
      </c>
    </row>
    <row r="1616" spans="1:10" x14ac:dyDescent="0.25">
      <c r="A1616" t="s">
        <v>1783</v>
      </c>
      <c r="B1616" t="s">
        <v>177</v>
      </c>
      <c r="C1616" t="s">
        <v>123</v>
      </c>
      <c r="E1616" t="s">
        <v>155</v>
      </c>
      <c r="F1616" s="1">
        <v>42811</v>
      </c>
      <c r="I1616" t="str">
        <f>IF(COUNTIF(Products!$A$2:$A$8,C1616)=0,C1616,"")</f>
        <v/>
      </c>
      <c r="J1616">
        <f>IF(OR(E1616="Prospecting",E1616="Engaging"),VLOOKUP(C1616,Products!$A$2:$C$8,3,FALSE),0)</f>
        <v>55</v>
      </c>
    </row>
    <row r="1617" spans="1:10" x14ac:dyDescent="0.25">
      <c r="A1617" t="s">
        <v>1784</v>
      </c>
      <c r="B1617" t="s">
        <v>177</v>
      </c>
      <c r="C1617" t="s">
        <v>123</v>
      </c>
      <c r="E1617" t="s">
        <v>155</v>
      </c>
      <c r="F1617" s="1">
        <v>42811</v>
      </c>
      <c r="I1617" t="str">
        <f>IF(COUNTIF(Products!$A$2:$A$8,C1617)=0,C1617,"")</f>
        <v/>
      </c>
      <c r="J1617">
        <f>IF(OR(E1617="Prospecting",E1617="Engaging"),VLOOKUP(C1617,Products!$A$2:$C$8,3,FALSE),0)</f>
        <v>55</v>
      </c>
    </row>
    <row r="1618" spans="1:10" x14ac:dyDescent="0.25">
      <c r="A1618" t="s">
        <v>1785</v>
      </c>
      <c r="B1618" t="s">
        <v>196</v>
      </c>
      <c r="C1618" t="s">
        <v>122</v>
      </c>
      <c r="D1618" t="s">
        <v>50</v>
      </c>
      <c r="E1618" t="s">
        <v>138</v>
      </c>
      <c r="F1618" s="1">
        <v>42811</v>
      </c>
      <c r="G1618" s="1">
        <v>42885</v>
      </c>
      <c r="H1618">
        <v>6135</v>
      </c>
      <c r="I1618" t="str">
        <f>IF(COUNTIF(Products!$A$2:$A$8,C1618)=0,C1618,"")</f>
        <v/>
      </c>
      <c r="J1618">
        <f>IF(OR(E1618="Prospecting",E1618="Engaging"),VLOOKUP(C1618,Products!$A$2:$C$8,3,FALSE),0)</f>
        <v>0</v>
      </c>
    </row>
    <row r="1619" spans="1:10" x14ac:dyDescent="0.25">
      <c r="A1619" t="s">
        <v>1786</v>
      </c>
      <c r="B1619" t="s">
        <v>144</v>
      </c>
      <c r="C1619" t="s">
        <v>127</v>
      </c>
      <c r="D1619" t="s">
        <v>78</v>
      </c>
      <c r="E1619" t="s">
        <v>138</v>
      </c>
      <c r="F1619" s="1">
        <v>42811</v>
      </c>
      <c r="G1619" s="1">
        <v>42888</v>
      </c>
      <c r="H1619">
        <v>999</v>
      </c>
      <c r="I1619" t="str">
        <f>IF(COUNTIF(Products!$A$2:$A$8,C1619)=0,C1619,"")</f>
        <v/>
      </c>
      <c r="J1619">
        <f>IF(OR(E1619="Prospecting",E1619="Engaging"),VLOOKUP(C1619,Products!$A$2:$C$8,3,FALSE),0)</f>
        <v>0</v>
      </c>
    </row>
    <row r="1620" spans="1:10" x14ac:dyDescent="0.25">
      <c r="A1620" t="s">
        <v>1787</v>
      </c>
      <c r="B1620" t="s">
        <v>144</v>
      </c>
      <c r="C1620" t="s">
        <v>123</v>
      </c>
      <c r="D1620" t="s">
        <v>93</v>
      </c>
      <c r="E1620" t="s">
        <v>138</v>
      </c>
      <c r="F1620" s="1">
        <v>42811</v>
      </c>
      <c r="G1620" s="1">
        <v>42891</v>
      </c>
      <c r="H1620">
        <v>52</v>
      </c>
      <c r="I1620" t="str">
        <f>IF(COUNTIF(Products!$A$2:$A$8,C1620)=0,C1620,"")</f>
        <v/>
      </c>
      <c r="J1620">
        <f>IF(OR(E1620="Prospecting",E1620="Engaging"),VLOOKUP(C1620,Products!$A$2:$C$8,3,FALSE),0)</f>
        <v>0</v>
      </c>
    </row>
    <row r="1621" spans="1:10" x14ac:dyDescent="0.25">
      <c r="A1621" t="s">
        <v>1788</v>
      </c>
      <c r="B1621" t="s">
        <v>146</v>
      </c>
      <c r="C1621" t="s">
        <v>127</v>
      </c>
      <c r="D1621" t="s">
        <v>77</v>
      </c>
      <c r="E1621" t="s">
        <v>159</v>
      </c>
      <c r="F1621" s="1">
        <v>42812</v>
      </c>
      <c r="G1621" s="1">
        <v>42880</v>
      </c>
      <c r="H1621">
        <v>0</v>
      </c>
      <c r="I1621" t="str">
        <f>IF(COUNTIF(Products!$A$2:$A$8,C1621)=0,C1621,"")</f>
        <v/>
      </c>
      <c r="J1621">
        <f>IF(OR(E1621="Prospecting",E1621="Engaging"),VLOOKUP(C1621,Products!$A$2:$C$8,3,FALSE),0)</f>
        <v>0</v>
      </c>
    </row>
    <row r="1622" spans="1:10" x14ac:dyDescent="0.25">
      <c r="A1622" t="s">
        <v>1789</v>
      </c>
      <c r="B1622" t="s">
        <v>207</v>
      </c>
      <c r="C1622" t="s">
        <v>126</v>
      </c>
      <c r="D1622" t="s">
        <v>37</v>
      </c>
      <c r="E1622" t="s">
        <v>159</v>
      </c>
      <c r="F1622" s="1">
        <v>42812</v>
      </c>
      <c r="G1622" s="1">
        <v>42879</v>
      </c>
      <c r="H1622">
        <v>0</v>
      </c>
      <c r="I1622" t="str">
        <f>IF(COUNTIF(Products!$A$2:$A$8,C1622)=0,C1622,"")</f>
        <v/>
      </c>
      <c r="J1622">
        <f>IF(OR(E1622="Prospecting",E1622="Engaging"),VLOOKUP(C1622,Products!$A$2:$C$8,3,FALSE),0)</f>
        <v>0</v>
      </c>
    </row>
    <row r="1623" spans="1:10" x14ac:dyDescent="0.25">
      <c r="A1623" t="s">
        <v>1790</v>
      </c>
      <c r="B1623" t="s">
        <v>207</v>
      </c>
      <c r="C1623" t="s">
        <v>120</v>
      </c>
      <c r="D1623" t="s">
        <v>84</v>
      </c>
      <c r="E1623" t="s">
        <v>138</v>
      </c>
      <c r="F1623" s="1">
        <v>42812</v>
      </c>
      <c r="G1623" s="1">
        <v>42904</v>
      </c>
      <c r="H1623">
        <v>530</v>
      </c>
      <c r="I1623" t="str">
        <f>IF(COUNTIF(Products!$A$2:$A$8,C1623)=0,C1623,"")</f>
        <v/>
      </c>
      <c r="J1623">
        <f>IF(OR(E1623="Prospecting",E1623="Engaging"),VLOOKUP(C1623,Products!$A$2:$C$8,3,FALSE),0)</f>
        <v>0</v>
      </c>
    </row>
    <row r="1624" spans="1:10" x14ac:dyDescent="0.25">
      <c r="A1624" t="s">
        <v>1791</v>
      </c>
      <c r="B1624" t="s">
        <v>264</v>
      </c>
      <c r="C1624" t="s">
        <v>120</v>
      </c>
      <c r="D1624" t="s">
        <v>70</v>
      </c>
      <c r="E1624" t="s">
        <v>138</v>
      </c>
      <c r="F1624" s="1">
        <v>42812</v>
      </c>
      <c r="G1624" s="1">
        <v>42864</v>
      </c>
      <c r="H1624">
        <v>538</v>
      </c>
      <c r="I1624" t="str">
        <f>IF(COUNTIF(Products!$A$2:$A$8,C1624)=0,C1624,"")</f>
        <v/>
      </c>
      <c r="J1624">
        <f>IF(OR(E1624="Prospecting",E1624="Engaging"),VLOOKUP(C1624,Products!$A$2:$C$8,3,FALSE),0)</f>
        <v>0</v>
      </c>
    </row>
    <row r="1625" spans="1:10" x14ac:dyDescent="0.25">
      <c r="A1625" t="s">
        <v>1792</v>
      </c>
      <c r="B1625" t="s">
        <v>264</v>
      </c>
      <c r="C1625" t="s">
        <v>123</v>
      </c>
      <c r="D1625" t="s">
        <v>89</v>
      </c>
      <c r="E1625" t="s">
        <v>138</v>
      </c>
      <c r="F1625" s="1">
        <v>42812</v>
      </c>
      <c r="G1625" s="1">
        <v>42821</v>
      </c>
      <c r="H1625">
        <v>53</v>
      </c>
      <c r="I1625" t="str">
        <f>IF(COUNTIF(Products!$A$2:$A$8,C1625)=0,C1625,"")</f>
        <v/>
      </c>
      <c r="J1625">
        <f>IF(OR(E1625="Prospecting",E1625="Engaging"),VLOOKUP(C1625,Products!$A$2:$C$8,3,FALSE),0)</f>
        <v>0</v>
      </c>
    </row>
    <row r="1626" spans="1:10" x14ac:dyDescent="0.25">
      <c r="A1626" t="s">
        <v>1793</v>
      </c>
      <c r="B1626" t="s">
        <v>140</v>
      </c>
      <c r="C1626" t="s">
        <v>122</v>
      </c>
      <c r="D1626" t="s">
        <v>91</v>
      </c>
      <c r="E1626" t="s">
        <v>138</v>
      </c>
      <c r="F1626" s="1">
        <v>42812</v>
      </c>
      <c r="G1626" s="1">
        <v>42898</v>
      </c>
      <c r="H1626">
        <v>5416</v>
      </c>
      <c r="I1626" t="str">
        <f>IF(COUNTIF(Products!$A$2:$A$8,C1626)=0,C1626,"")</f>
        <v/>
      </c>
      <c r="J1626">
        <f>IF(OR(E1626="Prospecting",E1626="Engaging"),VLOOKUP(C1626,Products!$A$2:$C$8,3,FALSE),0)</f>
        <v>0</v>
      </c>
    </row>
    <row r="1627" spans="1:10" x14ac:dyDescent="0.25">
      <c r="A1627" t="s">
        <v>1794</v>
      </c>
      <c r="B1627" t="s">
        <v>173</v>
      </c>
      <c r="C1627" t="s">
        <v>123</v>
      </c>
      <c r="D1627" t="s">
        <v>90</v>
      </c>
      <c r="E1627" t="s">
        <v>159</v>
      </c>
      <c r="F1627" s="1">
        <v>42812</v>
      </c>
      <c r="G1627" s="1">
        <v>42882</v>
      </c>
      <c r="H1627">
        <v>0</v>
      </c>
      <c r="I1627" t="str">
        <f>IF(COUNTIF(Products!$A$2:$A$8,C1627)=0,C1627,"")</f>
        <v/>
      </c>
      <c r="J1627">
        <f>IF(OR(E1627="Prospecting",E1627="Engaging"),VLOOKUP(C1627,Products!$A$2:$C$8,3,FALSE),0)</f>
        <v>0</v>
      </c>
    </row>
    <row r="1628" spans="1:10" x14ac:dyDescent="0.25">
      <c r="A1628" t="s">
        <v>1795</v>
      </c>
      <c r="B1628" t="s">
        <v>198</v>
      </c>
      <c r="C1628" t="s">
        <v>126</v>
      </c>
      <c r="D1628" t="s">
        <v>73</v>
      </c>
      <c r="E1628" t="s">
        <v>138</v>
      </c>
      <c r="F1628" s="1">
        <v>42812</v>
      </c>
      <c r="G1628" s="1">
        <v>42866</v>
      </c>
      <c r="H1628">
        <v>4995</v>
      </c>
      <c r="I1628" t="str">
        <f>IF(COUNTIF(Products!$A$2:$A$8,C1628)=0,C1628,"")</f>
        <v/>
      </c>
      <c r="J1628">
        <f>IF(OR(E1628="Prospecting",E1628="Engaging"),VLOOKUP(C1628,Products!$A$2:$C$8,3,FALSE),0)</f>
        <v>0</v>
      </c>
    </row>
    <row r="1629" spans="1:10" x14ac:dyDescent="0.25">
      <c r="A1629" t="s">
        <v>1796</v>
      </c>
      <c r="B1629" t="s">
        <v>154</v>
      </c>
      <c r="C1629" t="s">
        <v>120</v>
      </c>
      <c r="E1629" t="s">
        <v>155</v>
      </c>
      <c r="F1629" s="1">
        <v>42812</v>
      </c>
      <c r="I1629" t="str">
        <f>IF(COUNTIF(Products!$A$2:$A$8,C1629)=0,C1629,"")</f>
        <v/>
      </c>
      <c r="J1629">
        <f>IF(OR(E1629="Prospecting",E1629="Engaging"),VLOOKUP(C1629,Products!$A$2:$C$8,3,FALSE),0)</f>
        <v>550</v>
      </c>
    </row>
    <row r="1630" spans="1:10" x14ac:dyDescent="0.25">
      <c r="A1630" t="s">
        <v>1797</v>
      </c>
      <c r="B1630" t="s">
        <v>154</v>
      </c>
      <c r="C1630" t="s">
        <v>120</v>
      </c>
      <c r="D1630" t="s">
        <v>41</v>
      </c>
      <c r="E1630" t="s">
        <v>159</v>
      </c>
      <c r="F1630" s="1">
        <v>42812</v>
      </c>
      <c r="G1630" s="1">
        <v>42908</v>
      </c>
      <c r="H1630">
        <v>0</v>
      </c>
      <c r="I1630" t="str">
        <f>IF(COUNTIF(Products!$A$2:$A$8,C1630)=0,C1630,"")</f>
        <v/>
      </c>
      <c r="J1630">
        <f>IF(OR(E1630="Prospecting",E1630="Engaging"),VLOOKUP(C1630,Products!$A$2:$C$8,3,FALSE),0)</f>
        <v>0</v>
      </c>
    </row>
    <row r="1631" spans="1:10" x14ac:dyDescent="0.25">
      <c r="A1631" t="s">
        <v>1798</v>
      </c>
      <c r="B1631" t="s">
        <v>303</v>
      </c>
      <c r="C1631" t="s">
        <v>127</v>
      </c>
      <c r="D1631" t="s">
        <v>14</v>
      </c>
      <c r="E1631" t="s">
        <v>138</v>
      </c>
      <c r="F1631" s="1">
        <v>42812</v>
      </c>
      <c r="G1631" s="1">
        <v>42881</v>
      </c>
      <c r="H1631">
        <v>1137</v>
      </c>
      <c r="I1631" t="str">
        <f>IF(COUNTIF(Products!$A$2:$A$8,C1631)=0,C1631,"")</f>
        <v/>
      </c>
      <c r="J1631">
        <f>IF(OR(E1631="Prospecting",E1631="Engaging"),VLOOKUP(C1631,Products!$A$2:$C$8,3,FALSE),0)</f>
        <v>0</v>
      </c>
    </row>
    <row r="1632" spans="1:10" x14ac:dyDescent="0.25">
      <c r="A1632" t="s">
        <v>1799</v>
      </c>
      <c r="B1632" t="s">
        <v>180</v>
      </c>
      <c r="C1632" t="s">
        <v>120</v>
      </c>
      <c r="D1632" t="s">
        <v>41</v>
      </c>
      <c r="E1632" t="s">
        <v>138</v>
      </c>
      <c r="F1632" s="1">
        <v>42812</v>
      </c>
      <c r="G1632" s="1">
        <v>42822</v>
      </c>
      <c r="H1632">
        <v>453</v>
      </c>
      <c r="I1632" t="str">
        <f>IF(COUNTIF(Products!$A$2:$A$8,C1632)=0,C1632,"")</f>
        <v/>
      </c>
      <c r="J1632">
        <f>IF(OR(E1632="Prospecting",E1632="Engaging"),VLOOKUP(C1632,Products!$A$2:$C$8,3,FALSE),0)</f>
        <v>0</v>
      </c>
    </row>
    <row r="1633" spans="1:10" x14ac:dyDescent="0.25">
      <c r="A1633" t="s">
        <v>1800</v>
      </c>
      <c r="B1633" t="s">
        <v>180</v>
      </c>
      <c r="C1633" t="s">
        <v>127</v>
      </c>
      <c r="D1633" t="s">
        <v>61</v>
      </c>
      <c r="E1633" t="s">
        <v>138</v>
      </c>
      <c r="F1633" s="1">
        <v>42812</v>
      </c>
      <c r="G1633" s="1">
        <v>42882</v>
      </c>
      <c r="H1633">
        <v>1065</v>
      </c>
      <c r="I1633" t="str">
        <f>IF(COUNTIF(Products!$A$2:$A$8,C1633)=0,C1633,"")</f>
        <v/>
      </c>
      <c r="J1633">
        <f>IF(OR(E1633="Prospecting",E1633="Engaging"),VLOOKUP(C1633,Products!$A$2:$C$8,3,FALSE),0)</f>
        <v>0</v>
      </c>
    </row>
    <row r="1634" spans="1:10" x14ac:dyDescent="0.25">
      <c r="A1634" t="s">
        <v>1801</v>
      </c>
      <c r="B1634" t="s">
        <v>180</v>
      </c>
      <c r="C1634" t="s">
        <v>122</v>
      </c>
      <c r="D1634" t="s">
        <v>93</v>
      </c>
      <c r="E1634" t="s">
        <v>138</v>
      </c>
      <c r="F1634" s="1">
        <v>42812</v>
      </c>
      <c r="G1634" s="1">
        <v>42859</v>
      </c>
      <c r="H1634">
        <v>4373</v>
      </c>
      <c r="I1634" t="str">
        <f>IF(COUNTIF(Products!$A$2:$A$8,C1634)=0,C1634,"")</f>
        <v/>
      </c>
      <c r="J1634">
        <f>IF(OR(E1634="Prospecting",E1634="Engaging"),VLOOKUP(C1634,Products!$A$2:$C$8,3,FALSE),0)</f>
        <v>0</v>
      </c>
    </row>
    <row r="1635" spans="1:10" x14ac:dyDescent="0.25">
      <c r="A1635" t="s">
        <v>1802</v>
      </c>
      <c r="B1635" t="s">
        <v>180</v>
      </c>
      <c r="C1635" t="s">
        <v>125</v>
      </c>
      <c r="D1635" t="s">
        <v>71</v>
      </c>
      <c r="E1635" t="s">
        <v>138</v>
      </c>
      <c r="F1635" s="1">
        <v>42812</v>
      </c>
      <c r="G1635" s="1">
        <v>42905</v>
      </c>
      <c r="H1635">
        <v>2560</v>
      </c>
      <c r="I1635" t="str">
        <f>IF(COUNTIF(Products!$A$2:$A$8,C1635)=0,C1635,"")</f>
        <v/>
      </c>
      <c r="J1635">
        <f>IF(OR(E1635="Prospecting",E1635="Engaging"),VLOOKUP(C1635,Products!$A$2:$C$8,3,FALSE),0)</f>
        <v>0</v>
      </c>
    </row>
    <row r="1636" spans="1:10" x14ac:dyDescent="0.25">
      <c r="A1636" t="s">
        <v>1803</v>
      </c>
      <c r="B1636" t="s">
        <v>191</v>
      </c>
      <c r="C1636" t="s">
        <v>122</v>
      </c>
      <c r="D1636" t="s">
        <v>93</v>
      </c>
      <c r="E1636" t="s">
        <v>159</v>
      </c>
      <c r="F1636" s="1">
        <v>42812</v>
      </c>
      <c r="G1636" s="1">
        <v>42890</v>
      </c>
      <c r="H1636">
        <v>0</v>
      </c>
      <c r="I1636" t="str">
        <f>IF(COUNTIF(Products!$A$2:$A$8,C1636)=0,C1636,"")</f>
        <v/>
      </c>
      <c r="J1636">
        <f>IF(OR(E1636="Prospecting",E1636="Engaging"),VLOOKUP(C1636,Products!$A$2:$C$8,3,FALSE),0)</f>
        <v>0</v>
      </c>
    </row>
    <row r="1637" spans="1:10" x14ac:dyDescent="0.25">
      <c r="A1637" t="s">
        <v>1804</v>
      </c>
      <c r="B1637" t="s">
        <v>150</v>
      </c>
      <c r="C1637" t="s">
        <v>127</v>
      </c>
      <c r="D1637" t="s">
        <v>59</v>
      </c>
      <c r="E1637" t="s">
        <v>138</v>
      </c>
      <c r="F1637" s="1">
        <v>42812</v>
      </c>
      <c r="G1637" s="1">
        <v>42825</v>
      </c>
      <c r="H1637">
        <v>1171</v>
      </c>
      <c r="I1637" t="str">
        <f>IF(COUNTIF(Products!$A$2:$A$8,C1637)=0,C1637,"")</f>
        <v/>
      </c>
      <c r="J1637">
        <f>IF(OR(E1637="Prospecting",E1637="Engaging"),VLOOKUP(C1637,Products!$A$2:$C$8,3,FALSE),0)</f>
        <v>0</v>
      </c>
    </row>
    <row r="1638" spans="1:10" x14ac:dyDescent="0.25">
      <c r="A1638" t="s">
        <v>1805</v>
      </c>
      <c r="B1638" t="s">
        <v>150</v>
      </c>
      <c r="C1638" t="s">
        <v>123</v>
      </c>
      <c r="D1638" t="s">
        <v>69</v>
      </c>
      <c r="E1638" t="s">
        <v>138</v>
      </c>
      <c r="F1638" s="1">
        <v>42812</v>
      </c>
      <c r="G1638" s="1">
        <v>42908</v>
      </c>
      <c r="H1638">
        <v>53</v>
      </c>
      <c r="I1638" t="str">
        <f>IF(COUNTIF(Products!$A$2:$A$8,C1638)=0,C1638,"")</f>
        <v/>
      </c>
      <c r="J1638">
        <f>IF(OR(E1638="Prospecting",E1638="Engaging"),VLOOKUP(C1638,Products!$A$2:$C$8,3,FALSE),0)</f>
        <v>0</v>
      </c>
    </row>
    <row r="1639" spans="1:10" x14ac:dyDescent="0.25">
      <c r="A1639" t="s">
        <v>1806</v>
      </c>
      <c r="B1639" t="s">
        <v>205</v>
      </c>
      <c r="C1639" t="s">
        <v>126</v>
      </c>
      <c r="D1639" t="s">
        <v>104</v>
      </c>
      <c r="E1639" t="s">
        <v>138</v>
      </c>
      <c r="F1639" s="1">
        <v>42812</v>
      </c>
      <c r="G1639" s="1">
        <v>42888</v>
      </c>
      <c r="H1639">
        <v>6553</v>
      </c>
      <c r="I1639" t="str">
        <f>IF(COUNTIF(Products!$A$2:$A$8,C1639)=0,C1639,"")</f>
        <v/>
      </c>
      <c r="J1639">
        <f>IF(OR(E1639="Prospecting",E1639="Engaging"),VLOOKUP(C1639,Products!$A$2:$C$8,3,FALSE),0)</f>
        <v>0</v>
      </c>
    </row>
    <row r="1640" spans="1:10" x14ac:dyDescent="0.25">
      <c r="A1640" t="s">
        <v>1807</v>
      </c>
      <c r="B1640" t="s">
        <v>205</v>
      </c>
      <c r="C1640" t="s">
        <v>125</v>
      </c>
      <c r="D1640" t="s">
        <v>12</v>
      </c>
      <c r="E1640" t="s">
        <v>138</v>
      </c>
      <c r="F1640" s="1">
        <v>42812</v>
      </c>
      <c r="G1640" s="1">
        <v>42862</v>
      </c>
      <c r="H1640">
        <v>3542</v>
      </c>
      <c r="I1640" t="str">
        <f>IF(COUNTIF(Products!$A$2:$A$8,C1640)=0,C1640,"")</f>
        <v/>
      </c>
      <c r="J1640">
        <f>IF(OR(E1640="Prospecting",E1640="Engaging"),VLOOKUP(C1640,Products!$A$2:$C$8,3,FALSE),0)</f>
        <v>0</v>
      </c>
    </row>
    <row r="1641" spans="1:10" x14ac:dyDescent="0.25">
      <c r="A1641" t="s">
        <v>1808</v>
      </c>
      <c r="B1641" t="s">
        <v>162</v>
      </c>
      <c r="C1641" t="s">
        <v>120</v>
      </c>
      <c r="E1641" t="s">
        <v>155</v>
      </c>
      <c r="F1641" s="1">
        <v>42812</v>
      </c>
      <c r="I1641" t="str">
        <f>IF(COUNTIF(Products!$A$2:$A$8,C1641)=0,C1641,"")</f>
        <v/>
      </c>
      <c r="J1641">
        <f>IF(OR(E1641="Prospecting",E1641="Engaging"),VLOOKUP(C1641,Products!$A$2:$C$8,3,FALSE),0)</f>
        <v>550</v>
      </c>
    </row>
    <row r="1642" spans="1:10" x14ac:dyDescent="0.25">
      <c r="A1642" t="s">
        <v>1809</v>
      </c>
      <c r="B1642" t="s">
        <v>137</v>
      </c>
      <c r="C1642" t="s">
        <v>125</v>
      </c>
      <c r="D1642" t="s">
        <v>42</v>
      </c>
      <c r="E1642" t="s">
        <v>138</v>
      </c>
      <c r="F1642" s="1">
        <v>42812</v>
      </c>
      <c r="G1642" s="1">
        <v>42897</v>
      </c>
      <c r="H1642">
        <v>3619</v>
      </c>
      <c r="I1642" t="str">
        <f>IF(COUNTIF(Products!$A$2:$A$8,C1642)=0,C1642,"")</f>
        <v/>
      </c>
      <c r="J1642">
        <f>IF(OR(E1642="Prospecting",E1642="Engaging"),VLOOKUP(C1642,Products!$A$2:$C$8,3,FALSE),0)</f>
        <v>0</v>
      </c>
    </row>
    <row r="1643" spans="1:10" x14ac:dyDescent="0.25">
      <c r="A1643" t="s">
        <v>1810</v>
      </c>
      <c r="B1643" t="s">
        <v>166</v>
      </c>
      <c r="C1643" t="s">
        <v>125</v>
      </c>
      <c r="E1643" t="s">
        <v>155</v>
      </c>
      <c r="F1643" s="1">
        <v>42812</v>
      </c>
      <c r="I1643" t="str">
        <f>IF(COUNTIF(Products!$A$2:$A$8,C1643)=0,C1643,"")</f>
        <v/>
      </c>
      <c r="J1643">
        <f>IF(OR(E1643="Prospecting",E1643="Engaging"),VLOOKUP(C1643,Products!$A$2:$C$8,3,FALSE),0)</f>
        <v>3393</v>
      </c>
    </row>
    <row r="1644" spans="1:10" x14ac:dyDescent="0.25">
      <c r="A1644" t="s">
        <v>1811</v>
      </c>
      <c r="B1644" t="s">
        <v>187</v>
      </c>
      <c r="C1644" t="s">
        <v>125</v>
      </c>
      <c r="D1644" t="s">
        <v>85</v>
      </c>
      <c r="E1644" t="s">
        <v>155</v>
      </c>
      <c r="F1644" s="1">
        <v>42812</v>
      </c>
      <c r="I1644" t="str">
        <f>IF(COUNTIF(Products!$A$2:$A$8,C1644)=0,C1644,"")</f>
        <v/>
      </c>
      <c r="J1644">
        <f>IF(OR(E1644="Prospecting",E1644="Engaging"),VLOOKUP(C1644,Products!$A$2:$C$8,3,FALSE),0)</f>
        <v>3393</v>
      </c>
    </row>
    <row r="1645" spans="1:10" x14ac:dyDescent="0.25">
      <c r="A1645" t="s">
        <v>1812</v>
      </c>
      <c r="B1645" t="s">
        <v>148</v>
      </c>
      <c r="C1645" t="s">
        <v>123</v>
      </c>
      <c r="E1645" t="s">
        <v>155</v>
      </c>
      <c r="F1645" s="1">
        <v>42812</v>
      </c>
      <c r="I1645" t="str">
        <f>IF(COUNTIF(Products!$A$2:$A$8,C1645)=0,C1645,"")</f>
        <v/>
      </c>
      <c r="J1645">
        <f>IF(OR(E1645="Prospecting",E1645="Engaging"),VLOOKUP(C1645,Products!$A$2:$C$8,3,FALSE),0)</f>
        <v>55</v>
      </c>
    </row>
    <row r="1646" spans="1:10" x14ac:dyDescent="0.25">
      <c r="A1646" t="s">
        <v>1813</v>
      </c>
      <c r="B1646" t="s">
        <v>196</v>
      </c>
      <c r="C1646" t="s">
        <v>125</v>
      </c>
      <c r="D1646" t="s">
        <v>19</v>
      </c>
      <c r="E1646" t="s">
        <v>138</v>
      </c>
      <c r="F1646" s="1">
        <v>42812</v>
      </c>
      <c r="G1646" s="1">
        <v>42873</v>
      </c>
      <c r="H1646">
        <v>3589</v>
      </c>
      <c r="I1646" t="str">
        <f>IF(COUNTIF(Products!$A$2:$A$8,C1646)=0,C1646,"")</f>
        <v/>
      </c>
      <c r="J1646">
        <f>IF(OR(E1646="Prospecting",E1646="Engaging"),VLOOKUP(C1646,Products!$A$2:$C$8,3,FALSE),0)</f>
        <v>0</v>
      </c>
    </row>
    <row r="1647" spans="1:10" x14ac:dyDescent="0.25">
      <c r="A1647" t="s">
        <v>1814</v>
      </c>
      <c r="B1647" t="s">
        <v>144</v>
      </c>
      <c r="C1647" t="s">
        <v>126</v>
      </c>
      <c r="D1647" t="s">
        <v>82</v>
      </c>
      <c r="E1647" t="s">
        <v>138</v>
      </c>
      <c r="F1647" s="1">
        <v>42812</v>
      </c>
      <c r="G1647" s="1">
        <v>42868</v>
      </c>
      <c r="H1647">
        <v>6262</v>
      </c>
      <c r="I1647" t="str">
        <f>IF(COUNTIF(Products!$A$2:$A$8,C1647)=0,C1647,"")</f>
        <v/>
      </c>
      <c r="J1647">
        <f>IF(OR(E1647="Prospecting",E1647="Engaging"),VLOOKUP(C1647,Products!$A$2:$C$8,3,FALSE),0)</f>
        <v>0</v>
      </c>
    </row>
    <row r="1648" spans="1:10" x14ac:dyDescent="0.25">
      <c r="A1648" t="s">
        <v>1815</v>
      </c>
      <c r="B1648" t="s">
        <v>207</v>
      </c>
      <c r="C1648" t="s">
        <v>127</v>
      </c>
      <c r="D1648" t="s">
        <v>75</v>
      </c>
      <c r="E1648" t="s">
        <v>155</v>
      </c>
      <c r="F1648" s="1">
        <v>42813</v>
      </c>
      <c r="I1648" t="str">
        <f>IF(COUNTIF(Products!$A$2:$A$8,C1648)=0,C1648,"")</f>
        <v/>
      </c>
      <c r="J1648">
        <f>IF(OR(E1648="Prospecting",E1648="Engaging"),VLOOKUP(C1648,Products!$A$2:$C$8,3,FALSE),0)</f>
        <v>1096</v>
      </c>
    </row>
    <row r="1649" spans="1:10" x14ac:dyDescent="0.25">
      <c r="A1649" t="s">
        <v>1816</v>
      </c>
      <c r="B1649" t="s">
        <v>207</v>
      </c>
      <c r="C1649" t="s">
        <v>127</v>
      </c>
      <c r="D1649" t="s">
        <v>7</v>
      </c>
      <c r="E1649" t="s">
        <v>138</v>
      </c>
      <c r="F1649" s="1">
        <v>42813</v>
      </c>
      <c r="G1649" s="1">
        <v>42818</v>
      </c>
      <c r="H1649">
        <v>1161</v>
      </c>
      <c r="I1649" t="str">
        <f>IF(COUNTIF(Products!$A$2:$A$8,C1649)=0,C1649,"")</f>
        <v/>
      </c>
      <c r="J1649">
        <f>IF(OR(E1649="Prospecting",E1649="Engaging"),VLOOKUP(C1649,Products!$A$2:$C$8,3,FALSE),0)</f>
        <v>0</v>
      </c>
    </row>
    <row r="1650" spans="1:10" x14ac:dyDescent="0.25">
      <c r="A1650" t="s">
        <v>1817</v>
      </c>
      <c r="B1650" t="s">
        <v>207</v>
      </c>
      <c r="C1650" t="s">
        <v>122</v>
      </c>
      <c r="D1650" t="s">
        <v>105</v>
      </c>
      <c r="E1650" t="s">
        <v>138</v>
      </c>
      <c r="F1650" s="1">
        <v>42813</v>
      </c>
      <c r="G1650" s="1">
        <v>42822</v>
      </c>
      <c r="H1650">
        <v>4975</v>
      </c>
      <c r="I1650" t="str">
        <f>IF(COUNTIF(Products!$A$2:$A$8,C1650)=0,C1650,"")</f>
        <v/>
      </c>
      <c r="J1650">
        <f>IF(OR(E1650="Prospecting",E1650="Engaging"),VLOOKUP(C1650,Products!$A$2:$C$8,3,FALSE),0)</f>
        <v>0</v>
      </c>
    </row>
    <row r="1651" spans="1:10" x14ac:dyDescent="0.25">
      <c r="A1651" t="s">
        <v>1818</v>
      </c>
      <c r="B1651" t="s">
        <v>239</v>
      </c>
      <c r="C1651" t="s">
        <v>120</v>
      </c>
      <c r="D1651" t="s">
        <v>115</v>
      </c>
      <c r="E1651" t="s">
        <v>138</v>
      </c>
      <c r="F1651" s="1">
        <v>42813</v>
      </c>
      <c r="G1651" s="1">
        <v>42816</v>
      </c>
      <c r="H1651">
        <v>586</v>
      </c>
      <c r="I1651" t="str">
        <f>IF(COUNTIF(Products!$A$2:$A$8,C1651)=0,C1651,"")</f>
        <v/>
      </c>
      <c r="J1651">
        <f>IF(OR(E1651="Prospecting",E1651="Engaging"),VLOOKUP(C1651,Products!$A$2:$C$8,3,FALSE),0)</f>
        <v>0</v>
      </c>
    </row>
    <row r="1652" spans="1:10" x14ac:dyDescent="0.25">
      <c r="A1652" t="s">
        <v>1819</v>
      </c>
      <c r="B1652" t="s">
        <v>239</v>
      </c>
      <c r="C1652" t="s">
        <v>123</v>
      </c>
      <c r="D1652" t="s">
        <v>102</v>
      </c>
      <c r="E1652" t="s">
        <v>138</v>
      </c>
      <c r="F1652" s="1">
        <v>42813</v>
      </c>
      <c r="G1652" s="1">
        <v>42819</v>
      </c>
      <c r="H1652">
        <v>41</v>
      </c>
      <c r="I1652" t="str">
        <f>IF(COUNTIF(Products!$A$2:$A$8,C1652)=0,C1652,"")</f>
        <v/>
      </c>
      <c r="J1652">
        <f>IF(OR(E1652="Prospecting",E1652="Engaging"),VLOOKUP(C1652,Products!$A$2:$C$8,3,FALSE),0)</f>
        <v>0</v>
      </c>
    </row>
    <row r="1653" spans="1:10" x14ac:dyDescent="0.25">
      <c r="A1653" t="s">
        <v>1820</v>
      </c>
      <c r="B1653" t="s">
        <v>171</v>
      </c>
      <c r="C1653" t="s">
        <v>127</v>
      </c>
      <c r="E1653" t="s">
        <v>155</v>
      </c>
      <c r="F1653" s="1">
        <v>42813</v>
      </c>
      <c r="I1653" t="str">
        <f>IF(COUNTIF(Products!$A$2:$A$8,C1653)=0,C1653,"")</f>
        <v/>
      </c>
      <c r="J1653">
        <f>IF(OR(E1653="Prospecting",E1653="Engaging"),VLOOKUP(C1653,Products!$A$2:$C$8,3,FALSE),0)</f>
        <v>1096</v>
      </c>
    </row>
    <row r="1654" spans="1:10" x14ac:dyDescent="0.25">
      <c r="A1654" t="s">
        <v>1821</v>
      </c>
      <c r="B1654" t="s">
        <v>140</v>
      </c>
      <c r="C1654" t="s">
        <v>127</v>
      </c>
      <c r="D1654" t="s">
        <v>88</v>
      </c>
      <c r="E1654" t="s">
        <v>138</v>
      </c>
      <c r="F1654" s="1">
        <v>42813</v>
      </c>
      <c r="G1654" s="1">
        <v>42815</v>
      </c>
      <c r="H1654">
        <v>929</v>
      </c>
      <c r="I1654" t="str">
        <f>IF(COUNTIF(Products!$A$2:$A$8,C1654)=0,C1654,"")</f>
        <v/>
      </c>
      <c r="J1654">
        <f>IF(OR(E1654="Prospecting",E1654="Engaging"),VLOOKUP(C1654,Products!$A$2:$C$8,3,FALSE),0)</f>
        <v>0</v>
      </c>
    </row>
    <row r="1655" spans="1:10" x14ac:dyDescent="0.25">
      <c r="A1655" t="s">
        <v>1822</v>
      </c>
      <c r="B1655" t="s">
        <v>140</v>
      </c>
      <c r="C1655" t="s">
        <v>123</v>
      </c>
      <c r="D1655" t="s">
        <v>96</v>
      </c>
      <c r="E1655" t="s">
        <v>138</v>
      </c>
      <c r="F1655" s="1">
        <v>42813</v>
      </c>
      <c r="G1655" s="1">
        <v>42890</v>
      </c>
      <c r="H1655">
        <v>65</v>
      </c>
      <c r="I1655" t="str">
        <f>IF(COUNTIF(Products!$A$2:$A$8,C1655)=0,C1655,"")</f>
        <v/>
      </c>
      <c r="J1655">
        <f>IF(OR(E1655="Prospecting",E1655="Engaging"),VLOOKUP(C1655,Products!$A$2:$C$8,3,FALSE),0)</f>
        <v>0</v>
      </c>
    </row>
    <row r="1656" spans="1:10" x14ac:dyDescent="0.25">
      <c r="A1656" t="s">
        <v>1823</v>
      </c>
      <c r="B1656" t="s">
        <v>224</v>
      </c>
      <c r="C1656" t="s">
        <v>120</v>
      </c>
      <c r="D1656" t="s">
        <v>112</v>
      </c>
      <c r="E1656" t="s">
        <v>138</v>
      </c>
      <c r="F1656" s="1">
        <v>42813</v>
      </c>
      <c r="G1656" s="1">
        <v>42824</v>
      </c>
      <c r="H1656">
        <v>574</v>
      </c>
      <c r="I1656" t="str">
        <f>IF(COUNTIF(Products!$A$2:$A$8,C1656)=0,C1656,"")</f>
        <v/>
      </c>
      <c r="J1656">
        <f>IF(OR(E1656="Prospecting",E1656="Engaging"),VLOOKUP(C1656,Products!$A$2:$C$8,3,FALSE),0)</f>
        <v>0</v>
      </c>
    </row>
    <row r="1657" spans="1:10" x14ac:dyDescent="0.25">
      <c r="A1657" t="s">
        <v>1824</v>
      </c>
      <c r="B1657" t="s">
        <v>158</v>
      </c>
      <c r="C1657" t="s">
        <v>122</v>
      </c>
      <c r="D1657" t="s">
        <v>27</v>
      </c>
      <c r="E1657" t="s">
        <v>159</v>
      </c>
      <c r="F1657" s="1">
        <v>42813</v>
      </c>
      <c r="G1657" s="1">
        <v>42912</v>
      </c>
      <c r="H1657">
        <v>0</v>
      </c>
      <c r="I1657" t="str">
        <f>IF(COUNTIF(Products!$A$2:$A$8,C1657)=0,C1657,"")</f>
        <v/>
      </c>
      <c r="J1657">
        <f>IF(OR(E1657="Prospecting",E1657="Engaging"),VLOOKUP(C1657,Products!$A$2:$C$8,3,FALSE),0)</f>
        <v>0</v>
      </c>
    </row>
    <row r="1658" spans="1:10" x14ac:dyDescent="0.25">
      <c r="A1658" t="s">
        <v>1825</v>
      </c>
      <c r="B1658" t="s">
        <v>158</v>
      </c>
      <c r="C1658" t="s">
        <v>122</v>
      </c>
      <c r="D1658" t="s">
        <v>96</v>
      </c>
      <c r="E1658" t="s">
        <v>159</v>
      </c>
      <c r="F1658" s="1">
        <v>42813</v>
      </c>
      <c r="G1658" s="1">
        <v>42864</v>
      </c>
      <c r="H1658">
        <v>0</v>
      </c>
      <c r="I1658" t="str">
        <f>IF(COUNTIF(Products!$A$2:$A$8,C1658)=0,C1658,"")</f>
        <v/>
      </c>
      <c r="J1658">
        <f>IF(OR(E1658="Prospecting",E1658="Engaging"),VLOOKUP(C1658,Products!$A$2:$C$8,3,FALSE),0)</f>
        <v>0</v>
      </c>
    </row>
    <row r="1659" spans="1:10" x14ac:dyDescent="0.25">
      <c r="A1659" t="s">
        <v>1826</v>
      </c>
      <c r="B1659" t="s">
        <v>164</v>
      </c>
      <c r="C1659" t="s">
        <v>125</v>
      </c>
      <c r="D1659" t="s">
        <v>71</v>
      </c>
      <c r="E1659" t="s">
        <v>138</v>
      </c>
      <c r="F1659" s="1">
        <v>42813</v>
      </c>
      <c r="G1659" s="1">
        <v>42902</v>
      </c>
      <c r="H1659">
        <v>3028</v>
      </c>
      <c r="I1659" t="str">
        <f>IF(COUNTIF(Products!$A$2:$A$8,C1659)=0,C1659,"")</f>
        <v/>
      </c>
      <c r="J1659">
        <f>IF(OR(E1659="Prospecting",E1659="Engaging"),VLOOKUP(C1659,Products!$A$2:$C$8,3,FALSE),0)</f>
        <v>0</v>
      </c>
    </row>
    <row r="1660" spans="1:10" x14ac:dyDescent="0.25">
      <c r="A1660" t="s">
        <v>1827</v>
      </c>
      <c r="B1660" t="s">
        <v>154</v>
      </c>
      <c r="C1660" t="s">
        <v>120</v>
      </c>
      <c r="D1660" t="s">
        <v>93</v>
      </c>
      <c r="E1660" t="s">
        <v>138</v>
      </c>
      <c r="F1660" s="1">
        <v>42813</v>
      </c>
      <c r="G1660" s="1">
        <v>42820</v>
      </c>
      <c r="H1660">
        <v>403</v>
      </c>
      <c r="I1660" t="str">
        <f>IF(COUNTIF(Products!$A$2:$A$8,C1660)=0,C1660,"")</f>
        <v/>
      </c>
      <c r="J1660">
        <f>IF(OR(E1660="Prospecting",E1660="Engaging"),VLOOKUP(C1660,Products!$A$2:$C$8,3,FALSE),0)</f>
        <v>0</v>
      </c>
    </row>
    <row r="1661" spans="1:10" x14ac:dyDescent="0.25">
      <c r="A1661" t="s">
        <v>1828</v>
      </c>
      <c r="B1661" t="s">
        <v>180</v>
      </c>
      <c r="C1661" t="s">
        <v>120</v>
      </c>
      <c r="D1661" t="s">
        <v>41</v>
      </c>
      <c r="E1661" t="s">
        <v>159</v>
      </c>
      <c r="F1661" s="1">
        <v>42813</v>
      </c>
      <c r="G1661" s="1">
        <v>42871</v>
      </c>
      <c r="H1661">
        <v>0</v>
      </c>
      <c r="I1661" t="str">
        <f>IF(COUNTIF(Products!$A$2:$A$8,C1661)=0,C1661,"")</f>
        <v/>
      </c>
      <c r="J1661">
        <f>IF(OR(E1661="Prospecting",E1661="Engaging"),VLOOKUP(C1661,Products!$A$2:$C$8,3,FALSE),0)</f>
        <v>0</v>
      </c>
    </row>
    <row r="1662" spans="1:10" x14ac:dyDescent="0.25">
      <c r="A1662" t="s">
        <v>1829</v>
      </c>
      <c r="B1662" t="s">
        <v>180</v>
      </c>
      <c r="C1662" t="s">
        <v>125</v>
      </c>
      <c r="D1662" t="s">
        <v>67</v>
      </c>
      <c r="E1662" t="s">
        <v>138</v>
      </c>
      <c r="F1662" s="1">
        <v>42813</v>
      </c>
      <c r="G1662" s="1">
        <v>42893</v>
      </c>
      <c r="H1662">
        <v>3290</v>
      </c>
      <c r="I1662" t="str">
        <f>IF(COUNTIF(Products!$A$2:$A$8,C1662)=0,C1662,"")</f>
        <v/>
      </c>
      <c r="J1662">
        <f>IF(OR(E1662="Prospecting",E1662="Engaging"),VLOOKUP(C1662,Products!$A$2:$C$8,3,FALSE),0)</f>
        <v>0</v>
      </c>
    </row>
    <row r="1663" spans="1:10" x14ac:dyDescent="0.25">
      <c r="A1663" t="s">
        <v>1830</v>
      </c>
      <c r="B1663" t="s">
        <v>191</v>
      </c>
      <c r="C1663" t="s">
        <v>120</v>
      </c>
      <c r="E1663" t="s">
        <v>155</v>
      </c>
      <c r="F1663" s="1">
        <v>42813</v>
      </c>
      <c r="I1663" t="str">
        <f>IF(COUNTIF(Products!$A$2:$A$8,C1663)=0,C1663,"")</f>
        <v/>
      </c>
      <c r="J1663">
        <f>IF(OR(E1663="Prospecting",E1663="Engaging"),VLOOKUP(C1663,Products!$A$2:$C$8,3,FALSE),0)</f>
        <v>550</v>
      </c>
    </row>
    <row r="1664" spans="1:10" x14ac:dyDescent="0.25">
      <c r="A1664" t="s">
        <v>1831</v>
      </c>
      <c r="B1664" t="s">
        <v>191</v>
      </c>
      <c r="C1664" t="s">
        <v>125</v>
      </c>
      <c r="D1664" t="s">
        <v>41</v>
      </c>
      <c r="E1664" t="s">
        <v>159</v>
      </c>
      <c r="F1664" s="1">
        <v>42813</v>
      </c>
      <c r="G1664" s="1">
        <v>42909</v>
      </c>
      <c r="H1664">
        <v>0</v>
      </c>
      <c r="I1664" t="str">
        <f>IF(COUNTIF(Products!$A$2:$A$8,C1664)=0,C1664,"")</f>
        <v/>
      </c>
      <c r="J1664">
        <f>IF(OR(E1664="Prospecting",E1664="Engaging"),VLOOKUP(C1664,Products!$A$2:$C$8,3,FALSE),0)</f>
        <v>0</v>
      </c>
    </row>
    <row r="1665" spans="1:10" x14ac:dyDescent="0.25">
      <c r="A1665" t="s">
        <v>1832</v>
      </c>
      <c r="B1665" t="s">
        <v>191</v>
      </c>
      <c r="C1665" t="s">
        <v>125</v>
      </c>
      <c r="D1665" t="s">
        <v>47</v>
      </c>
      <c r="E1665" t="s">
        <v>138</v>
      </c>
      <c r="F1665" s="1">
        <v>42813</v>
      </c>
      <c r="G1665" s="1">
        <v>42823</v>
      </c>
      <c r="H1665">
        <v>3550</v>
      </c>
      <c r="I1665" t="str">
        <f>IF(COUNTIF(Products!$A$2:$A$8,C1665)=0,C1665,"")</f>
        <v/>
      </c>
      <c r="J1665">
        <f>IF(OR(E1665="Prospecting",E1665="Engaging"),VLOOKUP(C1665,Products!$A$2:$C$8,3,FALSE),0)</f>
        <v>0</v>
      </c>
    </row>
    <row r="1666" spans="1:10" x14ac:dyDescent="0.25">
      <c r="A1666" t="s">
        <v>1833</v>
      </c>
      <c r="B1666" t="s">
        <v>137</v>
      </c>
      <c r="C1666" t="s">
        <v>125</v>
      </c>
      <c r="D1666" t="s">
        <v>85</v>
      </c>
      <c r="E1666" t="s">
        <v>138</v>
      </c>
      <c r="F1666" s="1">
        <v>42813</v>
      </c>
      <c r="G1666" s="1">
        <v>42909</v>
      </c>
      <c r="H1666">
        <v>3657</v>
      </c>
      <c r="I1666" t="str">
        <f>IF(COUNTIF(Products!$A$2:$A$8,C1666)=0,C1666,"")</f>
        <v/>
      </c>
      <c r="J1666">
        <f>IF(OR(E1666="Prospecting",E1666="Engaging"),VLOOKUP(C1666,Products!$A$2:$C$8,3,FALSE),0)</f>
        <v>0</v>
      </c>
    </row>
    <row r="1667" spans="1:10" x14ac:dyDescent="0.25">
      <c r="A1667" t="s">
        <v>1834</v>
      </c>
      <c r="B1667" t="s">
        <v>193</v>
      </c>
      <c r="C1667" t="s">
        <v>127</v>
      </c>
      <c r="D1667" t="s">
        <v>115</v>
      </c>
      <c r="E1667" t="s">
        <v>138</v>
      </c>
      <c r="F1667" s="1">
        <v>42813</v>
      </c>
      <c r="G1667" s="1">
        <v>42910</v>
      </c>
      <c r="H1667">
        <v>1046</v>
      </c>
      <c r="I1667" t="str">
        <f>IF(COUNTIF(Products!$A$2:$A$8,C1667)=0,C1667,"")</f>
        <v/>
      </c>
      <c r="J1667">
        <f>IF(OR(E1667="Prospecting",E1667="Engaging"),VLOOKUP(C1667,Products!$A$2:$C$8,3,FALSE),0)</f>
        <v>0</v>
      </c>
    </row>
    <row r="1668" spans="1:10" x14ac:dyDescent="0.25">
      <c r="A1668" t="s">
        <v>1835</v>
      </c>
      <c r="B1668" t="s">
        <v>169</v>
      </c>
      <c r="C1668" t="s">
        <v>123</v>
      </c>
      <c r="D1668" t="s">
        <v>77</v>
      </c>
      <c r="E1668" t="s">
        <v>138</v>
      </c>
      <c r="F1668" s="1">
        <v>42813</v>
      </c>
      <c r="G1668" s="1">
        <v>42882</v>
      </c>
      <c r="H1668">
        <v>50</v>
      </c>
      <c r="I1668" t="str">
        <f>IF(COUNTIF(Products!$A$2:$A$8,C1668)=0,C1668,"")</f>
        <v/>
      </c>
      <c r="J1668">
        <f>IF(OR(E1668="Prospecting",E1668="Engaging"),VLOOKUP(C1668,Products!$A$2:$C$8,3,FALSE),0)</f>
        <v>0</v>
      </c>
    </row>
    <row r="1669" spans="1:10" x14ac:dyDescent="0.25">
      <c r="A1669" t="s">
        <v>1836</v>
      </c>
      <c r="B1669" t="s">
        <v>169</v>
      </c>
      <c r="C1669" t="s">
        <v>125</v>
      </c>
      <c r="D1669" t="s">
        <v>46</v>
      </c>
      <c r="E1669" t="s">
        <v>138</v>
      </c>
      <c r="F1669" s="1">
        <v>42813</v>
      </c>
      <c r="G1669" s="1">
        <v>42821</v>
      </c>
      <c r="H1669">
        <v>2871</v>
      </c>
      <c r="I1669" t="str">
        <f>IF(COUNTIF(Products!$A$2:$A$8,C1669)=0,C1669,"")</f>
        <v/>
      </c>
      <c r="J1669">
        <f>IF(OR(E1669="Prospecting",E1669="Engaging"),VLOOKUP(C1669,Products!$A$2:$C$8,3,FALSE),0)</f>
        <v>0</v>
      </c>
    </row>
    <row r="1670" spans="1:10" x14ac:dyDescent="0.25">
      <c r="A1670" t="s">
        <v>1837</v>
      </c>
      <c r="B1670" t="s">
        <v>177</v>
      </c>
      <c r="C1670" t="s">
        <v>123</v>
      </c>
      <c r="D1670" t="s">
        <v>16</v>
      </c>
      <c r="E1670" t="s">
        <v>138</v>
      </c>
      <c r="F1670" s="1">
        <v>42813</v>
      </c>
      <c r="G1670" s="1">
        <v>42890</v>
      </c>
      <c r="H1670">
        <v>52</v>
      </c>
      <c r="I1670" t="str">
        <f>IF(COUNTIF(Products!$A$2:$A$8,C1670)=0,C1670,"")</f>
        <v/>
      </c>
      <c r="J1670">
        <f>IF(OR(E1670="Prospecting",E1670="Engaging"),VLOOKUP(C1670,Products!$A$2:$C$8,3,FALSE),0)</f>
        <v>0</v>
      </c>
    </row>
    <row r="1671" spans="1:10" x14ac:dyDescent="0.25">
      <c r="A1671" t="s">
        <v>1838</v>
      </c>
      <c r="B1671" t="s">
        <v>144</v>
      </c>
      <c r="C1671" t="s">
        <v>122</v>
      </c>
      <c r="E1671" t="s">
        <v>155</v>
      </c>
      <c r="F1671" s="1">
        <v>42813</v>
      </c>
      <c r="I1671" t="str">
        <f>IF(COUNTIF(Products!$A$2:$A$8,C1671)=0,C1671,"")</f>
        <v/>
      </c>
      <c r="J1671">
        <f>IF(OR(E1671="Prospecting",E1671="Engaging"),VLOOKUP(C1671,Products!$A$2:$C$8,3,FALSE),0)</f>
        <v>4821</v>
      </c>
    </row>
    <row r="1672" spans="1:10" x14ac:dyDescent="0.25">
      <c r="A1672" t="s">
        <v>1839</v>
      </c>
      <c r="B1672" t="s">
        <v>146</v>
      </c>
      <c r="C1672" t="s">
        <v>123</v>
      </c>
      <c r="D1672" t="s">
        <v>46</v>
      </c>
      <c r="E1672" t="s">
        <v>159</v>
      </c>
      <c r="F1672" s="1">
        <v>42814</v>
      </c>
      <c r="G1672" s="1">
        <v>42874</v>
      </c>
      <c r="H1672">
        <v>0</v>
      </c>
      <c r="I1672" t="str">
        <f>IF(COUNTIF(Products!$A$2:$A$8,C1672)=0,C1672,"")</f>
        <v/>
      </c>
      <c r="J1672">
        <f>IF(OR(E1672="Prospecting",E1672="Engaging"),VLOOKUP(C1672,Products!$A$2:$C$8,3,FALSE),0)</f>
        <v>0</v>
      </c>
    </row>
    <row r="1673" spans="1:10" x14ac:dyDescent="0.25">
      <c r="A1673" t="s">
        <v>1840</v>
      </c>
      <c r="B1673" t="s">
        <v>222</v>
      </c>
      <c r="C1673" t="s">
        <v>120</v>
      </c>
      <c r="D1673" t="s">
        <v>67</v>
      </c>
      <c r="E1673" t="s">
        <v>138</v>
      </c>
      <c r="F1673" s="1">
        <v>42814</v>
      </c>
      <c r="G1673" s="1">
        <v>42898</v>
      </c>
      <c r="H1673">
        <v>564</v>
      </c>
      <c r="I1673" t="str">
        <f>IF(COUNTIF(Products!$A$2:$A$8,C1673)=0,C1673,"")</f>
        <v/>
      </c>
      <c r="J1673">
        <f>IF(OR(E1673="Prospecting",E1673="Engaging"),VLOOKUP(C1673,Products!$A$2:$C$8,3,FALSE),0)</f>
        <v>0</v>
      </c>
    </row>
    <row r="1674" spans="1:10" x14ac:dyDescent="0.25">
      <c r="A1674" t="s">
        <v>1841</v>
      </c>
      <c r="B1674" t="s">
        <v>207</v>
      </c>
      <c r="C1674" t="s">
        <v>126</v>
      </c>
      <c r="D1674" t="s">
        <v>37</v>
      </c>
      <c r="E1674" t="s">
        <v>159</v>
      </c>
      <c r="F1674" s="1">
        <v>42814</v>
      </c>
      <c r="G1674" s="1">
        <v>42878</v>
      </c>
      <c r="H1674">
        <v>0</v>
      </c>
      <c r="I1674" t="str">
        <f>IF(COUNTIF(Products!$A$2:$A$8,C1674)=0,C1674,"")</f>
        <v/>
      </c>
      <c r="J1674">
        <f>IF(OR(E1674="Prospecting",E1674="Engaging"),VLOOKUP(C1674,Products!$A$2:$C$8,3,FALSE),0)</f>
        <v>0</v>
      </c>
    </row>
    <row r="1675" spans="1:10" x14ac:dyDescent="0.25">
      <c r="A1675" t="s">
        <v>1842</v>
      </c>
      <c r="B1675" t="s">
        <v>239</v>
      </c>
      <c r="C1675" t="s">
        <v>120</v>
      </c>
      <c r="D1675" t="s">
        <v>82</v>
      </c>
      <c r="E1675" t="s">
        <v>155</v>
      </c>
      <c r="F1675" s="1">
        <v>42814</v>
      </c>
      <c r="I1675" t="str">
        <f>IF(COUNTIF(Products!$A$2:$A$8,C1675)=0,C1675,"")</f>
        <v/>
      </c>
      <c r="J1675">
        <f>IF(OR(E1675="Prospecting",E1675="Engaging"),VLOOKUP(C1675,Products!$A$2:$C$8,3,FALSE),0)</f>
        <v>550</v>
      </c>
    </row>
    <row r="1676" spans="1:10" x14ac:dyDescent="0.25">
      <c r="A1676" t="s">
        <v>1843</v>
      </c>
      <c r="B1676" t="s">
        <v>171</v>
      </c>
      <c r="C1676" t="s">
        <v>125</v>
      </c>
      <c r="D1676" t="s">
        <v>48</v>
      </c>
      <c r="E1676" t="s">
        <v>138</v>
      </c>
      <c r="F1676" s="1">
        <v>42814</v>
      </c>
      <c r="G1676" s="1">
        <v>42888</v>
      </c>
      <c r="H1676">
        <v>3780</v>
      </c>
      <c r="I1676" t="str">
        <f>IF(COUNTIF(Products!$A$2:$A$8,C1676)=0,C1676,"")</f>
        <v/>
      </c>
      <c r="J1676">
        <f>IF(OR(E1676="Prospecting",E1676="Engaging"),VLOOKUP(C1676,Products!$A$2:$C$8,3,FALSE),0)</f>
        <v>0</v>
      </c>
    </row>
    <row r="1677" spans="1:10" x14ac:dyDescent="0.25">
      <c r="A1677" t="s">
        <v>1844</v>
      </c>
      <c r="B1677" t="s">
        <v>140</v>
      </c>
      <c r="C1677" t="s">
        <v>120</v>
      </c>
      <c r="D1677" t="s">
        <v>30</v>
      </c>
      <c r="E1677" t="s">
        <v>138</v>
      </c>
      <c r="F1677" s="1">
        <v>42814</v>
      </c>
      <c r="G1677" s="1">
        <v>42910</v>
      </c>
      <c r="H1677">
        <v>491</v>
      </c>
      <c r="I1677" t="str">
        <f>IF(COUNTIF(Products!$A$2:$A$8,C1677)=0,C1677,"")</f>
        <v/>
      </c>
      <c r="J1677">
        <f>IF(OR(E1677="Prospecting",E1677="Engaging"),VLOOKUP(C1677,Products!$A$2:$C$8,3,FALSE),0)</f>
        <v>0</v>
      </c>
    </row>
    <row r="1678" spans="1:10" x14ac:dyDescent="0.25">
      <c r="A1678" t="s">
        <v>1845</v>
      </c>
      <c r="B1678" t="s">
        <v>140</v>
      </c>
      <c r="C1678" t="s">
        <v>120</v>
      </c>
      <c r="D1678" t="s">
        <v>36</v>
      </c>
      <c r="E1678" t="s">
        <v>138</v>
      </c>
      <c r="F1678" s="1">
        <v>42814</v>
      </c>
      <c r="G1678" s="1">
        <v>42824</v>
      </c>
      <c r="H1678">
        <v>604</v>
      </c>
      <c r="I1678" t="str">
        <f>IF(COUNTIF(Products!$A$2:$A$8,C1678)=0,C1678,"")</f>
        <v/>
      </c>
      <c r="J1678">
        <f>IF(OR(E1678="Prospecting",E1678="Engaging"),VLOOKUP(C1678,Products!$A$2:$C$8,3,FALSE),0)</f>
        <v>0</v>
      </c>
    </row>
    <row r="1679" spans="1:10" x14ac:dyDescent="0.25">
      <c r="A1679" t="s">
        <v>1846</v>
      </c>
      <c r="B1679" t="s">
        <v>173</v>
      </c>
      <c r="C1679" t="s">
        <v>128</v>
      </c>
      <c r="D1679" t="s">
        <v>93</v>
      </c>
      <c r="E1679" t="s">
        <v>159</v>
      </c>
      <c r="F1679" s="1">
        <v>42814</v>
      </c>
      <c r="G1679" s="1">
        <v>42882</v>
      </c>
      <c r="H1679">
        <v>0</v>
      </c>
      <c r="I1679" t="str">
        <f>IF(COUNTIF(Products!$A$2:$A$8,C1679)=0,C1679,"")</f>
        <v/>
      </c>
      <c r="J1679">
        <f>IF(OR(E1679="Prospecting",E1679="Engaging"),VLOOKUP(C1679,Products!$A$2:$C$8,3,FALSE),0)</f>
        <v>0</v>
      </c>
    </row>
    <row r="1680" spans="1:10" x14ac:dyDescent="0.25">
      <c r="A1680" t="s">
        <v>1847</v>
      </c>
      <c r="B1680" t="s">
        <v>180</v>
      </c>
      <c r="C1680" t="s">
        <v>120</v>
      </c>
      <c r="D1680" t="s">
        <v>41</v>
      </c>
      <c r="E1680" t="s">
        <v>159</v>
      </c>
      <c r="F1680" s="1">
        <v>42814</v>
      </c>
      <c r="G1680" s="1">
        <v>42817</v>
      </c>
      <c r="H1680">
        <v>0</v>
      </c>
      <c r="I1680" t="str">
        <f>IF(COUNTIF(Products!$A$2:$A$8,C1680)=0,C1680,"")</f>
        <v/>
      </c>
      <c r="J1680">
        <f>IF(OR(E1680="Prospecting",E1680="Engaging"),VLOOKUP(C1680,Products!$A$2:$C$8,3,FALSE),0)</f>
        <v>0</v>
      </c>
    </row>
    <row r="1681" spans="1:10" x14ac:dyDescent="0.25">
      <c r="A1681" t="s">
        <v>1848</v>
      </c>
      <c r="B1681" t="s">
        <v>180</v>
      </c>
      <c r="C1681" t="s">
        <v>120</v>
      </c>
      <c r="D1681" t="s">
        <v>23</v>
      </c>
      <c r="E1681" t="s">
        <v>138</v>
      </c>
      <c r="F1681" s="1">
        <v>42814</v>
      </c>
      <c r="G1681" s="1">
        <v>42909</v>
      </c>
      <c r="H1681">
        <v>568</v>
      </c>
      <c r="I1681" t="str">
        <f>IF(COUNTIF(Products!$A$2:$A$8,C1681)=0,C1681,"")</f>
        <v/>
      </c>
      <c r="J1681">
        <f>IF(OR(E1681="Prospecting",E1681="Engaging"),VLOOKUP(C1681,Products!$A$2:$C$8,3,FALSE),0)</f>
        <v>0</v>
      </c>
    </row>
    <row r="1682" spans="1:10" x14ac:dyDescent="0.25">
      <c r="A1682" t="s">
        <v>1849</v>
      </c>
      <c r="B1682" t="s">
        <v>191</v>
      </c>
      <c r="C1682" t="s">
        <v>120</v>
      </c>
      <c r="D1682" t="s">
        <v>93</v>
      </c>
      <c r="E1682" t="s">
        <v>138</v>
      </c>
      <c r="F1682" s="1">
        <v>42814</v>
      </c>
      <c r="G1682" s="1">
        <v>42910</v>
      </c>
      <c r="H1682">
        <v>601</v>
      </c>
      <c r="I1682" t="str">
        <f>IF(COUNTIF(Products!$A$2:$A$8,C1682)=0,C1682,"")</f>
        <v/>
      </c>
      <c r="J1682">
        <f>IF(OR(E1682="Prospecting",E1682="Engaging"),VLOOKUP(C1682,Products!$A$2:$C$8,3,FALSE),0)</f>
        <v>0</v>
      </c>
    </row>
    <row r="1683" spans="1:10" x14ac:dyDescent="0.25">
      <c r="A1683" t="s">
        <v>1850</v>
      </c>
      <c r="B1683" t="s">
        <v>162</v>
      </c>
      <c r="C1683" t="s">
        <v>127</v>
      </c>
      <c r="E1683" t="s">
        <v>155</v>
      </c>
      <c r="F1683" s="1">
        <v>42814</v>
      </c>
      <c r="I1683" t="str">
        <f>IF(COUNTIF(Products!$A$2:$A$8,C1683)=0,C1683,"")</f>
        <v/>
      </c>
      <c r="J1683">
        <f>IF(OR(E1683="Prospecting",E1683="Engaging"),VLOOKUP(C1683,Products!$A$2:$C$8,3,FALSE),0)</f>
        <v>1096</v>
      </c>
    </row>
    <row r="1684" spans="1:10" x14ac:dyDescent="0.25">
      <c r="A1684" t="s">
        <v>1851</v>
      </c>
      <c r="B1684" t="s">
        <v>162</v>
      </c>
      <c r="C1684" t="s">
        <v>125</v>
      </c>
      <c r="D1684" t="s">
        <v>17</v>
      </c>
      <c r="E1684" t="s">
        <v>159</v>
      </c>
      <c r="F1684" s="1">
        <v>42814</v>
      </c>
      <c r="G1684" s="1">
        <v>42888</v>
      </c>
      <c r="H1684">
        <v>0</v>
      </c>
      <c r="I1684" t="str">
        <f>IF(COUNTIF(Products!$A$2:$A$8,C1684)=0,C1684,"")</f>
        <v/>
      </c>
      <c r="J1684">
        <f>IF(OR(E1684="Prospecting",E1684="Engaging"),VLOOKUP(C1684,Products!$A$2:$C$8,3,FALSE),0)</f>
        <v>0</v>
      </c>
    </row>
    <row r="1685" spans="1:10" x14ac:dyDescent="0.25">
      <c r="A1685" t="s">
        <v>1852</v>
      </c>
      <c r="B1685" t="s">
        <v>152</v>
      </c>
      <c r="C1685" t="s">
        <v>126</v>
      </c>
      <c r="D1685" t="s">
        <v>51</v>
      </c>
      <c r="E1685" t="s">
        <v>138</v>
      </c>
      <c r="F1685" s="1">
        <v>42814</v>
      </c>
      <c r="G1685" s="1">
        <v>42861</v>
      </c>
      <c r="H1685">
        <v>5616</v>
      </c>
      <c r="I1685" t="str">
        <f>IF(COUNTIF(Products!$A$2:$A$8,C1685)=0,C1685,"")</f>
        <v/>
      </c>
      <c r="J1685">
        <f>IF(OR(E1685="Prospecting",E1685="Engaging"),VLOOKUP(C1685,Products!$A$2:$C$8,3,FALSE),0)</f>
        <v>0</v>
      </c>
    </row>
    <row r="1686" spans="1:10" x14ac:dyDescent="0.25">
      <c r="A1686" t="s">
        <v>1853</v>
      </c>
      <c r="B1686" t="s">
        <v>193</v>
      </c>
      <c r="C1686" t="s">
        <v>122</v>
      </c>
      <c r="D1686" t="s">
        <v>115</v>
      </c>
      <c r="E1686" t="s">
        <v>159</v>
      </c>
      <c r="F1686" s="1">
        <v>42814</v>
      </c>
      <c r="G1686" s="1">
        <v>42914</v>
      </c>
      <c r="H1686">
        <v>0</v>
      </c>
      <c r="I1686" t="str">
        <f>IF(COUNTIF(Products!$A$2:$A$8,C1686)=0,C1686,"")</f>
        <v/>
      </c>
      <c r="J1686">
        <f>IF(OR(E1686="Prospecting",E1686="Engaging"),VLOOKUP(C1686,Products!$A$2:$C$8,3,FALSE),0)</f>
        <v>0</v>
      </c>
    </row>
    <row r="1687" spans="1:10" x14ac:dyDescent="0.25">
      <c r="A1687" t="s">
        <v>1854</v>
      </c>
      <c r="B1687" t="s">
        <v>166</v>
      </c>
      <c r="C1687" t="s">
        <v>122</v>
      </c>
      <c r="D1687" t="s">
        <v>39</v>
      </c>
      <c r="E1687" t="s">
        <v>159</v>
      </c>
      <c r="F1687" s="1">
        <v>42814</v>
      </c>
      <c r="G1687" s="1">
        <v>42873</v>
      </c>
      <c r="H1687">
        <v>0</v>
      </c>
      <c r="I1687" t="str">
        <f>IF(COUNTIF(Products!$A$2:$A$8,C1687)=0,C1687,"")</f>
        <v/>
      </c>
      <c r="J1687">
        <f>IF(OR(E1687="Prospecting",E1687="Engaging"),VLOOKUP(C1687,Products!$A$2:$C$8,3,FALSE),0)</f>
        <v>0</v>
      </c>
    </row>
    <row r="1688" spans="1:10" x14ac:dyDescent="0.25">
      <c r="A1688" t="s">
        <v>1855</v>
      </c>
      <c r="B1688" t="s">
        <v>169</v>
      </c>
      <c r="C1688" t="s">
        <v>123</v>
      </c>
      <c r="D1688" t="s">
        <v>30</v>
      </c>
      <c r="E1688" t="s">
        <v>159</v>
      </c>
      <c r="F1688" s="1">
        <v>42814</v>
      </c>
      <c r="G1688" s="1">
        <v>42907</v>
      </c>
      <c r="H1688">
        <v>0</v>
      </c>
      <c r="I1688" t="str">
        <f>IF(COUNTIF(Products!$A$2:$A$8,C1688)=0,C1688,"")</f>
        <v/>
      </c>
      <c r="J1688">
        <f>IF(OR(E1688="Prospecting",E1688="Engaging"),VLOOKUP(C1688,Products!$A$2:$C$8,3,FALSE),0)</f>
        <v>0</v>
      </c>
    </row>
    <row r="1689" spans="1:10" x14ac:dyDescent="0.25">
      <c r="A1689" t="s">
        <v>1856</v>
      </c>
      <c r="B1689" t="s">
        <v>148</v>
      </c>
      <c r="C1689" t="s">
        <v>125</v>
      </c>
      <c r="D1689" t="s">
        <v>90</v>
      </c>
      <c r="E1689" t="s">
        <v>159</v>
      </c>
      <c r="F1689" s="1">
        <v>42814</v>
      </c>
      <c r="G1689" s="1">
        <v>42898</v>
      </c>
      <c r="H1689">
        <v>0</v>
      </c>
      <c r="I1689" t="str">
        <f>IF(COUNTIF(Products!$A$2:$A$8,C1689)=0,C1689,"")</f>
        <v/>
      </c>
      <c r="J1689">
        <f>IF(OR(E1689="Prospecting",E1689="Engaging"),VLOOKUP(C1689,Products!$A$2:$C$8,3,FALSE),0)</f>
        <v>0</v>
      </c>
    </row>
    <row r="1690" spans="1:10" x14ac:dyDescent="0.25">
      <c r="A1690" t="s">
        <v>1857</v>
      </c>
      <c r="B1690" t="s">
        <v>177</v>
      </c>
      <c r="C1690" t="s">
        <v>120</v>
      </c>
      <c r="D1690" t="s">
        <v>81</v>
      </c>
      <c r="E1690" t="s">
        <v>138</v>
      </c>
      <c r="F1690" s="1">
        <v>42814</v>
      </c>
      <c r="G1690" s="1">
        <v>42915</v>
      </c>
      <c r="H1690">
        <v>542</v>
      </c>
      <c r="I1690" t="str">
        <f>IF(COUNTIF(Products!$A$2:$A$8,C1690)=0,C1690,"")</f>
        <v/>
      </c>
      <c r="J1690">
        <f>IF(OR(E1690="Prospecting",E1690="Engaging"),VLOOKUP(C1690,Products!$A$2:$C$8,3,FALSE),0)</f>
        <v>0</v>
      </c>
    </row>
    <row r="1691" spans="1:10" x14ac:dyDescent="0.25">
      <c r="A1691" t="s">
        <v>1858</v>
      </c>
      <c r="B1691" t="s">
        <v>196</v>
      </c>
      <c r="C1691" t="s">
        <v>120</v>
      </c>
      <c r="D1691" t="s">
        <v>50</v>
      </c>
      <c r="E1691" t="s">
        <v>138</v>
      </c>
      <c r="F1691" s="1">
        <v>42814</v>
      </c>
      <c r="G1691" s="1">
        <v>42900</v>
      </c>
      <c r="H1691">
        <v>497</v>
      </c>
      <c r="I1691" t="str">
        <f>IF(COUNTIF(Products!$A$2:$A$8,C1691)=0,C1691,"")</f>
        <v/>
      </c>
      <c r="J1691">
        <f>IF(OR(E1691="Prospecting",E1691="Engaging"),VLOOKUP(C1691,Products!$A$2:$C$8,3,FALSE),0)</f>
        <v>0</v>
      </c>
    </row>
    <row r="1692" spans="1:10" x14ac:dyDescent="0.25">
      <c r="A1692" t="s">
        <v>1859</v>
      </c>
      <c r="B1692" t="s">
        <v>144</v>
      </c>
      <c r="C1692" t="s">
        <v>122</v>
      </c>
      <c r="D1692" t="s">
        <v>66</v>
      </c>
      <c r="E1692" t="s">
        <v>138</v>
      </c>
      <c r="F1692" s="1">
        <v>42814</v>
      </c>
      <c r="G1692" s="1">
        <v>42877</v>
      </c>
      <c r="H1692">
        <v>5443</v>
      </c>
      <c r="I1692" t="str">
        <f>IF(COUNTIF(Products!$A$2:$A$8,C1692)=0,C1692,"")</f>
        <v/>
      </c>
      <c r="J1692">
        <f>IF(OR(E1692="Prospecting",E1692="Engaging"),VLOOKUP(C1692,Products!$A$2:$C$8,3,FALSE),0)</f>
        <v>0</v>
      </c>
    </row>
    <row r="1693" spans="1:10" x14ac:dyDescent="0.25">
      <c r="A1693" t="s">
        <v>1860</v>
      </c>
      <c r="B1693" t="s">
        <v>146</v>
      </c>
      <c r="C1693" t="s">
        <v>127</v>
      </c>
      <c r="D1693" t="s">
        <v>85</v>
      </c>
      <c r="E1693" t="s">
        <v>138</v>
      </c>
      <c r="F1693" s="1">
        <v>42815</v>
      </c>
      <c r="G1693" s="1">
        <v>42902</v>
      </c>
      <c r="H1693">
        <v>1037</v>
      </c>
      <c r="I1693" t="str">
        <f>IF(COUNTIF(Products!$A$2:$A$8,C1693)=0,C1693,"")</f>
        <v/>
      </c>
      <c r="J1693">
        <f>IF(OR(E1693="Prospecting",E1693="Engaging"),VLOOKUP(C1693,Products!$A$2:$C$8,3,FALSE),0)</f>
        <v>0</v>
      </c>
    </row>
    <row r="1694" spans="1:10" x14ac:dyDescent="0.25">
      <c r="A1694" t="s">
        <v>1861</v>
      </c>
      <c r="B1694" t="s">
        <v>222</v>
      </c>
      <c r="C1694" t="s">
        <v>127</v>
      </c>
      <c r="D1694" t="s">
        <v>85</v>
      </c>
      <c r="E1694" t="s">
        <v>155</v>
      </c>
      <c r="F1694" s="1">
        <v>42815</v>
      </c>
      <c r="I1694" t="str">
        <f>IF(COUNTIF(Products!$A$2:$A$8,C1694)=0,C1694,"")</f>
        <v/>
      </c>
      <c r="J1694">
        <f>IF(OR(E1694="Prospecting",E1694="Engaging"),VLOOKUP(C1694,Products!$A$2:$C$8,3,FALSE),0)</f>
        <v>1096</v>
      </c>
    </row>
    <row r="1695" spans="1:10" x14ac:dyDescent="0.25">
      <c r="A1695" t="s">
        <v>1862</v>
      </c>
      <c r="B1695" t="s">
        <v>222</v>
      </c>
      <c r="C1695" t="s">
        <v>127</v>
      </c>
      <c r="D1695" t="s">
        <v>10</v>
      </c>
      <c r="E1695" t="s">
        <v>138</v>
      </c>
      <c r="F1695" s="1">
        <v>42815</v>
      </c>
      <c r="G1695" s="1">
        <v>42828</v>
      </c>
      <c r="H1695">
        <v>992</v>
      </c>
      <c r="I1695" t="str">
        <f>IF(COUNTIF(Products!$A$2:$A$8,C1695)=0,C1695,"")</f>
        <v/>
      </c>
      <c r="J1695">
        <f>IF(OR(E1695="Prospecting",E1695="Engaging"),VLOOKUP(C1695,Products!$A$2:$C$8,3,FALSE),0)</f>
        <v>0</v>
      </c>
    </row>
    <row r="1696" spans="1:10" x14ac:dyDescent="0.25">
      <c r="A1696" t="s">
        <v>1863</v>
      </c>
      <c r="B1696" t="s">
        <v>264</v>
      </c>
      <c r="C1696" t="s">
        <v>127</v>
      </c>
      <c r="D1696" t="s">
        <v>94</v>
      </c>
      <c r="E1696" t="s">
        <v>138</v>
      </c>
      <c r="F1696" s="1">
        <v>42815</v>
      </c>
      <c r="G1696" s="1">
        <v>42824</v>
      </c>
      <c r="H1696">
        <v>966</v>
      </c>
      <c r="I1696" t="str">
        <f>IF(COUNTIF(Products!$A$2:$A$8,C1696)=0,C1696,"")</f>
        <v/>
      </c>
      <c r="J1696">
        <f>IF(OR(E1696="Prospecting",E1696="Engaging"),VLOOKUP(C1696,Products!$A$2:$C$8,3,FALSE),0)</f>
        <v>0</v>
      </c>
    </row>
    <row r="1697" spans="1:10" x14ac:dyDescent="0.25">
      <c r="A1697" t="s">
        <v>1864</v>
      </c>
      <c r="B1697" t="s">
        <v>171</v>
      </c>
      <c r="C1697" t="s">
        <v>125</v>
      </c>
      <c r="D1697" t="s">
        <v>115</v>
      </c>
      <c r="E1697" t="s">
        <v>159</v>
      </c>
      <c r="F1697" s="1">
        <v>42815</v>
      </c>
      <c r="G1697" s="1">
        <v>42912</v>
      </c>
      <c r="H1697">
        <v>0</v>
      </c>
      <c r="I1697" t="str">
        <f>IF(COUNTIF(Products!$A$2:$A$8,C1697)=0,C1697,"")</f>
        <v/>
      </c>
      <c r="J1697">
        <f>IF(OR(E1697="Prospecting",E1697="Engaging"),VLOOKUP(C1697,Products!$A$2:$C$8,3,FALSE),0)</f>
        <v>0</v>
      </c>
    </row>
    <row r="1698" spans="1:10" x14ac:dyDescent="0.25">
      <c r="A1698" t="s">
        <v>1865</v>
      </c>
      <c r="B1698" t="s">
        <v>198</v>
      </c>
      <c r="C1698" t="s">
        <v>126</v>
      </c>
      <c r="D1698" t="s">
        <v>106</v>
      </c>
      <c r="E1698" t="s">
        <v>159</v>
      </c>
      <c r="F1698" s="1">
        <v>42815</v>
      </c>
      <c r="G1698" s="1">
        <v>42826</v>
      </c>
      <c r="H1698">
        <v>0</v>
      </c>
      <c r="I1698" t="str">
        <f>IF(COUNTIF(Products!$A$2:$A$8,C1698)=0,C1698,"")</f>
        <v/>
      </c>
      <c r="J1698">
        <f>IF(OR(E1698="Prospecting",E1698="Engaging"),VLOOKUP(C1698,Products!$A$2:$C$8,3,FALSE),0)</f>
        <v>0</v>
      </c>
    </row>
    <row r="1699" spans="1:10" x14ac:dyDescent="0.25">
      <c r="A1699" t="s">
        <v>1866</v>
      </c>
      <c r="B1699" t="s">
        <v>303</v>
      </c>
      <c r="C1699" t="s">
        <v>120</v>
      </c>
      <c r="D1699" t="s">
        <v>77</v>
      </c>
      <c r="E1699" t="s">
        <v>159</v>
      </c>
      <c r="F1699" s="1">
        <v>42815</v>
      </c>
      <c r="G1699" s="1">
        <v>42826</v>
      </c>
      <c r="H1699">
        <v>0</v>
      </c>
      <c r="I1699" t="str">
        <f>IF(COUNTIF(Products!$A$2:$A$8,C1699)=0,C1699,"")</f>
        <v/>
      </c>
      <c r="J1699">
        <f>IF(OR(E1699="Prospecting",E1699="Engaging"),VLOOKUP(C1699,Products!$A$2:$C$8,3,FALSE),0)</f>
        <v>0</v>
      </c>
    </row>
    <row r="1700" spans="1:10" x14ac:dyDescent="0.25">
      <c r="A1700" t="s">
        <v>1867</v>
      </c>
      <c r="B1700" t="s">
        <v>303</v>
      </c>
      <c r="C1700" t="s">
        <v>125</v>
      </c>
      <c r="D1700" t="s">
        <v>88</v>
      </c>
      <c r="E1700" t="s">
        <v>138</v>
      </c>
      <c r="F1700" s="1">
        <v>42815</v>
      </c>
      <c r="G1700" s="1">
        <v>42866</v>
      </c>
      <c r="H1700">
        <v>3232</v>
      </c>
      <c r="I1700" t="str">
        <f>IF(COUNTIF(Products!$A$2:$A$8,C1700)=0,C1700,"")</f>
        <v/>
      </c>
      <c r="J1700">
        <f>IF(OR(E1700="Prospecting",E1700="Engaging"),VLOOKUP(C1700,Products!$A$2:$C$8,3,FALSE),0)</f>
        <v>0</v>
      </c>
    </row>
    <row r="1701" spans="1:10" x14ac:dyDescent="0.25">
      <c r="A1701" t="s">
        <v>1868</v>
      </c>
      <c r="B1701" t="s">
        <v>193</v>
      </c>
      <c r="C1701" t="s">
        <v>120</v>
      </c>
      <c r="D1701" t="s">
        <v>48</v>
      </c>
      <c r="E1701" t="s">
        <v>138</v>
      </c>
      <c r="F1701" s="1">
        <v>42815</v>
      </c>
      <c r="G1701" s="1">
        <v>42884</v>
      </c>
      <c r="H1701">
        <v>548</v>
      </c>
      <c r="I1701" t="str">
        <f>IF(COUNTIF(Products!$A$2:$A$8,C1701)=0,C1701,"")</f>
        <v/>
      </c>
      <c r="J1701">
        <f>IF(OR(E1701="Prospecting",E1701="Engaging"),VLOOKUP(C1701,Products!$A$2:$C$8,3,FALSE),0)</f>
        <v>0</v>
      </c>
    </row>
    <row r="1702" spans="1:10" x14ac:dyDescent="0.25">
      <c r="A1702" t="s">
        <v>1869</v>
      </c>
      <c r="B1702" t="s">
        <v>196</v>
      </c>
      <c r="C1702" t="s">
        <v>125</v>
      </c>
      <c r="E1702" t="s">
        <v>155</v>
      </c>
      <c r="F1702" s="1">
        <v>42815</v>
      </c>
      <c r="I1702" t="str">
        <f>IF(COUNTIF(Products!$A$2:$A$8,C1702)=0,C1702,"")</f>
        <v/>
      </c>
      <c r="J1702">
        <f>IF(OR(E1702="Prospecting",E1702="Engaging"),VLOOKUP(C1702,Products!$A$2:$C$8,3,FALSE),0)</f>
        <v>3393</v>
      </c>
    </row>
    <row r="1703" spans="1:10" x14ac:dyDescent="0.25">
      <c r="A1703" t="s">
        <v>1870</v>
      </c>
      <c r="B1703" t="s">
        <v>196</v>
      </c>
      <c r="C1703" t="s">
        <v>125</v>
      </c>
      <c r="D1703" t="s">
        <v>84</v>
      </c>
      <c r="E1703" t="s">
        <v>159</v>
      </c>
      <c r="F1703" s="1">
        <v>42815</v>
      </c>
      <c r="G1703" s="1">
        <v>42820</v>
      </c>
      <c r="H1703">
        <v>0</v>
      </c>
      <c r="I1703" t="str">
        <f>IF(COUNTIF(Products!$A$2:$A$8,C1703)=0,C1703,"")</f>
        <v/>
      </c>
      <c r="J1703">
        <f>IF(OR(E1703="Prospecting",E1703="Engaging"),VLOOKUP(C1703,Products!$A$2:$C$8,3,FALSE),0)</f>
        <v>0</v>
      </c>
    </row>
    <row r="1704" spans="1:10" x14ac:dyDescent="0.25">
      <c r="A1704" t="s">
        <v>1871</v>
      </c>
      <c r="B1704" t="s">
        <v>146</v>
      </c>
      <c r="C1704" t="s">
        <v>123</v>
      </c>
      <c r="D1704" t="s">
        <v>88</v>
      </c>
      <c r="E1704" t="s">
        <v>138</v>
      </c>
      <c r="F1704" s="1">
        <v>42816</v>
      </c>
      <c r="G1704" s="1">
        <v>42885</v>
      </c>
      <c r="H1704">
        <v>52</v>
      </c>
      <c r="I1704" t="str">
        <f>IF(COUNTIF(Products!$A$2:$A$8,C1704)=0,C1704,"")</f>
        <v/>
      </c>
      <c r="J1704">
        <f>IF(OR(E1704="Prospecting",E1704="Engaging"),VLOOKUP(C1704,Products!$A$2:$C$8,3,FALSE),0)</f>
        <v>0</v>
      </c>
    </row>
    <row r="1705" spans="1:10" x14ac:dyDescent="0.25">
      <c r="A1705" t="s">
        <v>1872</v>
      </c>
      <c r="B1705" t="s">
        <v>207</v>
      </c>
      <c r="C1705" t="s">
        <v>122</v>
      </c>
      <c r="E1705" t="s">
        <v>155</v>
      </c>
      <c r="F1705" s="1">
        <v>42816</v>
      </c>
      <c r="I1705" t="str">
        <f>IF(COUNTIF(Products!$A$2:$A$8,C1705)=0,C1705,"")</f>
        <v/>
      </c>
      <c r="J1705">
        <f>IF(OR(E1705="Prospecting",E1705="Engaging"),VLOOKUP(C1705,Products!$A$2:$C$8,3,FALSE),0)</f>
        <v>4821</v>
      </c>
    </row>
    <row r="1706" spans="1:10" x14ac:dyDescent="0.25">
      <c r="A1706" t="s">
        <v>1873</v>
      </c>
      <c r="B1706" t="s">
        <v>171</v>
      </c>
      <c r="C1706" t="s">
        <v>123</v>
      </c>
      <c r="E1706" t="s">
        <v>155</v>
      </c>
      <c r="F1706" s="1">
        <v>42816</v>
      </c>
      <c r="I1706" t="str">
        <f>IF(COUNTIF(Products!$A$2:$A$8,C1706)=0,C1706,"")</f>
        <v/>
      </c>
      <c r="J1706">
        <f>IF(OR(E1706="Prospecting",E1706="Engaging"),VLOOKUP(C1706,Products!$A$2:$C$8,3,FALSE),0)</f>
        <v>55</v>
      </c>
    </row>
    <row r="1707" spans="1:10" x14ac:dyDescent="0.25">
      <c r="A1707" t="s">
        <v>1874</v>
      </c>
      <c r="B1707" t="s">
        <v>140</v>
      </c>
      <c r="C1707" t="s">
        <v>122</v>
      </c>
      <c r="D1707" t="s">
        <v>51</v>
      </c>
      <c r="E1707" t="s">
        <v>159</v>
      </c>
      <c r="F1707" s="1">
        <v>42816</v>
      </c>
      <c r="G1707" s="1">
        <v>42883</v>
      </c>
      <c r="H1707">
        <v>0</v>
      </c>
      <c r="I1707" t="str">
        <f>IF(COUNTIF(Products!$A$2:$A$8,C1707)=0,C1707,"")</f>
        <v/>
      </c>
      <c r="J1707">
        <f>IF(OR(E1707="Prospecting",E1707="Engaging"),VLOOKUP(C1707,Products!$A$2:$C$8,3,FALSE),0)</f>
        <v>0</v>
      </c>
    </row>
    <row r="1708" spans="1:10" x14ac:dyDescent="0.25">
      <c r="A1708" t="s">
        <v>1875</v>
      </c>
      <c r="B1708" t="s">
        <v>140</v>
      </c>
      <c r="C1708" t="s">
        <v>122</v>
      </c>
      <c r="D1708" t="s">
        <v>53</v>
      </c>
      <c r="E1708" t="s">
        <v>159</v>
      </c>
      <c r="F1708" s="1">
        <v>42816</v>
      </c>
      <c r="G1708" s="1">
        <v>42878</v>
      </c>
      <c r="H1708">
        <v>0</v>
      </c>
      <c r="I1708" t="str">
        <f>IF(COUNTIF(Products!$A$2:$A$8,C1708)=0,C1708,"")</f>
        <v/>
      </c>
      <c r="J1708">
        <f>IF(OR(E1708="Prospecting",E1708="Engaging"),VLOOKUP(C1708,Products!$A$2:$C$8,3,FALSE),0)</f>
        <v>0</v>
      </c>
    </row>
    <row r="1709" spans="1:10" x14ac:dyDescent="0.25">
      <c r="A1709" t="s">
        <v>1876</v>
      </c>
      <c r="B1709" t="s">
        <v>140</v>
      </c>
      <c r="C1709" t="s">
        <v>122</v>
      </c>
      <c r="D1709" t="s">
        <v>64</v>
      </c>
      <c r="E1709" t="s">
        <v>138</v>
      </c>
      <c r="F1709" s="1">
        <v>42816</v>
      </c>
      <c r="G1709" s="1">
        <v>42824</v>
      </c>
      <c r="H1709">
        <v>5109</v>
      </c>
      <c r="I1709" t="str">
        <f>IF(COUNTIF(Products!$A$2:$A$8,C1709)=0,C1709,"")</f>
        <v/>
      </c>
      <c r="J1709">
        <f>IF(OR(E1709="Prospecting",E1709="Engaging"),VLOOKUP(C1709,Products!$A$2:$C$8,3,FALSE),0)</f>
        <v>0</v>
      </c>
    </row>
    <row r="1710" spans="1:10" x14ac:dyDescent="0.25">
      <c r="A1710" t="s">
        <v>1877</v>
      </c>
      <c r="B1710" t="s">
        <v>173</v>
      </c>
      <c r="C1710" t="s">
        <v>123</v>
      </c>
      <c r="D1710" t="s">
        <v>95</v>
      </c>
      <c r="E1710" t="s">
        <v>155</v>
      </c>
      <c r="F1710" s="1">
        <v>42816</v>
      </c>
      <c r="I1710" t="str">
        <f>IF(COUNTIF(Products!$A$2:$A$8,C1710)=0,C1710,"")</f>
        <v/>
      </c>
      <c r="J1710">
        <f>IF(OR(E1710="Prospecting",E1710="Engaging"),VLOOKUP(C1710,Products!$A$2:$C$8,3,FALSE),0)</f>
        <v>55</v>
      </c>
    </row>
    <row r="1711" spans="1:10" x14ac:dyDescent="0.25">
      <c r="A1711" t="s">
        <v>1878</v>
      </c>
      <c r="B1711" t="s">
        <v>158</v>
      </c>
      <c r="C1711" t="s">
        <v>123</v>
      </c>
      <c r="D1711" t="s">
        <v>26</v>
      </c>
      <c r="E1711" t="s">
        <v>138</v>
      </c>
      <c r="F1711" s="1">
        <v>42816</v>
      </c>
      <c r="G1711" s="1">
        <v>42907</v>
      </c>
      <c r="H1711">
        <v>49</v>
      </c>
      <c r="I1711" t="str">
        <f>IF(COUNTIF(Products!$A$2:$A$8,C1711)=0,C1711,"")</f>
        <v/>
      </c>
      <c r="J1711">
        <f>IF(OR(E1711="Prospecting",E1711="Engaging"),VLOOKUP(C1711,Products!$A$2:$C$8,3,FALSE),0)</f>
        <v>0</v>
      </c>
    </row>
    <row r="1712" spans="1:10" x14ac:dyDescent="0.25">
      <c r="A1712" t="s">
        <v>1879</v>
      </c>
      <c r="B1712" t="s">
        <v>303</v>
      </c>
      <c r="C1712" t="s">
        <v>127</v>
      </c>
      <c r="D1712" t="s">
        <v>70</v>
      </c>
      <c r="E1712" t="s">
        <v>159</v>
      </c>
      <c r="F1712" s="1">
        <v>42816</v>
      </c>
      <c r="G1712" s="1">
        <v>42858</v>
      </c>
      <c r="H1712">
        <v>0</v>
      </c>
      <c r="I1712" t="str">
        <f>IF(COUNTIF(Products!$A$2:$A$8,C1712)=0,C1712,"")</f>
        <v/>
      </c>
      <c r="J1712">
        <f>IF(OR(E1712="Prospecting",E1712="Engaging"),VLOOKUP(C1712,Products!$A$2:$C$8,3,FALSE),0)</f>
        <v>0</v>
      </c>
    </row>
    <row r="1713" spans="1:10" x14ac:dyDescent="0.25">
      <c r="A1713" t="s">
        <v>1880</v>
      </c>
      <c r="B1713" t="s">
        <v>180</v>
      </c>
      <c r="C1713" t="s">
        <v>120</v>
      </c>
      <c r="E1713" t="s">
        <v>155</v>
      </c>
      <c r="F1713" s="1">
        <v>42816</v>
      </c>
      <c r="I1713" t="str">
        <f>IF(COUNTIF(Products!$A$2:$A$8,C1713)=0,C1713,"")</f>
        <v/>
      </c>
      <c r="J1713">
        <f>IF(OR(E1713="Prospecting",E1713="Engaging"),VLOOKUP(C1713,Products!$A$2:$C$8,3,FALSE),0)</f>
        <v>550</v>
      </c>
    </row>
    <row r="1714" spans="1:10" x14ac:dyDescent="0.25">
      <c r="A1714" t="s">
        <v>1881</v>
      </c>
      <c r="B1714" t="s">
        <v>180</v>
      </c>
      <c r="C1714" t="s">
        <v>120</v>
      </c>
      <c r="D1714" t="s">
        <v>67</v>
      </c>
      <c r="E1714" t="s">
        <v>138</v>
      </c>
      <c r="F1714" s="1">
        <v>42816</v>
      </c>
      <c r="G1714" s="1">
        <v>42911</v>
      </c>
      <c r="H1714">
        <v>447</v>
      </c>
      <c r="I1714" t="str">
        <f>IF(COUNTIF(Products!$A$2:$A$8,C1714)=0,C1714,"")</f>
        <v/>
      </c>
      <c r="J1714">
        <f>IF(OR(E1714="Prospecting",E1714="Engaging"),VLOOKUP(C1714,Products!$A$2:$C$8,3,FALSE),0)</f>
        <v>0</v>
      </c>
    </row>
    <row r="1715" spans="1:10" x14ac:dyDescent="0.25">
      <c r="A1715" t="s">
        <v>1882</v>
      </c>
      <c r="B1715" t="s">
        <v>217</v>
      </c>
      <c r="C1715" t="s">
        <v>125</v>
      </c>
      <c r="D1715" t="s">
        <v>64</v>
      </c>
      <c r="E1715" t="s">
        <v>138</v>
      </c>
      <c r="F1715" s="1">
        <v>42816</v>
      </c>
      <c r="G1715" s="1">
        <v>42900</v>
      </c>
      <c r="H1715">
        <v>3430</v>
      </c>
      <c r="I1715" t="str">
        <f>IF(COUNTIF(Products!$A$2:$A$8,C1715)=0,C1715,"")</f>
        <v/>
      </c>
      <c r="J1715">
        <f>IF(OR(E1715="Prospecting",E1715="Engaging"),VLOOKUP(C1715,Products!$A$2:$C$8,3,FALSE),0)</f>
        <v>0</v>
      </c>
    </row>
    <row r="1716" spans="1:10" x14ac:dyDescent="0.25">
      <c r="A1716" t="s">
        <v>1883</v>
      </c>
      <c r="B1716" t="s">
        <v>150</v>
      </c>
      <c r="C1716" t="s">
        <v>125</v>
      </c>
      <c r="E1716" t="s">
        <v>155</v>
      </c>
      <c r="F1716" s="1">
        <v>42816</v>
      </c>
      <c r="I1716" t="str">
        <f>IF(COUNTIF(Products!$A$2:$A$8,C1716)=0,C1716,"")</f>
        <v/>
      </c>
      <c r="J1716">
        <f>IF(OR(E1716="Prospecting",E1716="Engaging"),VLOOKUP(C1716,Products!$A$2:$C$8,3,FALSE),0)</f>
        <v>3393</v>
      </c>
    </row>
    <row r="1717" spans="1:10" x14ac:dyDescent="0.25">
      <c r="A1717" t="s">
        <v>1884</v>
      </c>
      <c r="B1717" t="s">
        <v>152</v>
      </c>
      <c r="C1717" t="s">
        <v>120</v>
      </c>
      <c r="D1717" t="s">
        <v>27</v>
      </c>
      <c r="E1717" t="s">
        <v>159</v>
      </c>
      <c r="F1717" s="1">
        <v>42816</v>
      </c>
      <c r="G1717" s="1">
        <v>42904</v>
      </c>
      <c r="H1717">
        <v>0</v>
      </c>
      <c r="I1717" t="str">
        <f>IF(COUNTIF(Products!$A$2:$A$8,C1717)=0,C1717,"")</f>
        <v/>
      </c>
      <c r="J1717">
        <f>IF(OR(E1717="Prospecting",E1717="Engaging"),VLOOKUP(C1717,Products!$A$2:$C$8,3,FALSE),0)</f>
        <v>0</v>
      </c>
    </row>
    <row r="1718" spans="1:10" x14ac:dyDescent="0.25">
      <c r="A1718" t="s">
        <v>1885</v>
      </c>
      <c r="B1718" t="s">
        <v>193</v>
      </c>
      <c r="C1718" t="s">
        <v>125</v>
      </c>
      <c r="D1718" t="s">
        <v>35</v>
      </c>
      <c r="E1718" t="s">
        <v>138</v>
      </c>
      <c r="F1718" s="1">
        <v>42816</v>
      </c>
      <c r="G1718" s="1">
        <v>42896</v>
      </c>
      <c r="H1718">
        <v>3245</v>
      </c>
      <c r="I1718" t="str">
        <f>IF(COUNTIF(Products!$A$2:$A$8,C1718)=0,C1718,"")</f>
        <v/>
      </c>
      <c r="J1718">
        <f>IF(OR(E1718="Prospecting",E1718="Engaging"),VLOOKUP(C1718,Products!$A$2:$C$8,3,FALSE),0)</f>
        <v>0</v>
      </c>
    </row>
    <row r="1719" spans="1:10" x14ac:dyDescent="0.25">
      <c r="A1719" t="s">
        <v>1886</v>
      </c>
      <c r="B1719" t="s">
        <v>169</v>
      </c>
      <c r="C1719" t="s">
        <v>120</v>
      </c>
      <c r="D1719" t="s">
        <v>14</v>
      </c>
      <c r="E1719" t="s">
        <v>159</v>
      </c>
      <c r="F1719" s="1">
        <v>42816</v>
      </c>
      <c r="G1719" s="1">
        <v>42821</v>
      </c>
      <c r="H1719">
        <v>0</v>
      </c>
      <c r="I1719" t="str">
        <f>IF(COUNTIF(Products!$A$2:$A$8,C1719)=0,C1719,"")</f>
        <v/>
      </c>
      <c r="J1719">
        <f>IF(OR(E1719="Prospecting",E1719="Engaging"),VLOOKUP(C1719,Products!$A$2:$C$8,3,FALSE),0)</f>
        <v>0</v>
      </c>
    </row>
    <row r="1720" spans="1:10" x14ac:dyDescent="0.25">
      <c r="A1720" t="s">
        <v>1887</v>
      </c>
      <c r="B1720" t="s">
        <v>169</v>
      </c>
      <c r="C1720" t="s">
        <v>123</v>
      </c>
      <c r="D1720" t="s">
        <v>88</v>
      </c>
      <c r="E1720" t="s">
        <v>138</v>
      </c>
      <c r="F1720" s="1">
        <v>42816</v>
      </c>
      <c r="G1720" s="1">
        <v>42820</v>
      </c>
      <c r="H1720">
        <v>61</v>
      </c>
      <c r="I1720" t="str">
        <f>IF(COUNTIF(Products!$A$2:$A$8,C1720)=0,C1720,"")</f>
        <v/>
      </c>
      <c r="J1720">
        <f>IF(OR(E1720="Prospecting",E1720="Engaging"),VLOOKUP(C1720,Products!$A$2:$C$8,3,FALSE),0)</f>
        <v>0</v>
      </c>
    </row>
    <row r="1721" spans="1:10" x14ac:dyDescent="0.25">
      <c r="A1721" t="s">
        <v>1888</v>
      </c>
      <c r="B1721" t="s">
        <v>148</v>
      </c>
      <c r="C1721" t="s">
        <v>123</v>
      </c>
      <c r="D1721" t="s">
        <v>47</v>
      </c>
      <c r="E1721" t="s">
        <v>138</v>
      </c>
      <c r="F1721" s="1">
        <v>42816</v>
      </c>
      <c r="G1721" s="1">
        <v>42915</v>
      </c>
      <c r="H1721">
        <v>60</v>
      </c>
      <c r="I1721" t="str">
        <f>IF(COUNTIF(Products!$A$2:$A$8,C1721)=0,C1721,"")</f>
        <v/>
      </c>
      <c r="J1721">
        <f>IF(OR(E1721="Prospecting",E1721="Engaging"),VLOOKUP(C1721,Products!$A$2:$C$8,3,FALSE),0)</f>
        <v>0</v>
      </c>
    </row>
    <row r="1722" spans="1:10" x14ac:dyDescent="0.25">
      <c r="A1722" t="s">
        <v>1889</v>
      </c>
      <c r="B1722" t="s">
        <v>177</v>
      </c>
      <c r="C1722" t="s">
        <v>122</v>
      </c>
      <c r="E1722" t="s">
        <v>155</v>
      </c>
      <c r="F1722" s="1">
        <v>42816</v>
      </c>
      <c r="I1722" t="str">
        <f>IF(COUNTIF(Products!$A$2:$A$8,C1722)=0,C1722,"")</f>
        <v/>
      </c>
      <c r="J1722">
        <f>IF(OR(E1722="Prospecting",E1722="Engaging"),VLOOKUP(C1722,Products!$A$2:$C$8,3,FALSE),0)</f>
        <v>4821</v>
      </c>
    </row>
    <row r="1723" spans="1:10" x14ac:dyDescent="0.25">
      <c r="A1723" t="s">
        <v>1890</v>
      </c>
      <c r="B1723" t="s">
        <v>177</v>
      </c>
      <c r="C1723" t="s">
        <v>123</v>
      </c>
      <c r="D1723" t="s">
        <v>67</v>
      </c>
      <c r="E1723" t="s">
        <v>159</v>
      </c>
      <c r="F1723" s="1">
        <v>42816</v>
      </c>
      <c r="G1723" s="1">
        <v>42826</v>
      </c>
      <c r="H1723">
        <v>0</v>
      </c>
      <c r="I1723" t="str">
        <f>IF(COUNTIF(Products!$A$2:$A$8,C1723)=0,C1723,"")</f>
        <v/>
      </c>
      <c r="J1723">
        <f>IF(OR(E1723="Prospecting",E1723="Engaging"),VLOOKUP(C1723,Products!$A$2:$C$8,3,FALSE),0)</f>
        <v>0</v>
      </c>
    </row>
    <row r="1724" spans="1:10" x14ac:dyDescent="0.25">
      <c r="A1724" t="s">
        <v>1891</v>
      </c>
      <c r="B1724" t="s">
        <v>144</v>
      </c>
      <c r="C1724" t="s">
        <v>120</v>
      </c>
      <c r="E1724" t="s">
        <v>155</v>
      </c>
      <c r="F1724" s="1">
        <v>42816</v>
      </c>
      <c r="I1724" t="str">
        <f>IF(COUNTIF(Products!$A$2:$A$8,C1724)=0,C1724,"")</f>
        <v/>
      </c>
      <c r="J1724">
        <f>IF(OR(E1724="Prospecting",E1724="Engaging"),VLOOKUP(C1724,Products!$A$2:$C$8,3,FALSE),0)</f>
        <v>550</v>
      </c>
    </row>
    <row r="1725" spans="1:10" x14ac:dyDescent="0.25">
      <c r="A1725" t="s">
        <v>1892</v>
      </c>
      <c r="B1725" t="s">
        <v>146</v>
      </c>
      <c r="C1725" t="s">
        <v>126</v>
      </c>
      <c r="D1725" t="s">
        <v>30</v>
      </c>
      <c r="E1725" t="s">
        <v>138</v>
      </c>
      <c r="F1725" s="1">
        <v>42817</v>
      </c>
      <c r="G1725" s="1">
        <v>42826</v>
      </c>
      <c r="H1725">
        <v>5060</v>
      </c>
      <c r="I1725" t="str">
        <f>IF(COUNTIF(Products!$A$2:$A$8,C1725)=0,C1725,"")</f>
        <v/>
      </c>
      <c r="J1725">
        <f>IF(OR(E1725="Prospecting",E1725="Engaging"),VLOOKUP(C1725,Products!$A$2:$C$8,3,FALSE),0)</f>
        <v>0</v>
      </c>
    </row>
    <row r="1726" spans="1:10" x14ac:dyDescent="0.25">
      <c r="A1726" t="s">
        <v>1893</v>
      </c>
      <c r="B1726" t="s">
        <v>222</v>
      </c>
      <c r="C1726" t="s">
        <v>120</v>
      </c>
      <c r="D1726" t="s">
        <v>108</v>
      </c>
      <c r="E1726" t="s">
        <v>159</v>
      </c>
      <c r="F1726" s="1">
        <v>42817</v>
      </c>
      <c r="G1726" s="1">
        <v>42826</v>
      </c>
      <c r="H1726">
        <v>0</v>
      </c>
      <c r="I1726" t="str">
        <f>IF(COUNTIF(Products!$A$2:$A$8,C1726)=0,C1726,"")</f>
        <v/>
      </c>
      <c r="J1726">
        <f>IF(OR(E1726="Prospecting",E1726="Engaging"),VLOOKUP(C1726,Products!$A$2:$C$8,3,FALSE),0)</f>
        <v>0</v>
      </c>
    </row>
    <row r="1727" spans="1:10" x14ac:dyDescent="0.25">
      <c r="A1727" t="s">
        <v>1894</v>
      </c>
      <c r="B1727" t="s">
        <v>207</v>
      </c>
      <c r="C1727" t="s">
        <v>120</v>
      </c>
      <c r="D1727" t="s">
        <v>17</v>
      </c>
      <c r="E1727" t="s">
        <v>155</v>
      </c>
      <c r="F1727" s="1">
        <v>42817</v>
      </c>
      <c r="I1727" t="str">
        <f>IF(COUNTIF(Products!$A$2:$A$8,C1727)=0,C1727,"")</f>
        <v/>
      </c>
      <c r="J1727">
        <f>IF(OR(E1727="Prospecting",E1727="Engaging"),VLOOKUP(C1727,Products!$A$2:$C$8,3,FALSE),0)</f>
        <v>550</v>
      </c>
    </row>
    <row r="1728" spans="1:10" x14ac:dyDescent="0.25">
      <c r="A1728" t="s">
        <v>1895</v>
      </c>
      <c r="B1728" t="s">
        <v>207</v>
      </c>
      <c r="C1728" t="s">
        <v>120</v>
      </c>
      <c r="D1728" t="s">
        <v>67</v>
      </c>
      <c r="E1728" t="s">
        <v>138</v>
      </c>
      <c r="F1728" s="1">
        <v>42817</v>
      </c>
      <c r="G1728" s="1">
        <v>42826</v>
      </c>
      <c r="H1728">
        <v>585</v>
      </c>
      <c r="I1728" t="str">
        <f>IF(COUNTIF(Products!$A$2:$A$8,C1728)=0,C1728,"")</f>
        <v/>
      </c>
      <c r="J1728">
        <f>IF(OR(E1728="Prospecting",E1728="Engaging"),VLOOKUP(C1728,Products!$A$2:$C$8,3,FALSE),0)</f>
        <v>0</v>
      </c>
    </row>
    <row r="1729" spans="1:10" x14ac:dyDescent="0.25">
      <c r="A1729" t="s">
        <v>1896</v>
      </c>
      <c r="B1729" t="s">
        <v>239</v>
      </c>
      <c r="C1729" t="s">
        <v>122</v>
      </c>
      <c r="D1729" t="s">
        <v>98</v>
      </c>
      <c r="E1729" t="s">
        <v>159</v>
      </c>
      <c r="F1729" s="1">
        <v>42817</v>
      </c>
      <c r="G1729" s="1">
        <v>42897</v>
      </c>
      <c r="H1729">
        <v>0</v>
      </c>
      <c r="I1729" t="str">
        <f>IF(COUNTIF(Products!$A$2:$A$8,C1729)=0,C1729,"")</f>
        <v/>
      </c>
      <c r="J1729">
        <f>IF(OR(E1729="Prospecting",E1729="Engaging"),VLOOKUP(C1729,Products!$A$2:$C$8,3,FALSE),0)</f>
        <v>0</v>
      </c>
    </row>
    <row r="1730" spans="1:10" x14ac:dyDescent="0.25">
      <c r="A1730" t="s">
        <v>1897</v>
      </c>
      <c r="B1730" t="s">
        <v>224</v>
      </c>
      <c r="C1730" t="s">
        <v>122</v>
      </c>
      <c r="D1730" t="s">
        <v>10</v>
      </c>
      <c r="E1730" t="s">
        <v>159</v>
      </c>
      <c r="F1730" s="1">
        <v>42817</v>
      </c>
      <c r="G1730" s="1">
        <v>42874</v>
      </c>
      <c r="H1730">
        <v>0</v>
      </c>
      <c r="I1730" t="str">
        <f>IF(COUNTIF(Products!$A$2:$A$8,C1730)=0,C1730,"")</f>
        <v/>
      </c>
      <c r="J1730">
        <f>IF(OR(E1730="Prospecting",E1730="Engaging"),VLOOKUP(C1730,Products!$A$2:$C$8,3,FALSE),0)</f>
        <v>0</v>
      </c>
    </row>
    <row r="1731" spans="1:10" x14ac:dyDescent="0.25">
      <c r="A1731" t="s">
        <v>1898</v>
      </c>
      <c r="B1731" t="s">
        <v>158</v>
      </c>
      <c r="C1731" t="s">
        <v>122</v>
      </c>
      <c r="D1731" t="s">
        <v>61</v>
      </c>
      <c r="E1731" t="s">
        <v>159</v>
      </c>
      <c r="F1731" s="1">
        <v>42817</v>
      </c>
      <c r="G1731" s="1">
        <v>42828</v>
      </c>
      <c r="H1731">
        <v>0</v>
      </c>
      <c r="I1731" t="str">
        <f>IF(COUNTIF(Products!$A$2:$A$8,C1731)=0,C1731,"")</f>
        <v/>
      </c>
      <c r="J1731">
        <f>IF(OR(E1731="Prospecting",E1731="Engaging"),VLOOKUP(C1731,Products!$A$2:$C$8,3,FALSE),0)</f>
        <v>0</v>
      </c>
    </row>
    <row r="1732" spans="1:10" x14ac:dyDescent="0.25">
      <c r="A1732" t="s">
        <v>1899</v>
      </c>
      <c r="B1732" t="s">
        <v>180</v>
      </c>
      <c r="C1732" t="s">
        <v>122</v>
      </c>
      <c r="D1732" t="s">
        <v>27</v>
      </c>
      <c r="E1732" t="s">
        <v>159</v>
      </c>
      <c r="F1732" s="1">
        <v>42817</v>
      </c>
      <c r="G1732" s="1">
        <v>42828</v>
      </c>
      <c r="H1732">
        <v>0</v>
      </c>
      <c r="I1732" t="str">
        <f>IF(COUNTIF(Products!$A$2:$A$8,C1732)=0,C1732,"")</f>
        <v/>
      </c>
      <c r="J1732">
        <f>IF(OR(E1732="Prospecting",E1732="Engaging"),VLOOKUP(C1732,Products!$A$2:$C$8,3,FALSE),0)</f>
        <v>0</v>
      </c>
    </row>
    <row r="1733" spans="1:10" x14ac:dyDescent="0.25">
      <c r="A1733" t="s">
        <v>1900</v>
      </c>
      <c r="B1733" t="s">
        <v>191</v>
      </c>
      <c r="C1733" t="s">
        <v>122</v>
      </c>
      <c r="E1733" t="s">
        <v>155</v>
      </c>
      <c r="F1733" s="1">
        <v>42817</v>
      </c>
      <c r="I1733" t="str">
        <f>IF(COUNTIF(Products!$A$2:$A$8,C1733)=0,C1733,"")</f>
        <v/>
      </c>
      <c r="J1733">
        <f>IF(OR(E1733="Prospecting",E1733="Engaging"),VLOOKUP(C1733,Products!$A$2:$C$8,3,FALSE),0)</f>
        <v>4821</v>
      </c>
    </row>
    <row r="1734" spans="1:10" x14ac:dyDescent="0.25">
      <c r="A1734" t="s">
        <v>1901</v>
      </c>
      <c r="B1734" t="s">
        <v>217</v>
      </c>
      <c r="C1734" t="s">
        <v>123</v>
      </c>
      <c r="D1734" t="s">
        <v>27</v>
      </c>
      <c r="E1734" t="s">
        <v>159</v>
      </c>
      <c r="F1734" s="1">
        <v>42817</v>
      </c>
      <c r="G1734" s="1">
        <v>42830</v>
      </c>
      <c r="H1734">
        <v>0</v>
      </c>
      <c r="I1734" t="str">
        <f>IF(COUNTIF(Products!$A$2:$A$8,C1734)=0,C1734,"")</f>
        <v/>
      </c>
      <c r="J1734">
        <f>IF(OR(E1734="Prospecting",E1734="Engaging"),VLOOKUP(C1734,Products!$A$2:$C$8,3,FALSE),0)</f>
        <v>0</v>
      </c>
    </row>
    <row r="1735" spans="1:10" x14ac:dyDescent="0.25">
      <c r="A1735" t="s">
        <v>1902</v>
      </c>
      <c r="B1735" t="s">
        <v>217</v>
      </c>
      <c r="C1735" t="s">
        <v>123</v>
      </c>
      <c r="D1735" t="s">
        <v>36</v>
      </c>
      <c r="E1735" t="s">
        <v>159</v>
      </c>
      <c r="F1735" s="1">
        <v>42817</v>
      </c>
      <c r="G1735" s="1">
        <v>42901</v>
      </c>
      <c r="H1735">
        <v>0</v>
      </c>
      <c r="I1735" t="str">
        <f>IF(COUNTIF(Products!$A$2:$A$8,C1735)=0,C1735,"")</f>
        <v/>
      </c>
      <c r="J1735">
        <f>IF(OR(E1735="Prospecting",E1735="Engaging"),VLOOKUP(C1735,Products!$A$2:$C$8,3,FALSE),0)</f>
        <v>0</v>
      </c>
    </row>
    <row r="1736" spans="1:10" x14ac:dyDescent="0.25">
      <c r="A1736" t="s">
        <v>1903</v>
      </c>
      <c r="B1736" t="s">
        <v>150</v>
      </c>
      <c r="C1736" t="s">
        <v>120</v>
      </c>
      <c r="D1736" t="s">
        <v>75</v>
      </c>
      <c r="E1736" t="s">
        <v>138</v>
      </c>
      <c r="F1736" s="1">
        <v>42817</v>
      </c>
      <c r="G1736" s="1">
        <v>42891</v>
      </c>
      <c r="H1736">
        <v>572</v>
      </c>
      <c r="I1736" t="str">
        <f>IF(COUNTIF(Products!$A$2:$A$8,C1736)=0,C1736,"")</f>
        <v/>
      </c>
      <c r="J1736">
        <f>IF(OR(E1736="Prospecting",E1736="Engaging"),VLOOKUP(C1736,Products!$A$2:$C$8,3,FALSE),0)</f>
        <v>0</v>
      </c>
    </row>
    <row r="1737" spans="1:10" x14ac:dyDescent="0.25">
      <c r="A1737" t="s">
        <v>1904</v>
      </c>
      <c r="B1737" t="s">
        <v>150</v>
      </c>
      <c r="C1737" t="s">
        <v>123</v>
      </c>
      <c r="D1737" t="s">
        <v>47</v>
      </c>
      <c r="E1737" t="s">
        <v>138</v>
      </c>
      <c r="F1737" s="1">
        <v>42817</v>
      </c>
      <c r="G1737" s="1">
        <v>42894</v>
      </c>
      <c r="H1737">
        <v>54</v>
      </c>
      <c r="I1737" t="str">
        <f>IF(COUNTIF(Products!$A$2:$A$8,C1737)=0,C1737,"")</f>
        <v/>
      </c>
      <c r="J1737">
        <f>IF(OR(E1737="Prospecting",E1737="Engaging"),VLOOKUP(C1737,Products!$A$2:$C$8,3,FALSE),0)</f>
        <v>0</v>
      </c>
    </row>
    <row r="1738" spans="1:10" x14ac:dyDescent="0.25">
      <c r="A1738" t="s">
        <v>1905</v>
      </c>
      <c r="B1738" t="s">
        <v>137</v>
      </c>
      <c r="C1738" t="s">
        <v>120</v>
      </c>
      <c r="D1738" t="s">
        <v>36</v>
      </c>
      <c r="E1738" t="s">
        <v>159</v>
      </c>
      <c r="F1738" s="1">
        <v>42817</v>
      </c>
      <c r="G1738" s="1">
        <v>42826</v>
      </c>
      <c r="H1738">
        <v>0</v>
      </c>
      <c r="I1738" t="str">
        <f>IF(COUNTIF(Products!$A$2:$A$8,C1738)=0,C1738,"")</f>
        <v/>
      </c>
      <c r="J1738">
        <f>IF(OR(E1738="Prospecting",E1738="Engaging"),VLOOKUP(C1738,Products!$A$2:$C$8,3,FALSE),0)</f>
        <v>0</v>
      </c>
    </row>
    <row r="1739" spans="1:10" x14ac:dyDescent="0.25">
      <c r="A1739" t="s">
        <v>1906</v>
      </c>
      <c r="B1739" t="s">
        <v>169</v>
      </c>
      <c r="C1739" t="s">
        <v>123</v>
      </c>
      <c r="D1739" t="s">
        <v>94</v>
      </c>
      <c r="E1739" t="s">
        <v>138</v>
      </c>
      <c r="F1739" s="1">
        <v>42817</v>
      </c>
      <c r="G1739" s="1">
        <v>42860</v>
      </c>
      <c r="H1739">
        <v>60</v>
      </c>
      <c r="I1739" t="str">
        <f>IF(COUNTIF(Products!$A$2:$A$8,C1739)=0,C1739,"")</f>
        <v/>
      </c>
      <c r="J1739">
        <f>IF(OR(E1739="Prospecting",E1739="Engaging"),VLOOKUP(C1739,Products!$A$2:$C$8,3,FALSE),0)</f>
        <v>0</v>
      </c>
    </row>
    <row r="1740" spans="1:10" x14ac:dyDescent="0.25">
      <c r="A1740" t="s">
        <v>1907</v>
      </c>
      <c r="B1740" t="s">
        <v>169</v>
      </c>
      <c r="C1740" t="s">
        <v>125</v>
      </c>
      <c r="D1740" t="s">
        <v>116</v>
      </c>
      <c r="E1740" t="s">
        <v>138</v>
      </c>
      <c r="F1740" s="1">
        <v>42817</v>
      </c>
      <c r="G1740" s="1">
        <v>42826</v>
      </c>
      <c r="H1740">
        <v>3251</v>
      </c>
      <c r="I1740" t="str">
        <f>IF(COUNTIF(Products!$A$2:$A$8,C1740)=0,C1740,"")</f>
        <v/>
      </c>
      <c r="J1740">
        <f>IF(OR(E1740="Prospecting",E1740="Engaging"),VLOOKUP(C1740,Products!$A$2:$C$8,3,FALSE),0)</f>
        <v>0</v>
      </c>
    </row>
    <row r="1741" spans="1:10" x14ac:dyDescent="0.25">
      <c r="A1741" t="s">
        <v>1908</v>
      </c>
      <c r="B1741" t="s">
        <v>148</v>
      </c>
      <c r="C1741" t="s">
        <v>126</v>
      </c>
      <c r="D1741" t="s">
        <v>72</v>
      </c>
      <c r="E1741" t="s">
        <v>138</v>
      </c>
      <c r="F1741" s="1">
        <v>42817</v>
      </c>
      <c r="G1741" s="1">
        <v>42900</v>
      </c>
      <c r="H1741">
        <v>5930</v>
      </c>
      <c r="I1741" t="str">
        <f>IF(COUNTIF(Products!$A$2:$A$8,C1741)=0,C1741,"")</f>
        <v/>
      </c>
      <c r="J1741">
        <f>IF(OR(E1741="Prospecting",E1741="Engaging"),VLOOKUP(C1741,Products!$A$2:$C$8,3,FALSE),0)</f>
        <v>0</v>
      </c>
    </row>
    <row r="1742" spans="1:10" x14ac:dyDescent="0.25">
      <c r="A1742" t="s">
        <v>1909</v>
      </c>
      <c r="B1742" t="s">
        <v>177</v>
      </c>
      <c r="C1742" t="s">
        <v>127</v>
      </c>
      <c r="D1742" t="s">
        <v>73</v>
      </c>
      <c r="E1742" t="s">
        <v>138</v>
      </c>
      <c r="F1742" s="1">
        <v>42817</v>
      </c>
      <c r="G1742" s="1">
        <v>42826</v>
      </c>
      <c r="H1742">
        <v>941</v>
      </c>
      <c r="I1742" t="str">
        <f>IF(COUNTIF(Products!$A$2:$A$8,C1742)=0,C1742,"")</f>
        <v/>
      </c>
      <c r="J1742">
        <f>IF(OR(E1742="Prospecting",E1742="Engaging"),VLOOKUP(C1742,Products!$A$2:$C$8,3,FALSE),0)</f>
        <v>0</v>
      </c>
    </row>
    <row r="1743" spans="1:10" x14ac:dyDescent="0.25">
      <c r="A1743" t="s">
        <v>1910</v>
      </c>
      <c r="B1743" t="s">
        <v>146</v>
      </c>
      <c r="C1743" t="s">
        <v>120</v>
      </c>
      <c r="D1743" t="s">
        <v>22</v>
      </c>
      <c r="E1743" t="s">
        <v>159</v>
      </c>
      <c r="F1743" s="1">
        <v>42818</v>
      </c>
      <c r="G1743" s="1">
        <v>42873</v>
      </c>
      <c r="H1743">
        <v>0</v>
      </c>
      <c r="I1743" t="str">
        <f>IF(COUNTIF(Products!$A$2:$A$8,C1743)=0,C1743,"")</f>
        <v/>
      </c>
      <c r="J1743">
        <f>IF(OR(E1743="Prospecting",E1743="Engaging"),VLOOKUP(C1743,Products!$A$2:$C$8,3,FALSE),0)</f>
        <v>0</v>
      </c>
    </row>
    <row r="1744" spans="1:10" x14ac:dyDescent="0.25">
      <c r="A1744" t="s">
        <v>1911</v>
      </c>
      <c r="B1744" t="s">
        <v>146</v>
      </c>
      <c r="C1744" t="s">
        <v>123</v>
      </c>
      <c r="D1744" t="s">
        <v>91</v>
      </c>
      <c r="E1744" t="s">
        <v>138</v>
      </c>
      <c r="F1744" s="1">
        <v>42818</v>
      </c>
      <c r="G1744" s="1">
        <v>42892</v>
      </c>
      <c r="H1744">
        <v>56</v>
      </c>
      <c r="I1744" t="str">
        <f>IF(COUNTIF(Products!$A$2:$A$8,C1744)=0,C1744,"")</f>
        <v/>
      </c>
      <c r="J1744">
        <f>IF(OR(E1744="Prospecting",E1744="Engaging"),VLOOKUP(C1744,Products!$A$2:$C$8,3,FALSE),0)</f>
        <v>0</v>
      </c>
    </row>
    <row r="1745" spans="1:10" x14ac:dyDescent="0.25">
      <c r="A1745" t="s">
        <v>1912</v>
      </c>
      <c r="B1745" t="s">
        <v>146</v>
      </c>
      <c r="C1745" t="s">
        <v>125</v>
      </c>
      <c r="D1745" t="s">
        <v>26</v>
      </c>
      <c r="E1745" t="s">
        <v>138</v>
      </c>
      <c r="F1745" s="1">
        <v>42818</v>
      </c>
      <c r="G1745" s="1">
        <v>42829</v>
      </c>
      <c r="H1745">
        <v>3445</v>
      </c>
      <c r="I1745" t="str">
        <f>IF(COUNTIF(Products!$A$2:$A$8,C1745)=0,C1745,"")</f>
        <v/>
      </c>
      <c r="J1745">
        <f>IF(OR(E1745="Prospecting",E1745="Engaging"),VLOOKUP(C1745,Products!$A$2:$C$8,3,FALSE),0)</f>
        <v>0</v>
      </c>
    </row>
    <row r="1746" spans="1:10" x14ac:dyDescent="0.25">
      <c r="A1746" t="s">
        <v>1913</v>
      </c>
      <c r="B1746" t="s">
        <v>207</v>
      </c>
      <c r="C1746" t="s">
        <v>126</v>
      </c>
      <c r="E1746" t="s">
        <v>155</v>
      </c>
      <c r="F1746" s="1">
        <v>42818</v>
      </c>
      <c r="I1746" t="str">
        <f>IF(COUNTIF(Products!$A$2:$A$8,C1746)=0,C1746,"")</f>
        <v/>
      </c>
      <c r="J1746">
        <f>IF(OR(E1746="Prospecting",E1746="Engaging"),VLOOKUP(C1746,Products!$A$2:$C$8,3,FALSE),0)</f>
        <v>5482</v>
      </c>
    </row>
    <row r="1747" spans="1:10" x14ac:dyDescent="0.25">
      <c r="A1747" t="s">
        <v>1914</v>
      </c>
      <c r="B1747" t="s">
        <v>207</v>
      </c>
      <c r="C1747" t="s">
        <v>125</v>
      </c>
      <c r="D1747" t="s">
        <v>93</v>
      </c>
      <c r="E1747" t="s">
        <v>155</v>
      </c>
      <c r="F1747" s="1">
        <v>42818</v>
      </c>
      <c r="I1747" t="str">
        <f>IF(COUNTIF(Products!$A$2:$A$8,C1747)=0,C1747,"")</f>
        <v/>
      </c>
      <c r="J1747">
        <f>IF(OR(E1747="Prospecting",E1747="Engaging"),VLOOKUP(C1747,Products!$A$2:$C$8,3,FALSE),0)</f>
        <v>3393</v>
      </c>
    </row>
    <row r="1748" spans="1:10" x14ac:dyDescent="0.25">
      <c r="A1748" t="s">
        <v>1915</v>
      </c>
      <c r="B1748" t="s">
        <v>264</v>
      </c>
      <c r="C1748" t="s">
        <v>123</v>
      </c>
      <c r="D1748" t="s">
        <v>14</v>
      </c>
      <c r="E1748" t="s">
        <v>138</v>
      </c>
      <c r="F1748" s="1">
        <v>42818</v>
      </c>
      <c r="G1748" s="1">
        <v>42825</v>
      </c>
      <c r="H1748">
        <v>54</v>
      </c>
      <c r="I1748" t="str">
        <f>IF(COUNTIF(Products!$A$2:$A$8,C1748)=0,C1748,"")</f>
        <v/>
      </c>
      <c r="J1748">
        <f>IF(OR(E1748="Prospecting",E1748="Engaging"),VLOOKUP(C1748,Products!$A$2:$C$8,3,FALSE),0)</f>
        <v>0</v>
      </c>
    </row>
    <row r="1749" spans="1:10" x14ac:dyDescent="0.25">
      <c r="A1749" t="s">
        <v>1916</v>
      </c>
      <c r="B1749" t="s">
        <v>239</v>
      </c>
      <c r="C1749" t="s">
        <v>120</v>
      </c>
      <c r="E1749" t="s">
        <v>155</v>
      </c>
      <c r="F1749" s="1">
        <v>42818</v>
      </c>
      <c r="I1749" t="str">
        <f>IF(COUNTIF(Products!$A$2:$A$8,C1749)=0,C1749,"")</f>
        <v/>
      </c>
      <c r="J1749">
        <f>IF(OR(E1749="Prospecting",E1749="Engaging"),VLOOKUP(C1749,Products!$A$2:$C$8,3,FALSE),0)</f>
        <v>550</v>
      </c>
    </row>
    <row r="1750" spans="1:10" x14ac:dyDescent="0.25">
      <c r="A1750" t="s">
        <v>1917</v>
      </c>
      <c r="B1750" t="s">
        <v>239</v>
      </c>
      <c r="C1750" t="s">
        <v>125</v>
      </c>
      <c r="D1750" t="s">
        <v>73</v>
      </c>
      <c r="E1750" t="s">
        <v>138</v>
      </c>
      <c r="F1750" s="1">
        <v>42818</v>
      </c>
      <c r="G1750" s="1">
        <v>42825</v>
      </c>
      <c r="H1750">
        <v>3498</v>
      </c>
      <c r="I1750" t="str">
        <f>IF(COUNTIF(Products!$A$2:$A$8,C1750)=0,C1750,"")</f>
        <v/>
      </c>
      <c r="J1750">
        <f>IF(OR(E1750="Prospecting",E1750="Engaging"),VLOOKUP(C1750,Products!$A$2:$C$8,3,FALSE),0)</f>
        <v>0</v>
      </c>
    </row>
    <row r="1751" spans="1:10" x14ac:dyDescent="0.25">
      <c r="A1751" t="s">
        <v>1918</v>
      </c>
      <c r="B1751" t="s">
        <v>171</v>
      </c>
      <c r="C1751" t="s">
        <v>120</v>
      </c>
      <c r="D1751" t="s">
        <v>106</v>
      </c>
      <c r="E1751" t="s">
        <v>138</v>
      </c>
      <c r="F1751" s="1">
        <v>42818</v>
      </c>
      <c r="G1751" s="1">
        <v>42827</v>
      </c>
      <c r="H1751">
        <v>540</v>
      </c>
      <c r="I1751" t="str">
        <f>IF(COUNTIF(Products!$A$2:$A$8,C1751)=0,C1751,"")</f>
        <v/>
      </c>
      <c r="J1751">
        <f>IF(OR(E1751="Prospecting",E1751="Engaging"),VLOOKUP(C1751,Products!$A$2:$C$8,3,FALSE),0)</f>
        <v>0</v>
      </c>
    </row>
    <row r="1752" spans="1:10" x14ac:dyDescent="0.25">
      <c r="A1752" t="s">
        <v>1919</v>
      </c>
      <c r="B1752" t="s">
        <v>171</v>
      </c>
      <c r="C1752" t="s">
        <v>122</v>
      </c>
      <c r="D1752" t="s">
        <v>50</v>
      </c>
      <c r="E1752" t="s">
        <v>138</v>
      </c>
      <c r="F1752" s="1">
        <v>42818</v>
      </c>
      <c r="G1752" s="1">
        <v>42827</v>
      </c>
      <c r="H1752">
        <v>4986</v>
      </c>
      <c r="I1752" t="str">
        <f>IF(COUNTIF(Products!$A$2:$A$8,C1752)=0,C1752,"")</f>
        <v/>
      </c>
      <c r="J1752">
        <f>IF(OR(E1752="Prospecting",E1752="Engaging"),VLOOKUP(C1752,Products!$A$2:$C$8,3,FALSE),0)</f>
        <v>0</v>
      </c>
    </row>
    <row r="1753" spans="1:10" x14ac:dyDescent="0.25">
      <c r="A1753" t="s">
        <v>1920</v>
      </c>
      <c r="B1753" t="s">
        <v>140</v>
      </c>
      <c r="C1753" t="s">
        <v>126</v>
      </c>
      <c r="D1753" t="s">
        <v>103</v>
      </c>
      <c r="E1753" t="s">
        <v>159</v>
      </c>
      <c r="F1753" s="1">
        <v>42818</v>
      </c>
      <c r="G1753" s="1">
        <v>42828</v>
      </c>
      <c r="H1753">
        <v>0</v>
      </c>
      <c r="I1753" t="str">
        <f>IF(COUNTIF(Products!$A$2:$A$8,C1753)=0,C1753,"")</f>
        <v/>
      </c>
      <c r="J1753">
        <f>IF(OR(E1753="Prospecting",E1753="Engaging"),VLOOKUP(C1753,Products!$A$2:$C$8,3,FALSE),0)</f>
        <v>0</v>
      </c>
    </row>
    <row r="1754" spans="1:10" x14ac:dyDescent="0.25">
      <c r="A1754" t="s">
        <v>1921</v>
      </c>
      <c r="B1754" t="s">
        <v>140</v>
      </c>
      <c r="C1754" t="s">
        <v>126</v>
      </c>
      <c r="D1754" t="s">
        <v>33</v>
      </c>
      <c r="E1754" t="s">
        <v>138</v>
      </c>
      <c r="F1754" s="1">
        <v>42818</v>
      </c>
      <c r="G1754" s="1">
        <v>42870</v>
      </c>
      <c r="H1754">
        <v>5214</v>
      </c>
      <c r="I1754" t="str">
        <f>IF(COUNTIF(Products!$A$2:$A$8,C1754)=0,C1754,"")</f>
        <v/>
      </c>
      <c r="J1754">
        <f>IF(OR(E1754="Prospecting",E1754="Engaging"),VLOOKUP(C1754,Products!$A$2:$C$8,3,FALSE),0)</f>
        <v>0</v>
      </c>
    </row>
    <row r="1755" spans="1:10" x14ac:dyDescent="0.25">
      <c r="A1755" t="s">
        <v>1922</v>
      </c>
      <c r="B1755" t="s">
        <v>140</v>
      </c>
      <c r="C1755" t="s">
        <v>122</v>
      </c>
      <c r="D1755" t="s">
        <v>64</v>
      </c>
      <c r="E1755" t="s">
        <v>138</v>
      </c>
      <c r="F1755" s="1">
        <v>42818</v>
      </c>
      <c r="G1755" s="1">
        <v>42824</v>
      </c>
      <c r="H1755">
        <v>4794</v>
      </c>
      <c r="I1755" t="str">
        <f>IF(COUNTIF(Products!$A$2:$A$8,C1755)=0,C1755,"")</f>
        <v/>
      </c>
      <c r="J1755">
        <f>IF(OR(E1755="Prospecting",E1755="Engaging"),VLOOKUP(C1755,Products!$A$2:$C$8,3,FALSE),0)</f>
        <v>0</v>
      </c>
    </row>
    <row r="1756" spans="1:10" x14ac:dyDescent="0.25">
      <c r="A1756" t="s">
        <v>1923</v>
      </c>
      <c r="B1756" t="s">
        <v>164</v>
      </c>
      <c r="C1756" t="s">
        <v>125</v>
      </c>
      <c r="E1756" t="s">
        <v>155</v>
      </c>
      <c r="F1756" s="1">
        <v>42818</v>
      </c>
      <c r="I1756" t="str">
        <f>IF(COUNTIF(Products!$A$2:$A$8,C1756)=0,C1756,"")</f>
        <v/>
      </c>
      <c r="J1756">
        <f>IF(OR(E1756="Prospecting",E1756="Engaging"),VLOOKUP(C1756,Products!$A$2:$C$8,3,FALSE),0)</f>
        <v>3393</v>
      </c>
    </row>
    <row r="1757" spans="1:10" x14ac:dyDescent="0.25">
      <c r="A1757" t="s">
        <v>1924</v>
      </c>
      <c r="B1757" t="s">
        <v>154</v>
      </c>
      <c r="C1757" t="s">
        <v>127</v>
      </c>
      <c r="D1757" t="s">
        <v>67</v>
      </c>
      <c r="E1757" t="s">
        <v>159</v>
      </c>
      <c r="F1757" s="1">
        <v>42818</v>
      </c>
      <c r="G1757" s="1">
        <v>42827</v>
      </c>
      <c r="H1757">
        <v>0</v>
      </c>
      <c r="I1757" t="str">
        <f>IF(COUNTIF(Products!$A$2:$A$8,C1757)=0,C1757,"")</f>
        <v/>
      </c>
      <c r="J1757">
        <f>IF(OR(E1757="Prospecting",E1757="Engaging"),VLOOKUP(C1757,Products!$A$2:$C$8,3,FALSE),0)</f>
        <v>0</v>
      </c>
    </row>
    <row r="1758" spans="1:10" x14ac:dyDescent="0.25">
      <c r="A1758" t="s">
        <v>1925</v>
      </c>
      <c r="B1758" t="s">
        <v>191</v>
      </c>
      <c r="C1758" t="s">
        <v>126</v>
      </c>
      <c r="E1758" t="s">
        <v>155</v>
      </c>
      <c r="F1758" s="1">
        <v>42818</v>
      </c>
      <c r="I1758" t="str">
        <f>IF(COUNTIF(Products!$A$2:$A$8,C1758)=0,C1758,"")</f>
        <v/>
      </c>
      <c r="J1758">
        <f>IF(OR(E1758="Prospecting",E1758="Engaging"),VLOOKUP(C1758,Products!$A$2:$C$8,3,FALSE),0)</f>
        <v>5482</v>
      </c>
    </row>
    <row r="1759" spans="1:10" x14ac:dyDescent="0.25">
      <c r="A1759" t="s">
        <v>1926</v>
      </c>
      <c r="B1759" t="s">
        <v>191</v>
      </c>
      <c r="C1759" t="s">
        <v>127</v>
      </c>
      <c r="D1759" t="s">
        <v>90</v>
      </c>
      <c r="E1759" t="s">
        <v>159</v>
      </c>
      <c r="F1759" s="1">
        <v>42818</v>
      </c>
      <c r="G1759" s="1">
        <v>42828</v>
      </c>
      <c r="H1759">
        <v>0</v>
      </c>
      <c r="I1759" t="str">
        <f>IF(COUNTIF(Products!$A$2:$A$8,C1759)=0,C1759,"")</f>
        <v/>
      </c>
      <c r="J1759">
        <f>IF(OR(E1759="Prospecting",E1759="Engaging"),VLOOKUP(C1759,Products!$A$2:$C$8,3,FALSE),0)</f>
        <v>0</v>
      </c>
    </row>
    <row r="1760" spans="1:10" x14ac:dyDescent="0.25">
      <c r="A1760" t="s">
        <v>1927</v>
      </c>
      <c r="B1760" t="s">
        <v>217</v>
      </c>
      <c r="C1760" t="s">
        <v>120</v>
      </c>
      <c r="D1760" t="s">
        <v>22</v>
      </c>
      <c r="E1760" t="s">
        <v>138</v>
      </c>
      <c r="F1760" s="1">
        <v>42818</v>
      </c>
      <c r="G1760" s="1">
        <v>42882</v>
      </c>
      <c r="H1760">
        <v>648</v>
      </c>
      <c r="I1760" t="str">
        <f>IF(COUNTIF(Products!$A$2:$A$8,C1760)=0,C1760,"")</f>
        <v/>
      </c>
      <c r="J1760">
        <f>IF(OR(E1760="Prospecting",E1760="Engaging"),VLOOKUP(C1760,Products!$A$2:$C$8,3,FALSE),0)</f>
        <v>0</v>
      </c>
    </row>
    <row r="1761" spans="1:10" x14ac:dyDescent="0.25">
      <c r="A1761" t="s">
        <v>1928</v>
      </c>
      <c r="B1761" t="s">
        <v>217</v>
      </c>
      <c r="C1761" t="s">
        <v>125</v>
      </c>
      <c r="D1761" t="s">
        <v>36</v>
      </c>
      <c r="E1761" t="s">
        <v>138</v>
      </c>
      <c r="F1761" s="1">
        <v>42818</v>
      </c>
      <c r="G1761" s="1">
        <v>42916</v>
      </c>
      <c r="H1761">
        <v>3040</v>
      </c>
      <c r="I1761" t="str">
        <f>IF(COUNTIF(Products!$A$2:$A$8,C1761)=0,C1761,"")</f>
        <v/>
      </c>
      <c r="J1761">
        <f>IF(OR(E1761="Prospecting",E1761="Engaging"),VLOOKUP(C1761,Products!$A$2:$C$8,3,FALSE),0)</f>
        <v>0</v>
      </c>
    </row>
    <row r="1762" spans="1:10" x14ac:dyDescent="0.25">
      <c r="A1762" t="s">
        <v>1929</v>
      </c>
      <c r="B1762" t="s">
        <v>205</v>
      </c>
      <c r="C1762" t="s">
        <v>127</v>
      </c>
      <c r="D1762" t="s">
        <v>104</v>
      </c>
      <c r="E1762" t="s">
        <v>138</v>
      </c>
      <c r="F1762" s="1">
        <v>42818</v>
      </c>
      <c r="G1762" s="1">
        <v>42916</v>
      </c>
      <c r="H1762">
        <v>1185</v>
      </c>
      <c r="I1762" t="str">
        <f>IF(COUNTIF(Products!$A$2:$A$8,C1762)=0,C1762,"")</f>
        <v/>
      </c>
      <c r="J1762">
        <f>IF(OR(E1762="Prospecting",E1762="Engaging"),VLOOKUP(C1762,Products!$A$2:$C$8,3,FALSE),0)</f>
        <v>0</v>
      </c>
    </row>
    <row r="1763" spans="1:10" x14ac:dyDescent="0.25">
      <c r="A1763" t="s">
        <v>1930</v>
      </c>
      <c r="B1763" t="s">
        <v>205</v>
      </c>
      <c r="C1763" t="s">
        <v>123</v>
      </c>
      <c r="D1763" t="s">
        <v>42</v>
      </c>
      <c r="E1763" t="s">
        <v>138</v>
      </c>
      <c r="F1763" s="1">
        <v>42818</v>
      </c>
      <c r="G1763" s="1">
        <v>42820</v>
      </c>
      <c r="H1763">
        <v>48</v>
      </c>
      <c r="I1763" t="str">
        <f>IF(COUNTIF(Products!$A$2:$A$8,C1763)=0,C1763,"")</f>
        <v/>
      </c>
      <c r="J1763">
        <f>IF(OR(E1763="Prospecting",E1763="Engaging"),VLOOKUP(C1763,Products!$A$2:$C$8,3,FALSE),0)</f>
        <v>0</v>
      </c>
    </row>
    <row r="1764" spans="1:10" x14ac:dyDescent="0.25">
      <c r="A1764" t="s">
        <v>1931</v>
      </c>
      <c r="B1764" t="s">
        <v>162</v>
      </c>
      <c r="C1764" t="s">
        <v>127</v>
      </c>
      <c r="D1764" t="s">
        <v>66</v>
      </c>
      <c r="E1764" t="s">
        <v>159</v>
      </c>
      <c r="F1764" s="1">
        <v>42818</v>
      </c>
      <c r="G1764" s="1">
        <v>42826</v>
      </c>
      <c r="H1764">
        <v>0</v>
      </c>
      <c r="I1764" t="str">
        <f>IF(COUNTIF(Products!$A$2:$A$8,C1764)=0,C1764,"")</f>
        <v/>
      </c>
      <c r="J1764">
        <f>IF(OR(E1764="Prospecting",E1764="Engaging"),VLOOKUP(C1764,Products!$A$2:$C$8,3,FALSE),0)</f>
        <v>0</v>
      </c>
    </row>
    <row r="1765" spans="1:10" x14ac:dyDescent="0.25">
      <c r="A1765" t="s">
        <v>1932</v>
      </c>
      <c r="B1765" t="s">
        <v>162</v>
      </c>
      <c r="C1765" t="s">
        <v>127</v>
      </c>
      <c r="D1765" t="s">
        <v>23</v>
      </c>
      <c r="E1765" t="s">
        <v>138</v>
      </c>
      <c r="F1765" s="1">
        <v>42818</v>
      </c>
      <c r="G1765" s="1">
        <v>42916</v>
      </c>
      <c r="H1765">
        <v>1021</v>
      </c>
      <c r="I1765" t="str">
        <f>IF(COUNTIF(Products!$A$2:$A$8,C1765)=0,C1765,"")</f>
        <v/>
      </c>
      <c r="J1765">
        <f>IF(OR(E1765="Prospecting",E1765="Engaging"),VLOOKUP(C1765,Products!$A$2:$C$8,3,FALSE),0)</f>
        <v>0</v>
      </c>
    </row>
    <row r="1766" spans="1:10" x14ac:dyDescent="0.25">
      <c r="A1766" t="s">
        <v>1933</v>
      </c>
      <c r="B1766" t="s">
        <v>162</v>
      </c>
      <c r="C1766" t="s">
        <v>127</v>
      </c>
      <c r="D1766" t="s">
        <v>90</v>
      </c>
      <c r="E1766" t="s">
        <v>138</v>
      </c>
      <c r="F1766" s="1">
        <v>42818</v>
      </c>
      <c r="G1766" s="1">
        <v>42881</v>
      </c>
      <c r="H1766">
        <v>1264</v>
      </c>
      <c r="I1766" t="str">
        <f>IF(COUNTIF(Products!$A$2:$A$8,C1766)=0,C1766,"")</f>
        <v/>
      </c>
      <c r="J1766">
        <f>IF(OR(E1766="Prospecting",E1766="Engaging"),VLOOKUP(C1766,Products!$A$2:$C$8,3,FALSE),0)</f>
        <v>0</v>
      </c>
    </row>
    <row r="1767" spans="1:10" x14ac:dyDescent="0.25">
      <c r="A1767" t="s">
        <v>1934</v>
      </c>
      <c r="B1767" t="s">
        <v>137</v>
      </c>
      <c r="C1767" t="s">
        <v>123</v>
      </c>
      <c r="D1767" t="s">
        <v>116</v>
      </c>
      <c r="E1767" t="s">
        <v>159</v>
      </c>
      <c r="F1767" s="1">
        <v>42818</v>
      </c>
      <c r="G1767" s="1">
        <v>42878</v>
      </c>
      <c r="H1767">
        <v>0</v>
      </c>
      <c r="I1767" t="str">
        <f>IF(COUNTIF(Products!$A$2:$A$8,C1767)=0,C1767,"")</f>
        <v/>
      </c>
      <c r="J1767">
        <f>IF(OR(E1767="Prospecting",E1767="Engaging"),VLOOKUP(C1767,Products!$A$2:$C$8,3,FALSE),0)</f>
        <v>0</v>
      </c>
    </row>
    <row r="1768" spans="1:10" x14ac:dyDescent="0.25">
      <c r="A1768" t="s">
        <v>1935</v>
      </c>
      <c r="B1768" t="s">
        <v>137</v>
      </c>
      <c r="C1768" t="s">
        <v>120</v>
      </c>
      <c r="D1768" t="s">
        <v>88</v>
      </c>
      <c r="E1768" t="s">
        <v>138</v>
      </c>
      <c r="F1768" s="1">
        <v>42818</v>
      </c>
      <c r="G1768" s="1">
        <v>42898</v>
      </c>
      <c r="H1768">
        <v>503</v>
      </c>
      <c r="I1768" t="str">
        <f>IF(COUNTIF(Products!$A$2:$A$8,C1768)=0,C1768,"")</f>
        <v/>
      </c>
      <c r="J1768">
        <f>IF(OR(E1768="Prospecting",E1768="Engaging"),VLOOKUP(C1768,Products!$A$2:$C$8,3,FALSE),0)</f>
        <v>0</v>
      </c>
    </row>
    <row r="1769" spans="1:10" x14ac:dyDescent="0.25">
      <c r="A1769" t="s">
        <v>1936</v>
      </c>
      <c r="B1769" t="s">
        <v>193</v>
      </c>
      <c r="C1769" t="s">
        <v>122</v>
      </c>
      <c r="D1769" t="s">
        <v>48</v>
      </c>
      <c r="E1769" t="s">
        <v>138</v>
      </c>
      <c r="F1769" s="1">
        <v>42818</v>
      </c>
      <c r="G1769" s="1">
        <v>42828</v>
      </c>
      <c r="H1769">
        <v>4440</v>
      </c>
      <c r="I1769" t="str">
        <f>IF(COUNTIF(Products!$A$2:$A$8,C1769)=0,C1769,"")</f>
        <v/>
      </c>
      <c r="J1769">
        <f>IF(OR(E1769="Prospecting",E1769="Engaging"),VLOOKUP(C1769,Products!$A$2:$C$8,3,FALSE),0)</f>
        <v>0</v>
      </c>
    </row>
    <row r="1770" spans="1:10" x14ac:dyDescent="0.25">
      <c r="A1770" t="s">
        <v>1937</v>
      </c>
      <c r="B1770" t="s">
        <v>169</v>
      </c>
      <c r="C1770" t="s">
        <v>127</v>
      </c>
      <c r="D1770" t="s">
        <v>32</v>
      </c>
      <c r="E1770" t="s">
        <v>159</v>
      </c>
      <c r="F1770" s="1">
        <v>42818</v>
      </c>
      <c r="G1770" s="1">
        <v>42828</v>
      </c>
      <c r="H1770">
        <v>0</v>
      </c>
      <c r="I1770" t="str">
        <f>IF(COUNTIF(Products!$A$2:$A$8,C1770)=0,C1770,"")</f>
        <v/>
      </c>
      <c r="J1770">
        <f>IF(OR(E1770="Prospecting",E1770="Engaging"),VLOOKUP(C1770,Products!$A$2:$C$8,3,FALSE),0)</f>
        <v>0</v>
      </c>
    </row>
    <row r="1771" spans="1:10" x14ac:dyDescent="0.25">
      <c r="A1771" t="s">
        <v>1938</v>
      </c>
      <c r="B1771" t="s">
        <v>169</v>
      </c>
      <c r="C1771" t="s">
        <v>123</v>
      </c>
      <c r="D1771" t="s">
        <v>85</v>
      </c>
      <c r="E1771" t="s">
        <v>138</v>
      </c>
      <c r="F1771" s="1">
        <v>42818</v>
      </c>
      <c r="G1771" s="1">
        <v>42827</v>
      </c>
      <c r="H1771">
        <v>52</v>
      </c>
      <c r="I1771" t="str">
        <f>IF(COUNTIF(Products!$A$2:$A$8,C1771)=0,C1771,"")</f>
        <v/>
      </c>
      <c r="J1771">
        <f>IF(OR(E1771="Prospecting",E1771="Engaging"),VLOOKUP(C1771,Products!$A$2:$C$8,3,FALSE),0)</f>
        <v>0</v>
      </c>
    </row>
    <row r="1772" spans="1:10" x14ac:dyDescent="0.25">
      <c r="A1772" t="s">
        <v>1939</v>
      </c>
      <c r="B1772" t="s">
        <v>148</v>
      </c>
      <c r="C1772" t="s">
        <v>123</v>
      </c>
      <c r="E1772" t="s">
        <v>155</v>
      </c>
      <c r="F1772" s="1">
        <v>42818</v>
      </c>
      <c r="I1772" t="str">
        <f>IF(COUNTIF(Products!$A$2:$A$8,C1772)=0,C1772,"")</f>
        <v/>
      </c>
      <c r="J1772">
        <f>IF(OR(E1772="Prospecting",E1772="Engaging"),VLOOKUP(C1772,Products!$A$2:$C$8,3,FALSE),0)</f>
        <v>55</v>
      </c>
    </row>
    <row r="1773" spans="1:10" x14ac:dyDescent="0.25">
      <c r="A1773" t="s">
        <v>1940</v>
      </c>
      <c r="B1773" t="s">
        <v>148</v>
      </c>
      <c r="C1773" t="s">
        <v>120</v>
      </c>
      <c r="D1773" t="s">
        <v>69</v>
      </c>
      <c r="E1773" t="s">
        <v>159</v>
      </c>
      <c r="F1773" s="1">
        <v>42818</v>
      </c>
      <c r="G1773" s="1">
        <v>42828</v>
      </c>
      <c r="H1773">
        <v>0</v>
      </c>
      <c r="I1773" t="str">
        <f>IF(COUNTIF(Products!$A$2:$A$8,C1773)=0,C1773,"")</f>
        <v/>
      </c>
      <c r="J1773">
        <f>IF(OR(E1773="Prospecting",E1773="Engaging"),VLOOKUP(C1773,Products!$A$2:$C$8,3,FALSE),0)</f>
        <v>0</v>
      </c>
    </row>
    <row r="1774" spans="1:10" x14ac:dyDescent="0.25">
      <c r="A1774" t="s">
        <v>1941</v>
      </c>
      <c r="B1774" t="s">
        <v>177</v>
      </c>
      <c r="C1774" t="s">
        <v>120</v>
      </c>
      <c r="D1774" t="s">
        <v>63</v>
      </c>
      <c r="E1774" t="s">
        <v>159</v>
      </c>
      <c r="F1774" s="1">
        <v>42818</v>
      </c>
      <c r="G1774" s="1">
        <v>42860</v>
      </c>
      <c r="H1774">
        <v>0</v>
      </c>
      <c r="I1774" t="str">
        <f>IF(COUNTIF(Products!$A$2:$A$8,C1774)=0,C1774,"")</f>
        <v/>
      </c>
      <c r="J1774">
        <f>IF(OR(E1774="Prospecting",E1774="Engaging"),VLOOKUP(C1774,Products!$A$2:$C$8,3,FALSE),0)</f>
        <v>0</v>
      </c>
    </row>
    <row r="1775" spans="1:10" x14ac:dyDescent="0.25">
      <c r="A1775" t="s">
        <v>1942</v>
      </c>
      <c r="B1775" t="s">
        <v>177</v>
      </c>
      <c r="C1775" t="s">
        <v>123</v>
      </c>
      <c r="D1775" t="s">
        <v>50</v>
      </c>
      <c r="E1775" t="s">
        <v>159</v>
      </c>
      <c r="F1775" s="1">
        <v>42818</v>
      </c>
      <c r="G1775" s="1">
        <v>42831</v>
      </c>
      <c r="H1775">
        <v>0</v>
      </c>
      <c r="I1775" t="str">
        <f>IF(COUNTIF(Products!$A$2:$A$8,C1775)=0,C1775,"")</f>
        <v/>
      </c>
      <c r="J1775">
        <f>IF(OR(E1775="Prospecting",E1775="Engaging"),VLOOKUP(C1775,Products!$A$2:$C$8,3,FALSE),0)</f>
        <v>0</v>
      </c>
    </row>
    <row r="1776" spans="1:10" x14ac:dyDescent="0.25">
      <c r="A1776" t="s">
        <v>1943</v>
      </c>
      <c r="B1776" t="s">
        <v>177</v>
      </c>
      <c r="C1776" t="s">
        <v>120</v>
      </c>
      <c r="D1776" t="s">
        <v>50</v>
      </c>
      <c r="E1776" t="s">
        <v>138</v>
      </c>
      <c r="F1776" s="1">
        <v>42818</v>
      </c>
      <c r="G1776" s="1">
        <v>42820</v>
      </c>
      <c r="H1776">
        <v>499</v>
      </c>
      <c r="I1776" t="str">
        <f>IF(COUNTIF(Products!$A$2:$A$8,C1776)=0,C1776,"")</f>
        <v/>
      </c>
      <c r="J1776">
        <f>IF(OR(E1776="Prospecting",E1776="Engaging"),VLOOKUP(C1776,Products!$A$2:$C$8,3,FALSE),0)</f>
        <v>0</v>
      </c>
    </row>
    <row r="1777" spans="1:10" x14ac:dyDescent="0.25">
      <c r="A1777" t="s">
        <v>1944</v>
      </c>
      <c r="B1777" t="s">
        <v>144</v>
      </c>
      <c r="C1777" t="s">
        <v>126</v>
      </c>
      <c r="E1777" t="s">
        <v>155</v>
      </c>
      <c r="F1777" s="1">
        <v>42818</v>
      </c>
      <c r="I1777" t="str">
        <f>IF(COUNTIF(Products!$A$2:$A$8,C1777)=0,C1777,"")</f>
        <v/>
      </c>
      <c r="J1777">
        <f>IF(OR(E1777="Prospecting",E1777="Engaging"),VLOOKUP(C1777,Products!$A$2:$C$8,3,FALSE),0)</f>
        <v>5482</v>
      </c>
    </row>
    <row r="1778" spans="1:10" x14ac:dyDescent="0.25">
      <c r="A1778" t="s">
        <v>1945</v>
      </c>
      <c r="B1778" t="s">
        <v>144</v>
      </c>
      <c r="C1778" t="s">
        <v>122</v>
      </c>
      <c r="D1778" t="s">
        <v>23</v>
      </c>
      <c r="E1778" t="s">
        <v>159</v>
      </c>
      <c r="F1778" s="1">
        <v>42818</v>
      </c>
      <c r="G1778" s="1">
        <v>42828</v>
      </c>
      <c r="H1778">
        <v>0</v>
      </c>
      <c r="I1778" t="str">
        <f>IF(COUNTIF(Products!$A$2:$A$8,C1778)=0,C1778,"")</f>
        <v/>
      </c>
      <c r="J1778">
        <f>IF(OR(E1778="Prospecting",E1778="Engaging"),VLOOKUP(C1778,Products!$A$2:$C$8,3,FALSE),0)</f>
        <v>0</v>
      </c>
    </row>
    <row r="1779" spans="1:10" x14ac:dyDescent="0.25">
      <c r="A1779" t="s">
        <v>1946</v>
      </c>
      <c r="B1779" t="s">
        <v>144</v>
      </c>
      <c r="C1779" t="s">
        <v>127</v>
      </c>
      <c r="D1779" t="s">
        <v>27</v>
      </c>
      <c r="E1779" t="s">
        <v>138</v>
      </c>
      <c r="F1779" s="1">
        <v>42818</v>
      </c>
      <c r="G1779" s="1">
        <v>42823</v>
      </c>
      <c r="H1779">
        <v>1159</v>
      </c>
      <c r="I1779" t="str">
        <f>IF(COUNTIF(Products!$A$2:$A$8,C1779)=0,C1779,"")</f>
        <v/>
      </c>
      <c r="J1779">
        <f>IF(OR(E1779="Prospecting",E1779="Engaging"),VLOOKUP(C1779,Products!$A$2:$C$8,3,FALSE),0)</f>
        <v>0</v>
      </c>
    </row>
    <row r="1780" spans="1:10" x14ac:dyDescent="0.25">
      <c r="A1780" t="s">
        <v>1947</v>
      </c>
      <c r="B1780" t="s">
        <v>146</v>
      </c>
      <c r="C1780" t="s">
        <v>123</v>
      </c>
      <c r="D1780" t="s">
        <v>33</v>
      </c>
      <c r="E1780" t="s">
        <v>159</v>
      </c>
      <c r="F1780" s="1">
        <v>42819</v>
      </c>
      <c r="G1780" s="1">
        <v>42828</v>
      </c>
      <c r="H1780">
        <v>0</v>
      </c>
      <c r="I1780" t="str">
        <f>IF(COUNTIF(Products!$A$2:$A$8,C1780)=0,C1780,"")</f>
        <v/>
      </c>
      <c r="J1780">
        <f>IF(OR(E1780="Prospecting",E1780="Engaging"),VLOOKUP(C1780,Products!$A$2:$C$8,3,FALSE),0)</f>
        <v>0</v>
      </c>
    </row>
    <row r="1781" spans="1:10" x14ac:dyDescent="0.25">
      <c r="A1781" t="s">
        <v>1948</v>
      </c>
      <c r="B1781" t="s">
        <v>222</v>
      </c>
      <c r="C1781" t="s">
        <v>126</v>
      </c>
      <c r="D1781" t="s">
        <v>10</v>
      </c>
      <c r="E1781" t="s">
        <v>138</v>
      </c>
      <c r="F1781" s="1">
        <v>42819</v>
      </c>
      <c r="G1781" s="1">
        <v>42875</v>
      </c>
      <c r="H1781">
        <v>5479</v>
      </c>
      <c r="I1781" t="str">
        <f>IF(COUNTIF(Products!$A$2:$A$8,C1781)=0,C1781,"")</f>
        <v/>
      </c>
      <c r="J1781">
        <f>IF(OR(E1781="Prospecting",E1781="Engaging"),VLOOKUP(C1781,Products!$A$2:$C$8,3,FALSE),0)</f>
        <v>0</v>
      </c>
    </row>
    <row r="1782" spans="1:10" x14ac:dyDescent="0.25">
      <c r="A1782" t="s">
        <v>1949</v>
      </c>
      <c r="B1782" t="s">
        <v>207</v>
      </c>
      <c r="C1782" t="s">
        <v>125</v>
      </c>
      <c r="E1782" t="s">
        <v>155</v>
      </c>
      <c r="F1782" s="1">
        <v>42819</v>
      </c>
      <c r="I1782" t="str">
        <f>IF(COUNTIF(Products!$A$2:$A$8,C1782)=0,C1782,"")</f>
        <v/>
      </c>
      <c r="J1782">
        <f>IF(OR(E1782="Prospecting",E1782="Engaging"),VLOOKUP(C1782,Products!$A$2:$C$8,3,FALSE),0)</f>
        <v>3393</v>
      </c>
    </row>
    <row r="1783" spans="1:10" x14ac:dyDescent="0.25">
      <c r="A1783" t="s">
        <v>1950</v>
      </c>
      <c r="B1783" t="s">
        <v>171</v>
      </c>
      <c r="C1783" t="s">
        <v>122</v>
      </c>
      <c r="E1783" t="s">
        <v>155</v>
      </c>
      <c r="F1783" s="1">
        <v>42819</v>
      </c>
      <c r="I1783" t="str">
        <f>IF(COUNTIF(Products!$A$2:$A$8,C1783)=0,C1783,"")</f>
        <v/>
      </c>
      <c r="J1783">
        <f>IF(OR(E1783="Prospecting",E1783="Engaging"),VLOOKUP(C1783,Products!$A$2:$C$8,3,FALSE),0)</f>
        <v>4821</v>
      </c>
    </row>
    <row r="1784" spans="1:10" x14ac:dyDescent="0.25">
      <c r="A1784" t="s">
        <v>1951</v>
      </c>
      <c r="B1784" t="s">
        <v>171</v>
      </c>
      <c r="C1784" t="s">
        <v>122</v>
      </c>
      <c r="D1784" t="s">
        <v>115</v>
      </c>
      <c r="E1784" t="s">
        <v>138</v>
      </c>
      <c r="F1784" s="1">
        <v>42819</v>
      </c>
      <c r="G1784" s="1">
        <v>42874</v>
      </c>
      <c r="H1784">
        <v>4555</v>
      </c>
      <c r="I1784" t="str">
        <f>IF(COUNTIF(Products!$A$2:$A$8,C1784)=0,C1784,"")</f>
        <v/>
      </c>
      <c r="J1784">
        <f>IF(OR(E1784="Prospecting",E1784="Engaging"),VLOOKUP(C1784,Products!$A$2:$C$8,3,FALSE),0)</f>
        <v>0</v>
      </c>
    </row>
    <row r="1785" spans="1:10" x14ac:dyDescent="0.25">
      <c r="A1785" t="s">
        <v>1952</v>
      </c>
      <c r="B1785" t="s">
        <v>140</v>
      </c>
      <c r="C1785" t="s">
        <v>123</v>
      </c>
      <c r="D1785" t="s">
        <v>61</v>
      </c>
      <c r="E1785" t="s">
        <v>159</v>
      </c>
      <c r="F1785" s="1">
        <v>42819</v>
      </c>
      <c r="G1785" s="1">
        <v>42827</v>
      </c>
      <c r="H1785">
        <v>0</v>
      </c>
      <c r="I1785" t="str">
        <f>IF(COUNTIF(Products!$A$2:$A$8,C1785)=0,C1785,"")</f>
        <v/>
      </c>
      <c r="J1785">
        <f>IF(OR(E1785="Prospecting",E1785="Engaging"),VLOOKUP(C1785,Products!$A$2:$C$8,3,FALSE),0)</f>
        <v>0</v>
      </c>
    </row>
    <row r="1786" spans="1:10" x14ac:dyDescent="0.25">
      <c r="A1786" t="s">
        <v>1953</v>
      </c>
      <c r="B1786" t="s">
        <v>173</v>
      </c>
      <c r="C1786" t="s">
        <v>123</v>
      </c>
      <c r="D1786" t="s">
        <v>38</v>
      </c>
      <c r="E1786" t="s">
        <v>159</v>
      </c>
      <c r="F1786" s="1">
        <v>42819</v>
      </c>
      <c r="G1786" s="1">
        <v>42880</v>
      </c>
      <c r="H1786">
        <v>0</v>
      </c>
      <c r="I1786" t="str">
        <f>IF(COUNTIF(Products!$A$2:$A$8,C1786)=0,C1786,"")</f>
        <v/>
      </c>
      <c r="J1786">
        <f>IF(OR(E1786="Prospecting",E1786="Engaging"),VLOOKUP(C1786,Products!$A$2:$C$8,3,FALSE),0)</f>
        <v>0</v>
      </c>
    </row>
    <row r="1787" spans="1:10" x14ac:dyDescent="0.25">
      <c r="A1787" t="s">
        <v>1954</v>
      </c>
      <c r="B1787" t="s">
        <v>198</v>
      </c>
      <c r="C1787" t="s">
        <v>127</v>
      </c>
      <c r="D1787" t="s">
        <v>63</v>
      </c>
      <c r="E1787" t="s">
        <v>138</v>
      </c>
      <c r="F1787" s="1">
        <v>42819</v>
      </c>
      <c r="G1787" s="1">
        <v>42822</v>
      </c>
      <c r="H1787">
        <v>1026</v>
      </c>
      <c r="I1787" t="str">
        <f>IF(COUNTIF(Products!$A$2:$A$8,C1787)=0,C1787,"")</f>
        <v/>
      </c>
      <c r="J1787">
        <f>IF(OR(E1787="Prospecting",E1787="Engaging"),VLOOKUP(C1787,Products!$A$2:$C$8,3,FALSE),0)</f>
        <v>0</v>
      </c>
    </row>
    <row r="1788" spans="1:10" x14ac:dyDescent="0.25">
      <c r="A1788" t="s">
        <v>1955</v>
      </c>
      <c r="B1788" t="s">
        <v>158</v>
      </c>
      <c r="C1788" t="s">
        <v>120</v>
      </c>
      <c r="D1788" t="s">
        <v>94</v>
      </c>
      <c r="E1788" t="s">
        <v>138</v>
      </c>
      <c r="F1788" s="1">
        <v>42819</v>
      </c>
      <c r="G1788" s="1">
        <v>42828</v>
      </c>
      <c r="H1788">
        <v>503</v>
      </c>
      <c r="I1788" t="str">
        <f>IF(COUNTIF(Products!$A$2:$A$8,C1788)=0,C1788,"")</f>
        <v/>
      </c>
      <c r="J1788">
        <f>IF(OR(E1788="Prospecting",E1788="Engaging"),VLOOKUP(C1788,Products!$A$2:$C$8,3,FALSE),0)</f>
        <v>0</v>
      </c>
    </row>
    <row r="1789" spans="1:10" x14ac:dyDescent="0.25">
      <c r="A1789" t="s">
        <v>1956</v>
      </c>
      <c r="B1789" t="s">
        <v>158</v>
      </c>
      <c r="C1789" t="s">
        <v>127</v>
      </c>
      <c r="D1789" t="s">
        <v>96</v>
      </c>
      <c r="E1789" t="s">
        <v>138</v>
      </c>
      <c r="F1789" s="1">
        <v>42819</v>
      </c>
      <c r="G1789" s="1">
        <v>42900</v>
      </c>
      <c r="H1789">
        <v>1144</v>
      </c>
      <c r="I1789" t="str">
        <f>IF(COUNTIF(Products!$A$2:$A$8,C1789)=0,C1789,"")</f>
        <v/>
      </c>
      <c r="J1789">
        <f>IF(OR(E1789="Prospecting",E1789="Engaging"),VLOOKUP(C1789,Products!$A$2:$C$8,3,FALSE),0)</f>
        <v>0</v>
      </c>
    </row>
    <row r="1790" spans="1:10" x14ac:dyDescent="0.25">
      <c r="A1790" t="s">
        <v>1957</v>
      </c>
      <c r="B1790" t="s">
        <v>158</v>
      </c>
      <c r="C1790" t="s">
        <v>123</v>
      </c>
      <c r="D1790" t="s">
        <v>51</v>
      </c>
      <c r="E1790" t="s">
        <v>138</v>
      </c>
      <c r="F1790" s="1">
        <v>42819</v>
      </c>
      <c r="G1790" s="1">
        <v>42902</v>
      </c>
      <c r="H1790">
        <v>55</v>
      </c>
      <c r="I1790" t="str">
        <f>IF(COUNTIF(Products!$A$2:$A$8,C1790)=0,C1790,"")</f>
        <v/>
      </c>
      <c r="J1790">
        <f>IF(OR(E1790="Prospecting",E1790="Engaging"),VLOOKUP(C1790,Products!$A$2:$C$8,3,FALSE),0)</f>
        <v>0</v>
      </c>
    </row>
    <row r="1791" spans="1:10" x14ac:dyDescent="0.25">
      <c r="A1791" t="s">
        <v>1958</v>
      </c>
      <c r="B1791" t="s">
        <v>180</v>
      </c>
      <c r="C1791" t="s">
        <v>120</v>
      </c>
      <c r="E1791" t="s">
        <v>155</v>
      </c>
      <c r="F1791" s="1">
        <v>42819</v>
      </c>
      <c r="I1791" t="str">
        <f>IF(COUNTIF(Products!$A$2:$A$8,C1791)=0,C1791,"")</f>
        <v/>
      </c>
      <c r="J1791">
        <f>IF(OR(E1791="Prospecting",E1791="Engaging"),VLOOKUP(C1791,Products!$A$2:$C$8,3,FALSE),0)</f>
        <v>550</v>
      </c>
    </row>
    <row r="1792" spans="1:10" x14ac:dyDescent="0.25">
      <c r="A1792" t="s">
        <v>1959</v>
      </c>
      <c r="B1792" t="s">
        <v>191</v>
      </c>
      <c r="C1792" t="s">
        <v>127</v>
      </c>
      <c r="E1792" t="s">
        <v>155</v>
      </c>
      <c r="F1792" s="1">
        <v>42819</v>
      </c>
      <c r="I1792" t="str">
        <f>IF(COUNTIF(Products!$A$2:$A$8,C1792)=0,C1792,"")</f>
        <v/>
      </c>
      <c r="J1792">
        <f>IF(OR(E1792="Prospecting",E1792="Engaging"),VLOOKUP(C1792,Products!$A$2:$C$8,3,FALSE),0)</f>
        <v>1096</v>
      </c>
    </row>
    <row r="1793" spans="1:10" x14ac:dyDescent="0.25">
      <c r="A1793" t="s">
        <v>1960</v>
      </c>
      <c r="B1793" t="s">
        <v>150</v>
      </c>
      <c r="C1793" t="s">
        <v>125</v>
      </c>
      <c r="D1793" t="s">
        <v>67</v>
      </c>
      <c r="E1793" t="s">
        <v>138</v>
      </c>
      <c r="F1793" s="1">
        <v>42819</v>
      </c>
      <c r="G1793" s="1">
        <v>42831</v>
      </c>
      <c r="H1793">
        <v>3181</v>
      </c>
      <c r="I1793" t="str">
        <f>IF(COUNTIF(Products!$A$2:$A$8,C1793)=0,C1793,"")</f>
        <v/>
      </c>
      <c r="J1793">
        <f>IF(OR(E1793="Prospecting",E1793="Engaging"),VLOOKUP(C1793,Products!$A$2:$C$8,3,FALSE),0)</f>
        <v>0</v>
      </c>
    </row>
    <row r="1794" spans="1:10" x14ac:dyDescent="0.25">
      <c r="A1794" t="s">
        <v>1961</v>
      </c>
      <c r="B1794" t="s">
        <v>205</v>
      </c>
      <c r="C1794" t="s">
        <v>123</v>
      </c>
      <c r="D1794" t="s">
        <v>91</v>
      </c>
      <c r="E1794" t="s">
        <v>138</v>
      </c>
      <c r="F1794" s="1">
        <v>42819</v>
      </c>
      <c r="G1794" s="1">
        <v>42905</v>
      </c>
      <c r="H1794">
        <v>54</v>
      </c>
      <c r="I1794" t="str">
        <f>IF(COUNTIF(Products!$A$2:$A$8,C1794)=0,C1794,"")</f>
        <v/>
      </c>
      <c r="J1794">
        <f>IF(OR(E1794="Prospecting",E1794="Engaging"),VLOOKUP(C1794,Products!$A$2:$C$8,3,FALSE),0)</f>
        <v>0</v>
      </c>
    </row>
    <row r="1795" spans="1:10" x14ac:dyDescent="0.25">
      <c r="A1795" t="s">
        <v>1962</v>
      </c>
      <c r="B1795" t="s">
        <v>162</v>
      </c>
      <c r="C1795" t="s">
        <v>125</v>
      </c>
      <c r="E1795" t="s">
        <v>155</v>
      </c>
      <c r="F1795" s="1">
        <v>42819</v>
      </c>
      <c r="I1795" t="str">
        <f>IF(COUNTIF(Products!$A$2:$A$8,C1795)=0,C1795,"")</f>
        <v/>
      </c>
      <c r="J1795">
        <f>IF(OR(E1795="Prospecting",E1795="Engaging"),VLOOKUP(C1795,Products!$A$2:$C$8,3,FALSE),0)</f>
        <v>3393</v>
      </c>
    </row>
    <row r="1796" spans="1:10" x14ac:dyDescent="0.25">
      <c r="A1796" t="s">
        <v>1963</v>
      </c>
      <c r="B1796" t="s">
        <v>162</v>
      </c>
      <c r="C1796" t="s">
        <v>122</v>
      </c>
      <c r="D1796" t="s">
        <v>93</v>
      </c>
      <c r="E1796" t="s">
        <v>138</v>
      </c>
      <c r="F1796" s="1">
        <v>42819</v>
      </c>
      <c r="G1796" s="1">
        <v>42916</v>
      </c>
      <c r="H1796">
        <v>3959</v>
      </c>
      <c r="I1796" t="str">
        <f>IF(COUNTIF(Products!$A$2:$A$8,C1796)=0,C1796,"")</f>
        <v/>
      </c>
      <c r="J1796">
        <f>IF(OR(E1796="Prospecting",E1796="Engaging"),VLOOKUP(C1796,Products!$A$2:$C$8,3,FALSE),0)</f>
        <v>0</v>
      </c>
    </row>
    <row r="1797" spans="1:10" x14ac:dyDescent="0.25">
      <c r="A1797" t="s">
        <v>1964</v>
      </c>
      <c r="B1797" t="s">
        <v>152</v>
      </c>
      <c r="C1797" t="s">
        <v>120</v>
      </c>
      <c r="D1797" t="s">
        <v>96</v>
      </c>
      <c r="E1797" t="s">
        <v>138</v>
      </c>
      <c r="F1797" s="1">
        <v>42819</v>
      </c>
      <c r="G1797" s="1">
        <v>42886</v>
      </c>
      <c r="H1797">
        <v>571</v>
      </c>
      <c r="I1797" t="str">
        <f>IF(COUNTIF(Products!$A$2:$A$8,C1797)=0,C1797,"")</f>
        <v/>
      </c>
      <c r="J1797">
        <f>IF(OR(E1797="Prospecting",E1797="Engaging"),VLOOKUP(C1797,Products!$A$2:$C$8,3,FALSE),0)</f>
        <v>0</v>
      </c>
    </row>
    <row r="1798" spans="1:10" x14ac:dyDescent="0.25">
      <c r="A1798" t="s">
        <v>1965</v>
      </c>
      <c r="B1798" t="s">
        <v>193</v>
      </c>
      <c r="C1798" t="s">
        <v>122</v>
      </c>
      <c r="D1798" t="s">
        <v>35</v>
      </c>
      <c r="E1798" t="s">
        <v>159</v>
      </c>
      <c r="F1798" s="1">
        <v>42819</v>
      </c>
      <c r="G1798" s="1">
        <v>42830</v>
      </c>
      <c r="H1798">
        <v>0</v>
      </c>
      <c r="I1798" t="str">
        <f>IF(COUNTIF(Products!$A$2:$A$8,C1798)=0,C1798,"")</f>
        <v/>
      </c>
      <c r="J1798">
        <f>IF(OR(E1798="Prospecting",E1798="Engaging"),VLOOKUP(C1798,Products!$A$2:$C$8,3,FALSE),0)</f>
        <v>0</v>
      </c>
    </row>
    <row r="1799" spans="1:10" x14ac:dyDescent="0.25">
      <c r="A1799" t="s">
        <v>1966</v>
      </c>
      <c r="B1799" t="s">
        <v>148</v>
      </c>
      <c r="C1799" t="s">
        <v>120</v>
      </c>
      <c r="D1799" t="s">
        <v>67</v>
      </c>
      <c r="E1799" t="s">
        <v>159</v>
      </c>
      <c r="F1799" s="1">
        <v>42819</v>
      </c>
      <c r="G1799" s="1">
        <v>42829</v>
      </c>
      <c r="H1799">
        <v>0</v>
      </c>
      <c r="I1799" t="str">
        <f>IF(COUNTIF(Products!$A$2:$A$8,C1799)=0,C1799,"")</f>
        <v/>
      </c>
      <c r="J1799">
        <f>IF(OR(E1799="Prospecting",E1799="Engaging"),VLOOKUP(C1799,Products!$A$2:$C$8,3,FALSE),0)</f>
        <v>0</v>
      </c>
    </row>
    <row r="1800" spans="1:10" x14ac:dyDescent="0.25">
      <c r="A1800" t="s">
        <v>1967</v>
      </c>
      <c r="B1800" t="s">
        <v>148</v>
      </c>
      <c r="C1800" t="s">
        <v>120</v>
      </c>
      <c r="D1800" t="s">
        <v>17</v>
      </c>
      <c r="E1800" t="s">
        <v>138</v>
      </c>
      <c r="F1800" s="1">
        <v>42819</v>
      </c>
      <c r="G1800" s="1">
        <v>42828</v>
      </c>
      <c r="H1800">
        <v>545</v>
      </c>
      <c r="I1800" t="str">
        <f>IF(COUNTIF(Products!$A$2:$A$8,C1800)=0,C1800,"")</f>
        <v/>
      </c>
      <c r="J1800">
        <f>IF(OR(E1800="Prospecting",E1800="Engaging"),VLOOKUP(C1800,Products!$A$2:$C$8,3,FALSE),0)</f>
        <v>0</v>
      </c>
    </row>
    <row r="1801" spans="1:10" x14ac:dyDescent="0.25">
      <c r="A1801" t="s">
        <v>1968</v>
      </c>
      <c r="B1801" t="s">
        <v>148</v>
      </c>
      <c r="C1801" t="s">
        <v>120</v>
      </c>
      <c r="D1801" t="s">
        <v>71</v>
      </c>
      <c r="E1801" t="s">
        <v>138</v>
      </c>
      <c r="F1801" s="1">
        <v>42819</v>
      </c>
      <c r="G1801" s="1">
        <v>42907</v>
      </c>
      <c r="H1801">
        <v>554</v>
      </c>
      <c r="I1801" t="str">
        <f>IF(COUNTIF(Products!$A$2:$A$8,C1801)=0,C1801,"")</f>
        <v/>
      </c>
      <c r="J1801">
        <f>IF(OR(E1801="Prospecting",E1801="Engaging"),VLOOKUP(C1801,Products!$A$2:$C$8,3,FALSE),0)</f>
        <v>0</v>
      </c>
    </row>
    <row r="1802" spans="1:10" x14ac:dyDescent="0.25">
      <c r="A1802" t="s">
        <v>1969</v>
      </c>
      <c r="B1802" t="s">
        <v>177</v>
      </c>
      <c r="C1802" t="s">
        <v>125</v>
      </c>
      <c r="D1802" t="s">
        <v>65</v>
      </c>
      <c r="E1802" t="s">
        <v>155</v>
      </c>
      <c r="F1802" s="1">
        <v>42819</v>
      </c>
      <c r="I1802" t="str">
        <f>IF(COUNTIF(Products!$A$2:$A$8,C1802)=0,C1802,"")</f>
        <v/>
      </c>
      <c r="J1802">
        <f>IF(OR(E1802="Prospecting",E1802="Engaging"),VLOOKUP(C1802,Products!$A$2:$C$8,3,FALSE),0)</f>
        <v>3393</v>
      </c>
    </row>
    <row r="1803" spans="1:10" x14ac:dyDescent="0.25">
      <c r="A1803" t="s">
        <v>1970</v>
      </c>
      <c r="B1803" t="s">
        <v>177</v>
      </c>
      <c r="C1803" t="s">
        <v>123</v>
      </c>
      <c r="D1803" t="s">
        <v>110</v>
      </c>
      <c r="E1803" t="s">
        <v>138</v>
      </c>
      <c r="F1803" s="1">
        <v>42819</v>
      </c>
      <c r="G1803" s="1">
        <v>42827</v>
      </c>
      <c r="H1803">
        <v>68</v>
      </c>
      <c r="I1803" t="str">
        <f>IF(COUNTIF(Products!$A$2:$A$8,C1803)=0,C1803,"")</f>
        <v/>
      </c>
      <c r="J1803">
        <f>IF(OR(E1803="Prospecting",E1803="Engaging"),VLOOKUP(C1803,Products!$A$2:$C$8,3,FALSE),0)</f>
        <v>0</v>
      </c>
    </row>
    <row r="1804" spans="1:10" x14ac:dyDescent="0.25">
      <c r="A1804" t="s">
        <v>1971</v>
      </c>
      <c r="B1804" t="s">
        <v>177</v>
      </c>
      <c r="C1804" t="s">
        <v>123</v>
      </c>
      <c r="D1804" t="s">
        <v>112</v>
      </c>
      <c r="E1804" t="s">
        <v>138</v>
      </c>
      <c r="F1804" s="1">
        <v>42819</v>
      </c>
      <c r="G1804" s="1">
        <v>42902</v>
      </c>
      <c r="H1804">
        <v>52</v>
      </c>
      <c r="I1804" t="str">
        <f>IF(COUNTIF(Products!$A$2:$A$8,C1804)=0,C1804,"")</f>
        <v/>
      </c>
      <c r="J1804">
        <f>IF(OR(E1804="Prospecting",E1804="Engaging"),VLOOKUP(C1804,Products!$A$2:$C$8,3,FALSE),0)</f>
        <v>0</v>
      </c>
    </row>
    <row r="1805" spans="1:10" x14ac:dyDescent="0.25">
      <c r="A1805" t="s">
        <v>1972</v>
      </c>
      <c r="B1805" t="s">
        <v>196</v>
      </c>
      <c r="C1805" t="s">
        <v>120</v>
      </c>
      <c r="D1805" t="s">
        <v>42</v>
      </c>
      <c r="E1805" t="s">
        <v>155</v>
      </c>
      <c r="F1805" s="1">
        <v>42819</v>
      </c>
      <c r="I1805" t="str">
        <f>IF(COUNTIF(Products!$A$2:$A$8,C1805)=0,C1805,"")</f>
        <v/>
      </c>
      <c r="J1805">
        <f>IF(OR(E1805="Prospecting",E1805="Engaging"),VLOOKUP(C1805,Products!$A$2:$C$8,3,FALSE),0)</f>
        <v>550</v>
      </c>
    </row>
    <row r="1806" spans="1:10" x14ac:dyDescent="0.25">
      <c r="A1806" t="s">
        <v>1973</v>
      </c>
      <c r="B1806" t="s">
        <v>146</v>
      </c>
      <c r="C1806" t="s">
        <v>123</v>
      </c>
      <c r="D1806" t="s">
        <v>53</v>
      </c>
      <c r="E1806" t="s">
        <v>159</v>
      </c>
      <c r="F1806" s="1">
        <v>42820</v>
      </c>
      <c r="G1806" s="1">
        <v>42829</v>
      </c>
      <c r="H1806">
        <v>0</v>
      </c>
      <c r="I1806" t="str">
        <f>IF(COUNTIF(Products!$A$2:$A$8,C1806)=0,C1806,"")</f>
        <v/>
      </c>
      <c r="J1806">
        <f>IF(OR(E1806="Prospecting",E1806="Engaging"),VLOOKUP(C1806,Products!$A$2:$C$8,3,FALSE),0)</f>
        <v>0</v>
      </c>
    </row>
    <row r="1807" spans="1:10" x14ac:dyDescent="0.25">
      <c r="A1807" t="s">
        <v>1974</v>
      </c>
      <c r="B1807" t="s">
        <v>146</v>
      </c>
      <c r="C1807" t="s">
        <v>123</v>
      </c>
      <c r="D1807" t="s">
        <v>36</v>
      </c>
      <c r="E1807" t="s">
        <v>138</v>
      </c>
      <c r="F1807" s="1">
        <v>42820</v>
      </c>
      <c r="G1807" s="1">
        <v>42829</v>
      </c>
      <c r="H1807">
        <v>54</v>
      </c>
      <c r="I1807" t="str">
        <f>IF(COUNTIF(Products!$A$2:$A$8,C1807)=0,C1807,"")</f>
        <v/>
      </c>
      <c r="J1807">
        <f>IF(OR(E1807="Prospecting",E1807="Engaging"),VLOOKUP(C1807,Products!$A$2:$C$8,3,FALSE),0)</f>
        <v>0</v>
      </c>
    </row>
    <row r="1808" spans="1:10" x14ac:dyDescent="0.25">
      <c r="A1808" t="s">
        <v>1975</v>
      </c>
      <c r="B1808" t="s">
        <v>207</v>
      </c>
      <c r="C1808" t="s">
        <v>125</v>
      </c>
      <c r="D1808" t="s">
        <v>37</v>
      </c>
      <c r="E1808" t="s">
        <v>138</v>
      </c>
      <c r="F1808" s="1">
        <v>42820</v>
      </c>
      <c r="G1808" s="1">
        <v>42880</v>
      </c>
      <c r="H1808">
        <v>3822</v>
      </c>
      <c r="I1808" t="str">
        <f>IF(COUNTIF(Products!$A$2:$A$8,C1808)=0,C1808,"")</f>
        <v/>
      </c>
      <c r="J1808">
        <f>IF(OR(E1808="Prospecting",E1808="Engaging"),VLOOKUP(C1808,Products!$A$2:$C$8,3,FALSE),0)</f>
        <v>0</v>
      </c>
    </row>
    <row r="1809" spans="1:10" x14ac:dyDescent="0.25">
      <c r="A1809" t="s">
        <v>1976</v>
      </c>
      <c r="B1809" t="s">
        <v>171</v>
      </c>
      <c r="C1809" t="s">
        <v>127</v>
      </c>
      <c r="D1809" t="s">
        <v>102</v>
      </c>
      <c r="E1809" t="s">
        <v>138</v>
      </c>
      <c r="F1809" s="1">
        <v>42820</v>
      </c>
      <c r="G1809" s="1">
        <v>42830</v>
      </c>
      <c r="H1809">
        <v>971</v>
      </c>
      <c r="I1809" t="str">
        <f>IF(COUNTIF(Products!$A$2:$A$8,C1809)=0,C1809,"")</f>
        <v/>
      </c>
      <c r="J1809">
        <f>IF(OR(E1809="Prospecting",E1809="Engaging"),VLOOKUP(C1809,Products!$A$2:$C$8,3,FALSE),0)</f>
        <v>0</v>
      </c>
    </row>
    <row r="1810" spans="1:10" x14ac:dyDescent="0.25">
      <c r="A1810" t="s">
        <v>1977</v>
      </c>
      <c r="B1810" t="s">
        <v>171</v>
      </c>
      <c r="C1810" t="s">
        <v>126</v>
      </c>
      <c r="D1810" t="s">
        <v>37</v>
      </c>
      <c r="E1810" t="s">
        <v>138</v>
      </c>
      <c r="F1810" s="1">
        <v>42820</v>
      </c>
      <c r="G1810" s="1">
        <v>42830</v>
      </c>
      <c r="H1810">
        <v>6024</v>
      </c>
      <c r="I1810" t="str">
        <f>IF(COUNTIF(Products!$A$2:$A$8,C1810)=0,C1810,"")</f>
        <v/>
      </c>
      <c r="J1810">
        <f>IF(OR(E1810="Prospecting",E1810="Engaging"),VLOOKUP(C1810,Products!$A$2:$C$8,3,FALSE),0)</f>
        <v>0</v>
      </c>
    </row>
    <row r="1811" spans="1:10" x14ac:dyDescent="0.25">
      <c r="A1811" t="s">
        <v>1978</v>
      </c>
      <c r="B1811" t="s">
        <v>140</v>
      </c>
      <c r="C1811" t="s">
        <v>122</v>
      </c>
      <c r="D1811" t="s">
        <v>94</v>
      </c>
      <c r="E1811" t="s">
        <v>138</v>
      </c>
      <c r="F1811" s="1">
        <v>42820</v>
      </c>
      <c r="G1811" s="1">
        <v>42829</v>
      </c>
      <c r="H1811">
        <v>4820</v>
      </c>
      <c r="I1811" t="str">
        <f>IF(COUNTIF(Products!$A$2:$A$8,C1811)=0,C1811,"")</f>
        <v/>
      </c>
      <c r="J1811">
        <f>IF(OR(E1811="Prospecting",E1811="Engaging"),VLOOKUP(C1811,Products!$A$2:$C$8,3,FALSE),0)</f>
        <v>0</v>
      </c>
    </row>
    <row r="1812" spans="1:10" x14ac:dyDescent="0.25">
      <c r="A1812" t="s">
        <v>1979</v>
      </c>
      <c r="B1812" t="s">
        <v>224</v>
      </c>
      <c r="C1812" t="s">
        <v>126</v>
      </c>
      <c r="D1812" t="s">
        <v>68</v>
      </c>
      <c r="E1812" t="s">
        <v>159</v>
      </c>
      <c r="F1812" s="1">
        <v>42820</v>
      </c>
      <c r="G1812" s="1">
        <v>42883</v>
      </c>
      <c r="H1812">
        <v>0</v>
      </c>
      <c r="I1812" t="str">
        <f>IF(COUNTIF(Products!$A$2:$A$8,C1812)=0,C1812,"")</f>
        <v/>
      </c>
      <c r="J1812">
        <f>IF(OR(E1812="Prospecting",E1812="Engaging"),VLOOKUP(C1812,Products!$A$2:$C$8,3,FALSE),0)</f>
        <v>0</v>
      </c>
    </row>
    <row r="1813" spans="1:10" x14ac:dyDescent="0.25">
      <c r="A1813" t="s">
        <v>1980</v>
      </c>
      <c r="B1813" t="s">
        <v>198</v>
      </c>
      <c r="C1813" t="s">
        <v>122</v>
      </c>
      <c r="D1813" t="s">
        <v>84</v>
      </c>
      <c r="E1813" t="s">
        <v>159</v>
      </c>
      <c r="F1813" s="1">
        <v>42820</v>
      </c>
      <c r="G1813" s="1">
        <v>42911</v>
      </c>
      <c r="H1813">
        <v>0</v>
      </c>
      <c r="I1813" t="str">
        <f>IF(COUNTIF(Products!$A$2:$A$8,C1813)=0,C1813,"")</f>
        <v/>
      </c>
      <c r="J1813">
        <f>IF(OR(E1813="Prospecting",E1813="Engaging"),VLOOKUP(C1813,Products!$A$2:$C$8,3,FALSE),0)</f>
        <v>0</v>
      </c>
    </row>
    <row r="1814" spans="1:10" x14ac:dyDescent="0.25">
      <c r="A1814" t="s">
        <v>1981</v>
      </c>
      <c r="B1814" t="s">
        <v>198</v>
      </c>
      <c r="C1814" t="s">
        <v>125</v>
      </c>
      <c r="D1814" t="s">
        <v>48</v>
      </c>
      <c r="E1814" t="s">
        <v>138</v>
      </c>
      <c r="F1814" s="1">
        <v>42820</v>
      </c>
      <c r="G1814" s="1">
        <v>42827</v>
      </c>
      <c r="H1814">
        <v>2940</v>
      </c>
      <c r="I1814" t="str">
        <f>IF(COUNTIF(Products!$A$2:$A$8,C1814)=0,C1814,"")</f>
        <v/>
      </c>
      <c r="J1814">
        <f>IF(OR(E1814="Prospecting",E1814="Engaging"),VLOOKUP(C1814,Products!$A$2:$C$8,3,FALSE),0)</f>
        <v>0</v>
      </c>
    </row>
    <row r="1815" spans="1:10" x14ac:dyDescent="0.25">
      <c r="A1815" t="s">
        <v>1982</v>
      </c>
      <c r="B1815" t="s">
        <v>164</v>
      </c>
      <c r="C1815" t="s">
        <v>125</v>
      </c>
      <c r="E1815" t="s">
        <v>155</v>
      </c>
      <c r="F1815" s="1">
        <v>42820</v>
      </c>
      <c r="I1815" t="str">
        <f>IF(COUNTIF(Products!$A$2:$A$8,C1815)=0,C1815,"")</f>
        <v/>
      </c>
      <c r="J1815">
        <f>IF(OR(E1815="Prospecting",E1815="Engaging"),VLOOKUP(C1815,Products!$A$2:$C$8,3,FALSE),0)</f>
        <v>3393</v>
      </c>
    </row>
    <row r="1816" spans="1:10" x14ac:dyDescent="0.25">
      <c r="A1816" t="s">
        <v>1983</v>
      </c>
      <c r="B1816" t="s">
        <v>164</v>
      </c>
      <c r="C1816" t="s">
        <v>123</v>
      </c>
      <c r="D1816" t="s">
        <v>34</v>
      </c>
      <c r="E1816" t="s">
        <v>138</v>
      </c>
      <c r="F1816" s="1">
        <v>42820</v>
      </c>
      <c r="G1816" s="1">
        <v>42829</v>
      </c>
      <c r="H1816">
        <v>49</v>
      </c>
      <c r="I1816" t="str">
        <f>IF(COUNTIF(Products!$A$2:$A$8,C1816)=0,C1816,"")</f>
        <v/>
      </c>
      <c r="J1816">
        <f>IF(OR(E1816="Prospecting",E1816="Engaging"),VLOOKUP(C1816,Products!$A$2:$C$8,3,FALSE),0)</f>
        <v>0</v>
      </c>
    </row>
    <row r="1817" spans="1:10" x14ac:dyDescent="0.25">
      <c r="A1817" t="s">
        <v>1984</v>
      </c>
      <c r="B1817" t="s">
        <v>154</v>
      </c>
      <c r="C1817" t="s">
        <v>122</v>
      </c>
      <c r="E1817" t="s">
        <v>155</v>
      </c>
      <c r="F1817" s="1">
        <v>42820</v>
      </c>
      <c r="I1817" t="str">
        <f>IF(COUNTIF(Products!$A$2:$A$8,C1817)=0,C1817,"")</f>
        <v/>
      </c>
      <c r="J1817">
        <f>IF(OR(E1817="Prospecting",E1817="Engaging"),VLOOKUP(C1817,Products!$A$2:$C$8,3,FALSE),0)</f>
        <v>4821</v>
      </c>
    </row>
    <row r="1818" spans="1:10" x14ac:dyDescent="0.25">
      <c r="A1818" t="s">
        <v>1985</v>
      </c>
      <c r="B1818" t="s">
        <v>154</v>
      </c>
      <c r="C1818" t="s">
        <v>123</v>
      </c>
      <c r="E1818" t="s">
        <v>155</v>
      </c>
      <c r="F1818" s="1">
        <v>42820</v>
      </c>
      <c r="I1818" t="str">
        <f>IF(COUNTIF(Products!$A$2:$A$8,C1818)=0,C1818,"")</f>
        <v/>
      </c>
      <c r="J1818">
        <f>IF(OR(E1818="Prospecting",E1818="Engaging"),VLOOKUP(C1818,Products!$A$2:$C$8,3,FALSE),0)</f>
        <v>55</v>
      </c>
    </row>
    <row r="1819" spans="1:10" x14ac:dyDescent="0.25">
      <c r="A1819" t="s">
        <v>1986</v>
      </c>
      <c r="B1819" t="s">
        <v>303</v>
      </c>
      <c r="C1819" t="s">
        <v>120</v>
      </c>
      <c r="D1819" t="s">
        <v>28</v>
      </c>
      <c r="E1819" t="s">
        <v>159</v>
      </c>
      <c r="F1819" s="1">
        <v>42820</v>
      </c>
      <c r="G1819" s="1">
        <v>42827</v>
      </c>
      <c r="H1819">
        <v>0</v>
      </c>
      <c r="I1819" t="str">
        <f>IF(COUNTIF(Products!$A$2:$A$8,C1819)=0,C1819,"")</f>
        <v/>
      </c>
      <c r="J1819">
        <f>IF(OR(E1819="Prospecting",E1819="Engaging"),VLOOKUP(C1819,Products!$A$2:$C$8,3,FALSE),0)</f>
        <v>0</v>
      </c>
    </row>
    <row r="1820" spans="1:10" x14ac:dyDescent="0.25">
      <c r="A1820" t="s">
        <v>1987</v>
      </c>
      <c r="B1820" t="s">
        <v>180</v>
      </c>
      <c r="C1820" t="s">
        <v>127</v>
      </c>
      <c r="D1820" t="s">
        <v>44</v>
      </c>
      <c r="E1820" t="s">
        <v>159</v>
      </c>
      <c r="F1820" s="1">
        <v>42820</v>
      </c>
      <c r="G1820" s="1">
        <v>42886</v>
      </c>
      <c r="H1820">
        <v>0</v>
      </c>
      <c r="I1820" t="str">
        <f>IF(COUNTIF(Products!$A$2:$A$8,C1820)=0,C1820,"")</f>
        <v/>
      </c>
      <c r="J1820">
        <f>IF(OR(E1820="Prospecting",E1820="Engaging"),VLOOKUP(C1820,Products!$A$2:$C$8,3,FALSE),0)</f>
        <v>0</v>
      </c>
    </row>
    <row r="1821" spans="1:10" x14ac:dyDescent="0.25">
      <c r="A1821" t="s">
        <v>1988</v>
      </c>
      <c r="B1821" t="s">
        <v>180</v>
      </c>
      <c r="C1821" t="s">
        <v>120</v>
      </c>
      <c r="D1821" t="s">
        <v>66</v>
      </c>
      <c r="E1821" t="s">
        <v>138</v>
      </c>
      <c r="F1821" s="1">
        <v>42820</v>
      </c>
      <c r="G1821" s="1">
        <v>42877</v>
      </c>
      <c r="H1821">
        <v>545</v>
      </c>
      <c r="I1821" t="str">
        <f>IF(COUNTIF(Products!$A$2:$A$8,C1821)=0,C1821,"")</f>
        <v/>
      </c>
      <c r="J1821">
        <f>IF(OR(E1821="Prospecting",E1821="Engaging"),VLOOKUP(C1821,Products!$A$2:$C$8,3,FALSE),0)</f>
        <v>0</v>
      </c>
    </row>
    <row r="1822" spans="1:10" x14ac:dyDescent="0.25">
      <c r="A1822" t="s">
        <v>1989</v>
      </c>
      <c r="B1822" t="s">
        <v>191</v>
      </c>
      <c r="C1822" t="s">
        <v>126</v>
      </c>
      <c r="D1822" t="s">
        <v>95</v>
      </c>
      <c r="E1822" t="s">
        <v>155</v>
      </c>
      <c r="F1822" s="1">
        <v>42820</v>
      </c>
      <c r="I1822" t="str">
        <f>IF(COUNTIF(Products!$A$2:$A$8,C1822)=0,C1822,"")</f>
        <v/>
      </c>
      <c r="J1822">
        <f>IF(OR(E1822="Prospecting",E1822="Engaging"),VLOOKUP(C1822,Products!$A$2:$C$8,3,FALSE),0)</f>
        <v>5482</v>
      </c>
    </row>
    <row r="1823" spans="1:10" x14ac:dyDescent="0.25">
      <c r="A1823" t="s">
        <v>1990</v>
      </c>
      <c r="B1823" t="s">
        <v>150</v>
      </c>
      <c r="C1823" t="s">
        <v>123</v>
      </c>
      <c r="D1823" t="s">
        <v>109</v>
      </c>
      <c r="E1823" t="s">
        <v>138</v>
      </c>
      <c r="F1823" s="1">
        <v>42820</v>
      </c>
      <c r="G1823" s="1">
        <v>42904</v>
      </c>
      <c r="H1823">
        <v>58</v>
      </c>
      <c r="I1823" t="str">
        <f>IF(COUNTIF(Products!$A$2:$A$8,C1823)=0,C1823,"")</f>
        <v/>
      </c>
      <c r="J1823">
        <f>IF(OR(E1823="Prospecting",E1823="Engaging"),VLOOKUP(C1823,Products!$A$2:$C$8,3,FALSE),0)</f>
        <v>0</v>
      </c>
    </row>
    <row r="1824" spans="1:10" x14ac:dyDescent="0.25">
      <c r="A1824" t="s">
        <v>1991</v>
      </c>
      <c r="B1824" t="s">
        <v>205</v>
      </c>
      <c r="C1824" t="s">
        <v>125</v>
      </c>
      <c r="D1824" t="s">
        <v>96</v>
      </c>
      <c r="E1824" t="s">
        <v>159</v>
      </c>
      <c r="F1824" s="1">
        <v>42820</v>
      </c>
      <c r="G1824" s="1">
        <v>42828</v>
      </c>
      <c r="H1824">
        <v>0</v>
      </c>
      <c r="I1824" t="str">
        <f>IF(COUNTIF(Products!$A$2:$A$8,C1824)=0,C1824,"")</f>
        <v/>
      </c>
      <c r="J1824">
        <f>IF(OR(E1824="Prospecting",E1824="Engaging"),VLOOKUP(C1824,Products!$A$2:$C$8,3,FALSE),0)</f>
        <v>0</v>
      </c>
    </row>
    <row r="1825" spans="1:10" x14ac:dyDescent="0.25">
      <c r="A1825" t="s">
        <v>1992</v>
      </c>
      <c r="B1825" t="s">
        <v>152</v>
      </c>
      <c r="C1825" t="s">
        <v>122</v>
      </c>
      <c r="D1825" t="s">
        <v>36</v>
      </c>
      <c r="E1825" t="s">
        <v>138</v>
      </c>
      <c r="F1825" s="1">
        <v>42820</v>
      </c>
      <c r="G1825" s="1">
        <v>42867</v>
      </c>
      <c r="H1825">
        <v>4280</v>
      </c>
      <c r="I1825" t="str">
        <f>IF(COUNTIF(Products!$A$2:$A$8,C1825)=0,C1825,"")</f>
        <v/>
      </c>
      <c r="J1825">
        <f>IF(OR(E1825="Prospecting",E1825="Engaging"),VLOOKUP(C1825,Products!$A$2:$C$8,3,FALSE),0)</f>
        <v>0</v>
      </c>
    </row>
    <row r="1826" spans="1:10" x14ac:dyDescent="0.25">
      <c r="A1826" t="s">
        <v>1993</v>
      </c>
      <c r="B1826" t="s">
        <v>193</v>
      </c>
      <c r="C1826" t="s">
        <v>125</v>
      </c>
      <c r="D1826" t="s">
        <v>105</v>
      </c>
      <c r="E1826" t="s">
        <v>138</v>
      </c>
      <c r="F1826" s="1">
        <v>42820</v>
      </c>
      <c r="G1826" s="1">
        <v>42884</v>
      </c>
      <c r="H1826">
        <v>2880</v>
      </c>
      <c r="I1826" t="str">
        <f>IF(COUNTIF(Products!$A$2:$A$8,C1826)=0,C1826,"")</f>
        <v/>
      </c>
      <c r="J1826">
        <f>IF(OR(E1826="Prospecting",E1826="Engaging"),VLOOKUP(C1826,Products!$A$2:$C$8,3,FALSE),0)</f>
        <v>0</v>
      </c>
    </row>
    <row r="1827" spans="1:10" x14ac:dyDescent="0.25">
      <c r="A1827" t="s">
        <v>1994</v>
      </c>
      <c r="B1827" t="s">
        <v>166</v>
      </c>
      <c r="C1827" t="s">
        <v>128</v>
      </c>
      <c r="D1827" t="s">
        <v>109</v>
      </c>
      <c r="E1827" t="s">
        <v>138</v>
      </c>
      <c r="F1827" s="1">
        <v>42820</v>
      </c>
      <c r="G1827" s="1">
        <v>42830</v>
      </c>
      <c r="H1827">
        <v>25288</v>
      </c>
      <c r="I1827" t="str">
        <f>IF(COUNTIF(Products!$A$2:$A$8,C1827)=0,C1827,"")</f>
        <v/>
      </c>
      <c r="J1827">
        <f>IF(OR(E1827="Prospecting",E1827="Engaging"),VLOOKUP(C1827,Products!$A$2:$C$8,3,FALSE),0)</f>
        <v>0</v>
      </c>
    </row>
    <row r="1828" spans="1:10" x14ac:dyDescent="0.25">
      <c r="A1828" t="s">
        <v>1995</v>
      </c>
      <c r="B1828" t="s">
        <v>169</v>
      </c>
      <c r="C1828" t="s">
        <v>123</v>
      </c>
      <c r="D1828" t="s">
        <v>61</v>
      </c>
      <c r="E1828" t="s">
        <v>159</v>
      </c>
      <c r="F1828" s="1">
        <v>42820</v>
      </c>
      <c r="G1828" s="1">
        <v>42880</v>
      </c>
      <c r="H1828">
        <v>0</v>
      </c>
      <c r="I1828" t="str">
        <f>IF(COUNTIF(Products!$A$2:$A$8,C1828)=0,C1828,"")</f>
        <v/>
      </c>
      <c r="J1828">
        <f>IF(OR(E1828="Prospecting",E1828="Engaging"),VLOOKUP(C1828,Products!$A$2:$C$8,3,FALSE),0)</f>
        <v>0</v>
      </c>
    </row>
    <row r="1829" spans="1:10" x14ac:dyDescent="0.25">
      <c r="A1829" t="s">
        <v>1996</v>
      </c>
      <c r="B1829" t="s">
        <v>148</v>
      </c>
      <c r="C1829" t="s">
        <v>123</v>
      </c>
      <c r="D1829" t="s">
        <v>60</v>
      </c>
      <c r="E1829" t="s">
        <v>159</v>
      </c>
      <c r="F1829" s="1">
        <v>42820</v>
      </c>
      <c r="G1829" s="1">
        <v>42861</v>
      </c>
      <c r="H1829">
        <v>0</v>
      </c>
      <c r="I1829" t="str">
        <f>IF(COUNTIF(Products!$A$2:$A$8,C1829)=0,C1829,"")</f>
        <v/>
      </c>
      <c r="J1829">
        <f>IF(OR(E1829="Prospecting",E1829="Engaging"),VLOOKUP(C1829,Products!$A$2:$C$8,3,FALSE),0)</f>
        <v>0</v>
      </c>
    </row>
    <row r="1830" spans="1:10" x14ac:dyDescent="0.25">
      <c r="A1830" t="s">
        <v>1997</v>
      </c>
      <c r="B1830" t="s">
        <v>144</v>
      </c>
      <c r="C1830" t="s">
        <v>120</v>
      </c>
      <c r="D1830" t="s">
        <v>56</v>
      </c>
      <c r="E1830" t="s">
        <v>159</v>
      </c>
      <c r="F1830" s="1">
        <v>42820</v>
      </c>
      <c r="G1830" s="1">
        <v>42829</v>
      </c>
      <c r="H1830">
        <v>0</v>
      </c>
      <c r="I1830" t="str">
        <f>IF(COUNTIF(Products!$A$2:$A$8,C1830)=0,C1830,"")</f>
        <v/>
      </c>
      <c r="J1830">
        <f>IF(OR(E1830="Prospecting",E1830="Engaging"),VLOOKUP(C1830,Products!$A$2:$C$8,3,FALSE),0)</f>
        <v>0</v>
      </c>
    </row>
    <row r="1831" spans="1:10" x14ac:dyDescent="0.25">
      <c r="A1831" t="s">
        <v>1998</v>
      </c>
      <c r="B1831" t="s">
        <v>144</v>
      </c>
      <c r="C1831" t="s">
        <v>120</v>
      </c>
      <c r="D1831" t="s">
        <v>61</v>
      </c>
      <c r="E1831" t="s">
        <v>159</v>
      </c>
      <c r="F1831" s="1">
        <v>42820</v>
      </c>
      <c r="G1831" s="1">
        <v>42869</v>
      </c>
      <c r="H1831">
        <v>0</v>
      </c>
      <c r="I1831" t="str">
        <f>IF(COUNTIF(Products!$A$2:$A$8,C1831)=0,C1831,"")</f>
        <v/>
      </c>
      <c r="J1831">
        <f>IF(OR(E1831="Prospecting",E1831="Engaging"),VLOOKUP(C1831,Products!$A$2:$C$8,3,FALSE),0)</f>
        <v>0</v>
      </c>
    </row>
    <row r="1832" spans="1:10" x14ac:dyDescent="0.25">
      <c r="A1832" t="s">
        <v>1999</v>
      </c>
      <c r="B1832" t="s">
        <v>264</v>
      </c>
      <c r="C1832" t="s">
        <v>125</v>
      </c>
      <c r="D1832" t="s">
        <v>116</v>
      </c>
      <c r="E1832" t="s">
        <v>138</v>
      </c>
      <c r="F1832" s="1">
        <v>42821</v>
      </c>
      <c r="G1832" s="1">
        <v>42884</v>
      </c>
      <c r="H1832">
        <v>3267</v>
      </c>
      <c r="I1832" t="str">
        <f>IF(COUNTIF(Products!$A$2:$A$8,C1832)=0,C1832,"")</f>
        <v/>
      </c>
      <c r="J1832">
        <f>IF(OR(E1832="Prospecting",E1832="Engaging"),VLOOKUP(C1832,Products!$A$2:$C$8,3,FALSE),0)</f>
        <v>0</v>
      </c>
    </row>
    <row r="1833" spans="1:10" x14ac:dyDescent="0.25">
      <c r="A1833" t="s">
        <v>2000</v>
      </c>
      <c r="B1833" t="s">
        <v>171</v>
      </c>
      <c r="C1833" t="s">
        <v>126</v>
      </c>
      <c r="D1833" t="s">
        <v>10</v>
      </c>
      <c r="E1833" t="s">
        <v>138</v>
      </c>
      <c r="F1833" s="1">
        <v>42821</v>
      </c>
      <c r="G1833" s="1">
        <v>42895</v>
      </c>
      <c r="H1833">
        <v>5182</v>
      </c>
      <c r="I1833" t="str">
        <f>IF(COUNTIF(Products!$A$2:$A$8,C1833)=0,C1833,"")</f>
        <v/>
      </c>
      <c r="J1833">
        <f>IF(OR(E1833="Prospecting",E1833="Engaging"),VLOOKUP(C1833,Products!$A$2:$C$8,3,FALSE),0)</f>
        <v>0</v>
      </c>
    </row>
    <row r="1834" spans="1:10" x14ac:dyDescent="0.25">
      <c r="A1834" t="s">
        <v>2001</v>
      </c>
      <c r="B1834" t="s">
        <v>140</v>
      </c>
      <c r="C1834" t="s">
        <v>122</v>
      </c>
      <c r="D1834" t="s">
        <v>22</v>
      </c>
      <c r="E1834" t="s">
        <v>159</v>
      </c>
      <c r="F1834" s="1">
        <v>42821</v>
      </c>
      <c r="G1834" s="1">
        <v>42830</v>
      </c>
      <c r="H1834">
        <v>0</v>
      </c>
      <c r="I1834" t="str">
        <f>IF(COUNTIF(Products!$A$2:$A$8,C1834)=0,C1834,"")</f>
        <v/>
      </c>
      <c r="J1834">
        <f>IF(OR(E1834="Prospecting",E1834="Engaging"),VLOOKUP(C1834,Products!$A$2:$C$8,3,FALSE),0)</f>
        <v>0</v>
      </c>
    </row>
    <row r="1835" spans="1:10" x14ac:dyDescent="0.25">
      <c r="A1835" t="s">
        <v>2002</v>
      </c>
      <c r="B1835" t="s">
        <v>140</v>
      </c>
      <c r="C1835" t="s">
        <v>123</v>
      </c>
      <c r="D1835" t="s">
        <v>95</v>
      </c>
      <c r="E1835" t="s">
        <v>159</v>
      </c>
      <c r="F1835" s="1">
        <v>42821</v>
      </c>
      <c r="G1835" s="1">
        <v>42832</v>
      </c>
      <c r="H1835">
        <v>0</v>
      </c>
      <c r="I1835" t="str">
        <f>IF(COUNTIF(Products!$A$2:$A$8,C1835)=0,C1835,"")</f>
        <v/>
      </c>
      <c r="J1835">
        <f>IF(OR(E1835="Prospecting",E1835="Engaging"),VLOOKUP(C1835,Products!$A$2:$C$8,3,FALSE),0)</f>
        <v>0</v>
      </c>
    </row>
    <row r="1836" spans="1:10" x14ac:dyDescent="0.25">
      <c r="A1836" t="s">
        <v>2003</v>
      </c>
      <c r="B1836" t="s">
        <v>198</v>
      </c>
      <c r="C1836" t="s">
        <v>122</v>
      </c>
      <c r="D1836" t="s">
        <v>112</v>
      </c>
      <c r="E1836" t="s">
        <v>159</v>
      </c>
      <c r="F1836" s="1">
        <v>42821</v>
      </c>
      <c r="G1836" s="1">
        <v>42886</v>
      </c>
      <c r="H1836">
        <v>0</v>
      </c>
      <c r="I1836" t="str">
        <f>IF(COUNTIF(Products!$A$2:$A$8,C1836)=0,C1836,"")</f>
        <v/>
      </c>
      <c r="J1836">
        <f>IF(OR(E1836="Prospecting",E1836="Engaging"),VLOOKUP(C1836,Products!$A$2:$C$8,3,FALSE),0)</f>
        <v>0</v>
      </c>
    </row>
    <row r="1837" spans="1:10" x14ac:dyDescent="0.25">
      <c r="A1837" t="s">
        <v>2004</v>
      </c>
      <c r="B1837" t="s">
        <v>154</v>
      </c>
      <c r="C1837" t="s">
        <v>120</v>
      </c>
      <c r="D1837" t="s">
        <v>109</v>
      </c>
      <c r="E1837" t="s">
        <v>138</v>
      </c>
      <c r="F1837" s="1">
        <v>42821</v>
      </c>
      <c r="G1837" s="1">
        <v>42880</v>
      </c>
      <c r="H1837">
        <v>540</v>
      </c>
      <c r="I1837" t="str">
        <f>IF(COUNTIF(Products!$A$2:$A$8,C1837)=0,C1837,"")</f>
        <v/>
      </c>
      <c r="J1837">
        <f>IF(OR(E1837="Prospecting",E1837="Engaging"),VLOOKUP(C1837,Products!$A$2:$C$8,3,FALSE),0)</f>
        <v>0</v>
      </c>
    </row>
    <row r="1838" spans="1:10" x14ac:dyDescent="0.25">
      <c r="A1838" t="s">
        <v>2005</v>
      </c>
      <c r="B1838" t="s">
        <v>154</v>
      </c>
      <c r="C1838" t="s">
        <v>125</v>
      </c>
      <c r="D1838" t="s">
        <v>44</v>
      </c>
      <c r="E1838" t="s">
        <v>138</v>
      </c>
      <c r="F1838" s="1">
        <v>42821</v>
      </c>
      <c r="G1838" s="1">
        <v>42856</v>
      </c>
      <c r="H1838">
        <v>3492</v>
      </c>
      <c r="I1838" t="str">
        <f>IF(COUNTIF(Products!$A$2:$A$8,C1838)=0,C1838,"")</f>
        <v/>
      </c>
      <c r="J1838">
        <f>IF(OR(E1838="Prospecting",E1838="Engaging"),VLOOKUP(C1838,Products!$A$2:$C$8,3,FALSE),0)</f>
        <v>0</v>
      </c>
    </row>
    <row r="1839" spans="1:10" x14ac:dyDescent="0.25">
      <c r="A1839" t="s">
        <v>2006</v>
      </c>
      <c r="B1839" t="s">
        <v>303</v>
      </c>
      <c r="C1839" t="s">
        <v>126</v>
      </c>
      <c r="D1839" t="s">
        <v>30</v>
      </c>
      <c r="E1839" t="s">
        <v>138</v>
      </c>
      <c r="F1839" s="1">
        <v>42821</v>
      </c>
      <c r="G1839" s="1">
        <v>42912</v>
      </c>
      <c r="H1839">
        <v>5991</v>
      </c>
      <c r="I1839" t="str">
        <f>IF(COUNTIF(Products!$A$2:$A$8,C1839)=0,C1839,"")</f>
        <v/>
      </c>
      <c r="J1839">
        <f>IF(OR(E1839="Prospecting",E1839="Engaging"),VLOOKUP(C1839,Products!$A$2:$C$8,3,FALSE),0)</f>
        <v>0</v>
      </c>
    </row>
    <row r="1840" spans="1:10" x14ac:dyDescent="0.25">
      <c r="A1840" t="s">
        <v>2007</v>
      </c>
      <c r="B1840" t="s">
        <v>150</v>
      </c>
      <c r="C1840" t="s">
        <v>120</v>
      </c>
      <c r="D1840" t="s">
        <v>72</v>
      </c>
      <c r="E1840" t="s">
        <v>159</v>
      </c>
      <c r="F1840" s="1">
        <v>42821</v>
      </c>
      <c r="G1840" s="1">
        <v>42827</v>
      </c>
      <c r="H1840">
        <v>0</v>
      </c>
      <c r="I1840" t="str">
        <f>IF(COUNTIF(Products!$A$2:$A$8,C1840)=0,C1840,"")</f>
        <v/>
      </c>
      <c r="J1840">
        <f>IF(OR(E1840="Prospecting",E1840="Engaging"),VLOOKUP(C1840,Products!$A$2:$C$8,3,FALSE),0)</f>
        <v>0</v>
      </c>
    </row>
    <row r="1841" spans="1:10" x14ac:dyDescent="0.25">
      <c r="A1841" t="s">
        <v>2008</v>
      </c>
      <c r="B1841" t="s">
        <v>150</v>
      </c>
      <c r="C1841" t="s">
        <v>125</v>
      </c>
      <c r="D1841" t="s">
        <v>69</v>
      </c>
      <c r="E1841" t="s">
        <v>159</v>
      </c>
      <c r="F1841" s="1">
        <v>42821</v>
      </c>
      <c r="G1841" s="1">
        <v>42831</v>
      </c>
      <c r="H1841">
        <v>0</v>
      </c>
      <c r="I1841" t="str">
        <f>IF(COUNTIF(Products!$A$2:$A$8,C1841)=0,C1841,"")</f>
        <v/>
      </c>
      <c r="J1841">
        <f>IF(OR(E1841="Prospecting",E1841="Engaging"),VLOOKUP(C1841,Products!$A$2:$C$8,3,FALSE),0)</f>
        <v>0</v>
      </c>
    </row>
    <row r="1842" spans="1:10" x14ac:dyDescent="0.25">
      <c r="A1842" t="s">
        <v>2009</v>
      </c>
      <c r="B1842" t="s">
        <v>150</v>
      </c>
      <c r="C1842" t="s">
        <v>122</v>
      </c>
      <c r="D1842" t="s">
        <v>100</v>
      </c>
      <c r="E1842" t="s">
        <v>138</v>
      </c>
      <c r="F1842" s="1">
        <v>42821</v>
      </c>
      <c r="G1842" s="1">
        <v>42912</v>
      </c>
      <c r="H1842">
        <v>4968</v>
      </c>
      <c r="I1842" t="str">
        <f>IF(COUNTIF(Products!$A$2:$A$8,C1842)=0,C1842,"")</f>
        <v/>
      </c>
      <c r="J1842">
        <f>IF(OR(E1842="Prospecting",E1842="Engaging"),VLOOKUP(C1842,Products!$A$2:$C$8,3,FALSE),0)</f>
        <v>0</v>
      </c>
    </row>
    <row r="1843" spans="1:10" x14ac:dyDescent="0.25">
      <c r="A1843" t="s">
        <v>2010</v>
      </c>
      <c r="B1843" t="s">
        <v>162</v>
      </c>
      <c r="C1843" t="s">
        <v>122</v>
      </c>
      <c r="D1843" t="s">
        <v>69</v>
      </c>
      <c r="E1843" t="s">
        <v>138</v>
      </c>
      <c r="F1843" s="1">
        <v>42821</v>
      </c>
      <c r="G1843" s="1">
        <v>42881</v>
      </c>
      <c r="H1843">
        <v>5006</v>
      </c>
      <c r="I1843" t="str">
        <f>IF(COUNTIF(Products!$A$2:$A$8,C1843)=0,C1843,"")</f>
        <v/>
      </c>
      <c r="J1843">
        <f>IF(OR(E1843="Prospecting",E1843="Engaging"),VLOOKUP(C1843,Products!$A$2:$C$8,3,FALSE),0)</f>
        <v>0</v>
      </c>
    </row>
    <row r="1844" spans="1:10" x14ac:dyDescent="0.25">
      <c r="A1844" t="s">
        <v>2011</v>
      </c>
      <c r="B1844" t="s">
        <v>137</v>
      </c>
      <c r="C1844" t="s">
        <v>123</v>
      </c>
      <c r="D1844" t="s">
        <v>28</v>
      </c>
      <c r="E1844" t="s">
        <v>159</v>
      </c>
      <c r="F1844" s="1">
        <v>42821</v>
      </c>
      <c r="G1844" s="1">
        <v>42856</v>
      </c>
      <c r="H1844">
        <v>0</v>
      </c>
      <c r="I1844" t="str">
        <f>IF(COUNTIF(Products!$A$2:$A$8,C1844)=0,C1844,"")</f>
        <v/>
      </c>
      <c r="J1844">
        <f>IF(OR(E1844="Prospecting",E1844="Engaging"),VLOOKUP(C1844,Products!$A$2:$C$8,3,FALSE),0)</f>
        <v>0</v>
      </c>
    </row>
    <row r="1845" spans="1:10" x14ac:dyDescent="0.25">
      <c r="A1845" t="s">
        <v>2012</v>
      </c>
      <c r="B1845" t="s">
        <v>193</v>
      </c>
      <c r="C1845" t="s">
        <v>126</v>
      </c>
      <c r="D1845" t="s">
        <v>115</v>
      </c>
      <c r="E1845" t="s">
        <v>159</v>
      </c>
      <c r="F1845" s="1">
        <v>42821</v>
      </c>
      <c r="G1845" s="1">
        <v>42870</v>
      </c>
      <c r="H1845">
        <v>0</v>
      </c>
      <c r="I1845" t="str">
        <f>IF(COUNTIF(Products!$A$2:$A$8,C1845)=0,C1845,"")</f>
        <v/>
      </c>
      <c r="J1845">
        <f>IF(OR(E1845="Prospecting",E1845="Engaging"),VLOOKUP(C1845,Products!$A$2:$C$8,3,FALSE),0)</f>
        <v>0</v>
      </c>
    </row>
    <row r="1846" spans="1:10" x14ac:dyDescent="0.25">
      <c r="A1846" t="s">
        <v>2013</v>
      </c>
      <c r="B1846" t="s">
        <v>193</v>
      </c>
      <c r="C1846" t="s">
        <v>122</v>
      </c>
      <c r="D1846" t="s">
        <v>73</v>
      </c>
      <c r="E1846" t="s">
        <v>138</v>
      </c>
      <c r="F1846" s="1">
        <v>42821</v>
      </c>
      <c r="G1846" s="1">
        <v>42830</v>
      </c>
      <c r="H1846">
        <v>5363</v>
      </c>
      <c r="I1846" t="str">
        <f>IF(COUNTIF(Products!$A$2:$A$8,C1846)=0,C1846,"")</f>
        <v/>
      </c>
      <c r="J1846">
        <f>IF(OR(E1846="Prospecting",E1846="Engaging"),VLOOKUP(C1846,Products!$A$2:$C$8,3,FALSE),0)</f>
        <v>0</v>
      </c>
    </row>
    <row r="1847" spans="1:10" x14ac:dyDescent="0.25">
      <c r="A1847" t="s">
        <v>2014</v>
      </c>
      <c r="B1847" t="s">
        <v>169</v>
      </c>
      <c r="C1847" t="s">
        <v>123</v>
      </c>
      <c r="D1847" t="s">
        <v>30</v>
      </c>
      <c r="E1847" t="s">
        <v>138</v>
      </c>
      <c r="F1847" s="1">
        <v>42821</v>
      </c>
      <c r="G1847" s="1">
        <v>42914</v>
      </c>
      <c r="H1847">
        <v>49</v>
      </c>
      <c r="I1847" t="str">
        <f>IF(COUNTIF(Products!$A$2:$A$8,C1847)=0,C1847,"")</f>
        <v/>
      </c>
      <c r="J1847">
        <f>IF(OR(E1847="Prospecting",E1847="Engaging"),VLOOKUP(C1847,Products!$A$2:$C$8,3,FALSE),0)</f>
        <v>0</v>
      </c>
    </row>
    <row r="1848" spans="1:10" x14ac:dyDescent="0.25">
      <c r="A1848" t="s">
        <v>2015</v>
      </c>
      <c r="B1848" t="s">
        <v>148</v>
      </c>
      <c r="C1848" t="s">
        <v>127</v>
      </c>
      <c r="D1848" t="s">
        <v>37</v>
      </c>
      <c r="E1848" t="s">
        <v>155</v>
      </c>
      <c r="F1848" s="1">
        <v>42821</v>
      </c>
      <c r="I1848" t="str">
        <f>IF(COUNTIF(Products!$A$2:$A$8,C1848)=0,C1848,"")</f>
        <v/>
      </c>
      <c r="J1848">
        <f>IF(OR(E1848="Prospecting",E1848="Engaging"),VLOOKUP(C1848,Products!$A$2:$C$8,3,FALSE),0)</f>
        <v>1096</v>
      </c>
    </row>
    <row r="1849" spans="1:10" x14ac:dyDescent="0.25">
      <c r="A1849" t="s">
        <v>2016</v>
      </c>
      <c r="B1849" t="s">
        <v>144</v>
      </c>
      <c r="C1849" t="s">
        <v>127</v>
      </c>
      <c r="D1849" t="s">
        <v>38</v>
      </c>
      <c r="E1849" t="s">
        <v>159</v>
      </c>
      <c r="F1849" s="1">
        <v>42821</v>
      </c>
      <c r="G1849" s="1">
        <v>42828</v>
      </c>
      <c r="H1849">
        <v>0</v>
      </c>
      <c r="I1849" t="str">
        <f>IF(COUNTIF(Products!$A$2:$A$8,C1849)=0,C1849,"")</f>
        <v/>
      </c>
      <c r="J1849">
        <f>IF(OR(E1849="Prospecting",E1849="Engaging"),VLOOKUP(C1849,Products!$A$2:$C$8,3,FALSE),0)</f>
        <v>0</v>
      </c>
    </row>
    <row r="1850" spans="1:10" x14ac:dyDescent="0.25">
      <c r="A1850" t="s">
        <v>2017</v>
      </c>
      <c r="B1850" t="s">
        <v>144</v>
      </c>
      <c r="C1850" t="s">
        <v>125</v>
      </c>
      <c r="D1850" t="s">
        <v>34</v>
      </c>
      <c r="E1850" t="s">
        <v>138</v>
      </c>
      <c r="F1850" s="1">
        <v>42821</v>
      </c>
      <c r="G1850" s="1">
        <v>42828</v>
      </c>
      <c r="H1850">
        <v>4253</v>
      </c>
      <c r="I1850" t="str">
        <f>IF(COUNTIF(Products!$A$2:$A$8,C1850)=0,C1850,"")</f>
        <v/>
      </c>
      <c r="J1850">
        <f>IF(OR(E1850="Prospecting",E1850="Engaging"),VLOOKUP(C1850,Products!$A$2:$C$8,3,FALSE),0)</f>
        <v>0</v>
      </c>
    </row>
    <row r="1851" spans="1:10" x14ac:dyDescent="0.25">
      <c r="A1851" t="s">
        <v>2018</v>
      </c>
      <c r="B1851" t="s">
        <v>146</v>
      </c>
      <c r="C1851" t="s">
        <v>123</v>
      </c>
      <c r="D1851" t="s">
        <v>26</v>
      </c>
      <c r="E1851" t="s">
        <v>159</v>
      </c>
      <c r="F1851" s="1">
        <v>42822</v>
      </c>
      <c r="G1851" s="1">
        <v>42833</v>
      </c>
      <c r="H1851">
        <v>0</v>
      </c>
      <c r="I1851" t="str">
        <f>IF(COUNTIF(Products!$A$2:$A$8,C1851)=0,C1851,"")</f>
        <v/>
      </c>
      <c r="J1851">
        <f>IF(OR(E1851="Prospecting",E1851="Engaging"),VLOOKUP(C1851,Products!$A$2:$C$8,3,FALSE),0)</f>
        <v>0</v>
      </c>
    </row>
    <row r="1852" spans="1:10" x14ac:dyDescent="0.25">
      <c r="A1852" t="s">
        <v>2019</v>
      </c>
      <c r="B1852" t="s">
        <v>146</v>
      </c>
      <c r="C1852" t="s">
        <v>123</v>
      </c>
      <c r="D1852" t="s">
        <v>26</v>
      </c>
      <c r="E1852" t="s">
        <v>159</v>
      </c>
      <c r="F1852" s="1">
        <v>42822</v>
      </c>
      <c r="G1852" s="1">
        <v>42894</v>
      </c>
      <c r="H1852">
        <v>0</v>
      </c>
      <c r="I1852" t="str">
        <f>IF(COUNTIF(Products!$A$2:$A$8,C1852)=0,C1852,"")</f>
        <v/>
      </c>
      <c r="J1852">
        <f>IF(OR(E1852="Prospecting",E1852="Engaging"),VLOOKUP(C1852,Products!$A$2:$C$8,3,FALSE),0)</f>
        <v>0</v>
      </c>
    </row>
    <row r="1853" spans="1:10" x14ac:dyDescent="0.25">
      <c r="A1853" t="s">
        <v>2020</v>
      </c>
      <c r="B1853" t="s">
        <v>207</v>
      </c>
      <c r="C1853" t="s">
        <v>120</v>
      </c>
      <c r="D1853" t="s">
        <v>84</v>
      </c>
      <c r="E1853" t="s">
        <v>138</v>
      </c>
      <c r="F1853" s="1">
        <v>42822</v>
      </c>
      <c r="G1853" s="1">
        <v>42885</v>
      </c>
      <c r="H1853">
        <v>422</v>
      </c>
      <c r="I1853" t="str">
        <f>IF(COUNTIF(Products!$A$2:$A$8,C1853)=0,C1853,"")</f>
        <v/>
      </c>
      <c r="J1853">
        <f>IF(OR(E1853="Prospecting",E1853="Engaging"),VLOOKUP(C1853,Products!$A$2:$C$8,3,FALSE),0)</f>
        <v>0</v>
      </c>
    </row>
    <row r="1854" spans="1:10" x14ac:dyDescent="0.25">
      <c r="A1854" t="s">
        <v>2021</v>
      </c>
      <c r="B1854" t="s">
        <v>264</v>
      </c>
      <c r="C1854" t="s">
        <v>120</v>
      </c>
      <c r="D1854" t="s">
        <v>61</v>
      </c>
      <c r="E1854" t="s">
        <v>159</v>
      </c>
      <c r="F1854" s="1">
        <v>42822</v>
      </c>
      <c r="G1854" s="1">
        <v>42831</v>
      </c>
      <c r="H1854">
        <v>0</v>
      </c>
      <c r="I1854" t="str">
        <f>IF(COUNTIF(Products!$A$2:$A$8,C1854)=0,C1854,"")</f>
        <v/>
      </c>
      <c r="J1854">
        <f>IF(OR(E1854="Prospecting",E1854="Engaging"),VLOOKUP(C1854,Products!$A$2:$C$8,3,FALSE),0)</f>
        <v>0</v>
      </c>
    </row>
    <row r="1855" spans="1:10" x14ac:dyDescent="0.25">
      <c r="A1855" t="s">
        <v>2022</v>
      </c>
      <c r="B1855" t="s">
        <v>264</v>
      </c>
      <c r="C1855" t="s">
        <v>127</v>
      </c>
      <c r="D1855" t="s">
        <v>26</v>
      </c>
      <c r="E1855" t="s">
        <v>138</v>
      </c>
      <c r="F1855" s="1">
        <v>42822</v>
      </c>
      <c r="G1855" s="1">
        <v>42833</v>
      </c>
      <c r="H1855">
        <v>1056</v>
      </c>
      <c r="I1855" t="str">
        <f>IF(COUNTIF(Products!$A$2:$A$8,C1855)=0,C1855,"")</f>
        <v/>
      </c>
      <c r="J1855">
        <f>IF(OR(E1855="Prospecting",E1855="Engaging"),VLOOKUP(C1855,Products!$A$2:$C$8,3,FALSE),0)</f>
        <v>0</v>
      </c>
    </row>
    <row r="1856" spans="1:10" x14ac:dyDescent="0.25">
      <c r="A1856" t="s">
        <v>2023</v>
      </c>
      <c r="B1856" t="s">
        <v>239</v>
      </c>
      <c r="C1856" t="s">
        <v>122</v>
      </c>
      <c r="D1856" t="s">
        <v>16</v>
      </c>
      <c r="E1856" t="s">
        <v>159</v>
      </c>
      <c r="F1856" s="1">
        <v>42822</v>
      </c>
      <c r="G1856" s="1">
        <v>42832</v>
      </c>
      <c r="H1856">
        <v>0</v>
      </c>
      <c r="I1856" t="str">
        <f>IF(COUNTIF(Products!$A$2:$A$8,C1856)=0,C1856,"")</f>
        <v/>
      </c>
      <c r="J1856">
        <f>IF(OR(E1856="Prospecting",E1856="Engaging"),VLOOKUP(C1856,Products!$A$2:$C$8,3,FALSE),0)</f>
        <v>0</v>
      </c>
    </row>
    <row r="1857" spans="1:10" x14ac:dyDescent="0.25">
      <c r="A1857" t="s">
        <v>2024</v>
      </c>
      <c r="B1857" t="s">
        <v>239</v>
      </c>
      <c r="C1857" t="s">
        <v>122</v>
      </c>
      <c r="D1857" t="s">
        <v>48</v>
      </c>
      <c r="E1857" t="s">
        <v>159</v>
      </c>
      <c r="F1857" s="1">
        <v>42822</v>
      </c>
      <c r="G1857" s="1">
        <v>42883</v>
      </c>
      <c r="H1857">
        <v>0</v>
      </c>
      <c r="I1857" t="str">
        <f>IF(COUNTIF(Products!$A$2:$A$8,C1857)=0,C1857,"")</f>
        <v/>
      </c>
      <c r="J1857">
        <f>IF(OR(E1857="Prospecting",E1857="Engaging"),VLOOKUP(C1857,Products!$A$2:$C$8,3,FALSE),0)</f>
        <v>0</v>
      </c>
    </row>
    <row r="1858" spans="1:10" x14ac:dyDescent="0.25">
      <c r="A1858" t="s">
        <v>2025</v>
      </c>
      <c r="B1858" t="s">
        <v>140</v>
      </c>
      <c r="C1858" t="s">
        <v>122</v>
      </c>
      <c r="D1858" t="s">
        <v>36</v>
      </c>
      <c r="E1858" t="s">
        <v>159</v>
      </c>
      <c r="F1858" s="1">
        <v>42822</v>
      </c>
      <c r="G1858" s="1">
        <v>42831</v>
      </c>
      <c r="H1858">
        <v>0</v>
      </c>
      <c r="I1858" t="str">
        <f>IF(COUNTIF(Products!$A$2:$A$8,C1858)=0,C1858,"")</f>
        <v/>
      </c>
      <c r="J1858">
        <f>IF(OR(E1858="Prospecting",E1858="Engaging"),VLOOKUP(C1858,Products!$A$2:$C$8,3,FALSE),0)</f>
        <v>0</v>
      </c>
    </row>
    <row r="1859" spans="1:10" x14ac:dyDescent="0.25">
      <c r="A1859" t="s">
        <v>2026</v>
      </c>
      <c r="B1859" t="s">
        <v>140</v>
      </c>
      <c r="C1859" t="s">
        <v>125</v>
      </c>
      <c r="D1859" t="s">
        <v>32</v>
      </c>
      <c r="E1859" t="s">
        <v>159</v>
      </c>
      <c r="F1859" s="1">
        <v>42822</v>
      </c>
      <c r="G1859" s="1">
        <v>42828</v>
      </c>
      <c r="H1859">
        <v>0</v>
      </c>
      <c r="I1859" t="str">
        <f>IF(COUNTIF(Products!$A$2:$A$8,C1859)=0,C1859,"")</f>
        <v/>
      </c>
      <c r="J1859">
        <f>IF(OR(E1859="Prospecting",E1859="Engaging"),VLOOKUP(C1859,Products!$A$2:$C$8,3,FALSE),0)</f>
        <v>0</v>
      </c>
    </row>
    <row r="1860" spans="1:10" x14ac:dyDescent="0.25">
      <c r="A1860" t="s">
        <v>2027</v>
      </c>
      <c r="B1860" t="s">
        <v>140</v>
      </c>
      <c r="C1860" t="s">
        <v>125</v>
      </c>
      <c r="D1860" t="s">
        <v>77</v>
      </c>
      <c r="E1860" t="s">
        <v>138</v>
      </c>
      <c r="F1860" s="1">
        <v>42822</v>
      </c>
      <c r="G1860" s="1">
        <v>42834</v>
      </c>
      <c r="H1860">
        <v>3665</v>
      </c>
      <c r="I1860" t="str">
        <f>IF(COUNTIF(Products!$A$2:$A$8,C1860)=0,C1860,"")</f>
        <v/>
      </c>
      <c r="J1860">
        <f>IF(OR(E1860="Prospecting",E1860="Engaging"),VLOOKUP(C1860,Products!$A$2:$C$8,3,FALSE),0)</f>
        <v>0</v>
      </c>
    </row>
    <row r="1861" spans="1:10" x14ac:dyDescent="0.25">
      <c r="A1861" t="s">
        <v>2028</v>
      </c>
      <c r="B1861" t="s">
        <v>224</v>
      </c>
      <c r="C1861" t="s">
        <v>122</v>
      </c>
      <c r="D1861" t="s">
        <v>35</v>
      </c>
      <c r="E1861" t="s">
        <v>138</v>
      </c>
      <c r="F1861" s="1">
        <v>42822</v>
      </c>
      <c r="G1861" s="1">
        <v>42889</v>
      </c>
      <c r="H1861">
        <v>4329</v>
      </c>
      <c r="I1861" t="str">
        <f>IF(COUNTIF(Products!$A$2:$A$8,C1861)=0,C1861,"")</f>
        <v/>
      </c>
      <c r="J1861">
        <f>IF(OR(E1861="Prospecting",E1861="Engaging"),VLOOKUP(C1861,Products!$A$2:$C$8,3,FALSE),0)</f>
        <v>0</v>
      </c>
    </row>
    <row r="1862" spans="1:10" x14ac:dyDescent="0.25">
      <c r="A1862" t="s">
        <v>2029</v>
      </c>
      <c r="B1862" t="s">
        <v>158</v>
      </c>
      <c r="C1862" t="s">
        <v>123</v>
      </c>
      <c r="D1862" t="s">
        <v>42</v>
      </c>
      <c r="E1862" t="s">
        <v>159</v>
      </c>
      <c r="F1862" s="1">
        <v>42822</v>
      </c>
      <c r="G1862" s="1">
        <v>42828</v>
      </c>
      <c r="H1862">
        <v>0</v>
      </c>
      <c r="I1862" t="str">
        <f>IF(COUNTIF(Products!$A$2:$A$8,C1862)=0,C1862,"")</f>
        <v/>
      </c>
      <c r="J1862">
        <f>IF(OR(E1862="Prospecting",E1862="Engaging"),VLOOKUP(C1862,Products!$A$2:$C$8,3,FALSE),0)</f>
        <v>0</v>
      </c>
    </row>
    <row r="1863" spans="1:10" x14ac:dyDescent="0.25">
      <c r="A1863" t="s">
        <v>2030</v>
      </c>
      <c r="B1863" t="s">
        <v>164</v>
      </c>
      <c r="C1863" t="s">
        <v>123</v>
      </c>
      <c r="D1863" t="s">
        <v>56</v>
      </c>
      <c r="E1863" t="s">
        <v>138</v>
      </c>
      <c r="F1863" s="1">
        <v>42822</v>
      </c>
      <c r="G1863" s="1">
        <v>42833</v>
      </c>
      <c r="H1863">
        <v>58</v>
      </c>
      <c r="I1863" t="str">
        <f>IF(COUNTIF(Products!$A$2:$A$8,C1863)=0,C1863,"")</f>
        <v/>
      </c>
      <c r="J1863">
        <f>IF(OR(E1863="Prospecting",E1863="Engaging"),VLOOKUP(C1863,Products!$A$2:$C$8,3,FALSE),0)</f>
        <v>0</v>
      </c>
    </row>
    <row r="1864" spans="1:10" x14ac:dyDescent="0.25">
      <c r="A1864" t="s">
        <v>2031</v>
      </c>
      <c r="B1864" t="s">
        <v>154</v>
      </c>
      <c r="C1864" t="s">
        <v>126</v>
      </c>
      <c r="D1864" t="s">
        <v>109</v>
      </c>
      <c r="E1864" t="s">
        <v>138</v>
      </c>
      <c r="F1864" s="1">
        <v>42822</v>
      </c>
      <c r="G1864" s="1">
        <v>42912</v>
      </c>
      <c r="H1864">
        <v>7356</v>
      </c>
      <c r="I1864" t="str">
        <f>IF(COUNTIF(Products!$A$2:$A$8,C1864)=0,C1864,"")</f>
        <v/>
      </c>
      <c r="J1864">
        <f>IF(OR(E1864="Prospecting",E1864="Engaging"),VLOOKUP(C1864,Products!$A$2:$C$8,3,FALSE),0)</f>
        <v>0</v>
      </c>
    </row>
    <row r="1865" spans="1:10" x14ac:dyDescent="0.25">
      <c r="A1865" t="s">
        <v>2032</v>
      </c>
      <c r="B1865" t="s">
        <v>154</v>
      </c>
      <c r="C1865" t="s">
        <v>122</v>
      </c>
      <c r="D1865" t="s">
        <v>38</v>
      </c>
      <c r="E1865" t="s">
        <v>138</v>
      </c>
      <c r="F1865" s="1">
        <v>42822</v>
      </c>
      <c r="G1865" s="1">
        <v>42911</v>
      </c>
      <c r="H1865">
        <v>4066</v>
      </c>
      <c r="I1865" t="str">
        <f>IF(COUNTIF(Products!$A$2:$A$8,C1865)=0,C1865,"")</f>
        <v/>
      </c>
      <c r="J1865">
        <f>IF(OR(E1865="Prospecting",E1865="Engaging"),VLOOKUP(C1865,Products!$A$2:$C$8,3,FALSE),0)</f>
        <v>0</v>
      </c>
    </row>
    <row r="1866" spans="1:10" x14ac:dyDescent="0.25">
      <c r="A1866" t="s">
        <v>2033</v>
      </c>
      <c r="B1866" t="s">
        <v>217</v>
      </c>
      <c r="C1866" t="s">
        <v>123</v>
      </c>
      <c r="D1866" t="s">
        <v>27</v>
      </c>
      <c r="E1866" t="s">
        <v>138</v>
      </c>
      <c r="F1866" s="1">
        <v>42822</v>
      </c>
      <c r="G1866" s="1">
        <v>42892</v>
      </c>
      <c r="H1866">
        <v>55</v>
      </c>
      <c r="I1866" t="str">
        <f>IF(COUNTIF(Products!$A$2:$A$8,C1866)=0,C1866,"")</f>
        <v/>
      </c>
      <c r="J1866">
        <f>IF(OR(E1866="Prospecting",E1866="Engaging"),VLOOKUP(C1866,Products!$A$2:$C$8,3,FALSE),0)</f>
        <v>0</v>
      </c>
    </row>
    <row r="1867" spans="1:10" x14ac:dyDescent="0.25">
      <c r="A1867" t="s">
        <v>2034</v>
      </c>
      <c r="B1867" t="s">
        <v>150</v>
      </c>
      <c r="C1867" t="s">
        <v>125</v>
      </c>
      <c r="D1867" t="s">
        <v>114</v>
      </c>
      <c r="E1867" t="s">
        <v>138</v>
      </c>
      <c r="F1867" s="1">
        <v>42822</v>
      </c>
      <c r="G1867" s="1">
        <v>42913</v>
      </c>
      <c r="H1867">
        <v>3738</v>
      </c>
      <c r="I1867" t="str">
        <f>IF(COUNTIF(Products!$A$2:$A$8,C1867)=0,C1867,"")</f>
        <v/>
      </c>
      <c r="J1867">
        <f>IF(OR(E1867="Prospecting",E1867="Engaging"),VLOOKUP(C1867,Products!$A$2:$C$8,3,FALSE),0)</f>
        <v>0</v>
      </c>
    </row>
    <row r="1868" spans="1:10" x14ac:dyDescent="0.25">
      <c r="A1868" t="s">
        <v>2035</v>
      </c>
      <c r="B1868" t="s">
        <v>162</v>
      </c>
      <c r="C1868" t="s">
        <v>123</v>
      </c>
      <c r="D1868" t="s">
        <v>91</v>
      </c>
      <c r="E1868" t="s">
        <v>155</v>
      </c>
      <c r="F1868" s="1">
        <v>42822</v>
      </c>
      <c r="I1868" t="str">
        <f>IF(COUNTIF(Products!$A$2:$A$8,C1868)=0,C1868,"")</f>
        <v/>
      </c>
      <c r="J1868">
        <f>IF(OR(E1868="Prospecting",E1868="Engaging"),VLOOKUP(C1868,Products!$A$2:$C$8,3,FALSE),0)</f>
        <v>55</v>
      </c>
    </row>
    <row r="1869" spans="1:10" x14ac:dyDescent="0.25">
      <c r="A1869" t="s">
        <v>2036</v>
      </c>
      <c r="B1869" t="s">
        <v>162</v>
      </c>
      <c r="C1869" t="s">
        <v>120</v>
      </c>
      <c r="D1869" t="s">
        <v>61</v>
      </c>
      <c r="E1869" t="s">
        <v>159</v>
      </c>
      <c r="F1869" s="1">
        <v>42822</v>
      </c>
      <c r="G1869" s="1">
        <v>42829</v>
      </c>
      <c r="H1869">
        <v>0</v>
      </c>
      <c r="I1869" t="str">
        <f>IF(COUNTIF(Products!$A$2:$A$8,C1869)=0,C1869,"")</f>
        <v/>
      </c>
      <c r="J1869">
        <f>IF(OR(E1869="Prospecting",E1869="Engaging"),VLOOKUP(C1869,Products!$A$2:$C$8,3,FALSE),0)</f>
        <v>0</v>
      </c>
    </row>
    <row r="1870" spans="1:10" x14ac:dyDescent="0.25">
      <c r="A1870" t="s">
        <v>2037</v>
      </c>
      <c r="B1870" t="s">
        <v>162</v>
      </c>
      <c r="C1870" t="s">
        <v>125</v>
      </c>
      <c r="D1870" t="s">
        <v>71</v>
      </c>
      <c r="E1870" t="s">
        <v>159</v>
      </c>
      <c r="F1870" s="1">
        <v>42822</v>
      </c>
      <c r="G1870" s="1">
        <v>42881</v>
      </c>
      <c r="H1870">
        <v>0</v>
      </c>
      <c r="I1870" t="str">
        <f>IF(COUNTIF(Products!$A$2:$A$8,C1870)=0,C1870,"")</f>
        <v/>
      </c>
      <c r="J1870">
        <f>IF(OR(E1870="Prospecting",E1870="Engaging"),VLOOKUP(C1870,Products!$A$2:$C$8,3,FALSE),0)</f>
        <v>0</v>
      </c>
    </row>
    <row r="1871" spans="1:10" x14ac:dyDescent="0.25">
      <c r="A1871" t="s">
        <v>2038</v>
      </c>
      <c r="B1871" t="s">
        <v>162</v>
      </c>
      <c r="C1871" t="s">
        <v>127</v>
      </c>
      <c r="D1871" t="s">
        <v>109</v>
      </c>
      <c r="E1871" t="s">
        <v>138</v>
      </c>
      <c r="F1871" s="1">
        <v>42822</v>
      </c>
      <c r="G1871" s="1">
        <v>42870</v>
      </c>
      <c r="H1871">
        <v>888</v>
      </c>
      <c r="I1871" t="str">
        <f>IF(COUNTIF(Products!$A$2:$A$8,C1871)=0,C1871,"")</f>
        <v/>
      </c>
      <c r="J1871">
        <f>IF(OR(E1871="Prospecting",E1871="Engaging"),VLOOKUP(C1871,Products!$A$2:$C$8,3,FALSE),0)</f>
        <v>0</v>
      </c>
    </row>
    <row r="1872" spans="1:10" x14ac:dyDescent="0.25">
      <c r="A1872" t="s">
        <v>2039</v>
      </c>
      <c r="B1872" t="s">
        <v>137</v>
      </c>
      <c r="C1872" t="s">
        <v>126</v>
      </c>
      <c r="D1872" t="s">
        <v>14</v>
      </c>
      <c r="E1872" t="s">
        <v>138</v>
      </c>
      <c r="F1872" s="1">
        <v>42822</v>
      </c>
      <c r="G1872" s="1">
        <v>42832</v>
      </c>
      <c r="H1872">
        <v>5447</v>
      </c>
      <c r="I1872" t="str">
        <f>IF(COUNTIF(Products!$A$2:$A$8,C1872)=0,C1872,"")</f>
        <v/>
      </c>
      <c r="J1872">
        <f>IF(OR(E1872="Prospecting",E1872="Engaging"),VLOOKUP(C1872,Products!$A$2:$C$8,3,FALSE),0)</f>
        <v>0</v>
      </c>
    </row>
    <row r="1873" spans="1:10" x14ac:dyDescent="0.25">
      <c r="A1873" t="s">
        <v>2040</v>
      </c>
      <c r="B1873" t="s">
        <v>152</v>
      </c>
      <c r="C1873" t="s">
        <v>126</v>
      </c>
      <c r="D1873" t="s">
        <v>53</v>
      </c>
      <c r="E1873" t="s">
        <v>138</v>
      </c>
      <c r="F1873" s="1">
        <v>42822</v>
      </c>
      <c r="G1873" s="1">
        <v>42830</v>
      </c>
      <c r="H1873">
        <v>5972</v>
      </c>
      <c r="I1873" t="str">
        <f>IF(COUNTIF(Products!$A$2:$A$8,C1873)=0,C1873,"")</f>
        <v/>
      </c>
      <c r="J1873">
        <f>IF(OR(E1873="Prospecting",E1873="Engaging"),VLOOKUP(C1873,Products!$A$2:$C$8,3,FALSE),0)</f>
        <v>0</v>
      </c>
    </row>
    <row r="1874" spans="1:10" x14ac:dyDescent="0.25">
      <c r="A1874" t="s">
        <v>2041</v>
      </c>
      <c r="B1874" t="s">
        <v>166</v>
      </c>
      <c r="C1874" t="s">
        <v>122</v>
      </c>
      <c r="D1874" t="s">
        <v>23</v>
      </c>
      <c r="E1874" t="s">
        <v>138</v>
      </c>
      <c r="F1874" s="1">
        <v>42822</v>
      </c>
      <c r="G1874" s="1">
        <v>42827</v>
      </c>
      <c r="H1874">
        <v>4855</v>
      </c>
      <c r="I1874" t="str">
        <f>IF(COUNTIF(Products!$A$2:$A$8,C1874)=0,C1874,"")</f>
        <v/>
      </c>
      <c r="J1874">
        <f>IF(OR(E1874="Prospecting",E1874="Engaging"),VLOOKUP(C1874,Products!$A$2:$C$8,3,FALSE),0)</f>
        <v>0</v>
      </c>
    </row>
    <row r="1875" spans="1:10" x14ac:dyDescent="0.25">
      <c r="A1875" t="s">
        <v>2042</v>
      </c>
      <c r="B1875" t="s">
        <v>187</v>
      </c>
      <c r="C1875" t="s">
        <v>125</v>
      </c>
      <c r="D1875" t="s">
        <v>108</v>
      </c>
      <c r="E1875" t="s">
        <v>138</v>
      </c>
      <c r="F1875" s="1">
        <v>42822</v>
      </c>
      <c r="G1875" s="1">
        <v>42884</v>
      </c>
      <c r="H1875">
        <v>3395</v>
      </c>
      <c r="I1875" t="str">
        <f>IF(COUNTIF(Products!$A$2:$A$8,C1875)=0,C1875,"")</f>
        <v/>
      </c>
      <c r="J1875">
        <f>IF(OR(E1875="Prospecting",E1875="Engaging"),VLOOKUP(C1875,Products!$A$2:$C$8,3,FALSE),0)</f>
        <v>0</v>
      </c>
    </row>
    <row r="1876" spans="1:10" x14ac:dyDescent="0.25">
      <c r="A1876" t="s">
        <v>2043</v>
      </c>
      <c r="B1876" t="s">
        <v>148</v>
      </c>
      <c r="C1876" t="s">
        <v>123</v>
      </c>
      <c r="E1876" t="s">
        <v>155</v>
      </c>
      <c r="F1876" s="1">
        <v>42822</v>
      </c>
      <c r="I1876" t="str">
        <f>IF(COUNTIF(Products!$A$2:$A$8,C1876)=0,C1876,"")</f>
        <v/>
      </c>
      <c r="J1876">
        <f>IF(OR(E1876="Prospecting",E1876="Engaging"),VLOOKUP(C1876,Products!$A$2:$C$8,3,FALSE),0)</f>
        <v>55</v>
      </c>
    </row>
    <row r="1877" spans="1:10" x14ac:dyDescent="0.25">
      <c r="A1877" t="s">
        <v>2044</v>
      </c>
      <c r="B1877" t="s">
        <v>148</v>
      </c>
      <c r="C1877" t="s">
        <v>123</v>
      </c>
      <c r="E1877" t="s">
        <v>155</v>
      </c>
      <c r="F1877" s="1">
        <v>42822</v>
      </c>
      <c r="I1877" t="str">
        <f>IF(COUNTIF(Products!$A$2:$A$8,C1877)=0,C1877,"")</f>
        <v/>
      </c>
      <c r="J1877">
        <f>IF(OR(E1877="Prospecting",E1877="Engaging"),VLOOKUP(C1877,Products!$A$2:$C$8,3,FALSE),0)</f>
        <v>55</v>
      </c>
    </row>
    <row r="1878" spans="1:10" x14ac:dyDescent="0.25">
      <c r="A1878" t="s">
        <v>2045</v>
      </c>
      <c r="B1878" t="s">
        <v>148</v>
      </c>
      <c r="C1878" t="s">
        <v>123</v>
      </c>
      <c r="E1878" t="s">
        <v>155</v>
      </c>
      <c r="F1878" s="1">
        <v>42822</v>
      </c>
      <c r="I1878" t="str">
        <f>IF(COUNTIF(Products!$A$2:$A$8,C1878)=0,C1878,"")</f>
        <v/>
      </c>
      <c r="J1878">
        <f>IF(OR(E1878="Prospecting",E1878="Engaging"),VLOOKUP(C1878,Products!$A$2:$C$8,3,FALSE),0)</f>
        <v>55</v>
      </c>
    </row>
    <row r="1879" spans="1:10" x14ac:dyDescent="0.25">
      <c r="A1879" t="s">
        <v>2046</v>
      </c>
      <c r="B1879" t="s">
        <v>177</v>
      </c>
      <c r="C1879" t="s">
        <v>123</v>
      </c>
      <c r="D1879" t="s">
        <v>16</v>
      </c>
      <c r="E1879" t="s">
        <v>159</v>
      </c>
      <c r="F1879" s="1">
        <v>42822</v>
      </c>
      <c r="G1879" s="1">
        <v>42832</v>
      </c>
      <c r="H1879">
        <v>0</v>
      </c>
      <c r="I1879" t="str">
        <f>IF(COUNTIF(Products!$A$2:$A$8,C1879)=0,C1879,"")</f>
        <v/>
      </c>
      <c r="J1879">
        <f>IF(OR(E1879="Prospecting",E1879="Engaging"),VLOOKUP(C1879,Products!$A$2:$C$8,3,FALSE),0)</f>
        <v>0</v>
      </c>
    </row>
    <row r="1880" spans="1:10" x14ac:dyDescent="0.25">
      <c r="A1880" t="s">
        <v>2047</v>
      </c>
      <c r="B1880" t="s">
        <v>144</v>
      </c>
      <c r="C1880" t="s">
        <v>127</v>
      </c>
      <c r="D1880" t="s">
        <v>56</v>
      </c>
      <c r="E1880" t="s">
        <v>138</v>
      </c>
      <c r="F1880" s="1">
        <v>42822</v>
      </c>
      <c r="G1880" s="1">
        <v>42824</v>
      </c>
      <c r="H1880">
        <v>1084</v>
      </c>
      <c r="I1880" t="str">
        <f>IF(COUNTIF(Products!$A$2:$A$8,C1880)=0,C1880,"")</f>
        <v/>
      </c>
      <c r="J1880">
        <f>IF(OR(E1880="Prospecting",E1880="Engaging"),VLOOKUP(C1880,Products!$A$2:$C$8,3,FALSE),0)</f>
        <v>0</v>
      </c>
    </row>
    <row r="1881" spans="1:10" x14ac:dyDescent="0.25">
      <c r="A1881" t="s">
        <v>2048</v>
      </c>
      <c r="B1881" t="s">
        <v>264</v>
      </c>
      <c r="C1881" t="s">
        <v>125</v>
      </c>
      <c r="D1881" t="s">
        <v>32</v>
      </c>
      <c r="E1881" t="s">
        <v>138</v>
      </c>
      <c r="F1881" s="1">
        <v>42823</v>
      </c>
      <c r="G1881" s="1">
        <v>42889</v>
      </c>
      <c r="H1881">
        <v>3670</v>
      </c>
      <c r="I1881" t="str">
        <f>IF(COUNTIF(Products!$A$2:$A$8,C1881)=0,C1881,"")</f>
        <v/>
      </c>
      <c r="J1881">
        <f>IF(OR(E1881="Prospecting",E1881="Engaging"),VLOOKUP(C1881,Products!$A$2:$C$8,3,FALSE),0)</f>
        <v>0</v>
      </c>
    </row>
    <row r="1882" spans="1:10" x14ac:dyDescent="0.25">
      <c r="A1882" t="s">
        <v>2049</v>
      </c>
      <c r="B1882" t="s">
        <v>171</v>
      </c>
      <c r="C1882" t="s">
        <v>127</v>
      </c>
      <c r="D1882" t="s">
        <v>63</v>
      </c>
      <c r="E1882" t="s">
        <v>159</v>
      </c>
      <c r="F1882" s="1">
        <v>42823</v>
      </c>
      <c r="G1882" s="1">
        <v>42827</v>
      </c>
      <c r="H1882">
        <v>0</v>
      </c>
      <c r="I1882" t="str">
        <f>IF(COUNTIF(Products!$A$2:$A$8,C1882)=0,C1882,"")</f>
        <v/>
      </c>
      <c r="J1882">
        <f>IF(OR(E1882="Prospecting",E1882="Engaging"),VLOOKUP(C1882,Products!$A$2:$C$8,3,FALSE),0)</f>
        <v>0</v>
      </c>
    </row>
    <row r="1883" spans="1:10" x14ac:dyDescent="0.25">
      <c r="A1883" t="s">
        <v>2050</v>
      </c>
      <c r="B1883" t="s">
        <v>171</v>
      </c>
      <c r="C1883" t="s">
        <v>126</v>
      </c>
      <c r="D1883" t="s">
        <v>50</v>
      </c>
      <c r="E1883" t="s">
        <v>138</v>
      </c>
      <c r="F1883" s="1">
        <v>42823</v>
      </c>
      <c r="G1883" s="1">
        <v>42888</v>
      </c>
      <c r="H1883">
        <v>5304</v>
      </c>
      <c r="I1883" t="str">
        <f>IF(COUNTIF(Products!$A$2:$A$8,C1883)=0,C1883,"")</f>
        <v/>
      </c>
      <c r="J1883">
        <f>IF(OR(E1883="Prospecting",E1883="Engaging"),VLOOKUP(C1883,Products!$A$2:$C$8,3,FALSE),0)</f>
        <v>0</v>
      </c>
    </row>
    <row r="1884" spans="1:10" x14ac:dyDescent="0.25">
      <c r="A1884" t="s">
        <v>2051</v>
      </c>
      <c r="B1884" t="s">
        <v>140</v>
      </c>
      <c r="C1884" t="s">
        <v>126</v>
      </c>
      <c r="D1884" t="s">
        <v>104</v>
      </c>
      <c r="E1884" t="s">
        <v>159</v>
      </c>
      <c r="F1884" s="1">
        <v>42823</v>
      </c>
      <c r="G1884" s="1">
        <v>42831</v>
      </c>
      <c r="H1884">
        <v>0</v>
      </c>
      <c r="I1884" t="str">
        <f>IF(COUNTIF(Products!$A$2:$A$8,C1884)=0,C1884,"")</f>
        <v/>
      </c>
      <c r="J1884">
        <f>IF(OR(E1884="Prospecting",E1884="Engaging"),VLOOKUP(C1884,Products!$A$2:$C$8,3,FALSE),0)</f>
        <v>0</v>
      </c>
    </row>
    <row r="1885" spans="1:10" x14ac:dyDescent="0.25">
      <c r="A1885" t="s">
        <v>2052</v>
      </c>
      <c r="B1885" t="s">
        <v>140</v>
      </c>
      <c r="C1885" t="s">
        <v>122</v>
      </c>
      <c r="D1885" t="s">
        <v>28</v>
      </c>
      <c r="E1885" t="s">
        <v>138</v>
      </c>
      <c r="F1885" s="1">
        <v>42823</v>
      </c>
      <c r="G1885" s="1">
        <v>42902</v>
      </c>
      <c r="H1885">
        <v>3844</v>
      </c>
      <c r="I1885" t="str">
        <f>IF(COUNTIF(Products!$A$2:$A$8,C1885)=0,C1885,"")</f>
        <v/>
      </c>
      <c r="J1885">
        <f>IF(OR(E1885="Prospecting",E1885="Engaging"),VLOOKUP(C1885,Products!$A$2:$C$8,3,FALSE),0)</f>
        <v>0</v>
      </c>
    </row>
    <row r="1886" spans="1:10" x14ac:dyDescent="0.25">
      <c r="A1886" t="s">
        <v>2053</v>
      </c>
      <c r="B1886" t="s">
        <v>224</v>
      </c>
      <c r="C1886" t="s">
        <v>120</v>
      </c>
      <c r="D1886" t="s">
        <v>7</v>
      </c>
      <c r="E1886" t="s">
        <v>138</v>
      </c>
      <c r="F1886" s="1">
        <v>42823</v>
      </c>
      <c r="G1886" s="1">
        <v>42866</v>
      </c>
      <c r="H1886">
        <v>549</v>
      </c>
      <c r="I1886" t="str">
        <f>IF(COUNTIF(Products!$A$2:$A$8,C1886)=0,C1886,"")</f>
        <v/>
      </c>
      <c r="J1886">
        <f>IF(OR(E1886="Prospecting",E1886="Engaging"),VLOOKUP(C1886,Products!$A$2:$C$8,3,FALSE),0)</f>
        <v>0</v>
      </c>
    </row>
    <row r="1887" spans="1:10" x14ac:dyDescent="0.25">
      <c r="A1887" t="s">
        <v>2054</v>
      </c>
      <c r="B1887" t="s">
        <v>158</v>
      </c>
      <c r="C1887" t="s">
        <v>122</v>
      </c>
      <c r="D1887" t="s">
        <v>27</v>
      </c>
      <c r="E1887" t="s">
        <v>159</v>
      </c>
      <c r="F1887" s="1">
        <v>42823</v>
      </c>
      <c r="G1887" s="1">
        <v>42875</v>
      </c>
      <c r="H1887">
        <v>0</v>
      </c>
      <c r="I1887" t="str">
        <f>IF(COUNTIF(Products!$A$2:$A$8,C1887)=0,C1887,"")</f>
        <v/>
      </c>
      <c r="J1887">
        <f>IF(OR(E1887="Prospecting",E1887="Engaging"),VLOOKUP(C1887,Products!$A$2:$C$8,3,FALSE),0)</f>
        <v>0</v>
      </c>
    </row>
    <row r="1888" spans="1:10" x14ac:dyDescent="0.25">
      <c r="A1888" t="s">
        <v>2055</v>
      </c>
      <c r="B1888" t="s">
        <v>158</v>
      </c>
      <c r="C1888" t="s">
        <v>125</v>
      </c>
      <c r="D1888" t="s">
        <v>94</v>
      </c>
      <c r="E1888" t="s">
        <v>159</v>
      </c>
      <c r="F1888" s="1">
        <v>42823</v>
      </c>
      <c r="G1888" s="1">
        <v>42830</v>
      </c>
      <c r="H1888">
        <v>0</v>
      </c>
      <c r="I1888" t="str">
        <f>IF(COUNTIF(Products!$A$2:$A$8,C1888)=0,C1888,"")</f>
        <v/>
      </c>
      <c r="J1888">
        <f>IF(OR(E1888="Prospecting",E1888="Engaging"),VLOOKUP(C1888,Products!$A$2:$C$8,3,FALSE),0)</f>
        <v>0</v>
      </c>
    </row>
    <row r="1889" spans="1:10" x14ac:dyDescent="0.25">
      <c r="A1889" t="s">
        <v>2056</v>
      </c>
      <c r="B1889" t="s">
        <v>303</v>
      </c>
      <c r="C1889" t="s">
        <v>120</v>
      </c>
      <c r="D1889" t="s">
        <v>61</v>
      </c>
      <c r="E1889" t="s">
        <v>138</v>
      </c>
      <c r="F1889" s="1">
        <v>42823</v>
      </c>
      <c r="G1889" s="1">
        <v>42830</v>
      </c>
      <c r="H1889">
        <v>553</v>
      </c>
      <c r="I1889" t="str">
        <f>IF(COUNTIF(Products!$A$2:$A$8,C1889)=0,C1889,"")</f>
        <v/>
      </c>
      <c r="J1889">
        <f>IF(OR(E1889="Prospecting",E1889="Engaging"),VLOOKUP(C1889,Products!$A$2:$C$8,3,FALSE),0)</f>
        <v>0</v>
      </c>
    </row>
    <row r="1890" spans="1:10" x14ac:dyDescent="0.25">
      <c r="A1890" t="s">
        <v>2057</v>
      </c>
      <c r="B1890" t="s">
        <v>180</v>
      </c>
      <c r="C1890" t="s">
        <v>120</v>
      </c>
      <c r="E1890" t="s">
        <v>155</v>
      </c>
      <c r="F1890" s="1">
        <v>42823</v>
      </c>
      <c r="I1890" t="str">
        <f>IF(COUNTIF(Products!$A$2:$A$8,C1890)=0,C1890,"")</f>
        <v/>
      </c>
      <c r="J1890">
        <f>IF(OR(E1890="Prospecting",E1890="Engaging"),VLOOKUP(C1890,Products!$A$2:$C$8,3,FALSE),0)</f>
        <v>550</v>
      </c>
    </row>
    <row r="1891" spans="1:10" x14ac:dyDescent="0.25">
      <c r="A1891" t="s">
        <v>2058</v>
      </c>
      <c r="B1891" t="s">
        <v>180</v>
      </c>
      <c r="C1891" t="s">
        <v>127</v>
      </c>
      <c r="D1891" t="s">
        <v>82</v>
      </c>
      <c r="E1891" t="s">
        <v>159</v>
      </c>
      <c r="F1891" s="1">
        <v>42823</v>
      </c>
      <c r="G1891" s="1">
        <v>42860</v>
      </c>
      <c r="H1891">
        <v>0</v>
      </c>
      <c r="I1891" t="str">
        <f>IF(COUNTIF(Products!$A$2:$A$8,C1891)=0,C1891,"")</f>
        <v/>
      </c>
      <c r="J1891">
        <f>IF(OR(E1891="Prospecting",E1891="Engaging"),VLOOKUP(C1891,Products!$A$2:$C$8,3,FALSE),0)</f>
        <v>0</v>
      </c>
    </row>
    <row r="1892" spans="1:10" x14ac:dyDescent="0.25">
      <c r="A1892" t="s">
        <v>2059</v>
      </c>
      <c r="B1892" t="s">
        <v>180</v>
      </c>
      <c r="C1892" t="s">
        <v>125</v>
      </c>
      <c r="D1892" t="s">
        <v>39</v>
      </c>
      <c r="E1892" t="s">
        <v>138</v>
      </c>
      <c r="F1892" s="1">
        <v>42823</v>
      </c>
      <c r="G1892" s="1">
        <v>42832</v>
      </c>
      <c r="H1892">
        <v>3523</v>
      </c>
      <c r="I1892" t="str">
        <f>IF(COUNTIF(Products!$A$2:$A$8,C1892)=0,C1892,"")</f>
        <v/>
      </c>
      <c r="J1892">
        <f>IF(OR(E1892="Prospecting",E1892="Engaging"),VLOOKUP(C1892,Products!$A$2:$C$8,3,FALSE),0)</f>
        <v>0</v>
      </c>
    </row>
    <row r="1893" spans="1:10" x14ac:dyDescent="0.25">
      <c r="A1893" t="s">
        <v>2060</v>
      </c>
      <c r="B1893" t="s">
        <v>191</v>
      </c>
      <c r="C1893" t="s">
        <v>122</v>
      </c>
      <c r="D1893" t="s">
        <v>46</v>
      </c>
      <c r="E1893" t="s">
        <v>155</v>
      </c>
      <c r="F1893" s="1">
        <v>42823</v>
      </c>
      <c r="I1893" t="str">
        <f>IF(COUNTIF(Products!$A$2:$A$8,C1893)=0,C1893,"")</f>
        <v/>
      </c>
      <c r="J1893">
        <f>IF(OR(E1893="Prospecting",E1893="Engaging"),VLOOKUP(C1893,Products!$A$2:$C$8,3,FALSE),0)</f>
        <v>4821</v>
      </c>
    </row>
    <row r="1894" spans="1:10" x14ac:dyDescent="0.25">
      <c r="A1894" t="s">
        <v>2061</v>
      </c>
      <c r="B1894" t="s">
        <v>191</v>
      </c>
      <c r="C1894" t="s">
        <v>120</v>
      </c>
      <c r="D1894" t="s">
        <v>69</v>
      </c>
      <c r="E1894" t="s">
        <v>159</v>
      </c>
      <c r="F1894" s="1">
        <v>42823</v>
      </c>
      <c r="G1894" s="1">
        <v>42875</v>
      </c>
      <c r="H1894">
        <v>0</v>
      </c>
      <c r="I1894" t="str">
        <f>IF(COUNTIF(Products!$A$2:$A$8,C1894)=0,C1894,"")</f>
        <v/>
      </c>
      <c r="J1894">
        <f>IF(OR(E1894="Prospecting",E1894="Engaging"),VLOOKUP(C1894,Products!$A$2:$C$8,3,FALSE),0)</f>
        <v>0</v>
      </c>
    </row>
    <row r="1895" spans="1:10" x14ac:dyDescent="0.25">
      <c r="A1895" t="s">
        <v>2062</v>
      </c>
      <c r="B1895" t="s">
        <v>191</v>
      </c>
      <c r="C1895" t="s">
        <v>120</v>
      </c>
      <c r="D1895" t="s">
        <v>61</v>
      </c>
      <c r="E1895" t="s">
        <v>138</v>
      </c>
      <c r="F1895" s="1">
        <v>42823</v>
      </c>
      <c r="G1895" s="1">
        <v>42914</v>
      </c>
      <c r="H1895">
        <v>424</v>
      </c>
      <c r="I1895" t="str">
        <f>IF(COUNTIF(Products!$A$2:$A$8,C1895)=0,C1895,"")</f>
        <v/>
      </c>
      <c r="J1895">
        <f>IF(OR(E1895="Prospecting",E1895="Engaging"),VLOOKUP(C1895,Products!$A$2:$C$8,3,FALSE),0)</f>
        <v>0</v>
      </c>
    </row>
    <row r="1896" spans="1:10" x14ac:dyDescent="0.25">
      <c r="A1896" t="s">
        <v>2063</v>
      </c>
      <c r="B1896" t="s">
        <v>205</v>
      </c>
      <c r="C1896" t="s">
        <v>120</v>
      </c>
      <c r="D1896" t="s">
        <v>70</v>
      </c>
      <c r="E1896" t="s">
        <v>138</v>
      </c>
      <c r="F1896" s="1">
        <v>42823</v>
      </c>
      <c r="G1896" s="1">
        <v>42888</v>
      </c>
      <c r="H1896">
        <v>490</v>
      </c>
      <c r="I1896" t="str">
        <f>IF(COUNTIF(Products!$A$2:$A$8,C1896)=0,C1896,"")</f>
        <v/>
      </c>
      <c r="J1896">
        <f>IF(OR(E1896="Prospecting",E1896="Engaging"),VLOOKUP(C1896,Products!$A$2:$C$8,3,FALSE),0)</f>
        <v>0</v>
      </c>
    </row>
    <row r="1897" spans="1:10" x14ac:dyDescent="0.25">
      <c r="A1897" t="s">
        <v>2064</v>
      </c>
      <c r="B1897" t="s">
        <v>162</v>
      </c>
      <c r="C1897" t="s">
        <v>122</v>
      </c>
      <c r="D1897" t="s">
        <v>69</v>
      </c>
      <c r="E1897" t="s">
        <v>159</v>
      </c>
      <c r="F1897" s="1">
        <v>42823</v>
      </c>
      <c r="G1897" s="1">
        <v>42829</v>
      </c>
      <c r="H1897">
        <v>0</v>
      </c>
      <c r="I1897" t="str">
        <f>IF(COUNTIF(Products!$A$2:$A$8,C1897)=0,C1897,"")</f>
        <v/>
      </c>
      <c r="J1897">
        <f>IF(OR(E1897="Prospecting",E1897="Engaging"),VLOOKUP(C1897,Products!$A$2:$C$8,3,FALSE),0)</f>
        <v>0</v>
      </c>
    </row>
    <row r="1898" spans="1:10" x14ac:dyDescent="0.25">
      <c r="A1898" t="s">
        <v>2065</v>
      </c>
      <c r="B1898" t="s">
        <v>162</v>
      </c>
      <c r="C1898" t="s">
        <v>123</v>
      </c>
      <c r="D1898" t="s">
        <v>57</v>
      </c>
      <c r="E1898" t="s">
        <v>138</v>
      </c>
      <c r="F1898" s="1">
        <v>42823</v>
      </c>
      <c r="G1898" s="1">
        <v>42832</v>
      </c>
      <c r="H1898">
        <v>48</v>
      </c>
      <c r="I1898" t="str">
        <f>IF(COUNTIF(Products!$A$2:$A$8,C1898)=0,C1898,"")</f>
        <v/>
      </c>
      <c r="J1898">
        <f>IF(OR(E1898="Prospecting",E1898="Engaging"),VLOOKUP(C1898,Products!$A$2:$C$8,3,FALSE),0)</f>
        <v>0</v>
      </c>
    </row>
    <row r="1899" spans="1:10" x14ac:dyDescent="0.25">
      <c r="A1899" t="s">
        <v>2066</v>
      </c>
      <c r="B1899" t="s">
        <v>137</v>
      </c>
      <c r="C1899" t="s">
        <v>125</v>
      </c>
      <c r="D1899" t="s">
        <v>61</v>
      </c>
      <c r="E1899" t="s">
        <v>138</v>
      </c>
      <c r="F1899" s="1">
        <v>42823</v>
      </c>
      <c r="G1899" s="1">
        <v>42881</v>
      </c>
      <c r="H1899">
        <v>3982</v>
      </c>
      <c r="I1899" t="str">
        <f>IF(COUNTIF(Products!$A$2:$A$8,C1899)=0,C1899,"")</f>
        <v/>
      </c>
      <c r="J1899">
        <f>IF(OR(E1899="Prospecting",E1899="Engaging"),VLOOKUP(C1899,Products!$A$2:$C$8,3,FALSE),0)</f>
        <v>0</v>
      </c>
    </row>
    <row r="1900" spans="1:10" x14ac:dyDescent="0.25">
      <c r="A1900" t="s">
        <v>2067</v>
      </c>
      <c r="B1900" t="s">
        <v>166</v>
      </c>
      <c r="C1900" t="s">
        <v>125</v>
      </c>
      <c r="D1900" t="s">
        <v>44</v>
      </c>
      <c r="E1900" t="s">
        <v>159</v>
      </c>
      <c r="F1900" s="1">
        <v>42823</v>
      </c>
      <c r="G1900" s="1">
        <v>42897</v>
      </c>
      <c r="H1900">
        <v>0</v>
      </c>
      <c r="I1900" t="str">
        <f>IF(COUNTIF(Products!$A$2:$A$8,C1900)=0,C1900,"")</f>
        <v/>
      </c>
      <c r="J1900">
        <f>IF(OR(E1900="Prospecting",E1900="Engaging"),VLOOKUP(C1900,Products!$A$2:$C$8,3,FALSE),0)</f>
        <v>0</v>
      </c>
    </row>
    <row r="1901" spans="1:10" x14ac:dyDescent="0.25">
      <c r="A1901" t="s">
        <v>2068</v>
      </c>
      <c r="B1901" t="s">
        <v>148</v>
      </c>
      <c r="C1901" t="s">
        <v>126</v>
      </c>
      <c r="D1901" t="s">
        <v>41</v>
      </c>
      <c r="E1901" t="s">
        <v>159</v>
      </c>
      <c r="F1901" s="1">
        <v>42823</v>
      </c>
      <c r="G1901" s="1">
        <v>42831</v>
      </c>
      <c r="H1901">
        <v>0</v>
      </c>
      <c r="I1901" t="str">
        <f>IF(COUNTIF(Products!$A$2:$A$8,C1901)=0,C1901,"")</f>
        <v/>
      </c>
      <c r="J1901">
        <f>IF(OR(E1901="Prospecting",E1901="Engaging"),VLOOKUP(C1901,Products!$A$2:$C$8,3,FALSE),0)</f>
        <v>0</v>
      </c>
    </row>
    <row r="1902" spans="1:10" x14ac:dyDescent="0.25">
      <c r="A1902" t="s">
        <v>2069</v>
      </c>
      <c r="B1902" t="s">
        <v>148</v>
      </c>
      <c r="C1902" t="s">
        <v>127</v>
      </c>
      <c r="D1902" t="s">
        <v>56</v>
      </c>
      <c r="E1902" t="s">
        <v>138</v>
      </c>
      <c r="F1902" s="1">
        <v>42823</v>
      </c>
      <c r="G1902" s="1">
        <v>42834</v>
      </c>
      <c r="H1902">
        <v>1176</v>
      </c>
      <c r="I1902" t="str">
        <f>IF(COUNTIF(Products!$A$2:$A$8,C1902)=0,C1902,"")</f>
        <v/>
      </c>
      <c r="J1902">
        <f>IF(OR(E1902="Prospecting",E1902="Engaging"),VLOOKUP(C1902,Products!$A$2:$C$8,3,FALSE),0)</f>
        <v>0</v>
      </c>
    </row>
    <row r="1903" spans="1:10" x14ac:dyDescent="0.25">
      <c r="A1903" t="s">
        <v>2070</v>
      </c>
      <c r="B1903" t="s">
        <v>196</v>
      </c>
      <c r="C1903" t="s">
        <v>120</v>
      </c>
      <c r="D1903" t="s">
        <v>10</v>
      </c>
      <c r="E1903" t="s">
        <v>159</v>
      </c>
      <c r="F1903" s="1">
        <v>42823</v>
      </c>
      <c r="G1903" s="1">
        <v>42835</v>
      </c>
      <c r="H1903">
        <v>0</v>
      </c>
      <c r="I1903" t="str">
        <f>IF(COUNTIF(Products!$A$2:$A$8,C1903)=0,C1903,"")</f>
        <v/>
      </c>
      <c r="J1903">
        <f>IF(OR(E1903="Prospecting",E1903="Engaging"),VLOOKUP(C1903,Products!$A$2:$C$8,3,FALSE),0)</f>
        <v>0</v>
      </c>
    </row>
    <row r="1904" spans="1:10" x14ac:dyDescent="0.25">
      <c r="A1904" t="s">
        <v>2071</v>
      </c>
      <c r="B1904" t="s">
        <v>196</v>
      </c>
      <c r="C1904" t="s">
        <v>120</v>
      </c>
      <c r="D1904" t="s">
        <v>68</v>
      </c>
      <c r="E1904" t="s">
        <v>138</v>
      </c>
      <c r="F1904" s="1">
        <v>42823</v>
      </c>
      <c r="G1904" s="1">
        <v>42829</v>
      </c>
      <c r="H1904">
        <v>589</v>
      </c>
      <c r="I1904" t="str">
        <f>IF(COUNTIF(Products!$A$2:$A$8,C1904)=0,C1904,"")</f>
        <v/>
      </c>
      <c r="J1904">
        <f>IF(OR(E1904="Prospecting",E1904="Engaging"),VLOOKUP(C1904,Products!$A$2:$C$8,3,FALSE),0)</f>
        <v>0</v>
      </c>
    </row>
    <row r="1905" spans="1:10" x14ac:dyDescent="0.25">
      <c r="A1905" t="s">
        <v>2072</v>
      </c>
      <c r="B1905" t="s">
        <v>144</v>
      </c>
      <c r="C1905" t="s">
        <v>126</v>
      </c>
      <c r="D1905" t="s">
        <v>93</v>
      </c>
      <c r="E1905" t="s">
        <v>159</v>
      </c>
      <c r="F1905" s="1">
        <v>42823</v>
      </c>
      <c r="G1905" s="1">
        <v>42871</v>
      </c>
      <c r="H1905">
        <v>0</v>
      </c>
      <c r="I1905" t="str">
        <f>IF(COUNTIF(Products!$A$2:$A$8,C1905)=0,C1905,"")</f>
        <v/>
      </c>
      <c r="J1905">
        <f>IF(OR(E1905="Prospecting",E1905="Engaging"),VLOOKUP(C1905,Products!$A$2:$C$8,3,FALSE),0)</f>
        <v>0</v>
      </c>
    </row>
    <row r="1906" spans="1:10" x14ac:dyDescent="0.25">
      <c r="A1906" t="s">
        <v>2073</v>
      </c>
      <c r="B1906" t="s">
        <v>222</v>
      </c>
      <c r="C1906" t="s">
        <v>120</v>
      </c>
      <c r="D1906" t="s">
        <v>106</v>
      </c>
      <c r="E1906" t="s">
        <v>159</v>
      </c>
      <c r="F1906" s="1">
        <v>42824</v>
      </c>
      <c r="G1906" s="1">
        <v>42826</v>
      </c>
      <c r="H1906">
        <v>0</v>
      </c>
      <c r="I1906" t="str">
        <f>IF(COUNTIF(Products!$A$2:$A$8,C1906)=0,C1906,"")</f>
        <v/>
      </c>
      <c r="J1906">
        <f>IF(OR(E1906="Prospecting",E1906="Engaging"),VLOOKUP(C1906,Products!$A$2:$C$8,3,FALSE),0)</f>
        <v>0</v>
      </c>
    </row>
    <row r="1907" spans="1:10" x14ac:dyDescent="0.25">
      <c r="A1907" t="s">
        <v>2074</v>
      </c>
      <c r="B1907" t="s">
        <v>222</v>
      </c>
      <c r="C1907" t="s">
        <v>126</v>
      </c>
      <c r="D1907" t="s">
        <v>108</v>
      </c>
      <c r="E1907" t="s">
        <v>159</v>
      </c>
      <c r="F1907" s="1">
        <v>42824</v>
      </c>
      <c r="G1907" s="1">
        <v>42832</v>
      </c>
      <c r="H1907">
        <v>0</v>
      </c>
      <c r="I1907" t="str">
        <f>IF(COUNTIF(Products!$A$2:$A$8,C1907)=0,C1907,"")</f>
        <v/>
      </c>
      <c r="J1907">
        <f>IF(OR(E1907="Prospecting",E1907="Engaging"),VLOOKUP(C1907,Products!$A$2:$C$8,3,FALSE),0)</f>
        <v>0</v>
      </c>
    </row>
    <row r="1908" spans="1:10" x14ac:dyDescent="0.25">
      <c r="A1908" t="s">
        <v>2075</v>
      </c>
      <c r="B1908" t="s">
        <v>207</v>
      </c>
      <c r="C1908" t="s">
        <v>122</v>
      </c>
      <c r="D1908" t="s">
        <v>102</v>
      </c>
      <c r="E1908" t="s">
        <v>138</v>
      </c>
      <c r="F1908" s="1">
        <v>42824</v>
      </c>
      <c r="G1908" s="1">
        <v>42831</v>
      </c>
      <c r="H1908">
        <v>4276</v>
      </c>
      <c r="I1908" t="str">
        <f>IF(COUNTIF(Products!$A$2:$A$8,C1908)=0,C1908,"")</f>
        <v/>
      </c>
      <c r="J1908">
        <f>IF(OR(E1908="Prospecting",E1908="Engaging"),VLOOKUP(C1908,Products!$A$2:$C$8,3,FALSE),0)</f>
        <v>0</v>
      </c>
    </row>
    <row r="1909" spans="1:10" x14ac:dyDescent="0.25">
      <c r="A1909" t="s">
        <v>2076</v>
      </c>
      <c r="B1909" t="s">
        <v>207</v>
      </c>
      <c r="C1909" t="s">
        <v>125</v>
      </c>
      <c r="D1909" t="s">
        <v>92</v>
      </c>
      <c r="E1909" t="s">
        <v>138</v>
      </c>
      <c r="F1909" s="1">
        <v>42824</v>
      </c>
      <c r="G1909" s="1">
        <v>42832</v>
      </c>
      <c r="H1909">
        <v>3390</v>
      </c>
      <c r="I1909" t="str">
        <f>IF(COUNTIF(Products!$A$2:$A$8,C1909)=0,C1909,"")</f>
        <v/>
      </c>
      <c r="J1909">
        <f>IF(OR(E1909="Prospecting",E1909="Engaging"),VLOOKUP(C1909,Products!$A$2:$C$8,3,FALSE),0)</f>
        <v>0</v>
      </c>
    </row>
    <row r="1910" spans="1:10" x14ac:dyDescent="0.25">
      <c r="A1910" t="s">
        <v>2077</v>
      </c>
      <c r="B1910" t="s">
        <v>264</v>
      </c>
      <c r="C1910" t="s">
        <v>120</v>
      </c>
      <c r="D1910" t="s">
        <v>14</v>
      </c>
      <c r="E1910" t="s">
        <v>159</v>
      </c>
      <c r="F1910" s="1">
        <v>42824</v>
      </c>
      <c r="G1910" s="1">
        <v>42836</v>
      </c>
      <c r="H1910">
        <v>0</v>
      </c>
      <c r="I1910" t="str">
        <f>IF(COUNTIF(Products!$A$2:$A$8,C1910)=0,C1910,"")</f>
        <v/>
      </c>
      <c r="J1910">
        <f>IF(OR(E1910="Prospecting",E1910="Engaging"),VLOOKUP(C1910,Products!$A$2:$C$8,3,FALSE),0)</f>
        <v>0</v>
      </c>
    </row>
    <row r="1911" spans="1:10" x14ac:dyDescent="0.25">
      <c r="A1911" t="s">
        <v>2078</v>
      </c>
      <c r="B1911" t="s">
        <v>264</v>
      </c>
      <c r="C1911" t="s">
        <v>123</v>
      </c>
      <c r="D1911" t="s">
        <v>30</v>
      </c>
      <c r="E1911" t="s">
        <v>159</v>
      </c>
      <c r="F1911" s="1">
        <v>42824</v>
      </c>
      <c r="G1911" s="1">
        <v>42834</v>
      </c>
      <c r="H1911">
        <v>0</v>
      </c>
      <c r="I1911" t="str">
        <f>IF(COUNTIF(Products!$A$2:$A$8,C1911)=0,C1911,"")</f>
        <v/>
      </c>
      <c r="J1911">
        <f>IF(OR(E1911="Prospecting",E1911="Engaging"),VLOOKUP(C1911,Products!$A$2:$C$8,3,FALSE),0)</f>
        <v>0</v>
      </c>
    </row>
    <row r="1912" spans="1:10" x14ac:dyDescent="0.25">
      <c r="A1912" t="s">
        <v>2079</v>
      </c>
      <c r="B1912" t="s">
        <v>264</v>
      </c>
      <c r="C1912" t="s">
        <v>120</v>
      </c>
      <c r="D1912" t="s">
        <v>36</v>
      </c>
      <c r="E1912" t="s">
        <v>138</v>
      </c>
      <c r="F1912" s="1">
        <v>42824</v>
      </c>
      <c r="G1912" s="1">
        <v>42874</v>
      </c>
      <c r="H1912">
        <v>541</v>
      </c>
      <c r="I1912" t="str">
        <f>IF(COUNTIF(Products!$A$2:$A$8,C1912)=0,C1912,"")</f>
        <v/>
      </c>
      <c r="J1912">
        <f>IF(OR(E1912="Prospecting",E1912="Engaging"),VLOOKUP(C1912,Products!$A$2:$C$8,3,FALSE),0)</f>
        <v>0</v>
      </c>
    </row>
    <row r="1913" spans="1:10" x14ac:dyDescent="0.25">
      <c r="A1913" t="s">
        <v>2080</v>
      </c>
      <c r="B1913" t="s">
        <v>239</v>
      </c>
      <c r="C1913" t="s">
        <v>126</v>
      </c>
      <c r="D1913" t="s">
        <v>48</v>
      </c>
      <c r="E1913" t="s">
        <v>138</v>
      </c>
      <c r="F1913" s="1">
        <v>42824</v>
      </c>
      <c r="G1913" s="1">
        <v>42912</v>
      </c>
      <c r="H1913">
        <v>5189</v>
      </c>
      <c r="I1913" t="str">
        <f>IF(COUNTIF(Products!$A$2:$A$8,C1913)=0,C1913,"")</f>
        <v/>
      </c>
      <c r="J1913">
        <f>IF(OR(E1913="Prospecting",E1913="Engaging"),VLOOKUP(C1913,Products!$A$2:$C$8,3,FALSE),0)</f>
        <v>0</v>
      </c>
    </row>
    <row r="1914" spans="1:10" x14ac:dyDescent="0.25">
      <c r="A1914" t="s">
        <v>2081</v>
      </c>
      <c r="B1914" t="s">
        <v>171</v>
      </c>
      <c r="C1914" t="s">
        <v>122</v>
      </c>
      <c r="D1914" t="s">
        <v>48</v>
      </c>
      <c r="E1914" t="s">
        <v>159</v>
      </c>
      <c r="F1914" s="1">
        <v>42824</v>
      </c>
      <c r="G1914" s="1">
        <v>42832</v>
      </c>
      <c r="H1914">
        <v>0</v>
      </c>
      <c r="I1914" t="str">
        <f>IF(COUNTIF(Products!$A$2:$A$8,C1914)=0,C1914,"")</f>
        <v/>
      </c>
      <c r="J1914">
        <f>IF(OR(E1914="Prospecting",E1914="Engaging"),VLOOKUP(C1914,Products!$A$2:$C$8,3,FALSE),0)</f>
        <v>0</v>
      </c>
    </row>
    <row r="1915" spans="1:10" x14ac:dyDescent="0.25">
      <c r="A1915" t="s">
        <v>2082</v>
      </c>
      <c r="B1915" t="s">
        <v>171</v>
      </c>
      <c r="C1915" t="s">
        <v>126</v>
      </c>
      <c r="D1915" t="s">
        <v>108</v>
      </c>
      <c r="E1915" t="s">
        <v>138</v>
      </c>
      <c r="F1915" s="1">
        <v>42824</v>
      </c>
      <c r="G1915" s="1">
        <v>42909</v>
      </c>
      <c r="H1915">
        <v>6920</v>
      </c>
      <c r="I1915" t="str">
        <f>IF(COUNTIF(Products!$A$2:$A$8,C1915)=0,C1915,"")</f>
        <v/>
      </c>
      <c r="J1915">
        <f>IF(OR(E1915="Prospecting",E1915="Engaging"),VLOOKUP(C1915,Products!$A$2:$C$8,3,FALSE),0)</f>
        <v>0</v>
      </c>
    </row>
    <row r="1916" spans="1:10" x14ac:dyDescent="0.25">
      <c r="A1916" t="s">
        <v>2083</v>
      </c>
      <c r="B1916" t="s">
        <v>140</v>
      </c>
      <c r="C1916" t="s">
        <v>120</v>
      </c>
      <c r="D1916" t="s">
        <v>27</v>
      </c>
      <c r="E1916" t="s">
        <v>159</v>
      </c>
      <c r="F1916" s="1">
        <v>42824</v>
      </c>
      <c r="G1916" s="1">
        <v>42826</v>
      </c>
      <c r="H1916">
        <v>0</v>
      </c>
      <c r="I1916" t="str">
        <f>IF(COUNTIF(Products!$A$2:$A$8,C1916)=0,C1916,"")</f>
        <v/>
      </c>
      <c r="J1916">
        <f>IF(OR(E1916="Prospecting",E1916="Engaging"),VLOOKUP(C1916,Products!$A$2:$C$8,3,FALSE),0)</f>
        <v>0</v>
      </c>
    </row>
    <row r="1917" spans="1:10" x14ac:dyDescent="0.25">
      <c r="A1917" t="s">
        <v>2084</v>
      </c>
      <c r="B1917" t="s">
        <v>140</v>
      </c>
      <c r="C1917" t="s">
        <v>127</v>
      </c>
      <c r="D1917" t="s">
        <v>64</v>
      </c>
      <c r="E1917" t="s">
        <v>159</v>
      </c>
      <c r="F1917" s="1">
        <v>42824</v>
      </c>
      <c r="G1917" s="1">
        <v>42832</v>
      </c>
      <c r="H1917">
        <v>0</v>
      </c>
      <c r="I1917" t="str">
        <f>IF(COUNTIF(Products!$A$2:$A$8,C1917)=0,C1917,"")</f>
        <v/>
      </c>
      <c r="J1917">
        <f>IF(OR(E1917="Prospecting",E1917="Engaging"),VLOOKUP(C1917,Products!$A$2:$C$8,3,FALSE),0)</f>
        <v>0</v>
      </c>
    </row>
    <row r="1918" spans="1:10" x14ac:dyDescent="0.25">
      <c r="A1918" t="s">
        <v>2085</v>
      </c>
      <c r="B1918" t="s">
        <v>140</v>
      </c>
      <c r="C1918" t="s">
        <v>125</v>
      </c>
      <c r="D1918" t="s">
        <v>53</v>
      </c>
      <c r="E1918" t="s">
        <v>159</v>
      </c>
      <c r="F1918" s="1">
        <v>42824</v>
      </c>
      <c r="G1918" s="1">
        <v>42872</v>
      </c>
      <c r="H1918">
        <v>0</v>
      </c>
      <c r="I1918" t="str">
        <f>IF(COUNTIF(Products!$A$2:$A$8,C1918)=0,C1918,"")</f>
        <v/>
      </c>
      <c r="J1918">
        <f>IF(OR(E1918="Prospecting",E1918="Engaging"),VLOOKUP(C1918,Products!$A$2:$C$8,3,FALSE),0)</f>
        <v>0</v>
      </c>
    </row>
    <row r="1919" spans="1:10" x14ac:dyDescent="0.25">
      <c r="A1919" t="s">
        <v>2086</v>
      </c>
      <c r="B1919" t="s">
        <v>140</v>
      </c>
      <c r="C1919" t="s">
        <v>120</v>
      </c>
      <c r="D1919" t="s">
        <v>14</v>
      </c>
      <c r="E1919" t="s">
        <v>138</v>
      </c>
      <c r="F1919" s="1">
        <v>42824</v>
      </c>
      <c r="G1919" s="1">
        <v>42906</v>
      </c>
      <c r="H1919">
        <v>600</v>
      </c>
      <c r="I1919" t="str">
        <f>IF(COUNTIF(Products!$A$2:$A$8,C1919)=0,C1919,"")</f>
        <v/>
      </c>
      <c r="J1919">
        <f>IF(OR(E1919="Prospecting",E1919="Engaging"),VLOOKUP(C1919,Products!$A$2:$C$8,3,FALSE),0)</f>
        <v>0</v>
      </c>
    </row>
    <row r="1920" spans="1:10" x14ac:dyDescent="0.25">
      <c r="A1920" t="s">
        <v>2087</v>
      </c>
      <c r="B1920" t="s">
        <v>224</v>
      </c>
      <c r="C1920" t="s">
        <v>127</v>
      </c>
      <c r="D1920" t="s">
        <v>20</v>
      </c>
      <c r="E1920" t="s">
        <v>159</v>
      </c>
      <c r="F1920" s="1">
        <v>42824</v>
      </c>
      <c r="G1920" s="1">
        <v>42836</v>
      </c>
      <c r="H1920">
        <v>0</v>
      </c>
      <c r="I1920" t="str">
        <f>IF(COUNTIF(Products!$A$2:$A$8,C1920)=0,C1920,"")</f>
        <v/>
      </c>
      <c r="J1920">
        <f>IF(OR(E1920="Prospecting",E1920="Engaging"),VLOOKUP(C1920,Products!$A$2:$C$8,3,FALSE),0)</f>
        <v>0</v>
      </c>
    </row>
    <row r="1921" spans="1:10" x14ac:dyDescent="0.25">
      <c r="A1921" t="s">
        <v>2088</v>
      </c>
      <c r="B1921" t="s">
        <v>224</v>
      </c>
      <c r="C1921" t="s">
        <v>122</v>
      </c>
      <c r="D1921" t="s">
        <v>69</v>
      </c>
      <c r="E1921" t="s">
        <v>159</v>
      </c>
      <c r="F1921" s="1">
        <v>42824</v>
      </c>
      <c r="G1921" s="1">
        <v>42826</v>
      </c>
      <c r="H1921">
        <v>0</v>
      </c>
      <c r="I1921" t="str">
        <f>IF(COUNTIF(Products!$A$2:$A$8,C1921)=0,C1921,"")</f>
        <v/>
      </c>
      <c r="J1921">
        <f>IF(OR(E1921="Prospecting",E1921="Engaging"),VLOOKUP(C1921,Products!$A$2:$C$8,3,FALSE),0)</f>
        <v>0</v>
      </c>
    </row>
    <row r="1922" spans="1:10" x14ac:dyDescent="0.25">
      <c r="A1922" t="s">
        <v>2089</v>
      </c>
      <c r="B1922" t="s">
        <v>224</v>
      </c>
      <c r="C1922" t="s">
        <v>120</v>
      </c>
      <c r="D1922" t="s">
        <v>108</v>
      </c>
      <c r="E1922" t="s">
        <v>138</v>
      </c>
      <c r="F1922" s="1">
        <v>42824</v>
      </c>
      <c r="G1922" s="1">
        <v>42831</v>
      </c>
      <c r="H1922">
        <v>564</v>
      </c>
      <c r="I1922" t="str">
        <f>IF(COUNTIF(Products!$A$2:$A$8,C1922)=0,C1922,"")</f>
        <v/>
      </c>
      <c r="J1922">
        <f>IF(OR(E1922="Prospecting",E1922="Engaging"),VLOOKUP(C1922,Products!$A$2:$C$8,3,FALSE),0)</f>
        <v>0</v>
      </c>
    </row>
    <row r="1923" spans="1:10" x14ac:dyDescent="0.25">
      <c r="A1923" t="s">
        <v>2090</v>
      </c>
      <c r="B1923" t="s">
        <v>173</v>
      </c>
      <c r="C1923" t="s">
        <v>128</v>
      </c>
      <c r="D1923" t="s">
        <v>56</v>
      </c>
      <c r="E1923" t="s">
        <v>159</v>
      </c>
      <c r="F1923" s="1">
        <v>42824</v>
      </c>
      <c r="G1923" s="1">
        <v>42829</v>
      </c>
      <c r="H1923">
        <v>0</v>
      </c>
      <c r="I1923" t="str">
        <f>IF(COUNTIF(Products!$A$2:$A$8,C1923)=0,C1923,"")</f>
        <v/>
      </c>
      <c r="J1923">
        <f>IF(OR(E1923="Prospecting",E1923="Engaging"),VLOOKUP(C1923,Products!$A$2:$C$8,3,FALSE),0)</f>
        <v>0</v>
      </c>
    </row>
    <row r="1924" spans="1:10" x14ac:dyDescent="0.25">
      <c r="A1924" t="s">
        <v>2091</v>
      </c>
      <c r="B1924" t="s">
        <v>198</v>
      </c>
      <c r="C1924" t="s">
        <v>127</v>
      </c>
      <c r="D1924" t="s">
        <v>111</v>
      </c>
      <c r="E1924" t="s">
        <v>138</v>
      </c>
      <c r="F1924" s="1">
        <v>42824</v>
      </c>
      <c r="G1924" s="1">
        <v>42886</v>
      </c>
      <c r="H1924">
        <v>1037</v>
      </c>
      <c r="I1924" t="str">
        <f>IF(COUNTIF(Products!$A$2:$A$8,C1924)=0,C1924,"")</f>
        <v/>
      </c>
      <c r="J1924">
        <f>IF(OR(E1924="Prospecting",E1924="Engaging"),VLOOKUP(C1924,Products!$A$2:$C$8,3,FALSE),0)</f>
        <v>0</v>
      </c>
    </row>
    <row r="1925" spans="1:10" x14ac:dyDescent="0.25">
      <c r="A1925" t="s">
        <v>2092</v>
      </c>
      <c r="B1925" t="s">
        <v>180</v>
      </c>
      <c r="C1925" t="s">
        <v>120</v>
      </c>
      <c r="D1925" t="s">
        <v>61</v>
      </c>
      <c r="E1925" t="s">
        <v>138</v>
      </c>
      <c r="F1925" s="1">
        <v>42824</v>
      </c>
      <c r="G1925" s="1">
        <v>42826</v>
      </c>
      <c r="H1925">
        <v>500</v>
      </c>
      <c r="I1925" t="str">
        <f>IF(COUNTIF(Products!$A$2:$A$8,C1925)=0,C1925,"")</f>
        <v/>
      </c>
      <c r="J1925">
        <f>IF(OR(E1925="Prospecting",E1925="Engaging"),VLOOKUP(C1925,Products!$A$2:$C$8,3,FALSE),0)</f>
        <v>0</v>
      </c>
    </row>
    <row r="1926" spans="1:10" x14ac:dyDescent="0.25">
      <c r="A1926" t="s">
        <v>2093</v>
      </c>
      <c r="B1926" t="s">
        <v>217</v>
      </c>
      <c r="C1926" t="s">
        <v>126</v>
      </c>
      <c r="D1926" t="s">
        <v>61</v>
      </c>
      <c r="E1926" t="s">
        <v>138</v>
      </c>
      <c r="F1926" s="1">
        <v>42824</v>
      </c>
      <c r="G1926" s="1">
        <v>42832</v>
      </c>
      <c r="H1926">
        <v>5728</v>
      </c>
      <c r="I1926" t="str">
        <f>IF(COUNTIF(Products!$A$2:$A$8,C1926)=0,C1926,"")</f>
        <v/>
      </c>
      <c r="J1926">
        <f>IF(OR(E1926="Prospecting",E1926="Engaging"),VLOOKUP(C1926,Products!$A$2:$C$8,3,FALSE),0)</f>
        <v>0</v>
      </c>
    </row>
    <row r="1927" spans="1:10" x14ac:dyDescent="0.25">
      <c r="A1927" t="s">
        <v>2094</v>
      </c>
      <c r="B1927" t="s">
        <v>150</v>
      </c>
      <c r="C1927" t="s">
        <v>125</v>
      </c>
      <c r="D1927" t="s">
        <v>67</v>
      </c>
      <c r="E1927" t="s">
        <v>159</v>
      </c>
      <c r="F1927" s="1">
        <v>42824</v>
      </c>
      <c r="G1927" s="1">
        <v>42834</v>
      </c>
      <c r="H1927">
        <v>0</v>
      </c>
      <c r="I1927" t="str">
        <f>IF(COUNTIF(Products!$A$2:$A$8,C1927)=0,C1927,"")</f>
        <v/>
      </c>
      <c r="J1927">
        <f>IF(OR(E1927="Prospecting",E1927="Engaging"),VLOOKUP(C1927,Products!$A$2:$C$8,3,FALSE),0)</f>
        <v>0</v>
      </c>
    </row>
    <row r="1928" spans="1:10" x14ac:dyDescent="0.25">
      <c r="A1928" t="s">
        <v>2095</v>
      </c>
      <c r="B1928" t="s">
        <v>205</v>
      </c>
      <c r="C1928" t="s">
        <v>122</v>
      </c>
      <c r="D1928" t="s">
        <v>95</v>
      </c>
      <c r="E1928" t="s">
        <v>159</v>
      </c>
      <c r="F1928" s="1">
        <v>42824</v>
      </c>
      <c r="G1928" s="1">
        <v>42831</v>
      </c>
      <c r="H1928">
        <v>0</v>
      </c>
      <c r="I1928" t="str">
        <f>IF(COUNTIF(Products!$A$2:$A$8,C1928)=0,C1928,"")</f>
        <v/>
      </c>
      <c r="J1928">
        <f>IF(OR(E1928="Prospecting",E1928="Engaging"),VLOOKUP(C1928,Products!$A$2:$C$8,3,FALSE),0)</f>
        <v>0</v>
      </c>
    </row>
    <row r="1929" spans="1:10" x14ac:dyDescent="0.25">
      <c r="A1929" t="s">
        <v>2096</v>
      </c>
      <c r="B1929" t="s">
        <v>137</v>
      </c>
      <c r="C1929" t="s">
        <v>125</v>
      </c>
      <c r="D1929" t="s">
        <v>91</v>
      </c>
      <c r="E1929" t="s">
        <v>159</v>
      </c>
      <c r="F1929" s="1">
        <v>42824</v>
      </c>
      <c r="G1929" s="1">
        <v>42836</v>
      </c>
      <c r="H1929">
        <v>0</v>
      </c>
      <c r="I1929" t="str">
        <f>IF(COUNTIF(Products!$A$2:$A$8,C1929)=0,C1929,"")</f>
        <v/>
      </c>
      <c r="J1929">
        <f>IF(OR(E1929="Prospecting",E1929="Engaging"),VLOOKUP(C1929,Products!$A$2:$C$8,3,FALSE),0)</f>
        <v>0</v>
      </c>
    </row>
    <row r="1930" spans="1:10" x14ac:dyDescent="0.25">
      <c r="A1930" t="s">
        <v>2097</v>
      </c>
      <c r="B1930" t="s">
        <v>137</v>
      </c>
      <c r="C1930" t="s">
        <v>123</v>
      </c>
      <c r="D1930" t="s">
        <v>42</v>
      </c>
      <c r="E1930" t="s">
        <v>138</v>
      </c>
      <c r="F1930" s="1">
        <v>42824</v>
      </c>
      <c r="G1930" s="1">
        <v>42875</v>
      </c>
      <c r="H1930">
        <v>54</v>
      </c>
      <c r="I1930" t="str">
        <f>IF(COUNTIF(Products!$A$2:$A$8,C1930)=0,C1930,"")</f>
        <v/>
      </c>
      <c r="J1930">
        <f>IF(OR(E1930="Prospecting",E1930="Engaging"),VLOOKUP(C1930,Products!$A$2:$C$8,3,FALSE),0)</f>
        <v>0</v>
      </c>
    </row>
    <row r="1931" spans="1:10" x14ac:dyDescent="0.25">
      <c r="A1931" t="s">
        <v>2098</v>
      </c>
      <c r="B1931" t="s">
        <v>166</v>
      </c>
      <c r="C1931" t="s">
        <v>120</v>
      </c>
      <c r="D1931" t="s">
        <v>107</v>
      </c>
      <c r="E1931" t="s">
        <v>138</v>
      </c>
      <c r="F1931" s="1">
        <v>42824</v>
      </c>
      <c r="G1931" s="1">
        <v>42905</v>
      </c>
      <c r="H1931">
        <v>501</v>
      </c>
      <c r="I1931" t="str">
        <f>IF(COUNTIF(Products!$A$2:$A$8,C1931)=0,C1931,"")</f>
        <v/>
      </c>
      <c r="J1931">
        <f>IF(OR(E1931="Prospecting",E1931="Engaging"),VLOOKUP(C1931,Products!$A$2:$C$8,3,FALSE),0)</f>
        <v>0</v>
      </c>
    </row>
    <row r="1932" spans="1:10" x14ac:dyDescent="0.25">
      <c r="A1932" t="s">
        <v>2099</v>
      </c>
      <c r="B1932" t="s">
        <v>187</v>
      </c>
      <c r="C1932" t="s">
        <v>120</v>
      </c>
      <c r="D1932" t="s">
        <v>44</v>
      </c>
      <c r="E1932" t="s">
        <v>155</v>
      </c>
      <c r="F1932" s="1">
        <v>42824</v>
      </c>
      <c r="I1932" t="str">
        <f>IF(COUNTIF(Products!$A$2:$A$8,C1932)=0,C1932,"")</f>
        <v/>
      </c>
      <c r="J1932">
        <f>IF(OR(E1932="Prospecting",E1932="Engaging"),VLOOKUP(C1932,Products!$A$2:$C$8,3,FALSE),0)</f>
        <v>550</v>
      </c>
    </row>
    <row r="1933" spans="1:10" x14ac:dyDescent="0.25">
      <c r="A1933" t="s">
        <v>2100</v>
      </c>
      <c r="B1933" t="s">
        <v>187</v>
      </c>
      <c r="C1933" t="s">
        <v>126</v>
      </c>
      <c r="D1933" t="s">
        <v>105</v>
      </c>
      <c r="E1933" t="s">
        <v>138</v>
      </c>
      <c r="F1933" s="1">
        <v>42824</v>
      </c>
      <c r="G1933" s="1">
        <v>42833</v>
      </c>
      <c r="H1933">
        <v>6155</v>
      </c>
      <c r="I1933" t="str">
        <f>IF(COUNTIF(Products!$A$2:$A$8,C1933)=0,C1933,"")</f>
        <v/>
      </c>
      <c r="J1933">
        <f>IF(OR(E1933="Prospecting",E1933="Engaging"),VLOOKUP(C1933,Products!$A$2:$C$8,3,FALSE),0)</f>
        <v>0</v>
      </c>
    </row>
    <row r="1934" spans="1:10" x14ac:dyDescent="0.25">
      <c r="A1934" t="s">
        <v>2101</v>
      </c>
      <c r="B1934" t="s">
        <v>187</v>
      </c>
      <c r="C1934" t="s">
        <v>126</v>
      </c>
      <c r="D1934" t="s">
        <v>111</v>
      </c>
      <c r="E1934" t="s">
        <v>138</v>
      </c>
      <c r="F1934" s="1">
        <v>42824</v>
      </c>
      <c r="G1934" s="1">
        <v>42833</v>
      </c>
      <c r="H1934">
        <v>4668</v>
      </c>
      <c r="I1934" t="str">
        <f>IF(COUNTIF(Products!$A$2:$A$8,C1934)=0,C1934,"")</f>
        <v/>
      </c>
      <c r="J1934">
        <f>IF(OR(E1934="Prospecting",E1934="Engaging"),VLOOKUP(C1934,Products!$A$2:$C$8,3,FALSE),0)</f>
        <v>0</v>
      </c>
    </row>
    <row r="1935" spans="1:10" x14ac:dyDescent="0.25">
      <c r="A1935" t="s">
        <v>2102</v>
      </c>
      <c r="B1935" t="s">
        <v>169</v>
      </c>
      <c r="C1935" t="s">
        <v>126</v>
      </c>
      <c r="D1935" t="s">
        <v>116</v>
      </c>
      <c r="E1935" t="s">
        <v>138</v>
      </c>
      <c r="F1935" s="1">
        <v>42824</v>
      </c>
      <c r="G1935" s="1">
        <v>42895</v>
      </c>
      <c r="H1935">
        <v>5017</v>
      </c>
      <c r="I1935" t="str">
        <f>IF(COUNTIF(Products!$A$2:$A$8,C1935)=0,C1935,"")</f>
        <v/>
      </c>
      <c r="J1935">
        <f>IF(OR(E1935="Prospecting",E1935="Engaging"),VLOOKUP(C1935,Products!$A$2:$C$8,3,FALSE),0)</f>
        <v>0</v>
      </c>
    </row>
    <row r="1936" spans="1:10" x14ac:dyDescent="0.25">
      <c r="A1936" t="s">
        <v>2103</v>
      </c>
      <c r="B1936" t="s">
        <v>169</v>
      </c>
      <c r="C1936" t="s">
        <v>123</v>
      </c>
      <c r="D1936" t="s">
        <v>88</v>
      </c>
      <c r="E1936" t="s">
        <v>138</v>
      </c>
      <c r="F1936" s="1">
        <v>42824</v>
      </c>
      <c r="G1936" s="1">
        <v>42833</v>
      </c>
      <c r="H1936">
        <v>59</v>
      </c>
      <c r="I1936" t="str">
        <f>IF(COUNTIF(Products!$A$2:$A$8,C1936)=0,C1936,"")</f>
        <v/>
      </c>
      <c r="J1936">
        <f>IF(OR(E1936="Prospecting",E1936="Engaging"),VLOOKUP(C1936,Products!$A$2:$C$8,3,FALSE),0)</f>
        <v>0</v>
      </c>
    </row>
    <row r="1937" spans="1:10" x14ac:dyDescent="0.25">
      <c r="A1937" t="s">
        <v>2104</v>
      </c>
      <c r="B1937" t="s">
        <v>148</v>
      </c>
      <c r="C1937" t="s">
        <v>120</v>
      </c>
      <c r="E1937" t="s">
        <v>155</v>
      </c>
      <c r="F1937" s="1">
        <v>42824</v>
      </c>
      <c r="I1937" t="str">
        <f>IF(COUNTIF(Products!$A$2:$A$8,C1937)=0,C1937,"")</f>
        <v/>
      </c>
      <c r="J1937">
        <f>IF(OR(E1937="Prospecting",E1937="Engaging"),VLOOKUP(C1937,Products!$A$2:$C$8,3,FALSE),0)</f>
        <v>550</v>
      </c>
    </row>
    <row r="1938" spans="1:10" x14ac:dyDescent="0.25">
      <c r="A1938" t="s">
        <v>2105</v>
      </c>
      <c r="B1938" t="s">
        <v>148</v>
      </c>
      <c r="C1938" t="s">
        <v>122</v>
      </c>
      <c r="D1938" t="s">
        <v>38</v>
      </c>
      <c r="E1938" t="s">
        <v>159</v>
      </c>
      <c r="F1938" s="1">
        <v>42824</v>
      </c>
      <c r="G1938" s="1">
        <v>42833</v>
      </c>
      <c r="H1938">
        <v>0</v>
      </c>
      <c r="I1938" t="str">
        <f>IF(COUNTIF(Products!$A$2:$A$8,C1938)=0,C1938,"")</f>
        <v/>
      </c>
      <c r="J1938">
        <f>IF(OR(E1938="Prospecting",E1938="Engaging"),VLOOKUP(C1938,Products!$A$2:$C$8,3,FALSE),0)</f>
        <v>0</v>
      </c>
    </row>
    <row r="1939" spans="1:10" x14ac:dyDescent="0.25">
      <c r="A1939" t="s">
        <v>2106</v>
      </c>
      <c r="B1939" t="s">
        <v>148</v>
      </c>
      <c r="C1939" t="s">
        <v>125</v>
      </c>
      <c r="D1939" t="s">
        <v>82</v>
      </c>
      <c r="E1939" t="s">
        <v>138</v>
      </c>
      <c r="F1939" s="1">
        <v>42824</v>
      </c>
      <c r="G1939" s="1">
        <v>42831</v>
      </c>
      <c r="H1939">
        <v>3316</v>
      </c>
      <c r="I1939" t="str">
        <f>IF(COUNTIF(Products!$A$2:$A$8,C1939)=0,C1939,"")</f>
        <v/>
      </c>
      <c r="J1939">
        <f>IF(OR(E1939="Prospecting",E1939="Engaging"),VLOOKUP(C1939,Products!$A$2:$C$8,3,FALSE),0)</f>
        <v>0</v>
      </c>
    </row>
    <row r="1940" spans="1:10" x14ac:dyDescent="0.25">
      <c r="A1940" t="s">
        <v>2107</v>
      </c>
      <c r="B1940" t="s">
        <v>144</v>
      </c>
      <c r="C1940" t="s">
        <v>120</v>
      </c>
      <c r="D1940" t="s">
        <v>116</v>
      </c>
      <c r="E1940" t="s">
        <v>155</v>
      </c>
      <c r="F1940" s="1">
        <v>42824</v>
      </c>
      <c r="I1940" t="str">
        <f>IF(COUNTIF(Products!$A$2:$A$8,C1940)=0,C1940,"")</f>
        <v/>
      </c>
      <c r="J1940">
        <f>IF(OR(E1940="Prospecting",E1940="Engaging"),VLOOKUP(C1940,Products!$A$2:$C$8,3,FALSE),0)</f>
        <v>550</v>
      </c>
    </row>
    <row r="1941" spans="1:10" x14ac:dyDescent="0.25">
      <c r="A1941" t="s">
        <v>2108</v>
      </c>
      <c r="B1941" t="s">
        <v>144</v>
      </c>
      <c r="C1941" t="s">
        <v>126</v>
      </c>
      <c r="D1941" t="s">
        <v>82</v>
      </c>
      <c r="E1941" t="s">
        <v>138</v>
      </c>
      <c r="F1941" s="1">
        <v>42824</v>
      </c>
      <c r="G1941" s="1">
        <v>42835</v>
      </c>
      <c r="H1941">
        <v>6227</v>
      </c>
      <c r="I1941" t="str">
        <f>IF(COUNTIF(Products!$A$2:$A$8,C1941)=0,C1941,"")</f>
        <v/>
      </c>
      <c r="J1941">
        <f>IF(OR(E1941="Prospecting",E1941="Engaging"),VLOOKUP(C1941,Products!$A$2:$C$8,3,FALSE),0)</f>
        <v>0</v>
      </c>
    </row>
    <row r="1942" spans="1:10" x14ac:dyDescent="0.25">
      <c r="A1942" t="s">
        <v>2109</v>
      </c>
      <c r="B1942" t="s">
        <v>146</v>
      </c>
      <c r="C1942" t="s">
        <v>123</v>
      </c>
      <c r="D1942" t="s">
        <v>104</v>
      </c>
      <c r="E1942" t="s">
        <v>159</v>
      </c>
      <c r="F1942" s="1">
        <v>42825</v>
      </c>
      <c r="G1942" s="1">
        <v>42832</v>
      </c>
      <c r="H1942">
        <v>0</v>
      </c>
      <c r="I1942" t="str">
        <f>IF(COUNTIF(Products!$A$2:$A$8,C1942)=0,C1942,"")</f>
        <v/>
      </c>
      <c r="J1942">
        <f>IF(OR(E1942="Prospecting",E1942="Engaging"),VLOOKUP(C1942,Products!$A$2:$C$8,3,FALSE),0)</f>
        <v>0</v>
      </c>
    </row>
    <row r="1943" spans="1:10" x14ac:dyDescent="0.25">
      <c r="A1943" t="s">
        <v>2110</v>
      </c>
      <c r="B1943" t="s">
        <v>146</v>
      </c>
      <c r="C1943" t="s">
        <v>123</v>
      </c>
      <c r="D1943" t="s">
        <v>27</v>
      </c>
      <c r="E1943" t="s">
        <v>138</v>
      </c>
      <c r="F1943" s="1">
        <v>42825</v>
      </c>
      <c r="G1943" s="1">
        <v>42901</v>
      </c>
      <c r="H1943">
        <v>58</v>
      </c>
      <c r="I1943" t="str">
        <f>IF(COUNTIF(Products!$A$2:$A$8,C1943)=0,C1943,"")</f>
        <v/>
      </c>
      <c r="J1943">
        <f>IF(OR(E1943="Prospecting",E1943="Engaging"),VLOOKUP(C1943,Products!$A$2:$C$8,3,FALSE),0)</f>
        <v>0</v>
      </c>
    </row>
    <row r="1944" spans="1:10" x14ac:dyDescent="0.25">
      <c r="A1944" t="s">
        <v>2111</v>
      </c>
      <c r="B1944" t="s">
        <v>146</v>
      </c>
      <c r="C1944" t="s">
        <v>125</v>
      </c>
      <c r="D1944" t="s">
        <v>30</v>
      </c>
      <c r="E1944" t="s">
        <v>138</v>
      </c>
      <c r="F1944" s="1">
        <v>42825</v>
      </c>
      <c r="G1944" s="1">
        <v>42833</v>
      </c>
      <c r="H1944">
        <v>3626</v>
      </c>
      <c r="I1944" t="str">
        <f>IF(COUNTIF(Products!$A$2:$A$8,C1944)=0,C1944,"")</f>
        <v/>
      </c>
      <c r="J1944">
        <f>IF(OR(E1944="Prospecting",E1944="Engaging"),VLOOKUP(C1944,Products!$A$2:$C$8,3,FALSE),0)</f>
        <v>0</v>
      </c>
    </row>
    <row r="1945" spans="1:10" x14ac:dyDescent="0.25">
      <c r="A1945" t="s">
        <v>2112</v>
      </c>
      <c r="B1945" t="s">
        <v>222</v>
      </c>
      <c r="C1945" t="s">
        <v>125</v>
      </c>
      <c r="D1945" t="s">
        <v>106</v>
      </c>
      <c r="E1945" t="s">
        <v>138</v>
      </c>
      <c r="F1945" s="1">
        <v>42825</v>
      </c>
      <c r="G1945" s="1">
        <v>42826</v>
      </c>
      <c r="H1945">
        <v>2819</v>
      </c>
      <c r="I1945" t="str">
        <f>IF(COUNTIF(Products!$A$2:$A$8,C1945)=0,C1945,"")</f>
        <v/>
      </c>
      <c r="J1945">
        <f>IF(OR(E1945="Prospecting",E1945="Engaging"),VLOOKUP(C1945,Products!$A$2:$C$8,3,FALSE),0)</f>
        <v>0</v>
      </c>
    </row>
    <row r="1946" spans="1:10" x14ac:dyDescent="0.25">
      <c r="A1946" t="s">
        <v>2113</v>
      </c>
      <c r="B1946" t="s">
        <v>207</v>
      </c>
      <c r="C1946" t="s">
        <v>122</v>
      </c>
      <c r="D1946" t="s">
        <v>22</v>
      </c>
      <c r="E1946" t="s">
        <v>155</v>
      </c>
      <c r="F1946" s="1">
        <v>42825</v>
      </c>
      <c r="I1946" t="str">
        <f>IF(COUNTIF(Products!$A$2:$A$8,C1946)=0,C1946,"")</f>
        <v/>
      </c>
      <c r="J1946">
        <f>IF(OR(E1946="Prospecting",E1946="Engaging"),VLOOKUP(C1946,Products!$A$2:$C$8,3,FALSE),0)</f>
        <v>4821</v>
      </c>
    </row>
    <row r="1947" spans="1:10" x14ac:dyDescent="0.25">
      <c r="A1947" t="s">
        <v>2114</v>
      </c>
      <c r="B1947" t="s">
        <v>207</v>
      </c>
      <c r="C1947" t="s">
        <v>122</v>
      </c>
      <c r="D1947" t="s">
        <v>108</v>
      </c>
      <c r="E1947" t="s">
        <v>159</v>
      </c>
      <c r="F1947" s="1">
        <v>42825</v>
      </c>
      <c r="G1947" s="1">
        <v>42826</v>
      </c>
      <c r="H1947">
        <v>0</v>
      </c>
      <c r="I1947" t="str">
        <f>IF(COUNTIF(Products!$A$2:$A$8,C1947)=0,C1947,"")</f>
        <v/>
      </c>
      <c r="J1947">
        <f>IF(OR(E1947="Prospecting",E1947="Engaging"),VLOOKUP(C1947,Products!$A$2:$C$8,3,FALSE),0)</f>
        <v>0</v>
      </c>
    </row>
    <row r="1948" spans="1:10" x14ac:dyDescent="0.25">
      <c r="A1948" t="s">
        <v>2115</v>
      </c>
      <c r="B1948" t="s">
        <v>207</v>
      </c>
      <c r="C1948" t="s">
        <v>122</v>
      </c>
      <c r="D1948" t="s">
        <v>112</v>
      </c>
      <c r="E1948" t="s">
        <v>159</v>
      </c>
      <c r="F1948" s="1">
        <v>42825</v>
      </c>
      <c r="G1948" s="1">
        <v>42832</v>
      </c>
      <c r="H1948">
        <v>0</v>
      </c>
      <c r="I1948" t="str">
        <f>IF(COUNTIF(Products!$A$2:$A$8,C1948)=0,C1948,"")</f>
        <v/>
      </c>
      <c r="J1948">
        <f>IF(OR(E1948="Prospecting",E1948="Engaging"),VLOOKUP(C1948,Products!$A$2:$C$8,3,FALSE),0)</f>
        <v>0</v>
      </c>
    </row>
    <row r="1949" spans="1:10" x14ac:dyDescent="0.25">
      <c r="A1949" t="s">
        <v>2116</v>
      </c>
      <c r="B1949" t="s">
        <v>239</v>
      </c>
      <c r="C1949" t="s">
        <v>120</v>
      </c>
      <c r="D1949" t="s">
        <v>57</v>
      </c>
      <c r="E1949" t="s">
        <v>155</v>
      </c>
      <c r="F1949" s="1">
        <v>42825</v>
      </c>
      <c r="I1949" t="str">
        <f>IF(COUNTIF(Products!$A$2:$A$8,C1949)=0,C1949,"")</f>
        <v/>
      </c>
      <c r="J1949">
        <f>IF(OR(E1949="Prospecting",E1949="Engaging"),VLOOKUP(C1949,Products!$A$2:$C$8,3,FALSE),0)</f>
        <v>550</v>
      </c>
    </row>
    <row r="1950" spans="1:10" x14ac:dyDescent="0.25">
      <c r="A1950" t="s">
        <v>2117</v>
      </c>
      <c r="B1950" t="s">
        <v>173</v>
      </c>
      <c r="C1950" t="s">
        <v>123</v>
      </c>
      <c r="D1950" t="s">
        <v>32</v>
      </c>
      <c r="E1950" t="s">
        <v>155</v>
      </c>
      <c r="F1950" s="1">
        <v>42825</v>
      </c>
      <c r="I1950" t="str">
        <f>IF(COUNTIF(Products!$A$2:$A$8,C1950)=0,C1950,"")</f>
        <v/>
      </c>
      <c r="J1950">
        <f>IF(OR(E1950="Prospecting",E1950="Engaging"),VLOOKUP(C1950,Products!$A$2:$C$8,3,FALSE),0)</f>
        <v>55</v>
      </c>
    </row>
    <row r="1951" spans="1:10" x14ac:dyDescent="0.25">
      <c r="A1951" t="s">
        <v>2118</v>
      </c>
      <c r="B1951" t="s">
        <v>158</v>
      </c>
      <c r="C1951" t="s">
        <v>126</v>
      </c>
      <c r="D1951" t="s">
        <v>53</v>
      </c>
      <c r="E1951" t="s">
        <v>159</v>
      </c>
      <c r="F1951" s="1">
        <v>42825</v>
      </c>
      <c r="G1951" s="1">
        <v>42827</v>
      </c>
      <c r="H1951">
        <v>0</v>
      </c>
      <c r="I1951" t="str">
        <f>IF(COUNTIF(Products!$A$2:$A$8,C1951)=0,C1951,"")</f>
        <v/>
      </c>
      <c r="J1951">
        <f>IF(OR(E1951="Prospecting",E1951="Engaging"),VLOOKUP(C1951,Products!$A$2:$C$8,3,FALSE),0)</f>
        <v>0</v>
      </c>
    </row>
    <row r="1952" spans="1:10" x14ac:dyDescent="0.25">
      <c r="A1952" t="s">
        <v>2119</v>
      </c>
      <c r="B1952" t="s">
        <v>164</v>
      </c>
      <c r="C1952" t="s">
        <v>127</v>
      </c>
      <c r="D1952" t="s">
        <v>38</v>
      </c>
      <c r="E1952" t="s">
        <v>138</v>
      </c>
      <c r="F1952" s="1">
        <v>42825</v>
      </c>
      <c r="G1952" s="1">
        <v>42834</v>
      </c>
      <c r="H1952">
        <v>901</v>
      </c>
      <c r="I1952" t="str">
        <f>IF(COUNTIF(Products!$A$2:$A$8,C1952)=0,C1952,"")</f>
        <v/>
      </c>
      <c r="J1952">
        <f>IF(OR(E1952="Prospecting",E1952="Engaging"),VLOOKUP(C1952,Products!$A$2:$C$8,3,FALSE),0)</f>
        <v>0</v>
      </c>
    </row>
    <row r="1953" spans="1:10" x14ac:dyDescent="0.25">
      <c r="A1953" t="s">
        <v>2120</v>
      </c>
      <c r="B1953" t="s">
        <v>164</v>
      </c>
      <c r="C1953" t="s">
        <v>125</v>
      </c>
      <c r="D1953" t="s">
        <v>34</v>
      </c>
      <c r="E1953" t="s">
        <v>138</v>
      </c>
      <c r="F1953" s="1">
        <v>42825</v>
      </c>
      <c r="G1953" s="1">
        <v>42890</v>
      </c>
      <c r="H1953">
        <v>3438</v>
      </c>
      <c r="I1953" t="str">
        <f>IF(COUNTIF(Products!$A$2:$A$8,C1953)=0,C1953,"")</f>
        <v/>
      </c>
      <c r="J1953">
        <f>IF(OR(E1953="Prospecting",E1953="Engaging"),VLOOKUP(C1953,Products!$A$2:$C$8,3,FALSE),0)</f>
        <v>0</v>
      </c>
    </row>
    <row r="1954" spans="1:10" x14ac:dyDescent="0.25">
      <c r="A1954" t="s">
        <v>2121</v>
      </c>
      <c r="B1954" t="s">
        <v>154</v>
      </c>
      <c r="C1954" t="s">
        <v>120</v>
      </c>
      <c r="D1954" t="s">
        <v>39</v>
      </c>
      <c r="E1954" t="s">
        <v>138</v>
      </c>
      <c r="F1954" s="1">
        <v>42825</v>
      </c>
      <c r="G1954" s="1">
        <v>42833</v>
      </c>
      <c r="H1954">
        <v>589</v>
      </c>
      <c r="I1954" t="str">
        <f>IF(COUNTIF(Products!$A$2:$A$8,C1954)=0,C1954,"")</f>
        <v/>
      </c>
      <c r="J1954">
        <f>IF(OR(E1954="Prospecting",E1954="Engaging"),VLOOKUP(C1954,Products!$A$2:$C$8,3,FALSE),0)</f>
        <v>0</v>
      </c>
    </row>
    <row r="1955" spans="1:10" x14ac:dyDescent="0.25">
      <c r="A1955" t="s">
        <v>2122</v>
      </c>
      <c r="B1955" t="s">
        <v>180</v>
      </c>
      <c r="C1955" t="s">
        <v>123</v>
      </c>
      <c r="D1955" t="s">
        <v>83</v>
      </c>
      <c r="E1955" t="s">
        <v>159</v>
      </c>
      <c r="F1955" s="1">
        <v>42825</v>
      </c>
      <c r="G1955" s="1">
        <v>42906</v>
      </c>
      <c r="H1955">
        <v>0</v>
      </c>
      <c r="I1955" t="str">
        <f>IF(COUNTIF(Products!$A$2:$A$8,C1955)=0,C1955,"")</f>
        <v/>
      </c>
      <c r="J1955">
        <f>IF(OR(E1955="Prospecting",E1955="Engaging"),VLOOKUP(C1955,Products!$A$2:$C$8,3,FALSE),0)</f>
        <v>0</v>
      </c>
    </row>
    <row r="1956" spans="1:10" x14ac:dyDescent="0.25">
      <c r="A1956" t="s">
        <v>2123</v>
      </c>
      <c r="B1956" t="s">
        <v>180</v>
      </c>
      <c r="C1956" t="s">
        <v>122</v>
      </c>
      <c r="D1956" t="s">
        <v>100</v>
      </c>
      <c r="E1956" t="s">
        <v>138</v>
      </c>
      <c r="F1956" s="1">
        <v>42825</v>
      </c>
      <c r="G1956" s="1">
        <v>42826</v>
      </c>
      <c r="H1956">
        <v>5073</v>
      </c>
      <c r="I1956" t="str">
        <f>IF(COUNTIF(Products!$A$2:$A$8,C1956)=0,C1956,"")</f>
        <v/>
      </c>
      <c r="J1956">
        <f>IF(OR(E1956="Prospecting",E1956="Engaging"),VLOOKUP(C1956,Products!$A$2:$C$8,3,FALSE),0)</f>
        <v>0</v>
      </c>
    </row>
    <row r="1957" spans="1:10" x14ac:dyDescent="0.25">
      <c r="A1957" t="s">
        <v>2124</v>
      </c>
      <c r="B1957" t="s">
        <v>191</v>
      </c>
      <c r="C1957" t="s">
        <v>126</v>
      </c>
      <c r="E1957" t="s">
        <v>155</v>
      </c>
      <c r="F1957" s="1">
        <v>42825</v>
      </c>
      <c r="I1957" t="str">
        <f>IF(COUNTIF(Products!$A$2:$A$8,C1957)=0,C1957,"")</f>
        <v/>
      </c>
      <c r="J1957">
        <f>IF(OR(E1957="Prospecting",E1957="Engaging"),VLOOKUP(C1957,Products!$A$2:$C$8,3,FALSE),0)</f>
        <v>5482</v>
      </c>
    </row>
    <row r="1958" spans="1:10" x14ac:dyDescent="0.25">
      <c r="A1958" t="s">
        <v>2125</v>
      </c>
      <c r="B1958" t="s">
        <v>191</v>
      </c>
      <c r="C1958" t="s">
        <v>123</v>
      </c>
      <c r="E1958" t="s">
        <v>155</v>
      </c>
      <c r="F1958" s="1">
        <v>42825</v>
      </c>
      <c r="I1958" t="str">
        <f>IF(COUNTIF(Products!$A$2:$A$8,C1958)=0,C1958,"")</f>
        <v/>
      </c>
      <c r="J1958">
        <f>IF(OR(E1958="Prospecting",E1958="Engaging"),VLOOKUP(C1958,Products!$A$2:$C$8,3,FALSE),0)</f>
        <v>55</v>
      </c>
    </row>
    <row r="1959" spans="1:10" x14ac:dyDescent="0.25">
      <c r="A1959" t="s">
        <v>2126</v>
      </c>
      <c r="B1959" t="s">
        <v>191</v>
      </c>
      <c r="C1959" t="s">
        <v>125</v>
      </c>
      <c r="D1959" t="s">
        <v>61</v>
      </c>
      <c r="E1959" t="s">
        <v>159</v>
      </c>
      <c r="F1959" s="1">
        <v>42825</v>
      </c>
      <c r="G1959" s="1">
        <v>42826</v>
      </c>
      <c r="H1959">
        <v>0</v>
      </c>
      <c r="I1959" t="str">
        <f>IF(COUNTIF(Products!$A$2:$A$8,C1959)=0,C1959,"")</f>
        <v/>
      </c>
      <c r="J1959">
        <f>IF(OR(E1959="Prospecting",E1959="Engaging"),VLOOKUP(C1959,Products!$A$2:$C$8,3,FALSE),0)</f>
        <v>0</v>
      </c>
    </row>
    <row r="1960" spans="1:10" x14ac:dyDescent="0.25">
      <c r="A1960" t="s">
        <v>2127</v>
      </c>
      <c r="B1960" t="s">
        <v>191</v>
      </c>
      <c r="C1960" t="s">
        <v>120</v>
      </c>
      <c r="D1960" t="s">
        <v>69</v>
      </c>
      <c r="E1960" t="s">
        <v>138</v>
      </c>
      <c r="F1960" s="1">
        <v>42825</v>
      </c>
      <c r="G1960" s="1">
        <v>42827</v>
      </c>
      <c r="H1960">
        <v>609</v>
      </c>
      <c r="I1960" t="str">
        <f>IF(COUNTIF(Products!$A$2:$A$8,C1960)=0,C1960,"")</f>
        <v/>
      </c>
      <c r="J1960">
        <f>IF(OR(E1960="Prospecting",E1960="Engaging"),VLOOKUP(C1960,Products!$A$2:$C$8,3,FALSE),0)</f>
        <v>0</v>
      </c>
    </row>
    <row r="1961" spans="1:10" x14ac:dyDescent="0.25">
      <c r="A1961" t="s">
        <v>2128</v>
      </c>
      <c r="B1961" t="s">
        <v>191</v>
      </c>
      <c r="C1961" t="s">
        <v>123</v>
      </c>
      <c r="D1961" t="s">
        <v>56</v>
      </c>
      <c r="E1961" t="s">
        <v>138</v>
      </c>
      <c r="F1961" s="1">
        <v>42825</v>
      </c>
      <c r="G1961" s="1">
        <v>42826</v>
      </c>
      <c r="H1961">
        <v>55</v>
      </c>
      <c r="I1961" t="str">
        <f>IF(COUNTIF(Products!$A$2:$A$8,C1961)=0,C1961,"")</f>
        <v/>
      </c>
      <c r="J1961">
        <f>IF(OR(E1961="Prospecting",E1961="Engaging"),VLOOKUP(C1961,Products!$A$2:$C$8,3,FALSE),0)</f>
        <v>0</v>
      </c>
    </row>
    <row r="1962" spans="1:10" x14ac:dyDescent="0.25">
      <c r="A1962" t="s">
        <v>2129</v>
      </c>
      <c r="B1962" t="s">
        <v>150</v>
      </c>
      <c r="C1962" t="s">
        <v>123</v>
      </c>
      <c r="D1962" t="s">
        <v>38</v>
      </c>
      <c r="E1962" t="s">
        <v>159</v>
      </c>
      <c r="F1962" s="1">
        <v>42825</v>
      </c>
      <c r="G1962" s="1">
        <v>42837</v>
      </c>
      <c r="H1962">
        <v>0</v>
      </c>
      <c r="I1962" t="str">
        <f>IF(COUNTIF(Products!$A$2:$A$8,C1962)=0,C1962,"")</f>
        <v/>
      </c>
      <c r="J1962">
        <f>IF(OR(E1962="Prospecting",E1962="Engaging"),VLOOKUP(C1962,Products!$A$2:$C$8,3,FALSE),0)</f>
        <v>0</v>
      </c>
    </row>
    <row r="1963" spans="1:10" x14ac:dyDescent="0.25">
      <c r="A1963" t="s">
        <v>2130</v>
      </c>
      <c r="B1963" t="s">
        <v>162</v>
      </c>
      <c r="C1963" t="s">
        <v>127</v>
      </c>
      <c r="D1963" t="s">
        <v>57</v>
      </c>
      <c r="E1963" t="s">
        <v>159</v>
      </c>
      <c r="F1963" s="1">
        <v>42825</v>
      </c>
      <c r="G1963" s="1">
        <v>42837</v>
      </c>
      <c r="H1963">
        <v>0</v>
      </c>
      <c r="I1963" t="str">
        <f>IF(COUNTIF(Products!$A$2:$A$8,C1963)=0,C1963,"")</f>
        <v/>
      </c>
      <c r="J1963">
        <f>IF(OR(E1963="Prospecting",E1963="Engaging"),VLOOKUP(C1963,Products!$A$2:$C$8,3,FALSE),0)</f>
        <v>0</v>
      </c>
    </row>
    <row r="1964" spans="1:10" x14ac:dyDescent="0.25">
      <c r="A1964" t="s">
        <v>2131</v>
      </c>
      <c r="B1964" t="s">
        <v>162</v>
      </c>
      <c r="C1964" t="s">
        <v>126</v>
      </c>
      <c r="D1964" t="s">
        <v>27</v>
      </c>
      <c r="E1964" t="s">
        <v>138</v>
      </c>
      <c r="F1964" s="1">
        <v>42825</v>
      </c>
      <c r="G1964" s="1">
        <v>42835</v>
      </c>
      <c r="H1964">
        <v>5637</v>
      </c>
      <c r="I1964" t="str">
        <f>IF(COUNTIF(Products!$A$2:$A$8,C1964)=0,C1964,"")</f>
        <v/>
      </c>
      <c r="J1964">
        <f>IF(OR(E1964="Prospecting",E1964="Engaging"),VLOOKUP(C1964,Products!$A$2:$C$8,3,FALSE),0)</f>
        <v>0</v>
      </c>
    </row>
    <row r="1965" spans="1:10" x14ac:dyDescent="0.25">
      <c r="A1965" t="s">
        <v>2132</v>
      </c>
      <c r="B1965" t="s">
        <v>162</v>
      </c>
      <c r="C1965" t="s">
        <v>126</v>
      </c>
      <c r="D1965" t="s">
        <v>82</v>
      </c>
      <c r="E1965" t="s">
        <v>138</v>
      </c>
      <c r="F1965" s="1">
        <v>42825</v>
      </c>
      <c r="G1965" s="1">
        <v>42836</v>
      </c>
      <c r="H1965">
        <v>5793</v>
      </c>
      <c r="I1965" t="str">
        <f>IF(COUNTIF(Products!$A$2:$A$8,C1965)=0,C1965,"")</f>
        <v/>
      </c>
      <c r="J1965">
        <f>IF(OR(E1965="Prospecting",E1965="Engaging"),VLOOKUP(C1965,Products!$A$2:$C$8,3,FALSE),0)</f>
        <v>0</v>
      </c>
    </row>
    <row r="1966" spans="1:10" x14ac:dyDescent="0.25">
      <c r="A1966" t="s">
        <v>2133</v>
      </c>
      <c r="B1966" t="s">
        <v>193</v>
      </c>
      <c r="C1966" t="s">
        <v>123</v>
      </c>
      <c r="D1966" t="s">
        <v>25</v>
      </c>
      <c r="E1966" t="s">
        <v>159</v>
      </c>
      <c r="F1966" s="1">
        <v>42825</v>
      </c>
      <c r="G1966" s="1">
        <v>42837</v>
      </c>
      <c r="H1966">
        <v>0</v>
      </c>
      <c r="I1966" t="str">
        <f>IF(COUNTIF(Products!$A$2:$A$8,C1966)=0,C1966,"")</f>
        <v/>
      </c>
      <c r="J1966">
        <f>IF(OR(E1966="Prospecting",E1966="Engaging"),VLOOKUP(C1966,Products!$A$2:$C$8,3,FALSE),0)</f>
        <v>0</v>
      </c>
    </row>
    <row r="1967" spans="1:10" x14ac:dyDescent="0.25">
      <c r="A1967" t="s">
        <v>2134</v>
      </c>
      <c r="B1967" t="s">
        <v>166</v>
      </c>
      <c r="C1967" t="s">
        <v>120</v>
      </c>
      <c r="D1967" t="s">
        <v>66</v>
      </c>
      <c r="E1967" t="s">
        <v>159</v>
      </c>
      <c r="F1967" s="1">
        <v>42825</v>
      </c>
      <c r="G1967" s="1">
        <v>42830</v>
      </c>
      <c r="H1967">
        <v>0</v>
      </c>
      <c r="I1967" t="str">
        <f>IF(COUNTIF(Products!$A$2:$A$8,C1967)=0,C1967,"")</f>
        <v/>
      </c>
      <c r="J1967">
        <f>IF(OR(E1967="Prospecting",E1967="Engaging"),VLOOKUP(C1967,Products!$A$2:$C$8,3,FALSE),0)</f>
        <v>0</v>
      </c>
    </row>
    <row r="1968" spans="1:10" x14ac:dyDescent="0.25">
      <c r="A1968" t="s">
        <v>2135</v>
      </c>
      <c r="B1968" t="s">
        <v>166</v>
      </c>
      <c r="C1968" t="s">
        <v>125</v>
      </c>
      <c r="D1968" t="s">
        <v>29</v>
      </c>
      <c r="E1968" t="s">
        <v>159</v>
      </c>
      <c r="F1968" s="1">
        <v>42825</v>
      </c>
      <c r="G1968" s="1">
        <v>42885</v>
      </c>
      <c r="H1968">
        <v>0</v>
      </c>
      <c r="I1968" t="str">
        <f>IF(COUNTIF(Products!$A$2:$A$8,C1968)=0,C1968,"")</f>
        <v/>
      </c>
      <c r="J1968">
        <f>IF(OR(E1968="Prospecting",E1968="Engaging"),VLOOKUP(C1968,Products!$A$2:$C$8,3,FALSE),0)</f>
        <v>0</v>
      </c>
    </row>
    <row r="1969" spans="1:10" x14ac:dyDescent="0.25">
      <c r="A1969" t="s">
        <v>2136</v>
      </c>
      <c r="B1969" t="s">
        <v>166</v>
      </c>
      <c r="C1969" t="s">
        <v>120</v>
      </c>
      <c r="D1969" t="s">
        <v>61</v>
      </c>
      <c r="E1969" t="s">
        <v>138</v>
      </c>
      <c r="F1969" s="1">
        <v>42825</v>
      </c>
      <c r="G1969" s="1">
        <v>42832</v>
      </c>
      <c r="H1969">
        <v>520</v>
      </c>
      <c r="I1969" t="str">
        <f>IF(COUNTIF(Products!$A$2:$A$8,C1969)=0,C1969,"")</f>
        <v/>
      </c>
      <c r="J1969">
        <f>IF(OR(E1969="Prospecting",E1969="Engaging"),VLOOKUP(C1969,Products!$A$2:$C$8,3,FALSE),0)</f>
        <v>0</v>
      </c>
    </row>
    <row r="1970" spans="1:10" x14ac:dyDescent="0.25">
      <c r="A1970" t="s">
        <v>2137</v>
      </c>
      <c r="B1970" t="s">
        <v>166</v>
      </c>
      <c r="C1970" t="s">
        <v>125</v>
      </c>
      <c r="D1970" t="s">
        <v>44</v>
      </c>
      <c r="E1970" t="s">
        <v>138</v>
      </c>
      <c r="F1970" s="1">
        <v>42825</v>
      </c>
      <c r="G1970" s="1">
        <v>42827</v>
      </c>
      <c r="H1970">
        <v>4080</v>
      </c>
      <c r="I1970" t="str">
        <f>IF(COUNTIF(Products!$A$2:$A$8,C1970)=0,C1970,"")</f>
        <v/>
      </c>
      <c r="J1970">
        <f>IF(OR(E1970="Prospecting",E1970="Engaging"),VLOOKUP(C1970,Products!$A$2:$C$8,3,FALSE),0)</f>
        <v>0</v>
      </c>
    </row>
    <row r="1971" spans="1:10" x14ac:dyDescent="0.25">
      <c r="A1971" t="s">
        <v>2138</v>
      </c>
      <c r="B1971" t="s">
        <v>169</v>
      </c>
      <c r="C1971" t="s">
        <v>120</v>
      </c>
      <c r="D1971" t="s">
        <v>32</v>
      </c>
      <c r="E1971" t="s">
        <v>138</v>
      </c>
      <c r="F1971" s="1">
        <v>42825</v>
      </c>
      <c r="G1971" s="1">
        <v>42916</v>
      </c>
      <c r="H1971">
        <v>526</v>
      </c>
      <c r="I1971" t="str">
        <f>IF(COUNTIF(Products!$A$2:$A$8,C1971)=0,C1971,"")</f>
        <v/>
      </c>
      <c r="J1971">
        <f>IF(OR(E1971="Prospecting",E1971="Engaging"),VLOOKUP(C1971,Products!$A$2:$C$8,3,FALSE),0)</f>
        <v>0</v>
      </c>
    </row>
    <row r="1972" spans="1:10" x14ac:dyDescent="0.25">
      <c r="A1972" t="s">
        <v>2139</v>
      </c>
      <c r="B1972" t="s">
        <v>169</v>
      </c>
      <c r="C1972" t="s">
        <v>123</v>
      </c>
      <c r="D1972" t="s">
        <v>91</v>
      </c>
      <c r="E1972" t="s">
        <v>138</v>
      </c>
      <c r="F1972" s="1">
        <v>42825</v>
      </c>
      <c r="G1972" s="1">
        <v>42872</v>
      </c>
      <c r="H1972">
        <v>57</v>
      </c>
      <c r="I1972" t="str">
        <f>IF(COUNTIF(Products!$A$2:$A$8,C1972)=0,C1972,"")</f>
        <v/>
      </c>
      <c r="J1972">
        <f>IF(OR(E1972="Prospecting",E1972="Engaging"),VLOOKUP(C1972,Products!$A$2:$C$8,3,FALSE),0)</f>
        <v>0</v>
      </c>
    </row>
    <row r="1973" spans="1:10" x14ac:dyDescent="0.25">
      <c r="A1973" t="s">
        <v>2140</v>
      </c>
      <c r="B1973" t="s">
        <v>148</v>
      </c>
      <c r="C1973" t="s">
        <v>122</v>
      </c>
      <c r="E1973" t="s">
        <v>155</v>
      </c>
      <c r="F1973" s="1">
        <v>42825</v>
      </c>
      <c r="I1973" t="str">
        <f>IF(COUNTIF(Products!$A$2:$A$8,C1973)=0,C1973,"")</f>
        <v/>
      </c>
      <c r="J1973">
        <f>IF(OR(E1973="Prospecting",E1973="Engaging"),VLOOKUP(C1973,Products!$A$2:$C$8,3,FALSE),0)</f>
        <v>4821</v>
      </c>
    </row>
    <row r="1974" spans="1:10" x14ac:dyDescent="0.25">
      <c r="A1974" t="s">
        <v>2141</v>
      </c>
      <c r="B1974" t="s">
        <v>148</v>
      </c>
      <c r="C1974" t="s">
        <v>125</v>
      </c>
      <c r="D1974" t="s">
        <v>107</v>
      </c>
      <c r="E1974" t="s">
        <v>159</v>
      </c>
      <c r="F1974" s="1">
        <v>42825</v>
      </c>
      <c r="G1974" s="1">
        <v>42834</v>
      </c>
      <c r="H1974">
        <v>0</v>
      </c>
      <c r="I1974" t="str">
        <f>IF(COUNTIF(Products!$A$2:$A$8,C1974)=0,C1974,"")</f>
        <v/>
      </c>
      <c r="J1974">
        <f>IF(OR(E1974="Prospecting",E1974="Engaging"),VLOOKUP(C1974,Products!$A$2:$C$8,3,FALSE),0)</f>
        <v>0</v>
      </c>
    </row>
    <row r="1975" spans="1:10" x14ac:dyDescent="0.25">
      <c r="A1975" t="s">
        <v>2142</v>
      </c>
      <c r="B1975" t="s">
        <v>148</v>
      </c>
      <c r="C1975" t="s">
        <v>123</v>
      </c>
      <c r="D1975" t="s">
        <v>109</v>
      </c>
      <c r="E1975" t="s">
        <v>138</v>
      </c>
      <c r="F1975" s="1">
        <v>42825</v>
      </c>
      <c r="G1975" s="1">
        <v>42914</v>
      </c>
      <c r="H1975">
        <v>54</v>
      </c>
      <c r="I1975" t="str">
        <f>IF(COUNTIF(Products!$A$2:$A$8,C1975)=0,C1975,"")</f>
        <v/>
      </c>
      <c r="J1975">
        <f>IF(OR(E1975="Prospecting",E1975="Engaging"),VLOOKUP(C1975,Products!$A$2:$C$8,3,FALSE),0)</f>
        <v>0</v>
      </c>
    </row>
    <row r="1976" spans="1:10" x14ac:dyDescent="0.25">
      <c r="A1976" t="s">
        <v>2143</v>
      </c>
      <c r="B1976" t="s">
        <v>148</v>
      </c>
      <c r="C1976" t="s">
        <v>125</v>
      </c>
      <c r="D1976" t="s">
        <v>100</v>
      </c>
      <c r="E1976" t="s">
        <v>138</v>
      </c>
      <c r="F1976" s="1">
        <v>42825</v>
      </c>
      <c r="G1976" s="1">
        <v>42837</v>
      </c>
      <c r="H1976">
        <v>3367</v>
      </c>
      <c r="I1976" t="str">
        <f>IF(COUNTIF(Products!$A$2:$A$8,C1976)=0,C1976,"")</f>
        <v/>
      </c>
      <c r="J1976">
        <f>IF(OR(E1976="Prospecting",E1976="Engaging"),VLOOKUP(C1976,Products!$A$2:$C$8,3,FALSE),0)</f>
        <v>0</v>
      </c>
    </row>
    <row r="1977" spans="1:10" x14ac:dyDescent="0.25">
      <c r="A1977" t="s">
        <v>2144</v>
      </c>
      <c r="B1977" t="s">
        <v>177</v>
      </c>
      <c r="C1977" t="s">
        <v>125</v>
      </c>
      <c r="E1977" t="s">
        <v>155</v>
      </c>
      <c r="F1977" s="1">
        <v>42825</v>
      </c>
      <c r="I1977" t="str">
        <f>IF(COUNTIF(Products!$A$2:$A$8,C1977)=0,C1977,"")</f>
        <v/>
      </c>
      <c r="J1977">
        <f>IF(OR(E1977="Prospecting",E1977="Engaging"),VLOOKUP(C1977,Products!$A$2:$C$8,3,FALSE),0)</f>
        <v>3393</v>
      </c>
    </row>
    <row r="1978" spans="1:10" x14ac:dyDescent="0.25">
      <c r="A1978" t="s">
        <v>2145</v>
      </c>
      <c r="B1978" t="s">
        <v>144</v>
      </c>
      <c r="C1978" t="s">
        <v>120</v>
      </c>
      <c r="D1978" t="s">
        <v>29</v>
      </c>
      <c r="E1978" t="s">
        <v>138</v>
      </c>
      <c r="F1978" s="1">
        <v>42825</v>
      </c>
      <c r="G1978" s="1">
        <v>42831</v>
      </c>
      <c r="H1978">
        <v>430</v>
      </c>
      <c r="I1978" t="str">
        <f>IF(COUNTIF(Products!$A$2:$A$8,C1978)=0,C1978,"")</f>
        <v/>
      </c>
      <c r="J1978">
        <f>IF(OR(E1978="Prospecting",E1978="Engaging"),VLOOKUP(C1978,Products!$A$2:$C$8,3,FALSE),0)</f>
        <v>0</v>
      </c>
    </row>
    <row r="1979" spans="1:10" x14ac:dyDescent="0.25">
      <c r="A1979" t="s">
        <v>2146</v>
      </c>
      <c r="B1979" t="s">
        <v>146</v>
      </c>
      <c r="C1979" t="s">
        <v>120</v>
      </c>
      <c r="D1979" t="s">
        <v>61</v>
      </c>
      <c r="E1979" t="s">
        <v>138</v>
      </c>
      <c r="F1979" s="1">
        <v>42826</v>
      </c>
      <c r="G1979" s="1">
        <v>42860</v>
      </c>
      <c r="H1979">
        <v>518</v>
      </c>
      <c r="I1979" t="str">
        <f>IF(COUNTIF(Products!$A$2:$A$8,C1979)=0,C1979,"")</f>
        <v/>
      </c>
      <c r="J1979">
        <f>IF(OR(E1979="Prospecting",E1979="Engaging"),VLOOKUP(C1979,Products!$A$2:$C$8,3,FALSE),0)</f>
        <v>0</v>
      </c>
    </row>
    <row r="1980" spans="1:10" x14ac:dyDescent="0.25">
      <c r="A1980" t="s">
        <v>2147</v>
      </c>
      <c r="B1980" t="s">
        <v>222</v>
      </c>
      <c r="C1980" t="s">
        <v>127</v>
      </c>
      <c r="D1980" t="s">
        <v>105</v>
      </c>
      <c r="E1980" t="s">
        <v>159</v>
      </c>
      <c r="F1980" s="1">
        <v>42826</v>
      </c>
      <c r="G1980" s="1">
        <v>42837</v>
      </c>
      <c r="H1980">
        <v>0</v>
      </c>
      <c r="I1980" t="str">
        <f>IF(COUNTIF(Products!$A$2:$A$8,C1980)=0,C1980,"")</f>
        <v/>
      </c>
      <c r="J1980">
        <f>IF(OR(E1980="Prospecting",E1980="Engaging"),VLOOKUP(C1980,Products!$A$2:$C$8,3,FALSE),0)</f>
        <v>0</v>
      </c>
    </row>
    <row r="1981" spans="1:10" x14ac:dyDescent="0.25">
      <c r="A1981" t="s">
        <v>2148</v>
      </c>
      <c r="B1981" t="s">
        <v>207</v>
      </c>
      <c r="C1981" t="s">
        <v>123</v>
      </c>
      <c r="E1981" t="s">
        <v>155</v>
      </c>
      <c r="F1981" s="1">
        <v>42826</v>
      </c>
      <c r="I1981" t="str">
        <f>IF(COUNTIF(Products!$A$2:$A$8,C1981)=0,C1981,"")</f>
        <v/>
      </c>
      <c r="J1981">
        <f>IF(OR(E1981="Prospecting",E1981="Engaging"),VLOOKUP(C1981,Products!$A$2:$C$8,3,FALSE),0)</f>
        <v>55</v>
      </c>
    </row>
    <row r="1982" spans="1:10" x14ac:dyDescent="0.25">
      <c r="A1982" t="s">
        <v>2149</v>
      </c>
      <c r="B1982" t="s">
        <v>239</v>
      </c>
      <c r="C1982" t="s">
        <v>127</v>
      </c>
      <c r="D1982" t="s">
        <v>115</v>
      </c>
      <c r="E1982" t="s">
        <v>159</v>
      </c>
      <c r="F1982" s="1">
        <v>42826</v>
      </c>
      <c r="G1982" s="1">
        <v>42836</v>
      </c>
      <c r="H1982">
        <v>0</v>
      </c>
      <c r="I1982" t="str">
        <f>IF(COUNTIF(Products!$A$2:$A$8,C1982)=0,C1982,"")</f>
        <v/>
      </c>
      <c r="J1982">
        <f>IF(OR(E1982="Prospecting",E1982="Engaging"),VLOOKUP(C1982,Products!$A$2:$C$8,3,FALSE),0)</f>
        <v>0</v>
      </c>
    </row>
    <row r="1983" spans="1:10" x14ac:dyDescent="0.25">
      <c r="A1983" t="s">
        <v>2150</v>
      </c>
      <c r="B1983" t="s">
        <v>171</v>
      </c>
      <c r="C1983" t="s">
        <v>122</v>
      </c>
      <c r="D1983" t="s">
        <v>90</v>
      </c>
      <c r="E1983" t="s">
        <v>155</v>
      </c>
      <c r="F1983" s="1">
        <v>42826</v>
      </c>
      <c r="I1983" t="str">
        <f>IF(COUNTIF(Products!$A$2:$A$8,C1983)=0,C1983,"")</f>
        <v/>
      </c>
      <c r="J1983">
        <f>IF(OR(E1983="Prospecting",E1983="Engaging"),VLOOKUP(C1983,Products!$A$2:$C$8,3,FALSE),0)</f>
        <v>4821</v>
      </c>
    </row>
    <row r="1984" spans="1:10" x14ac:dyDescent="0.25">
      <c r="A1984" t="s">
        <v>2151</v>
      </c>
      <c r="B1984" t="s">
        <v>171</v>
      </c>
      <c r="C1984" t="s">
        <v>122</v>
      </c>
      <c r="D1984" t="s">
        <v>25</v>
      </c>
      <c r="E1984" t="s">
        <v>159</v>
      </c>
      <c r="F1984" s="1">
        <v>42826</v>
      </c>
      <c r="G1984" s="1">
        <v>42828</v>
      </c>
      <c r="H1984">
        <v>0</v>
      </c>
      <c r="I1984" t="str">
        <f>IF(COUNTIF(Products!$A$2:$A$8,C1984)=0,C1984,"")</f>
        <v/>
      </c>
      <c r="J1984">
        <f>IF(OR(E1984="Prospecting",E1984="Engaging"),VLOOKUP(C1984,Products!$A$2:$C$8,3,FALSE),0)</f>
        <v>0</v>
      </c>
    </row>
    <row r="1985" spans="1:10" x14ac:dyDescent="0.25">
      <c r="A1985" t="s">
        <v>2152</v>
      </c>
      <c r="B1985" t="s">
        <v>140</v>
      </c>
      <c r="C1985" t="s">
        <v>126</v>
      </c>
      <c r="D1985" t="s">
        <v>14</v>
      </c>
      <c r="E1985" t="s">
        <v>138</v>
      </c>
      <c r="F1985" s="1">
        <v>42826</v>
      </c>
      <c r="G1985" s="1">
        <v>42833</v>
      </c>
      <c r="H1985">
        <v>5798</v>
      </c>
      <c r="I1985" t="str">
        <f>IF(COUNTIF(Products!$A$2:$A$8,C1985)=0,C1985,"")</f>
        <v/>
      </c>
      <c r="J1985">
        <f>IF(OR(E1985="Prospecting",E1985="Engaging"),VLOOKUP(C1985,Products!$A$2:$C$8,3,FALSE),0)</f>
        <v>0</v>
      </c>
    </row>
    <row r="1986" spans="1:10" x14ac:dyDescent="0.25">
      <c r="A1986" t="s">
        <v>2153</v>
      </c>
      <c r="B1986" t="s">
        <v>140</v>
      </c>
      <c r="C1986" t="s">
        <v>122</v>
      </c>
      <c r="D1986" t="s">
        <v>12</v>
      </c>
      <c r="E1986" t="s">
        <v>138</v>
      </c>
      <c r="F1986" s="1">
        <v>42826</v>
      </c>
      <c r="G1986" s="1">
        <v>42835</v>
      </c>
      <c r="H1986">
        <v>4685</v>
      </c>
      <c r="I1986" t="str">
        <f>IF(COUNTIF(Products!$A$2:$A$8,C1986)=0,C1986,"")</f>
        <v/>
      </c>
      <c r="J1986">
        <f>IF(OR(E1986="Prospecting",E1986="Engaging"),VLOOKUP(C1986,Products!$A$2:$C$8,3,FALSE),0)</f>
        <v>0</v>
      </c>
    </row>
    <row r="1987" spans="1:10" x14ac:dyDescent="0.25">
      <c r="A1987" t="s">
        <v>2154</v>
      </c>
      <c r="B1987" t="s">
        <v>140</v>
      </c>
      <c r="C1987" t="s">
        <v>125</v>
      </c>
      <c r="D1987" t="s">
        <v>51</v>
      </c>
      <c r="E1987" t="s">
        <v>138</v>
      </c>
      <c r="F1987" s="1">
        <v>42826</v>
      </c>
      <c r="G1987" s="1">
        <v>42903</v>
      </c>
      <c r="H1987">
        <v>3228</v>
      </c>
      <c r="I1987" t="str">
        <f>IF(COUNTIF(Products!$A$2:$A$8,C1987)=0,C1987,"")</f>
        <v/>
      </c>
      <c r="J1987">
        <f>IF(OR(E1987="Prospecting",E1987="Engaging"),VLOOKUP(C1987,Products!$A$2:$C$8,3,FALSE),0)</f>
        <v>0</v>
      </c>
    </row>
    <row r="1988" spans="1:10" x14ac:dyDescent="0.25">
      <c r="A1988" t="s">
        <v>2155</v>
      </c>
      <c r="B1988" t="s">
        <v>224</v>
      </c>
      <c r="C1988" t="s">
        <v>120</v>
      </c>
      <c r="D1988" t="s">
        <v>63</v>
      </c>
      <c r="E1988" t="s">
        <v>159</v>
      </c>
      <c r="F1988" s="1">
        <v>42826</v>
      </c>
      <c r="G1988" s="1">
        <v>42828</v>
      </c>
      <c r="H1988">
        <v>0</v>
      </c>
      <c r="I1988" t="str">
        <f>IF(COUNTIF(Products!$A$2:$A$8,C1988)=0,C1988,"")</f>
        <v/>
      </c>
      <c r="J1988">
        <f>IF(OR(E1988="Prospecting",E1988="Engaging"),VLOOKUP(C1988,Products!$A$2:$C$8,3,FALSE),0)</f>
        <v>0</v>
      </c>
    </row>
    <row r="1989" spans="1:10" x14ac:dyDescent="0.25">
      <c r="A1989" t="s">
        <v>2156</v>
      </c>
      <c r="B1989" t="s">
        <v>173</v>
      </c>
      <c r="C1989" t="s">
        <v>120</v>
      </c>
      <c r="D1989" t="s">
        <v>82</v>
      </c>
      <c r="E1989" t="s">
        <v>138</v>
      </c>
      <c r="F1989" s="1">
        <v>42826</v>
      </c>
      <c r="G1989" s="1">
        <v>42908</v>
      </c>
      <c r="H1989">
        <v>452</v>
      </c>
      <c r="I1989" t="str">
        <f>IF(COUNTIF(Products!$A$2:$A$8,C1989)=0,C1989,"")</f>
        <v/>
      </c>
      <c r="J1989">
        <f>IF(OR(E1989="Prospecting",E1989="Engaging"),VLOOKUP(C1989,Products!$A$2:$C$8,3,FALSE),0)</f>
        <v>0</v>
      </c>
    </row>
    <row r="1990" spans="1:10" x14ac:dyDescent="0.25">
      <c r="A1990" t="s">
        <v>2157</v>
      </c>
      <c r="B1990" t="s">
        <v>158</v>
      </c>
      <c r="C1990" t="s">
        <v>127</v>
      </c>
      <c r="D1990" t="s">
        <v>27</v>
      </c>
      <c r="E1990" t="s">
        <v>159</v>
      </c>
      <c r="F1990" s="1">
        <v>42826</v>
      </c>
      <c r="G1990" s="1">
        <v>42836</v>
      </c>
      <c r="H1990">
        <v>0</v>
      </c>
      <c r="I1990" t="str">
        <f>IF(COUNTIF(Products!$A$2:$A$8,C1990)=0,C1990,"")</f>
        <v/>
      </c>
      <c r="J1990">
        <f>IF(OR(E1990="Prospecting",E1990="Engaging"),VLOOKUP(C1990,Products!$A$2:$C$8,3,FALSE),0)</f>
        <v>0</v>
      </c>
    </row>
    <row r="1991" spans="1:10" x14ac:dyDescent="0.25">
      <c r="A1991" t="s">
        <v>2158</v>
      </c>
      <c r="B1991" t="s">
        <v>164</v>
      </c>
      <c r="C1991" t="s">
        <v>125</v>
      </c>
      <c r="E1991" t="s">
        <v>155</v>
      </c>
      <c r="F1991" s="1">
        <v>42826</v>
      </c>
      <c r="I1991" t="str">
        <f>IF(COUNTIF(Products!$A$2:$A$8,C1991)=0,C1991,"")</f>
        <v/>
      </c>
      <c r="J1991">
        <f>IF(OR(E1991="Prospecting",E1991="Engaging"),VLOOKUP(C1991,Products!$A$2:$C$8,3,FALSE),0)</f>
        <v>3393</v>
      </c>
    </row>
    <row r="1992" spans="1:10" x14ac:dyDescent="0.25">
      <c r="A1992" t="s">
        <v>2159</v>
      </c>
      <c r="B1992" t="s">
        <v>303</v>
      </c>
      <c r="C1992" t="s">
        <v>120</v>
      </c>
      <c r="D1992" t="s">
        <v>36</v>
      </c>
      <c r="E1992" t="s">
        <v>138</v>
      </c>
      <c r="F1992" s="1">
        <v>42826</v>
      </c>
      <c r="G1992" s="1">
        <v>42833</v>
      </c>
      <c r="H1992">
        <v>565</v>
      </c>
      <c r="I1992" t="str">
        <f>IF(COUNTIF(Products!$A$2:$A$8,C1992)=0,C1992,"")</f>
        <v/>
      </c>
      <c r="J1992">
        <f>IF(OR(E1992="Prospecting",E1992="Engaging"),VLOOKUP(C1992,Products!$A$2:$C$8,3,FALSE),0)</f>
        <v>0</v>
      </c>
    </row>
    <row r="1993" spans="1:10" x14ac:dyDescent="0.25">
      <c r="A1993" t="s">
        <v>2160</v>
      </c>
      <c r="B1993" t="s">
        <v>303</v>
      </c>
      <c r="C1993" t="s">
        <v>127</v>
      </c>
      <c r="D1993" t="s">
        <v>77</v>
      </c>
      <c r="E1993" t="s">
        <v>138</v>
      </c>
      <c r="F1993" s="1">
        <v>42826</v>
      </c>
      <c r="G1993" s="1">
        <v>42891</v>
      </c>
      <c r="H1993">
        <v>1184</v>
      </c>
      <c r="I1993" t="str">
        <f>IF(COUNTIF(Products!$A$2:$A$8,C1993)=0,C1993,"")</f>
        <v/>
      </c>
      <c r="J1993">
        <f>IF(OR(E1993="Prospecting",E1993="Engaging"),VLOOKUP(C1993,Products!$A$2:$C$8,3,FALSE),0)</f>
        <v>0</v>
      </c>
    </row>
    <row r="1994" spans="1:10" x14ac:dyDescent="0.25">
      <c r="A1994" t="s">
        <v>2161</v>
      </c>
      <c r="B1994" t="s">
        <v>180</v>
      </c>
      <c r="C1994" t="s">
        <v>127</v>
      </c>
      <c r="D1994" t="s">
        <v>60</v>
      </c>
      <c r="E1994" t="s">
        <v>138</v>
      </c>
      <c r="F1994" s="1">
        <v>42826</v>
      </c>
      <c r="G1994" s="1">
        <v>42908</v>
      </c>
      <c r="H1994">
        <v>1150</v>
      </c>
      <c r="I1994" t="str">
        <f>IF(COUNTIF(Products!$A$2:$A$8,C1994)=0,C1994,"")</f>
        <v/>
      </c>
      <c r="J1994">
        <f>IF(OR(E1994="Prospecting",E1994="Engaging"),VLOOKUP(C1994,Products!$A$2:$C$8,3,FALSE),0)</f>
        <v>0</v>
      </c>
    </row>
    <row r="1995" spans="1:10" x14ac:dyDescent="0.25">
      <c r="A1995" t="s">
        <v>2162</v>
      </c>
      <c r="B1995" t="s">
        <v>191</v>
      </c>
      <c r="C1995" t="s">
        <v>120</v>
      </c>
      <c r="D1995" t="s">
        <v>65</v>
      </c>
      <c r="E1995" t="s">
        <v>155</v>
      </c>
      <c r="F1995" s="1">
        <v>42826</v>
      </c>
      <c r="I1995" t="str">
        <f>IF(COUNTIF(Products!$A$2:$A$8,C1995)=0,C1995,"")</f>
        <v/>
      </c>
      <c r="J1995">
        <f>IF(OR(E1995="Prospecting",E1995="Engaging"),VLOOKUP(C1995,Products!$A$2:$C$8,3,FALSE),0)</f>
        <v>550</v>
      </c>
    </row>
    <row r="1996" spans="1:10" x14ac:dyDescent="0.25">
      <c r="A1996" t="s">
        <v>2163</v>
      </c>
      <c r="B1996" t="s">
        <v>191</v>
      </c>
      <c r="C1996" t="s">
        <v>127</v>
      </c>
      <c r="D1996" t="s">
        <v>93</v>
      </c>
      <c r="E1996" t="s">
        <v>138</v>
      </c>
      <c r="F1996" s="1">
        <v>42826</v>
      </c>
      <c r="G1996" s="1">
        <v>42879</v>
      </c>
      <c r="H1996">
        <v>1110</v>
      </c>
      <c r="I1996" t="str">
        <f>IF(COUNTIF(Products!$A$2:$A$8,C1996)=0,C1996,"")</f>
        <v/>
      </c>
      <c r="J1996">
        <f>IF(OR(E1996="Prospecting",E1996="Engaging"),VLOOKUP(C1996,Products!$A$2:$C$8,3,FALSE),0)</f>
        <v>0</v>
      </c>
    </row>
    <row r="1997" spans="1:10" x14ac:dyDescent="0.25">
      <c r="A1997" t="s">
        <v>2164</v>
      </c>
      <c r="B1997" t="s">
        <v>217</v>
      </c>
      <c r="C1997" t="s">
        <v>125</v>
      </c>
      <c r="D1997" t="s">
        <v>116</v>
      </c>
      <c r="E1997" t="s">
        <v>159</v>
      </c>
      <c r="F1997" s="1">
        <v>42826</v>
      </c>
      <c r="G1997" s="1">
        <v>42835</v>
      </c>
      <c r="H1997">
        <v>0</v>
      </c>
      <c r="I1997" t="str">
        <f>IF(COUNTIF(Products!$A$2:$A$8,C1997)=0,C1997,"")</f>
        <v/>
      </c>
      <c r="J1997">
        <f>IF(OR(E1997="Prospecting",E1997="Engaging"),VLOOKUP(C1997,Products!$A$2:$C$8,3,FALSE),0)</f>
        <v>0</v>
      </c>
    </row>
    <row r="1998" spans="1:10" x14ac:dyDescent="0.25">
      <c r="A1998" t="s">
        <v>2165</v>
      </c>
      <c r="B1998" t="s">
        <v>150</v>
      </c>
      <c r="C1998" t="s">
        <v>125</v>
      </c>
      <c r="D1998" t="s">
        <v>66</v>
      </c>
      <c r="E1998" t="s">
        <v>138</v>
      </c>
      <c r="F1998" s="1">
        <v>42826</v>
      </c>
      <c r="G1998" s="1">
        <v>42831</v>
      </c>
      <c r="H1998">
        <v>3817</v>
      </c>
      <c r="I1998" t="str">
        <f>IF(COUNTIF(Products!$A$2:$A$8,C1998)=0,C1998,"")</f>
        <v/>
      </c>
      <c r="J1998">
        <f>IF(OR(E1998="Prospecting",E1998="Engaging"),VLOOKUP(C1998,Products!$A$2:$C$8,3,FALSE),0)</f>
        <v>0</v>
      </c>
    </row>
    <row r="1999" spans="1:10" x14ac:dyDescent="0.25">
      <c r="A1999" t="s">
        <v>2166</v>
      </c>
      <c r="B1999" t="s">
        <v>205</v>
      </c>
      <c r="C1999" t="s">
        <v>125</v>
      </c>
      <c r="D1999" t="s">
        <v>89</v>
      </c>
      <c r="E1999" t="s">
        <v>159</v>
      </c>
      <c r="F1999" s="1">
        <v>42826</v>
      </c>
      <c r="G1999" s="1">
        <v>42835</v>
      </c>
      <c r="H1999">
        <v>0</v>
      </c>
      <c r="I1999" t="str">
        <f>IF(COUNTIF(Products!$A$2:$A$8,C1999)=0,C1999,"")</f>
        <v/>
      </c>
      <c r="J1999">
        <f>IF(OR(E1999="Prospecting",E1999="Engaging"),VLOOKUP(C1999,Products!$A$2:$C$8,3,FALSE),0)</f>
        <v>0</v>
      </c>
    </row>
    <row r="2000" spans="1:10" x14ac:dyDescent="0.25">
      <c r="A2000" t="s">
        <v>2167</v>
      </c>
      <c r="B2000" t="s">
        <v>137</v>
      </c>
      <c r="C2000" t="s">
        <v>125</v>
      </c>
      <c r="D2000" t="s">
        <v>14</v>
      </c>
      <c r="E2000" t="s">
        <v>159</v>
      </c>
      <c r="F2000" s="1">
        <v>42826</v>
      </c>
      <c r="G2000" s="1">
        <v>42831</v>
      </c>
      <c r="H2000">
        <v>0</v>
      </c>
      <c r="I2000" t="str">
        <f>IF(COUNTIF(Products!$A$2:$A$8,C2000)=0,C2000,"")</f>
        <v/>
      </c>
      <c r="J2000">
        <f>IF(OR(E2000="Prospecting",E2000="Engaging"),VLOOKUP(C2000,Products!$A$2:$C$8,3,FALSE),0)</f>
        <v>0</v>
      </c>
    </row>
    <row r="2001" spans="1:10" x14ac:dyDescent="0.25">
      <c r="A2001" t="s">
        <v>2168</v>
      </c>
      <c r="B2001" t="s">
        <v>152</v>
      </c>
      <c r="C2001" t="s">
        <v>120</v>
      </c>
      <c r="D2001" t="s">
        <v>61</v>
      </c>
      <c r="E2001" t="s">
        <v>138</v>
      </c>
      <c r="F2001" s="1">
        <v>42826</v>
      </c>
      <c r="G2001" s="1">
        <v>42835</v>
      </c>
      <c r="H2001">
        <v>531</v>
      </c>
      <c r="I2001" t="str">
        <f>IF(COUNTIF(Products!$A$2:$A$8,C2001)=0,C2001,"")</f>
        <v/>
      </c>
      <c r="J2001">
        <f>IF(OR(E2001="Prospecting",E2001="Engaging"),VLOOKUP(C2001,Products!$A$2:$C$8,3,FALSE),0)</f>
        <v>0</v>
      </c>
    </row>
    <row r="2002" spans="1:10" x14ac:dyDescent="0.25">
      <c r="A2002" t="s">
        <v>2169</v>
      </c>
      <c r="B2002" t="s">
        <v>193</v>
      </c>
      <c r="C2002" t="s">
        <v>126</v>
      </c>
      <c r="D2002" t="s">
        <v>102</v>
      </c>
      <c r="E2002" t="s">
        <v>159</v>
      </c>
      <c r="F2002" s="1">
        <v>42826</v>
      </c>
      <c r="G2002" s="1">
        <v>42829</v>
      </c>
      <c r="H2002">
        <v>0</v>
      </c>
      <c r="I2002" t="str">
        <f>IF(COUNTIF(Products!$A$2:$A$8,C2002)=0,C2002,"")</f>
        <v/>
      </c>
      <c r="J2002">
        <f>IF(OR(E2002="Prospecting",E2002="Engaging"),VLOOKUP(C2002,Products!$A$2:$C$8,3,FALSE),0)</f>
        <v>0</v>
      </c>
    </row>
    <row r="2003" spans="1:10" x14ac:dyDescent="0.25">
      <c r="A2003" t="s">
        <v>2170</v>
      </c>
      <c r="B2003" t="s">
        <v>193</v>
      </c>
      <c r="C2003" t="s">
        <v>125</v>
      </c>
      <c r="D2003" t="s">
        <v>80</v>
      </c>
      <c r="E2003" t="s">
        <v>159</v>
      </c>
      <c r="F2003" s="1">
        <v>42826</v>
      </c>
      <c r="G2003" s="1">
        <v>42827</v>
      </c>
      <c r="H2003">
        <v>0</v>
      </c>
      <c r="I2003" t="str">
        <f>IF(COUNTIF(Products!$A$2:$A$8,C2003)=0,C2003,"")</f>
        <v/>
      </c>
      <c r="J2003">
        <f>IF(OR(E2003="Prospecting",E2003="Engaging"),VLOOKUP(C2003,Products!$A$2:$C$8,3,FALSE),0)</f>
        <v>0</v>
      </c>
    </row>
    <row r="2004" spans="1:10" x14ac:dyDescent="0.25">
      <c r="A2004" t="s">
        <v>2171</v>
      </c>
      <c r="B2004" t="s">
        <v>166</v>
      </c>
      <c r="C2004" t="s">
        <v>123</v>
      </c>
      <c r="D2004" t="s">
        <v>17</v>
      </c>
      <c r="E2004" t="s">
        <v>138</v>
      </c>
      <c r="F2004" s="1">
        <v>42826</v>
      </c>
      <c r="G2004" s="1">
        <v>42832</v>
      </c>
      <c r="H2004">
        <v>51</v>
      </c>
      <c r="I2004" t="str">
        <f>IF(COUNTIF(Products!$A$2:$A$8,C2004)=0,C2004,"")</f>
        <v/>
      </c>
      <c r="J2004">
        <f>IF(OR(E2004="Prospecting",E2004="Engaging"),VLOOKUP(C2004,Products!$A$2:$C$8,3,FALSE),0)</f>
        <v>0</v>
      </c>
    </row>
    <row r="2005" spans="1:10" x14ac:dyDescent="0.25">
      <c r="A2005" t="s">
        <v>2172</v>
      </c>
      <c r="B2005" t="s">
        <v>187</v>
      </c>
      <c r="C2005" t="s">
        <v>125</v>
      </c>
      <c r="D2005" t="s">
        <v>100</v>
      </c>
      <c r="E2005" t="s">
        <v>155</v>
      </c>
      <c r="F2005" s="1">
        <v>42826</v>
      </c>
      <c r="I2005" t="str">
        <f>IF(COUNTIF(Products!$A$2:$A$8,C2005)=0,C2005,"")</f>
        <v/>
      </c>
      <c r="J2005">
        <f>IF(OR(E2005="Prospecting",E2005="Engaging"),VLOOKUP(C2005,Products!$A$2:$C$8,3,FALSE),0)</f>
        <v>3393</v>
      </c>
    </row>
    <row r="2006" spans="1:10" x14ac:dyDescent="0.25">
      <c r="A2006" t="s">
        <v>2173</v>
      </c>
      <c r="B2006" t="s">
        <v>187</v>
      </c>
      <c r="C2006" t="s">
        <v>122</v>
      </c>
      <c r="D2006" t="s">
        <v>73</v>
      </c>
      <c r="E2006" t="s">
        <v>138</v>
      </c>
      <c r="F2006" s="1">
        <v>42826</v>
      </c>
      <c r="G2006" s="1">
        <v>42867</v>
      </c>
      <c r="H2006">
        <v>5106</v>
      </c>
      <c r="I2006" t="str">
        <f>IF(COUNTIF(Products!$A$2:$A$8,C2006)=0,C2006,"")</f>
        <v/>
      </c>
      <c r="J2006">
        <f>IF(OR(E2006="Prospecting",E2006="Engaging"),VLOOKUP(C2006,Products!$A$2:$C$8,3,FALSE),0)</f>
        <v>0</v>
      </c>
    </row>
    <row r="2007" spans="1:10" x14ac:dyDescent="0.25">
      <c r="A2007" t="s">
        <v>2174</v>
      </c>
      <c r="B2007" t="s">
        <v>169</v>
      </c>
      <c r="C2007" t="s">
        <v>125</v>
      </c>
      <c r="D2007" t="s">
        <v>51</v>
      </c>
      <c r="E2007" t="s">
        <v>159</v>
      </c>
      <c r="F2007" s="1">
        <v>42826</v>
      </c>
      <c r="G2007" s="1">
        <v>42838</v>
      </c>
      <c r="H2007">
        <v>0</v>
      </c>
      <c r="I2007" t="str">
        <f>IF(COUNTIF(Products!$A$2:$A$8,C2007)=0,C2007,"")</f>
        <v/>
      </c>
      <c r="J2007">
        <f>IF(OR(E2007="Prospecting",E2007="Engaging"),VLOOKUP(C2007,Products!$A$2:$C$8,3,FALSE),0)</f>
        <v>0</v>
      </c>
    </row>
    <row r="2008" spans="1:10" x14ac:dyDescent="0.25">
      <c r="A2008" t="s">
        <v>2175</v>
      </c>
      <c r="B2008" t="s">
        <v>169</v>
      </c>
      <c r="C2008" t="s">
        <v>123</v>
      </c>
      <c r="D2008" t="s">
        <v>94</v>
      </c>
      <c r="E2008" t="s">
        <v>138</v>
      </c>
      <c r="F2008" s="1">
        <v>42826</v>
      </c>
      <c r="G2008" s="1">
        <v>42827</v>
      </c>
      <c r="H2008">
        <v>60</v>
      </c>
      <c r="I2008" t="str">
        <f>IF(COUNTIF(Products!$A$2:$A$8,C2008)=0,C2008,"")</f>
        <v/>
      </c>
      <c r="J2008">
        <f>IF(OR(E2008="Prospecting",E2008="Engaging"),VLOOKUP(C2008,Products!$A$2:$C$8,3,FALSE),0)</f>
        <v>0</v>
      </c>
    </row>
    <row r="2009" spans="1:10" x14ac:dyDescent="0.25">
      <c r="A2009" t="s">
        <v>2176</v>
      </c>
      <c r="B2009" t="s">
        <v>148</v>
      </c>
      <c r="C2009" t="s">
        <v>122</v>
      </c>
      <c r="D2009" t="s">
        <v>68</v>
      </c>
      <c r="E2009" t="s">
        <v>155</v>
      </c>
      <c r="F2009" s="1">
        <v>42826</v>
      </c>
      <c r="I2009" t="str">
        <f>IF(COUNTIF(Products!$A$2:$A$8,C2009)=0,C2009,"")</f>
        <v/>
      </c>
      <c r="J2009">
        <f>IF(OR(E2009="Prospecting",E2009="Engaging"),VLOOKUP(C2009,Products!$A$2:$C$8,3,FALSE),0)</f>
        <v>4821</v>
      </c>
    </row>
    <row r="2010" spans="1:10" x14ac:dyDescent="0.25">
      <c r="A2010" t="s">
        <v>2177</v>
      </c>
      <c r="B2010" t="s">
        <v>148</v>
      </c>
      <c r="C2010" t="s">
        <v>122</v>
      </c>
      <c r="D2010" t="s">
        <v>109</v>
      </c>
      <c r="E2010" t="s">
        <v>159</v>
      </c>
      <c r="F2010" s="1">
        <v>42826</v>
      </c>
      <c r="G2010" s="1">
        <v>42834</v>
      </c>
      <c r="H2010">
        <v>0</v>
      </c>
      <c r="I2010" t="str">
        <f>IF(COUNTIF(Products!$A$2:$A$8,C2010)=0,C2010,"")</f>
        <v/>
      </c>
      <c r="J2010">
        <f>IF(OR(E2010="Prospecting",E2010="Engaging"),VLOOKUP(C2010,Products!$A$2:$C$8,3,FALSE),0)</f>
        <v>0</v>
      </c>
    </row>
    <row r="2011" spans="1:10" x14ac:dyDescent="0.25">
      <c r="A2011" t="s">
        <v>2178</v>
      </c>
      <c r="B2011" t="s">
        <v>196</v>
      </c>
      <c r="C2011" t="s">
        <v>126</v>
      </c>
      <c r="D2011" t="s">
        <v>115</v>
      </c>
      <c r="E2011" t="s">
        <v>159</v>
      </c>
      <c r="F2011" s="1">
        <v>42826</v>
      </c>
      <c r="G2011" s="1">
        <v>42834</v>
      </c>
      <c r="H2011">
        <v>0</v>
      </c>
      <c r="I2011" t="str">
        <f>IF(COUNTIF(Products!$A$2:$A$8,C2011)=0,C2011,"")</f>
        <v/>
      </c>
      <c r="J2011">
        <f>IF(OR(E2011="Prospecting",E2011="Engaging"),VLOOKUP(C2011,Products!$A$2:$C$8,3,FALSE),0)</f>
        <v>0</v>
      </c>
    </row>
    <row r="2012" spans="1:10" x14ac:dyDescent="0.25">
      <c r="A2012" t="s">
        <v>2179</v>
      </c>
      <c r="B2012" t="s">
        <v>144</v>
      </c>
      <c r="C2012" t="s">
        <v>127</v>
      </c>
      <c r="D2012" t="s">
        <v>61</v>
      </c>
      <c r="E2012" t="s">
        <v>159</v>
      </c>
      <c r="F2012" s="1">
        <v>42826</v>
      </c>
      <c r="G2012" s="1">
        <v>42827</v>
      </c>
      <c r="H2012">
        <v>0</v>
      </c>
      <c r="I2012" t="str">
        <f>IF(COUNTIF(Products!$A$2:$A$8,C2012)=0,C2012,"")</f>
        <v/>
      </c>
      <c r="J2012">
        <f>IF(OR(E2012="Prospecting",E2012="Engaging"),VLOOKUP(C2012,Products!$A$2:$C$8,3,FALSE),0)</f>
        <v>0</v>
      </c>
    </row>
    <row r="2013" spans="1:10" x14ac:dyDescent="0.25">
      <c r="A2013" t="s">
        <v>2180</v>
      </c>
      <c r="B2013" t="s">
        <v>144</v>
      </c>
      <c r="C2013" t="s">
        <v>122</v>
      </c>
      <c r="D2013" t="s">
        <v>60</v>
      </c>
      <c r="E2013" t="s">
        <v>138</v>
      </c>
      <c r="F2013" s="1">
        <v>42826</v>
      </c>
      <c r="G2013" s="1">
        <v>42915</v>
      </c>
      <c r="H2013">
        <v>5079</v>
      </c>
      <c r="I2013" t="str">
        <f>IF(COUNTIF(Products!$A$2:$A$8,C2013)=0,C2013,"")</f>
        <v/>
      </c>
      <c r="J2013">
        <f>IF(OR(E2013="Prospecting",E2013="Engaging"),VLOOKUP(C2013,Products!$A$2:$C$8,3,FALSE),0)</f>
        <v>0</v>
      </c>
    </row>
    <row r="2014" spans="1:10" x14ac:dyDescent="0.25">
      <c r="A2014" t="s">
        <v>2181</v>
      </c>
      <c r="B2014" t="s">
        <v>146</v>
      </c>
      <c r="C2014" t="s">
        <v>120</v>
      </c>
      <c r="D2014" t="s">
        <v>96</v>
      </c>
      <c r="E2014" t="s">
        <v>138</v>
      </c>
      <c r="F2014" s="1">
        <v>42827</v>
      </c>
      <c r="G2014" s="1">
        <v>42906</v>
      </c>
      <c r="H2014">
        <v>460</v>
      </c>
      <c r="I2014" t="str">
        <f>IF(COUNTIF(Products!$A$2:$A$8,C2014)=0,C2014,"")</f>
        <v/>
      </c>
      <c r="J2014">
        <f>IF(OR(E2014="Prospecting",E2014="Engaging"),VLOOKUP(C2014,Products!$A$2:$C$8,3,FALSE),0)</f>
        <v>0</v>
      </c>
    </row>
    <row r="2015" spans="1:10" x14ac:dyDescent="0.25">
      <c r="A2015" t="s">
        <v>2182</v>
      </c>
      <c r="B2015" t="s">
        <v>222</v>
      </c>
      <c r="C2015" t="s">
        <v>125</v>
      </c>
      <c r="E2015" t="s">
        <v>155</v>
      </c>
      <c r="F2015" s="1">
        <v>42827</v>
      </c>
      <c r="I2015" t="str">
        <f>IF(COUNTIF(Products!$A$2:$A$8,C2015)=0,C2015,"")</f>
        <v/>
      </c>
      <c r="J2015">
        <f>IF(OR(E2015="Prospecting",E2015="Engaging"),VLOOKUP(C2015,Products!$A$2:$C$8,3,FALSE),0)</f>
        <v>3393</v>
      </c>
    </row>
    <row r="2016" spans="1:10" x14ac:dyDescent="0.25">
      <c r="A2016" t="s">
        <v>2183</v>
      </c>
      <c r="B2016" t="s">
        <v>222</v>
      </c>
      <c r="C2016" t="s">
        <v>127</v>
      </c>
      <c r="D2016" t="s">
        <v>65</v>
      </c>
      <c r="E2016" t="s">
        <v>159</v>
      </c>
      <c r="F2016" s="1">
        <v>42827</v>
      </c>
      <c r="G2016" s="1">
        <v>42910</v>
      </c>
      <c r="H2016">
        <v>0</v>
      </c>
      <c r="I2016" t="str">
        <f>IF(COUNTIF(Products!$A$2:$A$8,C2016)=0,C2016,"")</f>
        <v/>
      </c>
      <c r="J2016">
        <f>IF(OR(E2016="Prospecting",E2016="Engaging"),VLOOKUP(C2016,Products!$A$2:$C$8,3,FALSE),0)</f>
        <v>0</v>
      </c>
    </row>
    <row r="2017" spans="1:10" x14ac:dyDescent="0.25">
      <c r="A2017" t="s">
        <v>2184</v>
      </c>
      <c r="B2017" t="s">
        <v>264</v>
      </c>
      <c r="C2017" t="s">
        <v>125</v>
      </c>
      <c r="D2017" t="s">
        <v>33</v>
      </c>
      <c r="E2017" t="s">
        <v>138</v>
      </c>
      <c r="F2017" s="1">
        <v>42827</v>
      </c>
      <c r="G2017" s="1">
        <v>42835</v>
      </c>
      <c r="H2017">
        <v>3343</v>
      </c>
      <c r="I2017" t="str">
        <f>IF(COUNTIF(Products!$A$2:$A$8,C2017)=0,C2017,"")</f>
        <v/>
      </c>
      <c r="J2017">
        <f>IF(OR(E2017="Prospecting",E2017="Engaging"),VLOOKUP(C2017,Products!$A$2:$C$8,3,FALSE),0)</f>
        <v>0</v>
      </c>
    </row>
    <row r="2018" spans="1:10" x14ac:dyDescent="0.25">
      <c r="A2018" t="s">
        <v>2185</v>
      </c>
      <c r="B2018" t="s">
        <v>239</v>
      </c>
      <c r="C2018" t="s">
        <v>126</v>
      </c>
      <c r="D2018" t="s">
        <v>108</v>
      </c>
      <c r="E2018" t="s">
        <v>138</v>
      </c>
      <c r="F2018" s="1">
        <v>42827</v>
      </c>
      <c r="G2018" s="1">
        <v>42883</v>
      </c>
      <c r="H2018">
        <v>5125</v>
      </c>
      <c r="I2018" t="str">
        <f>IF(COUNTIF(Products!$A$2:$A$8,C2018)=0,C2018,"")</f>
        <v/>
      </c>
      <c r="J2018">
        <f>IF(OR(E2018="Prospecting",E2018="Engaging"),VLOOKUP(C2018,Products!$A$2:$C$8,3,FALSE),0)</f>
        <v>0</v>
      </c>
    </row>
    <row r="2019" spans="1:10" x14ac:dyDescent="0.25">
      <c r="A2019" t="s">
        <v>2186</v>
      </c>
      <c r="B2019" t="s">
        <v>140</v>
      </c>
      <c r="C2019" t="s">
        <v>125</v>
      </c>
      <c r="D2019" t="s">
        <v>14</v>
      </c>
      <c r="E2019" t="s">
        <v>138</v>
      </c>
      <c r="F2019" s="1">
        <v>42827</v>
      </c>
      <c r="G2019" s="1">
        <v>42836</v>
      </c>
      <c r="H2019">
        <v>3263</v>
      </c>
      <c r="I2019" t="str">
        <f>IF(COUNTIF(Products!$A$2:$A$8,C2019)=0,C2019,"")</f>
        <v/>
      </c>
      <c r="J2019">
        <f>IF(OR(E2019="Prospecting",E2019="Engaging"),VLOOKUP(C2019,Products!$A$2:$C$8,3,FALSE),0)</f>
        <v>0</v>
      </c>
    </row>
    <row r="2020" spans="1:10" x14ac:dyDescent="0.25">
      <c r="A2020" t="s">
        <v>2187</v>
      </c>
      <c r="B2020" t="s">
        <v>173</v>
      </c>
      <c r="C2020" t="s">
        <v>127</v>
      </c>
      <c r="D2020" t="s">
        <v>38</v>
      </c>
      <c r="E2020" t="s">
        <v>138</v>
      </c>
      <c r="F2020" s="1">
        <v>42827</v>
      </c>
      <c r="G2020" s="1">
        <v>42833</v>
      </c>
      <c r="H2020">
        <v>976</v>
      </c>
      <c r="I2020" t="str">
        <f>IF(COUNTIF(Products!$A$2:$A$8,C2020)=0,C2020,"")</f>
        <v/>
      </c>
      <c r="J2020">
        <f>IF(OR(E2020="Prospecting",E2020="Engaging"),VLOOKUP(C2020,Products!$A$2:$C$8,3,FALSE),0)</f>
        <v>0</v>
      </c>
    </row>
    <row r="2021" spans="1:10" x14ac:dyDescent="0.25">
      <c r="A2021" t="s">
        <v>2188</v>
      </c>
      <c r="B2021" t="s">
        <v>198</v>
      </c>
      <c r="C2021" t="s">
        <v>122</v>
      </c>
      <c r="D2021" t="s">
        <v>84</v>
      </c>
      <c r="E2021" t="s">
        <v>138</v>
      </c>
      <c r="F2021" s="1">
        <v>42827</v>
      </c>
      <c r="G2021" s="1">
        <v>42834</v>
      </c>
      <c r="H2021">
        <v>4746</v>
      </c>
      <c r="I2021" t="str">
        <f>IF(COUNTIF(Products!$A$2:$A$8,C2021)=0,C2021,"")</f>
        <v/>
      </c>
      <c r="J2021">
        <f>IF(OR(E2021="Prospecting",E2021="Engaging"),VLOOKUP(C2021,Products!$A$2:$C$8,3,FALSE),0)</f>
        <v>0</v>
      </c>
    </row>
    <row r="2022" spans="1:10" x14ac:dyDescent="0.25">
      <c r="A2022" t="s">
        <v>2189</v>
      </c>
      <c r="B2022" t="s">
        <v>158</v>
      </c>
      <c r="C2022" t="s">
        <v>127</v>
      </c>
      <c r="D2022" t="s">
        <v>28</v>
      </c>
      <c r="E2022" t="s">
        <v>159</v>
      </c>
      <c r="F2022" s="1">
        <v>42827</v>
      </c>
      <c r="G2022" s="1">
        <v>42828</v>
      </c>
      <c r="H2022">
        <v>0</v>
      </c>
      <c r="I2022" t="str">
        <f>IF(COUNTIF(Products!$A$2:$A$8,C2022)=0,C2022,"")</f>
        <v/>
      </c>
      <c r="J2022">
        <f>IF(OR(E2022="Prospecting",E2022="Engaging"),VLOOKUP(C2022,Products!$A$2:$C$8,3,FALSE),0)</f>
        <v>0</v>
      </c>
    </row>
    <row r="2023" spans="1:10" x14ac:dyDescent="0.25">
      <c r="A2023" t="s">
        <v>2190</v>
      </c>
      <c r="B2023" t="s">
        <v>158</v>
      </c>
      <c r="C2023" t="s">
        <v>120</v>
      </c>
      <c r="D2023" t="s">
        <v>26</v>
      </c>
      <c r="E2023" t="s">
        <v>138</v>
      </c>
      <c r="F2023" s="1">
        <v>42827</v>
      </c>
      <c r="G2023" s="1">
        <v>42836</v>
      </c>
      <c r="H2023">
        <v>507</v>
      </c>
      <c r="I2023" t="str">
        <f>IF(COUNTIF(Products!$A$2:$A$8,C2023)=0,C2023,"")</f>
        <v/>
      </c>
      <c r="J2023">
        <f>IF(OR(E2023="Prospecting",E2023="Engaging"),VLOOKUP(C2023,Products!$A$2:$C$8,3,FALSE),0)</f>
        <v>0</v>
      </c>
    </row>
    <row r="2024" spans="1:10" x14ac:dyDescent="0.25">
      <c r="A2024" t="s">
        <v>2191</v>
      </c>
      <c r="B2024" t="s">
        <v>154</v>
      </c>
      <c r="C2024" t="s">
        <v>126</v>
      </c>
      <c r="E2024" t="s">
        <v>155</v>
      </c>
      <c r="F2024" s="1">
        <v>42827</v>
      </c>
      <c r="I2024" t="str">
        <f>IF(COUNTIF(Products!$A$2:$A$8,C2024)=0,C2024,"")</f>
        <v/>
      </c>
      <c r="J2024">
        <f>IF(OR(E2024="Prospecting",E2024="Engaging"),VLOOKUP(C2024,Products!$A$2:$C$8,3,FALSE),0)</f>
        <v>5482</v>
      </c>
    </row>
    <row r="2025" spans="1:10" x14ac:dyDescent="0.25">
      <c r="A2025" t="s">
        <v>2192</v>
      </c>
      <c r="B2025" t="s">
        <v>154</v>
      </c>
      <c r="C2025" t="s">
        <v>120</v>
      </c>
      <c r="D2025" t="s">
        <v>69</v>
      </c>
      <c r="E2025" t="s">
        <v>159</v>
      </c>
      <c r="F2025" s="1">
        <v>42827</v>
      </c>
      <c r="G2025" s="1">
        <v>42839</v>
      </c>
      <c r="H2025">
        <v>0</v>
      </c>
      <c r="I2025" t="str">
        <f>IF(COUNTIF(Products!$A$2:$A$8,C2025)=0,C2025,"")</f>
        <v/>
      </c>
      <c r="J2025">
        <f>IF(OR(E2025="Prospecting",E2025="Engaging"),VLOOKUP(C2025,Products!$A$2:$C$8,3,FALSE),0)</f>
        <v>0</v>
      </c>
    </row>
    <row r="2026" spans="1:10" x14ac:dyDescent="0.25">
      <c r="A2026" t="s">
        <v>2193</v>
      </c>
      <c r="B2026" t="s">
        <v>154</v>
      </c>
      <c r="C2026" t="s">
        <v>122</v>
      </c>
      <c r="D2026" t="s">
        <v>38</v>
      </c>
      <c r="E2026" t="s">
        <v>138</v>
      </c>
      <c r="F2026" s="1">
        <v>42827</v>
      </c>
      <c r="G2026" s="1">
        <v>42834</v>
      </c>
      <c r="H2026">
        <v>5693</v>
      </c>
      <c r="I2026" t="str">
        <f>IF(COUNTIF(Products!$A$2:$A$8,C2026)=0,C2026,"")</f>
        <v/>
      </c>
      <c r="J2026">
        <f>IF(OR(E2026="Prospecting",E2026="Engaging"),VLOOKUP(C2026,Products!$A$2:$C$8,3,FALSE),0)</f>
        <v>0</v>
      </c>
    </row>
    <row r="2027" spans="1:10" x14ac:dyDescent="0.25">
      <c r="A2027" t="s">
        <v>2194</v>
      </c>
      <c r="B2027" t="s">
        <v>180</v>
      </c>
      <c r="C2027" t="s">
        <v>122</v>
      </c>
      <c r="E2027" t="s">
        <v>155</v>
      </c>
      <c r="F2027" s="1">
        <v>42827</v>
      </c>
      <c r="I2027" t="str">
        <f>IF(COUNTIF(Products!$A$2:$A$8,C2027)=0,C2027,"")</f>
        <v/>
      </c>
      <c r="J2027">
        <f>IF(OR(E2027="Prospecting",E2027="Engaging"),VLOOKUP(C2027,Products!$A$2:$C$8,3,FALSE),0)</f>
        <v>4821</v>
      </c>
    </row>
    <row r="2028" spans="1:10" x14ac:dyDescent="0.25">
      <c r="A2028" t="s">
        <v>2195</v>
      </c>
      <c r="B2028" t="s">
        <v>180</v>
      </c>
      <c r="C2028" t="s">
        <v>127</v>
      </c>
      <c r="D2028" t="s">
        <v>38</v>
      </c>
      <c r="E2028" t="s">
        <v>159</v>
      </c>
      <c r="F2028" s="1">
        <v>42827</v>
      </c>
      <c r="G2028" s="1">
        <v>42839</v>
      </c>
      <c r="H2028">
        <v>0</v>
      </c>
      <c r="I2028" t="str">
        <f>IF(COUNTIF(Products!$A$2:$A$8,C2028)=0,C2028,"")</f>
        <v/>
      </c>
      <c r="J2028">
        <f>IF(OR(E2028="Prospecting",E2028="Engaging"),VLOOKUP(C2028,Products!$A$2:$C$8,3,FALSE),0)</f>
        <v>0</v>
      </c>
    </row>
    <row r="2029" spans="1:10" x14ac:dyDescent="0.25">
      <c r="A2029" t="s">
        <v>2196</v>
      </c>
      <c r="B2029" t="s">
        <v>191</v>
      </c>
      <c r="C2029" t="s">
        <v>120</v>
      </c>
      <c r="D2029" t="s">
        <v>71</v>
      </c>
      <c r="E2029" t="s">
        <v>159</v>
      </c>
      <c r="F2029" s="1">
        <v>42827</v>
      </c>
      <c r="G2029" s="1">
        <v>42828</v>
      </c>
      <c r="H2029">
        <v>0</v>
      </c>
      <c r="I2029" t="str">
        <f>IF(COUNTIF(Products!$A$2:$A$8,C2029)=0,C2029,"")</f>
        <v/>
      </c>
      <c r="J2029">
        <f>IF(OR(E2029="Prospecting",E2029="Engaging"),VLOOKUP(C2029,Products!$A$2:$C$8,3,FALSE),0)</f>
        <v>0</v>
      </c>
    </row>
    <row r="2030" spans="1:10" x14ac:dyDescent="0.25">
      <c r="A2030" t="s">
        <v>2197</v>
      </c>
      <c r="B2030" t="s">
        <v>191</v>
      </c>
      <c r="C2030" t="s">
        <v>120</v>
      </c>
      <c r="D2030" t="s">
        <v>23</v>
      </c>
      <c r="E2030" t="s">
        <v>138</v>
      </c>
      <c r="F2030" s="1">
        <v>42827</v>
      </c>
      <c r="G2030" s="1">
        <v>42835</v>
      </c>
      <c r="H2030">
        <v>488</v>
      </c>
      <c r="I2030" t="str">
        <f>IF(COUNTIF(Products!$A$2:$A$8,C2030)=0,C2030,"")</f>
        <v/>
      </c>
      <c r="J2030">
        <f>IF(OR(E2030="Prospecting",E2030="Engaging"),VLOOKUP(C2030,Products!$A$2:$C$8,3,FALSE),0)</f>
        <v>0</v>
      </c>
    </row>
    <row r="2031" spans="1:10" x14ac:dyDescent="0.25">
      <c r="A2031" t="s">
        <v>2198</v>
      </c>
      <c r="B2031" t="s">
        <v>191</v>
      </c>
      <c r="C2031" t="s">
        <v>120</v>
      </c>
      <c r="D2031" t="s">
        <v>87</v>
      </c>
      <c r="E2031" t="s">
        <v>138</v>
      </c>
      <c r="F2031" s="1">
        <v>42827</v>
      </c>
      <c r="G2031" s="1">
        <v>42875</v>
      </c>
      <c r="H2031">
        <v>605</v>
      </c>
      <c r="I2031" t="str">
        <f>IF(COUNTIF(Products!$A$2:$A$8,C2031)=0,C2031,"")</f>
        <v/>
      </c>
      <c r="J2031">
        <f>IF(OR(E2031="Prospecting",E2031="Engaging"),VLOOKUP(C2031,Products!$A$2:$C$8,3,FALSE),0)</f>
        <v>0</v>
      </c>
    </row>
    <row r="2032" spans="1:10" x14ac:dyDescent="0.25">
      <c r="A2032" t="s">
        <v>2199</v>
      </c>
      <c r="B2032" t="s">
        <v>150</v>
      </c>
      <c r="C2032" t="s">
        <v>122</v>
      </c>
      <c r="E2032" t="s">
        <v>155</v>
      </c>
      <c r="F2032" s="1">
        <v>42827</v>
      </c>
      <c r="I2032" t="str">
        <f>IF(COUNTIF(Products!$A$2:$A$8,C2032)=0,C2032,"")</f>
        <v/>
      </c>
      <c r="J2032">
        <f>IF(OR(E2032="Prospecting",E2032="Engaging"),VLOOKUP(C2032,Products!$A$2:$C$8,3,FALSE),0)</f>
        <v>4821</v>
      </c>
    </row>
    <row r="2033" spans="1:10" x14ac:dyDescent="0.25">
      <c r="A2033" t="s">
        <v>2200</v>
      </c>
      <c r="B2033" t="s">
        <v>150</v>
      </c>
      <c r="C2033" t="s">
        <v>126</v>
      </c>
      <c r="D2033" t="s">
        <v>107</v>
      </c>
      <c r="E2033" t="s">
        <v>159</v>
      </c>
      <c r="F2033" s="1">
        <v>42827</v>
      </c>
      <c r="G2033" s="1">
        <v>42870</v>
      </c>
      <c r="H2033">
        <v>0</v>
      </c>
      <c r="I2033" t="str">
        <f>IF(COUNTIF(Products!$A$2:$A$8,C2033)=0,C2033,"")</f>
        <v/>
      </c>
      <c r="J2033">
        <f>IF(OR(E2033="Prospecting",E2033="Engaging"),VLOOKUP(C2033,Products!$A$2:$C$8,3,FALSE),0)</f>
        <v>0</v>
      </c>
    </row>
    <row r="2034" spans="1:10" x14ac:dyDescent="0.25">
      <c r="A2034" t="s">
        <v>2201</v>
      </c>
      <c r="B2034" t="s">
        <v>205</v>
      </c>
      <c r="C2034" t="s">
        <v>127</v>
      </c>
      <c r="D2034" t="s">
        <v>46</v>
      </c>
      <c r="E2034" t="s">
        <v>138</v>
      </c>
      <c r="F2034" s="1">
        <v>42827</v>
      </c>
      <c r="G2034" s="1">
        <v>42836</v>
      </c>
      <c r="H2034">
        <v>949</v>
      </c>
      <c r="I2034" t="str">
        <f>IF(COUNTIF(Products!$A$2:$A$8,C2034)=0,C2034,"")</f>
        <v/>
      </c>
      <c r="J2034">
        <f>IF(OR(E2034="Prospecting",E2034="Engaging"),VLOOKUP(C2034,Products!$A$2:$C$8,3,FALSE),0)</f>
        <v>0</v>
      </c>
    </row>
    <row r="2035" spans="1:10" x14ac:dyDescent="0.25">
      <c r="A2035" t="s">
        <v>2202</v>
      </c>
      <c r="B2035" t="s">
        <v>162</v>
      </c>
      <c r="C2035" t="s">
        <v>127</v>
      </c>
      <c r="D2035" t="s">
        <v>39</v>
      </c>
      <c r="E2035" t="s">
        <v>138</v>
      </c>
      <c r="F2035" s="1">
        <v>42827</v>
      </c>
      <c r="G2035" s="1">
        <v>42829</v>
      </c>
      <c r="H2035">
        <v>882</v>
      </c>
      <c r="I2035" t="str">
        <f>IF(COUNTIF(Products!$A$2:$A$8,C2035)=0,C2035,"")</f>
        <v/>
      </c>
      <c r="J2035">
        <f>IF(OR(E2035="Prospecting",E2035="Engaging"),VLOOKUP(C2035,Products!$A$2:$C$8,3,FALSE),0)</f>
        <v>0</v>
      </c>
    </row>
    <row r="2036" spans="1:10" x14ac:dyDescent="0.25">
      <c r="A2036" t="s">
        <v>2203</v>
      </c>
      <c r="B2036" t="s">
        <v>162</v>
      </c>
      <c r="C2036" t="s">
        <v>127</v>
      </c>
      <c r="D2036" t="s">
        <v>56</v>
      </c>
      <c r="E2036" t="s">
        <v>138</v>
      </c>
      <c r="F2036" s="1">
        <v>42827</v>
      </c>
      <c r="G2036" s="1">
        <v>42908</v>
      </c>
      <c r="H2036">
        <v>1096</v>
      </c>
      <c r="I2036" t="str">
        <f>IF(COUNTIF(Products!$A$2:$A$8,C2036)=0,C2036,"")</f>
        <v/>
      </c>
      <c r="J2036">
        <f>IF(OR(E2036="Prospecting",E2036="Engaging"),VLOOKUP(C2036,Products!$A$2:$C$8,3,FALSE),0)</f>
        <v>0</v>
      </c>
    </row>
    <row r="2037" spans="1:10" x14ac:dyDescent="0.25">
      <c r="A2037" t="s">
        <v>2204</v>
      </c>
      <c r="B2037" t="s">
        <v>193</v>
      </c>
      <c r="C2037" t="s">
        <v>120</v>
      </c>
      <c r="D2037" t="s">
        <v>37</v>
      </c>
      <c r="E2037" t="s">
        <v>159</v>
      </c>
      <c r="F2037" s="1">
        <v>42827</v>
      </c>
      <c r="G2037" s="1">
        <v>42835</v>
      </c>
      <c r="H2037">
        <v>0</v>
      </c>
      <c r="I2037" t="str">
        <f>IF(COUNTIF(Products!$A$2:$A$8,C2037)=0,C2037,"")</f>
        <v/>
      </c>
      <c r="J2037">
        <f>IF(OR(E2037="Prospecting",E2037="Engaging"),VLOOKUP(C2037,Products!$A$2:$C$8,3,FALSE),0)</f>
        <v>0</v>
      </c>
    </row>
    <row r="2038" spans="1:10" x14ac:dyDescent="0.25">
      <c r="A2038" t="s">
        <v>2205</v>
      </c>
      <c r="B2038" t="s">
        <v>193</v>
      </c>
      <c r="C2038" t="s">
        <v>120</v>
      </c>
      <c r="D2038" t="s">
        <v>37</v>
      </c>
      <c r="E2038" t="s">
        <v>138</v>
      </c>
      <c r="F2038" s="1">
        <v>42827</v>
      </c>
      <c r="G2038" s="1">
        <v>42951</v>
      </c>
      <c r="H2038">
        <v>572</v>
      </c>
      <c r="I2038" t="str">
        <f>IF(COUNTIF(Products!$A$2:$A$8,C2038)=0,C2038,"")</f>
        <v/>
      </c>
      <c r="J2038">
        <f>IF(OR(E2038="Prospecting",E2038="Engaging"),VLOOKUP(C2038,Products!$A$2:$C$8,3,FALSE),0)</f>
        <v>0</v>
      </c>
    </row>
    <row r="2039" spans="1:10" x14ac:dyDescent="0.25">
      <c r="A2039" t="s">
        <v>2206</v>
      </c>
      <c r="B2039" t="s">
        <v>187</v>
      </c>
      <c r="C2039" t="s">
        <v>125</v>
      </c>
      <c r="D2039" t="s">
        <v>19</v>
      </c>
      <c r="E2039" t="s">
        <v>159</v>
      </c>
      <c r="F2039" s="1">
        <v>42827</v>
      </c>
      <c r="G2039" s="1">
        <v>42832</v>
      </c>
      <c r="H2039">
        <v>0</v>
      </c>
      <c r="I2039" t="str">
        <f>IF(COUNTIF(Products!$A$2:$A$8,C2039)=0,C2039,"")</f>
        <v/>
      </c>
      <c r="J2039">
        <f>IF(OR(E2039="Prospecting",E2039="Engaging"),VLOOKUP(C2039,Products!$A$2:$C$8,3,FALSE),0)</f>
        <v>0</v>
      </c>
    </row>
    <row r="2040" spans="1:10" x14ac:dyDescent="0.25">
      <c r="A2040" t="s">
        <v>2207</v>
      </c>
      <c r="B2040" t="s">
        <v>187</v>
      </c>
      <c r="C2040" t="s">
        <v>122</v>
      </c>
      <c r="D2040" t="s">
        <v>68</v>
      </c>
      <c r="E2040" t="s">
        <v>138</v>
      </c>
      <c r="F2040" s="1">
        <v>42827</v>
      </c>
      <c r="G2040" s="1">
        <v>42837</v>
      </c>
      <c r="H2040">
        <v>3731</v>
      </c>
      <c r="I2040" t="str">
        <f>IF(COUNTIF(Products!$A$2:$A$8,C2040)=0,C2040,"")</f>
        <v/>
      </c>
      <c r="J2040">
        <f>IF(OR(E2040="Prospecting",E2040="Engaging"),VLOOKUP(C2040,Products!$A$2:$C$8,3,FALSE),0)</f>
        <v>0</v>
      </c>
    </row>
    <row r="2041" spans="1:10" x14ac:dyDescent="0.25">
      <c r="A2041" t="s">
        <v>2208</v>
      </c>
      <c r="B2041" t="s">
        <v>169</v>
      </c>
      <c r="C2041" t="s">
        <v>123</v>
      </c>
      <c r="D2041" t="s">
        <v>70</v>
      </c>
      <c r="E2041" t="s">
        <v>159</v>
      </c>
      <c r="F2041" s="1">
        <v>42827</v>
      </c>
      <c r="G2041" s="1">
        <v>42837</v>
      </c>
      <c r="H2041">
        <v>0</v>
      </c>
      <c r="I2041" t="str">
        <f>IF(COUNTIF(Products!$A$2:$A$8,C2041)=0,C2041,"")</f>
        <v/>
      </c>
      <c r="J2041">
        <f>IF(OR(E2041="Prospecting",E2041="Engaging"),VLOOKUP(C2041,Products!$A$2:$C$8,3,FALSE),0)</f>
        <v>0</v>
      </c>
    </row>
    <row r="2042" spans="1:10" x14ac:dyDescent="0.25">
      <c r="A2042" t="s">
        <v>2209</v>
      </c>
      <c r="B2042" t="s">
        <v>144</v>
      </c>
      <c r="C2042" t="s">
        <v>127</v>
      </c>
      <c r="D2042" t="s">
        <v>61</v>
      </c>
      <c r="E2042" t="s">
        <v>138</v>
      </c>
      <c r="F2042" s="1">
        <v>42827</v>
      </c>
      <c r="G2042" s="1">
        <v>42899</v>
      </c>
      <c r="H2042">
        <v>1214</v>
      </c>
      <c r="I2042" t="str">
        <f>IF(COUNTIF(Products!$A$2:$A$8,C2042)=0,C2042,"")</f>
        <v/>
      </c>
      <c r="J2042">
        <f>IF(OR(E2042="Prospecting",E2042="Engaging"),VLOOKUP(C2042,Products!$A$2:$C$8,3,FALSE),0)</f>
        <v>0</v>
      </c>
    </row>
    <row r="2043" spans="1:10" x14ac:dyDescent="0.25">
      <c r="A2043" t="s">
        <v>2210</v>
      </c>
      <c r="B2043" t="s">
        <v>144</v>
      </c>
      <c r="C2043" t="s">
        <v>122</v>
      </c>
      <c r="D2043" t="s">
        <v>100</v>
      </c>
      <c r="E2043" t="s">
        <v>138</v>
      </c>
      <c r="F2043" s="1">
        <v>42827</v>
      </c>
      <c r="G2043" s="1">
        <v>42828</v>
      </c>
      <c r="H2043">
        <v>4444</v>
      </c>
      <c r="I2043" t="str">
        <f>IF(COUNTIF(Products!$A$2:$A$8,C2043)=0,C2043,"")</f>
        <v/>
      </c>
      <c r="J2043">
        <f>IF(OR(E2043="Prospecting",E2043="Engaging"),VLOOKUP(C2043,Products!$A$2:$C$8,3,FALSE),0)</f>
        <v>0</v>
      </c>
    </row>
    <row r="2044" spans="1:10" x14ac:dyDescent="0.25">
      <c r="A2044" t="s">
        <v>2211</v>
      </c>
      <c r="B2044" t="s">
        <v>146</v>
      </c>
      <c r="C2044" t="s">
        <v>120</v>
      </c>
      <c r="D2044" t="s">
        <v>85</v>
      </c>
      <c r="E2044" t="s">
        <v>138</v>
      </c>
      <c r="F2044" s="1">
        <v>42828</v>
      </c>
      <c r="G2044" s="1">
        <v>42913</v>
      </c>
      <c r="H2044">
        <v>524</v>
      </c>
      <c r="I2044" t="str">
        <f>IF(COUNTIF(Products!$A$2:$A$8,C2044)=0,C2044,"")</f>
        <v/>
      </c>
      <c r="J2044">
        <f>IF(OR(E2044="Prospecting",E2044="Engaging"),VLOOKUP(C2044,Products!$A$2:$C$8,3,FALSE),0)</f>
        <v>0</v>
      </c>
    </row>
    <row r="2045" spans="1:10" x14ac:dyDescent="0.25">
      <c r="A2045" t="s">
        <v>2212</v>
      </c>
      <c r="B2045" t="s">
        <v>207</v>
      </c>
      <c r="C2045" t="s">
        <v>127</v>
      </c>
      <c r="E2045" t="s">
        <v>155</v>
      </c>
      <c r="F2045" s="1">
        <v>42828</v>
      </c>
      <c r="I2045" t="str">
        <f>IF(COUNTIF(Products!$A$2:$A$8,C2045)=0,C2045,"")</f>
        <v/>
      </c>
      <c r="J2045">
        <f>IF(OR(E2045="Prospecting",E2045="Engaging"),VLOOKUP(C2045,Products!$A$2:$C$8,3,FALSE),0)</f>
        <v>1096</v>
      </c>
    </row>
    <row r="2046" spans="1:10" x14ac:dyDescent="0.25">
      <c r="A2046" t="s">
        <v>2213</v>
      </c>
      <c r="B2046" t="s">
        <v>207</v>
      </c>
      <c r="C2046" t="s">
        <v>126</v>
      </c>
      <c r="E2046" t="s">
        <v>155</v>
      </c>
      <c r="F2046" s="1">
        <v>42828</v>
      </c>
      <c r="I2046" t="str">
        <f>IF(COUNTIF(Products!$A$2:$A$8,C2046)=0,C2046,"")</f>
        <v/>
      </c>
      <c r="J2046">
        <f>IF(OR(E2046="Prospecting",E2046="Engaging"),VLOOKUP(C2046,Products!$A$2:$C$8,3,FALSE),0)</f>
        <v>5482</v>
      </c>
    </row>
    <row r="2047" spans="1:10" x14ac:dyDescent="0.25">
      <c r="A2047" t="s">
        <v>2214</v>
      </c>
      <c r="B2047" t="s">
        <v>207</v>
      </c>
      <c r="C2047" t="s">
        <v>127</v>
      </c>
      <c r="D2047" t="s">
        <v>20</v>
      </c>
      <c r="E2047" t="s">
        <v>138</v>
      </c>
      <c r="F2047" s="1">
        <v>42828</v>
      </c>
      <c r="G2047" s="1">
        <v>42875</v>
      </c>
      <c r="H2047">
        <v>997</v>
      </c>
      <c r="I2047" t="str">
        <f>IF(COUNTIF(Products!$A$2:$A$8,C2047)=0,C2047,"")</f>
        <v/>
      </c>
      <c r="J2047">
        <f>IF(OR(E2047="Prospecting",E2047="Engaging"),VLOOKUP(C2047,Products!$A$2:$C$8,3,FALSE),0)</f>
        <v>0</v>
      </c>
    </row>
    <row r="2048" spans="1:10" x14ac:dyDescent="0.25">
      <c r="A2048" t="s">
        <v>2215</v>
      </c>
      <c r="B2048" t="s">
        <v>239</v>
      </c>
      <c r="C2048" t="s">
        <v>125</v>
      </c>
      <c r="D2048" t="s">
        <v>10</v>
      </c>
      <c r="E2048" t="s">
        <v>138</v>
      </c>
      <c r="F2048" s="1">
        <v>42828</v>
      </c>
      <c r="G2048" s="1">
        <v>42835</v>
      </c>
      <c r="H2048">
        <v>2794</v>
      </c>
      <c r="I2048" t="str">
        <f>IF(COUNTIF(Products!$A$2:$A$8,C2048)=0,C2048,"")</f>
        <v/>
      </c>
      <c r="J2048">
        <f>IF(OR(E2048="Prospecting",E2048="Engaging"),VLOOKUP(C2048,Products!$A$2:$C$8,3,FALSE),0)</f>
        <v>0</v>
      </c>
    </row>
    <row r="2049" spans="1:10" x14ac:dyDescent="0.25">
      <c r="A2049" t="s">
        <v>2216</v>
      </c>
      <c r="B2049" t="s">
        <v>140</v>
      </c>
      <c r="C2049" t="s">
        <v>123</v>
      </c>
      <c r="D2049" t="s">
        <v>85</v>
      </c>
      <c r="E2049" t="s">
        <v>138</v>
      </c>
      <c r="F2049" s="1">
        <v>42828</v>
      </c>
      <c r="G2049" s="1">
        <v>42834</v>
      </c>
      <c r="H2049">
        <v>53</v>
      </c>
      <c r="I2049" t="str">
        <f>IF(COUNTIF(Products!$A$2:$A$8,C2049)=0,C2049,"")</f>
        <v/>
      </c>
      <c r="J2049">
        <f>IF(OR(E2049="Prospecting",E2049="Engaging"),VLOOKUP(C2049,Products!$A$2:$C$8,3,FALSE),0)</f>
        <v>0</v>
      </c>
    </row>
    <row r="2050" spans="1:10" x14ac:dyDescent="0.25">
      <c r="A2050" t="s">
        <v>2217</v>
      </c>
      <c r="B2050" t="s">
        <v>140</v>
      </c>
      <c r="C2050" t="s">
        <v>125</v>
      </c>
      <c r="D2050" t="s">
        <v>53</v>
      </c>
      <c r="E2050" t="s">
        <v>138</v>
      </c>
      <c r="F2050" s="1">
        <v>42828</v>
      </c>
      <c r="G2050" s="1">
        <v>42838</v>
      </c>
      <c r="H2050">
        <v>3141</v>
      </c>
      <c r="I2050" t="str">
        <f>IF(COUNTIF(Products!$A$2:$A$8,C2050)=0,C2050,"")</f>
        <v/>
      </c>
      <c r="J2050">
        <f>IF(OR(E2050="Prospecting",E2050="Engaging"),VLOOKUP(C2050,Products!$A$2:$C$8,3,FALSE),0)</f>
        <v>0</v>
      </c>
    </row>
    <row r="2051" spans="1:10" x14ac:dyDescent="0.25">
      <c r="A2051" t="s">
        <v>2218</v>
      </c>
      <c r="B2051" t="s">
        <v>224</v>
      </c>
      <c r="C2051" t="s">
        <v>123</v>
      </c>
      <c r="D2051" t="s">
        <v>92</v>
      </c>
      <c r="E2051" t="s">
        <v>159</v>
      </c>
      <c r="F2051" s="1">
        <v>42828</v>
      </c>
      <c r="G2051" s="1">
        <v>42840</v>
      </c>
      <c r="H2051">
        <v>0</v>
      </c>
      <c r="I2051" t="str">
        <f>IF(COUNTIF(Products!$A$2:$A$8,C2051)=0,C2051,"")</f>
        <v/>
      </c>
      <c r="J2051">
        <f>IF(OR(E2051="Prospecting",E2051="Engaging"),VLOOKUP(C2051,Products!$A$2:$C$8,3,FALSE),0)</f>
        <v>0</v>
      </c>
    </row>
    <row r="2052" spans="1:10" x14ac:dyDescent="0.25">
      <c r="A2052" t="s">
        <v>2219</v>
      </c>
      <c r="B2052" t="s">
        <v>224</v>
      </c>
      <c r="C2052" t="s">
        <v>127</v>
      </c>
      <c r="D2052" t="s">
        <v>16</v>
      </c>
      <c r="E2052" t="s">
        <v>138</v>
      </c>
      <c r="F2052" s="1">
        <v>42828</v>
      </c>
      <c r="G2052" s="1">
        <v>42912</v>
      </c>
      <c r="H2052">
        <v>1109</v>
      </c>
      <c r="I2052" t="str">
        <f>IF(COUNTIF(Products!$A$2:$A$8,C2052)=0,C2052,"")</f>
        <v/>
      </c>
      <c r="J2052">
        <f>IF(OR(E2052="Prospecting",E2052="Engaging"),VLOOKUP(C2052,Products!$A$2:$C$8,3,FALSE),0)</f>
        <v>0</v>
      </c>
    </row>
    <row r="2053" spans="1:10" x14ac:dyDescent="0.25">
      <c r="A2053" t="s">
        <v>2220</v>
      </c>
      <c r="B2053" t="s">
        <v>224</v>
      </c>
      <c r="C2053" t="s">
        <v>126</v>
      </c>
      <c r="D2053" t="s">
        <v>65</v>
      </c>
      <c r="E2053" t="s">
        <v>138</v>
      </c>
      <c r="F2053" s="1">
        <v>42828</v>
      </c>
      <c r="G2053" s="1">
        <v>42839</v>
      </c>
      <c r="H2053">
        <v>5691</v>
      </c>
      <c r="I2053" t="str">
        <f>IF(COUNTIF(Products!$A$2:$A$8,C2053)=0,C2053,"")</f>
        <v/>
      </c>
      <c r="J2053">
        <f>IF(OR(E2053="Prospecting",E2053="Engaging"),VLOOKUP(C2053,Products!$A$2:$C$8,3,FALSE),0)</f>
        <v>0</v>
      </c>
    </row>
    <row r="2054" spans="1:10" x14ac:dyDescent="0.25">
      <c r="A2054" t="s">
        <v>2221</v>
      </c>
      <c r="B2054" t="s">
        <v>173</v>
      </c>
      <c r="C2054" t="s">
        <v>122</v>
      </c>
      <c r="E2054" t="s">
        <v>155</v>
      </c>
      <c r="F2054" s="1">
        <v>42828</v>
      </c>
      <c r="I2054" t="str">
        <f>IF(COUNTIF(Products!$A$2:$A$8,C2054)=0,C2054,"")</f>
        <v/>
      </c>
      <c r="J2054">
        <f>IF(OR(E2054="Prospecting",E2054="Engaging"),VLOOKUP(C2054,Products!$A$2:$C$8,3,FALSE),0)</f>
        <v>4821</v>
      </c>
    </row>
    <row r="2055" spans="1:10" x14ac:dyDescent="0.25">
      <c r="A2055" t="s">
        <v>2222</v>
      </c>
      <c r="B2055" t="s">
        <v>173</v>
      </c>
      <c r="C2055" t="s">
        <v>123</v>
      </c>
      <c r="D2055" t="s">
        <v>75</v>
      </c>
      <c r="E2055" t="s">
        <v>138</v>
      </c>
      <c r="F2055" s="1">
        <v>42828</v>
      </c>
      <c r="G2055" s="1">
        <v>42832</v>
      </c>
      <c r="H2055">
        <v>52</v>
      </c>
      <c r="I2055" t="str">
        <f>IF(COUNTIF(Products!$A$2:$A$8,C2055)=0,C2055,"")</f>
        <v/>
      </c>
      <c r="J2055">
        <f>IF(OR(E2055="Prospecting",E2055="Engaging"),VLOOKUP(C2055,Products!$A$2:$C$8,3,FALSE),0)</f>
        <v>0</v>
      </c>
    </row>
    <row r="2056" spans="1:10" x14ac:dyDescent="0.25">
      <c r="A2056" t="s">
        <v>2223</v>
      </c>
      <c r="B2056" t="s">
        <v>158</v>
      </c>
      <c r="C2056" t="s">
        <v>123</v>
      </c>
      <c r="D2056" t="s">
        <v>61</v>
      </c>
      <c r="E2056" t="s">
        <v>159</v>
      </c>
      <c r="F2056" s="1">
        <v>42828</v>
      </c>
      <c r="G2056" s="1">
        <v>42835</v>
      </c>
      <c r="H2056">
        <v>0</v>
      </c>
      <c r="I2056" t="str">
        <f>IF(COUNTIF(Products!$A$2:$A$8,C2056)=0,C2056,"")</f>
        <v/>
      </c>
      <c r="J2056">
        <f>IF(OR(E2056="Prospecting",E2056="Engaging"),VLOOKUP(C2056,Products!$A$2:$C$8,3,FALSE),0)</f>
        <v>0</v>
      </c>
    </row>
    <row r="2057" spans="1:10" x14ac:dyDescent="0.25">
      <c r="A2057" t="s">
        <v>2224</v>
      </c>
      <c r="B2057" t="s">
        <v>158</v>
      </c>
      <c r="C2057" t="s">
        <v>120</v>
      </c>
      <c r="D2057" t="s">
        <v>12</v>
      </c>
      <c r="E2057" t="s">
        <v>138</v>
      </c>
      <c r="F2057" s="1">
        <v>42828</v>
      </c>
      <c r="G2057" s="1">
        <v>42830</v>
      </c>
      <c r="H2057">
        <v>532</v>
      </c>
      <c r="I2057" t="str">
        <f>IF(COUNTIF(Products!$A$2:$A$8,C2057)=0,C2057,"")</f>
        <v/>
      </c>
      <c r="J2057">
        <f>IF(OR(E2057="Prospecting",E2057="Engaging"),VLOOKUP(C2057,Products!$A$2:$C$8,3,FALSE),0)</f>
        <v>0</v>
      </c>
    </row>
    <row r="2058" spans="1:10" x14ac:dyDescent="0.25">
      <c r="A2058" t="s">
        <v>2225</v>
      </c>
      <c r="B2058" t="s">
        <v>158</v>
      </c>
      <c r="C2058" t="s">
        <v>122</v>
      </c>
      <c r="D2058" t="s">
        <v>64</v>
      </c>
      <c r="E2058" t="s">
        <v>138</v>
      </c>
      <c r="F2058" s="1">
        <v>42828</v>
      </c>
      <c r="G2058" s="1">
        <v>42829</v>
      </c>
      <c r="H2058">
        <v>5615</v>
      </c>
      <c r="I2058" t="str">
        <f>IF(COUNTIF(Products!$A$2:$A$8,C2058)=0,C2058,"")</f>
        <v/>
      </c>
      <c r="J2058">
        <f>IF(OR(E2058="Prospecting",E2058="Engaging"),VLOOKUP(C2058,Products!$A$2:$C$8,3,FALSE),0)</f>
        <v>0</v>
      </c>
    </row>
    <row r="2059" spans="1:10" x14ac:dyDescent="0.25">
      <c r="A2059" t="s">
        <v>2226</v>
      </c>
      <c r="B2059" t="s">
        <v>164</v>
      </c>
      <c r="C2059" t="s">
        <v>127</v>
      </c>
      <c r="E2059" t="s">
        <v>155</v>
      </c>
      <c r="F2059" s="1">
        <v>42828</v>
      </c>
      <c r="I2059" t="str">
        <f>IF(COUNTIF(Products!$A$2:$A$8,C2059)=0,C2059,"")</f>
        <v/>
      </c>
      <c r="J2059">
        <f>IF(OR(E2059="Prospecting",E2059="Engaging"),VLOOKUP(C2059,Products!$A$2:$C$8,3,FALSE),0)</f>
        <v>1096</v>
      </c>
    </row>
    <row r="2060" spans="1:10" x14ac:dyDescent="0.25">
      <c r="A2060" t="s">
        <v>2227</v>
      </c>
      <c r="B2060" t="s">
        <v>154</v>
      </c>
      <c r="C2060" t="s">
        <v>120</v>
      </c>
      <c r="D2060" t="s">
        <v>56</v>
      </c>
      <c r="E2060" t="s">
        <v>159</v>
      </c>
      <c r="F2060" s="1">
        <v>42828</v>
      </c>
      <c r="G2060" s="1">
        <v>42829</v>
      </c>
      <c r="H2060">
        <v>0</v>
      </c>
      <c r="I2060" t="str">
        <f>IF(COUNTIF(Products!$A$2:$A$8,C2060)=0,C2060,"")</f>
        <v/>
      </c>
      <c r="J2060">
        <f>IF(OR(E2060="Prospecting",E2060="Engaging"),VLOOKUP(C2060,Products!$A$2:$C$8,3,FALSE),0)</f>
        <v>0</v>
      </c>
    </row>
    <row r="2061" spans="1:10" x14ac:dyDescent="0.25">
      <c r="A2061" t="s">
        <v>2228</v>
      </c>
      <c r="B2061" t="s">
        <v>180</v>
      </c>
      <c r="C2061" t="s">
        <v>122</v>
      </c>
      <c r="D2061" t="s">
        <v>39</v>
      </c>
      <c r="E2061" t="s">
        <v>159</v>
      </c>
      <c r="F2061" s="1">
        <v>42828</v>
      </c>
      <c r="G2061" s="1">
        <v>42881</v>
      </c>
      <c r="H2061">
        <v>0</v>
      </c>
      <c r="I2061" t="str">
        <f>IF(COUNTIF(Products!$A$2:$A$8,C2061)=0,C2061,"")</f>
        <v/>
      </c>
      <c r="J2061">
        <f>IF(OR(E2061="Prospecting",E2061="Engaging"),VLOOKUP(C2061,Products!$A$2:$C$8,3,FALSE),0)</f>
        <v>0</v>
      </c>
    </row>
    <row r="2062" spans="1:10" x14ac:dyDescent="0.25">
      <c r="A2062" t="s">
        <v>2229</v>
      </c>
      <c r="B2062" t="s">
        <v>180</v>
      </c>
      <c r="C2062" t="s">
        <v>120</v>
      </c>
      <c r="D2062" t="s">
        <v>66</v>
      </c>
      <c r="E2062" t="s">
        <v>138</v>
      </c>
      <c r="F2062" s="1">
        <v>42828</v>
      </c>
      <c r="G2062" s="1">
        <v>42837</v>
      </c>
      <c r="H2062">
        <v>565</v>
      </c>
      <c r="I2062" t="str">
        <f>IF(COUNTIF(Products!$A$2:$A$8,C2062)=0,C2062,"")</f>
        <v/>
      </c>
      <c r="J2062">
        <f>IF(OR(E2062="Prospecting",E2062="Engaging"),VLOOKUP(C2062,Products!$A$2:$C$8,3,FALSE),0)</f>
        <v>0</v>
      </c>
    </row>
    <row r="2063" spans="1:10" x14ac:dyDescent="0.25">
      <c r="A2063" t="s">
        <v>2230</v>
      </c>
      <c r="B2063" t="s">
        <v>217</v>
      </c>
      <c r="C2063" t="s">
        <v>120</v>
      </c>
      <c r="D2063" t="s">
        <v>88</v>
      </c>
      <c r="E2063" t="s">
        <v>159</v>
      </c>
      <c r="F2063" s="1">
        <v>42828</v>
      </c>
      <c r="G2063" s="1">
        <v>42836</v>
      </c>
      <c r="H2063">
        <v>0</v>
      </c>
      <c r="I2063" t="str">
        <f>IF(COUNTIF(Products!$A$2:$A$8,C2063)=0,C2063,"")</f>
        <v/>
      </c>
      <c r="J2063">
        <f>IF(OR(E2063="Prospecting",E2063="Engaging"),VLOOKUP(C2063,Products!$A$2:$C$8,3,FALSE),0)</f>
        <v>0</v>
      </c>
    </row>
    <row r="2064" spans="1:10" x14ac:dyDescent="0.25">
      <c r="A2064" t="s">
        <v>2231</v>
      </c>
      <c r="B2064" t="s">
        <v>150</v>
      </c>
      <c r="C2064" t="s">
        <v>120</v>
      </c>
      <c r="D2064" t="s">
        <v>57</v>
      </c>
      <c r="E2064" t="s">
        <v>155</v>
      </c>
      <c r="F2064" s="1">
        <v>42828</v>
      </c>
      <c r="I2064" t="str">
        <f>IF(COUNTIF(Products!$A$2:$A$8,C2064)=0,C2064,"")</f>
        <v/>
      </c>
      <c r="J2064">
        <f>IF(OR(E2064="Prospecting",E2064="Engaging"),VLOOKUP(C2064,Products!$A$2:$C$8,3,FALSE),0)</f>
        <v>550</v>
      </c>
    </row>
    <row r="2065" spans="1:10" x14ac:dyDescent="0.25">
      <c r="A2065" t="s">
        <v>2232</v>
      </c>
      <c r="B2065" t="s">
        <v>150</v>
      </c>
      <c r="C2065" t="s">
        <v>120</v>
      </c>
      <c r="D2065" t="s">
        <v>65</v>
      </c>
      <c r="E2065" t="s">
        <v>155</v>
      </c>
      <c r="F2065" s="1">
        <v>42828</v>
      </c>
      <c r="I2065" t="str">
        <f>IF(COUNTIF(Products!$A$2:$A$8,C2065)=0,C2065,"")</f>
        <v/>
      </c>
      <c r="J2065">
        <f>IF(OR(E2065="Prospecting",E2065="Engaging"),VLOOKUP(C2065,Products!$A$2:$C$8,3,FALSE),0)</f>
        <v>550</v>
      </c>
    </row>
    <row r="2066" spans="1:10" x14ac:dyDescent="0.25">
      <c r="A2066" t="s">
        <v>2233</v>
      </c>
      <c r="B2066" t="s">
        <v>193</v>
      </c>
      <c r="C2066" t="s">
        <v>122</v>
      </c>
      <c r="D2066" t="s">
        <v>50</v>
      </c>
      <c r="E2066" t="s">
        <v>159</v>
      </c>
      <c r="F2066" s="1">
        <v>42828</v>
      </c>
      <c r="G2066" s="1">
        <v>42830</v>
      </c>
      <c r="H2066">
        <v>0</v>
      </c>
      <c r="I2066" t="str">
        <f>IF(COUNTIF(Products!$A$2:$A$8,C2066)=0,C2066,"")</f>
        <v/>
      </c>
      <c r="J2066">
        <f>IF(OR(E2066="Prospecting",E2066="Engaging"),VLOOKUP(C2066,Products!$A$2:$C$8,3,FALSE),0)</f>
        <v>0</v>
      </c>
    </row>
    <row r="2067" spans="1:10" x14ac:dyDescent="0.25">
      <c r="A2067" t="s">
        <v>2234</v>
      </c>
      <c r="B2067" t="s">
        <v>193</v>
      </c>
      <c r="C2067" t="s">
        <v>122</v>
      </c>
      <c r="D2067" t="s">
        <v>110</v>
      </c>
      <c r="E2067" t="s">
        <v>138</v>
      </c>
      <c r="F2067" s="1">
        <v>42828</v>
      </c>
      <c r="G2067" s="1">
        <v>42839</v>
      </c>
      <c r="H2067">
        <v>3991</v>
      </c>
      <c r="I2067" t="str">
        <f>IF(COUNTIF(Products!$A$2:$A$8,C2067)=0,C2067,"")</f>
        <v/>
      </c>
      <c r="J2067">
        <f>IF(OR(E2067="Prospecting",E2067="Engaging"),VLOOKUP(C2067,Products!$A$2:$C$8,3,FALSE),0)</f>
        <v>0</v>
      </c>
    </row>
    <row r="2068" spans="1:10" x14ac:dyDescent="0.25">
      <c r="A2068" t="s">
        <v>2235</v>
      </c>
      <c r="B2068" t="s">
        <v>187</v>
      </c>
      <c r="C2068" t="s">
        <v>122</v>
      </c>
      <c r="D2068" t="s">
        <v>68</v>
      </c>
      <c r="E2068" t="s">
        <v>138</v>
      </c>
      <c r="F2068" s="1">
        <v>42828</v>
      </c>
      <c r="G2068" s="1">
        <v>42875</v>
      </c>
      <c r="H2068">
        <v>5763</v>
      </c>
      <c r="I2068" t="str">
        <f>IF(COUNTIF(Products!$A$2:$A$8,C2068)=0,C2068,"")</f>
        <v/>
      </c>
      <c r="J2068">
        <f>IF(OR(E2068="Prospecting",E2068="Engaging"),VLOOKUP(C2068,Products!$A$2:$C$8,3,FALSE),0)</f>
        <v>0</v>
      </c>
    </row>
    <row r="2069" spans="1:10" x14ac:dyDescent="0.25">
      <c r="A2069" t="s">
        <v>2236</v>
      </c>
      <c r="B2069" t="s">
        <v>169</v>
      </c>
      <c r="C2069" t="s">
        <v>123</v>
      </c>
      <c r="D2069" t="s">
        <v>28</v>
      </c>
      <c r="E2069" t="s">
        <v>159</v>
      </c>
      <c r="F2069" s="1">
        <v>42828</v>
      </c>
      <c r="G2069" s="1">
        <v>42839</v>
      </c>
      <c r="H2069">
        <v>0</v>
      </c>
      <c r="I2069" t="str">
        <f>IF(COUNTIF(Products!$A$2:$A$8,C2069)=0,C2069,"")</f>
        <v/>
      </c>
      <c r="J2069">
        <f>IF(OR(E2069="Prospecting",E2069="Engaging"),VLOOKUP(C2069,Products!$A$2:$C$8,3,FALSE),0)</f>
        <v>0</v>
      </c>
    </row>
    <row r="2070" spans="1:10" x14ac:dyDescent="0.25">
      <c r="A2070" t="s">
        <v>2237</v>
      </c>
      <c r="B2070" t="s">
        <v>148</v>
      </c>
      <c r="C2070" t="s">
        <v>123</v>
      </c>
      <c r="E2070" t="s">
        <v>155</v>
      </c>
      <c r="F2070" s="1">
        <v>42828</v>
      </c>
      <c r="I2070" t="str">
        <f>IF(COUNTIF(Products!$A$2:$A$8,C2070)=0,C2070,"")</f>
        <v/>
      </c>
      <c r="J2070">
        <f>IF(OR(E2070="Prospecting",E2070="Engaging"),VLOOKUP(C2070,Products!$A$2:$C$8,3,FALSE),0)</f>
        <v>55</v>
      </c>
    </row>
    <row r="2071" spans="1:10" x14ac:dyDescent="0.25">
      <c r="A2071" t="s">
        <v>2238</v>
      </c>
      <c r="B2071" t="s">
        <v>148</v>
      </c>
      <c r="C2071" t="s">
        <v>125</v>
      </c>
      <c r="D2071" t="s">
        <v>23</v>
      </c>
      <c r="E2071" t="s">
        <v>159</v>
      </c>
      <c r="F2071" s="1">
        <v>42828</v>
      </c>
      <c r="G2071" s="1">
        <v>42836</v>
      </c>
      <c r="H2071">
        <v>0</v>
      </c>
      <c r="I2071" t="str">
        <f>IF(COUNTIF(Products!$A$2:$A$8,C2071)=0,C2071,"")</f>
        <v/>
      </c>
      <c r="J2071">
        <f>IF(OR(E2071="Prospecting",E2071="Engaging"),VLOOKUP(C2071,Products!$A$2:$C$8,3,FALSE),0)</f>
        <v>0</v>
      </c>
    </row>
    <row r="2072" spans="1:10" x14ac:dyDescent="0.25">
      <c r="A2072" t="s">
        <v>2239</v>
      </c>
      <c r="B2072" t="s">
        <v>148</v>
      </c>
      <c r="C2072" t="s">
        <v>120</v>
      </c>
      <c r="D2072" t="s">
        <v>66</v>
      </c>
      <c r="E2072" t="s">
        <v>138</v>
      </c>
      <c r="F2072" s="1">
        <v>42828</v>
      </c>
      <c r="G2072" s="1">
        <v>42840</v>
      </c>
      <c r="H2072">
        <v>456</v>
      </c>
      <c r="I2072" t="str">
        <f>IF(COUNTIF(Products!$A$2:$A$8,C2072)=0,C2072,"")</f>
        <v/>
      </c>
      <c r="J2072">
        <f>IF(OR(E2072="Prospecting",E2072="Engaging"),VLOOKUP(C2072,Products!$A$2:$C$8,3,FALSE),0)</f>
        <v>0</v>
      </c>
    </row>
    <row r="2073" spans="1:10" x14ac:dyDescent="0.25">
      <c r="A2073" t="s">
        <v>2240</v>
      </c>
      <c r="B2073" t="s">
        <v>196</v>
      </c>
      <c r="C2073" t="s">
        <v>123</v>
      </c>
      <c r="E2073" t="s">
        <v>155</v>
      </c>
      <c r="F2073" s="1">
        <v>42828</v>
      </c>
      <c r="I2073" t="str">
        <f>IF(COUNTIF(Products!$A$2:$A$8,C2073)=0,C2073,"")</f>
        <v/>
      </c>
      <c r="J2073">
        <f>IF(OR(E2073="Prospecting",E2073="Engaging"),VLOOKUP(C2073,Products!$A$2:$C$8,3,FALSE),0)</f>
        <v>55</v>
      </c>
    </row>
    <row r="2074" spans="1:10" x14ac:dyDescent="0.25">
      <c r="A2074" t="s">
        <v>2241</v>
      </c>
      <c r="B2074" t="s">
        <v>196</v>
      </c>
      <c r="C2074" t="s">
        <v>123</v>
      </c>
      <c r="D2074" t="s">
        <v>19</v>
      </c>
      <c r="E2074" t="s">
        <v>159</v>
      </c>
      <c r="F2074" s="1">
        <v>42828</v>
      </c>
      <c r="G2074" s="1">
        <v>42830</v>
      </c>
      <c r="H2074">
        <v>0</v>
      </c>
      <c r="I2074" t="str">
        <f>IF(COUNTIF(Products!$A$2:$A$8,C2074)=0,C2074,"")</f>
        <v/>
      </c>
      <c r="J2074">
        <f>IF(OR(E2074="Prospecting",E2074="Engaging"),VLOOKUP(C2074,Products!$A$2:$C$8,3,FALSE),0)</f>
        <v>0</v>
      </c>
    </row>
    <row r="2075" spans="1:10" x14ac:dyDescent="0.25">
      <c r="A2075" t="s">
        <v>2242</v>
      </c>
      <c r="B2075" t="s">
        <v>146</v>
      </c>
      <c r="C2075" t="s">
        <v>120</v>
      </c>
      <c r="D2075" t="s">
        <v>33</v>
      </c>
      <c r="E2075" t="s">
        <v>138</v>
      </c>
      <c r="F2075" s="1">
        <v>42829</v>
      </c>
      <c r="G2075" s="1">
        <v>42836</v>
      </c>
      <c r="H2075">
        <v>582</v>
      </c>
      <c r="I2075" t="str">
        <f>IF(COUNTIF(Products!$A$2:$A$8,C2075)=0,C2075,"")</f>
        <v/>
      </c>
      <c r="J2075">
        <f>IF(OR(E2075="Prospecting",E2075="Engaging"),VLOOKUP(C2075,Products!$A$2:$C$8,3,FALSE),0)</f>
        <v>0</v>
      </c>
    </row>
    <row r="2076" spans="1:10" x14ac:dyDescent="0.25">
      <c r="A2076" t="s">
        <v>2243</v>
      </c>
      <c r="B2076" t="s">
        <v>146</v>
      </c>
      <c r="C2076" t="s">
        <v>123</v>
      </c>
      <c r="D2076" t="s">
        <v>33</v>
      </c>
      <c r="E2076" t="s">
        <v>138</v>
      </c>
      <c r="F2076" s="1">
        <v>42829</v>
      </c>
      <c r="G2076" s="1">
        <v>42837</v>
      </c>
      <c r="H2076">
        <v>59</v>
      </c>
      <c r="I2076" t="str">
        <f>IF(COUNTIF(Products!$A$2:$A$8,C2076)=0,C2076,"")</f>
        <v/>
      </c>
      <c r="J2076">
        <f>IF(OR(E2076="Prospecting",E2076="Engaging"),VLOOKUP(C2076,Products!$A$2:$C$8,3,FALSE),0)</f>
        <v>0</v>
      </c>
    </row>
    <row r="2077" spans="1:10" x14ac:dyDescent="0.25">
      <c r="A2077" t="s">
        <v>2244</v>
      </c>
      <c r="B2077" t="s">
        <v>222</v>
      </c>
      <c r="C2077" t="s">
        <v>125</v>
      </c>
      <c r="D2077" t="s">
        <v>35</v>
      </c>
      <c r="E2077" t="s">
        <v>138</v>
      </c>
      <c r="F2077" s="1">
        <v>42829</v>
      </c>
      <c r="G2077" s="1">
        <v>42834</v>
      </c>
      <c r="H2077">
        <v>3259</v>
      </c>
      <c r="I2077" t="str">
        <f>IF(COUNTIF(Products!$A$2:$A$8,C2077)=0,C2077,"")</f>
        <v/>
      </c>
      <c r="J2077">
        <f>IF(OR(E2077="Prospecting",E2077="Engaging"),VLOOKUP(C2077,Products!$A$2:$C$8,3,FALSE),0)</f>
        <v>0</v>
      </c>
    </row>
    <row r="2078" spans="1:10" x14ac:dyDescent="0.25">
      <c r="A2078" t="s">
        <v>2245</v>
      </c>
      <c r="B2078" t="s">
        <v>239</v>
      </c>
      <c r="C2078" t="s">
        <v>126</v>
      </c>
      <c r="E2078" t="s">
        <v>155</v>
      </c>
      <c r="F2078" s="1">
        <v>42829</v>
      </c>
      <c r="I2078" t="str">
        <f>IF(COUNTIF(Products!$A$2:$A$8,C2078)=0,C2078,"")</f>
        <v/>
      </c>
      <c r="J2078">
        <f>IF(OR(E2078="Prospecting",E2078="Engaging"),VLOOKUP(C2078,Products!$A$2:$C$8,3,FALSE),0)</f>
        <v>5482</v>
      </c>
    </row>
    <row r="2079" spans="1:10" x14ac:dyDescent="0.25">
      <c r="A2079" t="s">
        <v>2246</v>
      </c>
      <c r="B2079" t="s">
        <v>239</v>
      </c>
      <c r="C2079" t="s">
        <v>120</v>
      </c>
      <c r="D2079" t="s">
        <v>48</v>
      </c>
      <c r="E2079" t="s">
        <v>159</v>
      </c>
      <c r="F2079" s="1">
        <v>42829</v>
      </c>
      <c r="G2079" s="1">
        <v>42865</v>
      </c>
      <c r="H2079">
        <v>0</v>
      </c>
      <c r="I2079" t="str">
        <f>IF(COUNTIF(Products!$A$2:$A$8,C2079)=0,C2079,"")</f>
        <v/>
      </c>
      <c r="J2079">
        <f>IF(OR(E2079="Prospecting",E2079="Engaging"),VLOOKUP(C2079,Products!$A$2:$C$8,3,FALSE),0)</f>
        <v>0</v>
      </c>
    </row>
    <row r="2080" spans="1:10" x14ac:dyDescent="0.25">
      <c r="A2080" t="s">
        <v>2247</v>
      </c>
      <c r="B2080" t="s">
        <v>239</v>
      </c>
      <c r="C2080" t="s">
        <v>127</v>
      </c>
      <c r="D2080" t="s">
        <v>67</v>
      </c>
      <c r="E2080" t="s">
        <v>159</v>
      </c>
      <c r="F2080" s="1">
        <v>42829</v>
      </c>
      <c r="G2080" s="1">
        <v>42836</v>
      </c>
      <c r="H2080">
        <v>0</v>
      </c>
      <c r="I2080" t="str">
        <f>IF(COUNTIF(Products!$A$2:$A$8,C2080)=0,C2080,"")</f>
        <v/>
      </c>
      <c r="J2080">
        <f>IF(OR(E2080="Prospecting",E2080="Engaging"),VLOOKUP(C2080,Products!$A$2:$C$8,3,FALSE),0)</f>
        <v>0</v>
      </c>
    </row>
    <row r="2081" spans="1:10" x14ac:dyDescent="0.25">
      <c r="A2081" t="s">
        <v>2248</v>
      </c>
      <c r="B2081" t="s">
        <v>239</v>
      </c>
      <c r="C2081" t="s">
        <v>120</v>
      </c>
      <c r="D2081" t="s">
        <v>106</v>
      </c>
      <c r="E2081" t="s">
        <v>138</v>
      </c>
      <c r="F2081" s="1">
        <v>42829</v>
      </c>
      <c r="G2081" s="1">
        <v>42836</v>
      </c>
      <c r="H2081">
        <v>593</v>
      </c>
      <c r="I2081" t="str">
        <f>IF(COUNTIF(Products!$A$2:$A$8,C2081)=0,C2081,"")</f>
        <v/>
      </c>
      <c r="J2081">
        <f>IF(OR(E2081="Prospecting",E2081="Engaging"),VLOOKUP(C2081,Products!$A$2:$C$8,3,FALSE),0)</f>
        <v>0</v>
      </c>
    </row>
    <row r="2082" spans="1:10" x14ac:dyDescent="0.25">
      <c r="A2082" t="s">
        <v>2249</v>
      </c>
      <c r="B2082" t="s">
        <v>239</v>
      </c>
      <c r="C2082" t="s">
        <v>122</v>
      </c>
      <c r="D2082" t="s">
        <v>84</v>
      </c>
      <c r="E2082" t="s">
        <v>138</v>
      </c>
      <c r="F2082" s="1">
        <v>42829</v>
      </c>
      <c r="G2082" s="1">
        <v>42912</v>
      </c>
      <c r="H2082">
        <v>5197</v>
      </c>
      <c r="I2082" t="str">
        <f>IF(COUNTIF(Products!$A$2:$A$8,C2082)=0,C2082,"")</f>
        <v/>
      </c>
      <c r="J2082">
        <f>IF(OR(E2082="Prospecting",E2082="Engaging"),VLOOKUP(C2082,Products!$A$2:$C$8,3,FALSE),0)</f>
        <v>0</v>
      </c>
    </row>
    <row r="2083" spans="1:10" x14ac:dyDescent="0.25">
      <c r="A2083" t="s">
        <v>2250</v>
      </c>
      <c r="B2083" t="s">
        <v>140</v>
      </c>
      <c r="C2083" t="s">
        <v>122</v>
      </c>
      <c r="D2083" t="s">
        <v>30</v>
      </c>
      <c r="E2083" t="s">
        <v>159</v>
      </c>
      <c r="F2083" s="1">
        <v>42829</v>
      </c>
      <c r="G2083" s="1">
        <v>42840</v>
      </c>
      <c r="H2083">
        <v>0</v>
      </c>
      <c r="I2083" t="str">
        <f>IF(COUNTIF(Products!$A$2:$A$8,C2083)=0,C2083,"")</f>
        <v/>
      </c>
      <c r="J2083">
        <f>IF(OR(E2083="Prospecting",E2083="Engaging"),VLOOKUP(C2083,Products!$A$2:$C$8,3,FALSE),0)</f>
        <v>0</v>
      </c>
    </row>
    <row r="2084" spans="1:10" x14ac:dyDescent="0.25">
      <c r="A2084" t="s">
        <v>2251</v>
      </c>
      <c r="B2084" t="s">
        <v>140</v>
      </c>
      <c r="C2084" t="s">
        <v>122</v>
      </c>
      <c r="D2084" t="s">
        <v>70</v>
      </c>
      <c r="E2084" t="s">
        <v>159</v>
      </c>
      <c r="F2084" s="1">
        <v>42829</v>
      </c>
      <c r="G2084" s="1">
        <v>42907</v>
      </c>
      <c r="H2084">
        <v>0</v>
      </c>
      <c r="I2084" t="str">
        <f>IF(COUNTIF(Products!$A$2:$A$8,C2084)=0,C2084,"")</f>
        <v/>
      </c>
      <c r="J2084">
        <f>IF(OR(E2084="Prospecting",E2084="Engaging"),VLOOKUP(C2084,Products!$A$2:$C$8,3,FALSE),0)</f>
        <v>0</v>
      </c>
    </row>
    <row r="2085" spans="1:10" x14ac:dyDescent="0.25">
      <c r="A2085" t="s">
        <v>2252</v>
      </c>
      <c r="B2085" t="s">
        <v>140</v>
      </c>
      <c r="C2085" t="s">
        <v>123</v>
      </c>
      <c r="D2085" t="s">
        <v>95</v>
      </c>
      <c r="E2085" t="s">
        <v>159</v>
      </c>
      <c r="F2085" s="1">
        <v>42829</v>
      </c>
      <c r="G2085" s="1">
        <v>42837</v>
      </c>
      <c r="H2085">
        <v>0</v>
      </c>
      <c r="I2085" t="str">
        <f>IF(COUNTIF(Products!$A$2:$A$8,C2085)=0,C2085,"")</f>
        <v/>
      </c>
      <c r="J2085">
        <f>IF(OR(E2085="Prospecting",E2085="Engaging"),VLOOKUP(C2085,Products!$A$2:$C$8,3,FALSE),0)</f>
        <v>0</v>
      </c>
    </row>
    <row r="2086" spans="1:10" x14ac:dyDescent="0.25">
      <c r="A2086" t="s">
        <v>2253</v>
      </c>
      <c r="B2086" t="s">
        <v>140</v>
      </c>
      <c r="C2086" t="s">
        <v>125</v>
      </c>
      <c r="D2086" t="s">
        <v>42</v>
      </c>
      <c r="E2086" t="s">
        <v>138</v>
      </c>
      <c r="F2086" s="1">
        <v>42829</v>
      </c>
      <c r="G2086" s="1">
        <v>42904</v>
      </c>
      <c r="H2086">
        <v>3031</v>
      </c>
      <c r="I2086" t="str">
        <f>IF(COUNTIF(Products!$A$2:$A$8,C2086)=0,C2086,"")</f>
        <v/>
      </c>
      <c r="J2086">
        <f>IF(OR(E2086="Prospecting",E2086="Engaging"),VLOOKUP(C2086,Products!$A$2:$C$8,3,FALSE),0)</f>
        <v>0</v>
      </c>
    </row>
    <row r="2087" spans="1:10" x14ac:dyDescent="0.25">
      <c r="A2087" t="s">
        <v>2254</v>
      </c>
      <c r="B2087" t="s">
        <v>224</v>
      </c>
      <c r="C2087" t="s">
        <v>122</v>
      </c>
      <c r="D2087" t="s">
        <v>50</v>
      </c>
      <c r="E2087" t="s">
        <v>159</v>
      </c>
      <c r="F2087" s="1">
        <v>42829</v>
      </c>
      <c r="G2087" s="1">
        <v>42840</v>
      </c>
      <c r="H2087">
        <v>0</v>
      </c>
      <c r="I2087" t="str">
        <f>IF(COUNTIF(Products!$A$2:$A$8,C2087)=0,C2087,"")</f>
        <v/>
      </c>
      <c r="J2087">
        <f>IF(OR(E2087="Prospecting",E2087="Engaging"),VLOOKUP(C2087,Products!$A$2:$C$8,3,FALSE),0)</f>
        <v>0</v>
      </c>
    </row>
    <row r="2088" spans="1:10" x14ac:dyDescent="0.25">
      <c r="A2088" t="s">
        <v>2255</v>
      </c>
      <c r="B2088" t="s">
        <v>224</v>
      </c>
      <c r="C2088" t="s">
        <v>122</v>
      </c>
      <c r="D2088" t="s">
        <v>112</v>
      </c>
      <c r="E2088" t="s">
        <v>138</v>
      </c>
      <c r="F2088" s="1">
        <v>42829</v>
      </c>
      <c r="G2088" s="1">
        <v>42880</v>
      </c>
      <c r="H2088">
        <v>5244</v>
      </c>
      <c r="I2088" t="str">
        <f>IF(COUNTIF(Products!$A$2:$A$8,C2088)=0,C2088,"")</f>
        <v/>
      </c>
      <c r="J2088">
        <f>IF(OR(E2088="Prospecting",E2088="Engaging"),VLOOKUP(C2088,Products!$A$2:$C$8,3,FALSE),0)</f>
        <v>0</v>
      </c>
    </row>
    <row r="2089" spans="1:10" x14ac:dyDescent="0.25">
      <c r="A2089" t="s">
        <v>2256</v>
      </c>
      <c r="B2089" t="s">
        <v>173</v>
      </c>
      <c r="C2089" t="s">
        <v>123</v>
      </c>
      <c r="E2089" t="s">
        <v>155</v>
      </c>
      <c r="F2089" s="1">
        <v>42829</v>
      </c>
      <c r="I2089" t="str">
        <f>IF(COUNTIF(Products!$A$2:$A$8,C2089)=0,C2089,"")</f>
        <v/>
      </c>
      <c r="J2089">
        <f>IF(OR(E2089="Prospecting",E2089="Engaging"),VLOOKUP(C2089,Products!$A$2:$C$8,3,FALSE),0)</f>
        <v>55</v>
      </c>
    </row>
    <row r="2090" spans="1:10" x14ac:dyDescent="0.25">
      <c r="A2090" t="s">
        <v>2257</v>
      </c>
      <c r="B2090" t="s">
        <v>173</v>
      </c>
      <c r="C2090" t="s">
        <v>123</v>
      </c>
      <c r="D2090" t="s">
        <v>57</v>
      </c>
      <c r="E2090" t="s">
        <v>159</v>
      </c>
      <c r="F2090" s="1">
        <v>42829</v>
      </c>
      <c r="G2090" s="1">
        <v>42835</v>
      </c>
      <c r="H2090">
        <v>0</v>
      </c>
      <c r="I2090" t="str">
        <f>IF(COUNTIF(Products!$A$2:$A$8,C2090)=0,C2090,"")</f>
        <v/>
      </c>
      <c r="J2090">
        <f>IF(OR(E2090="Prospecting",E2090="Engaging"),VLOOKUP(C2090,Products!$A$2:$C$8,3,FALSE),0)</f>
        <v>0</v>
      </c>
    </row>
    <row r="2091" spans="1:10" x14ac:dyDescent="0.25">
      <c r="A2091" t="s">
        <v>2258</v>
      </c>
      <c r="B2091" t="s">
        <v>198</v>
      </c>
      <c r="C2091" t="s">
        <v>126</v>
      </c>
      <c r="D2091" t="s">
        <v>80</v>
      </c>
      <c r="E2091" t="s">
        <v>138</v>
      </c>
      <c r="F2091" s="1">
        <v>42829</v>
      </c>
      <c r="G2091" s="1">
        <v>42906</v>
      </c>
      <c r="H2091">
        <v>5946</v>
      </c>
      <c r="I2091" t="str">
        <f>IF(COUNTIF(Products!$A$2:$A$8,C2091)=0,C2091,"")</f>
        <v/>
      </c>
      <c r="J2091">
        <f>IF(OR(E2091="Prospecting",E2091="Engaging"),VLOOKUP(C2091,Products!$A$2:$C$8,3,FALSE),0)</f>
        <v>0</v>
      </c>
    </row>
    <row r="2092" spans="1:10" x14ac:dyDescent="0.25">
      <c r="A2092" t="s">
        <v>2259</v>
      </c>
      <c r="B2092" t="s">
        <v>164</v>
      </c>
      <c r="C2092" t="s">
        <v>127</v>
      </c>
      <c r="D2092" t="s">
        <v>47</v>
      </c>
      <c r="E2092" t="s">
        <v>159</v>
      </c>
      <c r="F2092" s="1">
        <v>42829</v>
      </c>
      <c r="G2092" s="1">
        <v>42833</v>
      </c>
      <c r="H2092">
        <v>0</v>
      </c>
      <c r="I2092" t="str">
        <f>IF(COUNTIF(Products!$A$2:$A$8,C2092)=0,C2092,"")</f>
        <v/>
      </c>
      <c r="J2092">
        <f>IF(OR(E2092="Prospecting",E2092="Engaging"),VLOOKUP(C2092,Products!$A$2:$C$8,3,FALSE),0)</f>
        <v>0</v>
      </c>
    </row>
    <row r="2093" spans="1:10" x14ac:dyDescent="0.25">
      <c r="A2093" t="s">
        <v>2260</v>
      </c>
      <c r="B2093" t="s">
        <v>154</v>
      </c>
      <c r="C2093" t="s">
        <v>126</v>
      </c>
      <c r="D2093" t="s">
        <v>71</v>
      </c>
      <c r="E2093" t="s">
        <v>159</v>
      </c>
      <c r="F2093" s="1">
        <v>42829</v>
      </c>
      <c r="G2093" s="1">
        <v>42836</v>
      </c>
      <c r="H2093">
        <v>0</v>
      </c>
      <c r="I2093" t="str">
        <f>IF(COUNTIF(Products!$A$2:$A$8,C2093)=0,C2093,"")</f>
        <v/>
      </c>
      <c r="J2093">
        <f>IF(OR(E2093="Prospecting",E2093="Engaging"),VLOOKUP(C2093,Products!$A$2:$C$8,3,FALSE),0)</f>
        <v>0</v>
      </c>
    </row>
    <row r="2094" spans="1:10" x14ac:dyDescent="0.25">
      <c r="A2094" t="s">
        <v>2261</v>
      </c>
      <c r="B2094" t="s">
        <v>154</v>
      </c>
      <c r="C2094" t="s">
        <v>122</v>
      </c>
      <c r="D2094" t="s">
        <v>93</v>
      </c>
      <c r="E2094" t="s">
        <v>138</v>
      </c>
      <c r="F2094" s="1">
        <v>42829</v>
      </c>
      <c r="G2094" s="1">
        <v>42892</v>
      </c>
      <c r="H2094">
        <v>4335</v>
      </c>
      <c r="I2094" t="str">
        <f>IF(COUNTIF(Products!$A$2:$A$8,C2094)=0,C2094,"")</f>
        <v/>
      </c>
      <c r="J2094">
        <f>IF(OR(E2094="Prospecting",E2094="Engaging"),VLOOKUP(C2094,Products!$A$2:$C$8,3,FALSE),0)</f>
        <v>0</v>
      </c>
    </row>
    <row r="2095" spans="1:10" x14ac:dyDescent="0.25">
      <c r="A2095" t="s">
        <v>2262</v>
      </c>
      <c r="B2095" t="s">
        <v>303</v>
      </c>
      <c r="C2095" t="s">
        <v>126</v>
      </c>
      <c r="D2095" t="s">
        <v>42</v>
      </c>
      <c r="E2095" t="s">
        <v>159</v>
      </c>
      <c r="F2095" s="1">
        <v>42829</v>
      </c>
      <c r="G2095" s="1">
        <v>42831</v>
      </c>
      <c r="H2095">
        <v>0</v>
      </c>
      <c r="I2095" t="str">
        <f>IF(COUNTIF(Products!$A$2:$A$8,C2095)=0,C2095,"")</f>
        <v/>
      </c>
      <c r="J2095">
        <f>IF(OR(E2095="Prospecting",E2095="Engaging"),VLOOKUP(C2095,Products!$A$2:$C$8,3,FALSE),0)</f>
        <v>0</v>
      </c>
    </row>
    <row r="2096" spans="1:10" x14ac:dyDescent="0.25">
      <c r="A2096" t="s">
        <v>2263</v>
      </c>
      <c r="B2096" t="s">
        <v>303</v>
      </c>
      <c r="C2096" t="s">
        <v>122</v>
      </c>
      <c r="D2096" t="s">
        <v>70</v>
      </c>
      <c r="E2096" t="s">
        <v>138</v>
      </c>
      <c r="F2096" s="1">
        <v>42829</v>
      </c>
      <c r="G2096" s="1">
        <v>42831</v>
      </c>
      <c r="H2096">
        <v>5063</v>
      </c>
      <c r="I2096" t="str">
        <f>IF(COUNTIF(Products!$A$2:$A$8,C2096)=0,C2096,"")</f>
        <v/>
      </c>
      <c r="J2096">
        <f>IF(OR(E2096="Prospecting",E2096="Engaging"),VLOOKUP(C2096,Products!$A$2:$C$8,3,FALSE),0)</f>
        <v>0</v>
      </c>
    </row>
    <row r="2097" spans="1:10" x14ac:dyDescent="0.25">
      <c r="A2097" t="s">
        <v>2264</v>
      </c>
      <c r="B2097" t="s">
        <v>303</v>
      </c>
      <c r="C2097" t="s">
        <v>122</v>
      </c>
      <c r="D2097" t="s">
        <v>96</v>
      </c>
      <c r="E2097" t="s">
        <v>138</v>
      </c>
      <c r="F2097" s="1">
        <v>42829</v>
      </c>
      <c r="G2097" s="1">
        <v>42835</v>
      </c>
      <c r="H2097">
        <v>5032</v>
      </c>
      <c r="I2097" t="str">
        <f>IF(COUNTIF(Products!$A$2:$A$8,C2097)=0,C2097,"")</f>
        <v/>
      </c>
      <c r="J2097">
        <f>IF(OR(E2097="Prospecting",E2097="Engaging"),VLOOKUP(C2097,Products!$A$2:$C$8,3,FALSE),0)</f>
        <v>0</v>
      </c>
    </row>
    <row r="2098" spans="1:10" x14ac:dyDescent="0.25">
      <c r="A2098" t="s">
        <v>2265</v>
      </c>
      <c r="B2098" t="s">
        <v>180</v>
      </c>
      <c r="C2098" t="s">
        <v>122</v>
      </c>
      <c r="D2098" t="s">
        <v>71</v>
      </c>
      <c r="E2098" t="s">
        <v>138</v>
      </c>
      <c r="F2098" s="1">
        <v>42829</v>
      </c>
      <c r="G2098" s="1">
        <v>42886</v>
      </c>
      <c r="H2098">
        <v>4398</v>
      </c>
      <c r="I2098" t="str">
        <f>IF(COUNTIF(Products!$A$2:$A$8,C2098)=0,C2098,"")</f>
        <v/>
      </c>
      <c r="J2098">
        <f>IF(OR(E2098="Prospecting",E2098="Engaging"),VLOOKUP(C2098,Products!$A$2:$C$8,3,FALSE),0)</f>
        <v>0</v>
      </c>
    </row>
    <row r="2099" spans="1:10" x14ac:dyDescent="0.25">
      <c r="A2099" t="s">
        <v>2266</v>
      </c>
      <c r="B2099" t="s">
        <v>180</v>
      </c>
      <c r="C2099" t="s">
        <v>122</v>
      </c>
      <c r="D2099" t="s">
        <v>90</v>
      </c>
      <c r="E2099" t="s">
        <v>138</v>
      </c>
      <c r="F2099" s="1">
        <v>42829</v>
      </c>
      <c r="G2099" s="1">
        <v>42831</v>
      </c>
      <c r="H2099">
        <v>4449</v>
      </c>
      <c r="I2099" t="str">
        <f>IF(COUNTIF(Products!$A$2:$A$8,C2099)=0,C2099,"")</f>
        <v/>
      </c>
      <c r="J2099">
        <f>IF(OR(E2099="Prospecting",E2099="Engaging"),VLOOKUP(C2099,Products!$A$2:$C$8,3,FALSE),0)</f>
        <v>0</v>
      </c>
    </row>
    <row r="2100" spans="1:10" x14ac:dyDescent="0.25">
      <c r="A2100" t="s">
        <v>2267</v>
      </c>
      <c r="B2100" t="s">
        <v>191</v>
      </c>
      <c r="C2100" t="s">
        <v>126</v>
      </c>
      <c r="D2100" t="s">
        <v>17</v>
      </c>
      <c r="E2100" t="s">
        <v>159</v>
      </c>
      <c r="F2100" s="1">
        <v>42829</v>
      </c>
      <c r="G2100" s="1">
        <v>42865</v>
      </c>
      <c r="H2100">
        <v>0</v>
      </c>
      <c r="I2100" t="str">
        <f>IF(COUNTIF(Products!$A$2:$A$8,C2100)=0,C2100,"")</f>
        <v/>
      </c>
      <c r="J2100">
        <f>IF(OR(E2100="Prospecting",E2100="Engaging"),VLOOKUP(C2100,Products!$A$2:$C$8,3,FALSE),0)</f>
        <v>0</v>
      </c>
    </row>
    <row r="2101" spans="1:10" x14ac:dyDescent="0.25">
      <c r="A2101" t="s">
        <v>2268</v>
      </c>
      <c r="B2101" t="s">
        <v>217</v>
      </c>
      <c r="C2101" t="s">
        <v>120</v>
      </c>
      <c r="D2101" t="s">
        <v>104</v>
      </c>
      <c r="E2101" t="s">
        <v>159</v>
      </c>
      <c r="F2101" s="1">
        <v>42829</v>
      </c>
      <c r="G2101" s="1">
        <v>42831</v>
      </c>
      <c r="H2101">
        <v>0</v>
      </c>
      <c r="I2101" t="str">
        <f>IF(COUNTIF(Products!$A$2:$A$8,C2101)=0,C2101,"")</f>
        <v/>
      </c>
      <c r="J2101">
        <f>IF(OR(E2101="Prospecting",E2101="Engaging"),VLOOKUP(C2101,Products!$A$2:$C$8,3,FALSE),0)</f>
        <v>0</v>
      </c>
    </row>
    <row r="2102" spans="1:10" x14ac:dyDescent="0.25">
      <c r="A2102" t="s">
        <v>2269</v>
      </c>
      <c r="B2102" t="s">
        <v>217</v>
      </c>
      <c r="C2102" t="s">
        <v>125</v>
      </c>
      <c r="D2102" t="s">
        <v>64</v>
      </c>
      <c r="E2102" t="s">
        <v>159</v>
      </c>
      <c r="F2102" s="1">
        <v>42829</v>
      </c>
      <c r="G2102" s="1">
        <v>42840</v>
      </c>
      <c r="H2102">
        <v>0</v>
      </c>
      <c r="I2102" t="str">
        <f>IF(COUNTIF(Products!$A$2:$A$8,C2102)=0,C2102,"")</f>
        <v/>
      </c>
      <c r="J2102">
        <f>IF(OR(E2102="Prospecting",E2102="Engaging"),VLOOKUP(C2102,Products!$A$2:$C$8,3,FALSE),0)</f>
        <v>0</v>
      </c>
    </row>
    <row r="2103" spans="1:10" x14ac:dyDescent="0.25">
      <c r="A2103" t="s">
        <v>2270</v>
      </c>
      <c r="B2103" t="s">
        <v>217</v>
      </c>
      <c r="C2103" t="s">
        <v>123</v>
      </c>
      <c r="D2103" t="s">
        <v>46</v>
      </c>
      <c r="E2103" t="s">
        <v>138</v>
      </c>
      <c r="F2103" s="1">
        <v>42829</v>
      </c>
      <c r="G2103" s="1">
        <v>42886</v>
      </c>
      <c r="H2103">
        <v>50</v>
      </c>
      <c r="I2103" t="str">
        <f>IF(COUNTIF(Products!$A$2:$A$8,C2103)=0,C2103,"")</f>
        <v/>
      </c>
      <c r="J2103">
        <f>IF(OR(E2103="Prospecting",E2103="Engaging"),VLOOKUP(C2103,Products!$A$2:$C$8,3,FALSE),0)</f>
        <v>0</v>
      </c>
    </row>
    <row r="2104" spans="1:10" x14ac:dyDescent="0.25">
      <c r="A2104" t="s">
        <v>2271</v>
      </c>
      <c r="B2104" t="s">
        <v>150</v>
      </c>
      <c r="C2104" t="s">
        <v>127</v>
      </c>
      <c r="E2104" t="s">
        <v>155</v>
      </c>
      <c r="F2104" s="1">
        <v>42829</v>
      </c>
      <c r="I2104" t="str">
        <f>IF(COUNTIF(Products!$A$2:$A$8,C2104)=0,C2104,"")</f>
        <v/>
      </c>
      <c r="J2104">
        <f>IF(OR(E2104="Prospecting",E2104="Engaging"),VLOOKUP(C2104,Products!$A$2:$C$8,3,FALSE),0)</f>
        <v>1096</v>
      </c>
    </row>
    <row r="2105" spans="1:10" x14ac:dyDescent="0.25">
      <c r="A2105" t="s">
        <v>2272</v>
      </c>
      <c r="B2105" t="s">
        <v>150</v>
      </c>
      <c r="C2105" t="s">
        <v>120</v>
      </c>
      <c r="D2105" t="s">
        <v>56</v>
      </c>
      <c r="E2105" t="s">
        <v>138</v>
      </c>
      <c r="F2105" s="1">
        <v>42829</v>
      </c>
      <c r="G2105" s="1">
        <v>42889</v>
      </c>
      <c r="H2105">
        <v>605</v>
      </c>
      <c r="I2105" t="str">
        <f>IF(COUNTIF(Products!$A$2:$A$8,C2105)=0,C2105,"")</f>
        <v/>
      </c>
      <c r="J2105">
        <f>IF(OR(E2105="Prospecting",E2105="Engaging"),VLOOKUP(C2105,Products!$A$2:$C$8,3,FALSE),0)</f>
        <v>0</v>
      </c>
    </row>
    <row r="2106" spans="1:10" x14ac:dyDescent="0.25">
      <c r="A2106" t="s">
        <v>2273</v>
      </c>
      <c r="B2106" t="s">
        <v>150</v>
      </c>
      <c r="C2106" t="s">
        <v>123</v>
      </c>
      <c r="D2106" t="s">
        <v>90</v>
      </c>
      <c r="E2106" t="s">
        <v>138</v>
      </c>
      <c r="F2106" s="1">
        <v>42829</v>
      </c>
      <c r="G2106" s="1">
        <v>42833</v>
      </c>
      <c r="H2106">
        <v>57</v>
      </c>
      <c r="I2106" t="str">
        <f>IF(COUNTIF(Products!$A$2:$A$8,C2106)=0,C2106,"")</f>
        <v/>
      </c>
      <c r="J2106">
        <f>IF(OR(E2106="Prospecting",E2106="Engaging"),VLOOKUP(C2106,Products!$A$2:$C$8,3,FALSE),0)</f>
        <v>0</v>
      </c>
    </row>
    <row r="2107" spans="1:10" x14ac:dyDescent="0.25">
      <c r="A2107" t="s">
        <v>2274</v>
      </c>
      <c r="B2107" t="s">
        <v>150</v>
      </c>
      <c r="C2107" t="s">
        <v>125</v>
      </c>
      <c r="D2107" t="s">
        <v>23</v>
      </c>
      <c r="E2107" t="s">
        <v>138</v>
      </c>
      <c r="F2107" s="1">
        <v>42829</v>
      </c>
      <c r="G2107" s="1">
        <v>42896</v>
      </c>
      <c r="H2107">
        <v>2882</v>
      </c>
      <c r="I2107" t="str">
        <f>IF(COUNTIF(Products!$A$2:$A$8,C2107)=0,C2107,"")</f>
        <v/>
      </c>
      <c r="J2107">
        <f>IF(OR(E2107="Prospecting",E2107="Engaging"),VLOOKUP(C2107,Products!$A$2:$C$8,3,FALSE),0)</f>
        <v>0</v>
      </c>
    </row>
    <row r="2108" spans="1:10" x14ac:dyDescent="0.25">
      <c r="A2108" t="s">
        <v>2275</v>
      </c>
      <c r="B2108" t="s">
        <v>205</v>
      </c>
      <c r="C2108" t="s">
        <v>125</v>
      </c>
      <c r="D2108" t="s">
        <v>55</v>
      </c>
      <c r="E2108" t="s">
        <v>138</v>
      </c>
      <c r="F2108" s="1">
        <v>42829</v>
      </c>
      <c r="G2108" s="1">
        <v>42891</v>
      </c>
      <c r="H2108">
        <v>3011</v>
      </c>
      <c r="I2108" t="str">
        <f>IF(COUNTIF(Products!$A$2:$A$8,C2108)=0,C2108,"")</f>
        <v/>
      </c>
      <c r="J2108">
        <f>IF(OR(E2108="Prospecting",E2108="Engaging"),VLOOKUP(C2108,Products!$A$2:$C$8,3,FALSE),0)</f>
        <v>0</v>
      </c>
    </row>
    <row r="2109" spans="1:10" x14ac:dyDescent="0.25">
      <c r="A2109" t="s">
        <v>2276</v>
      </c>
      <c r="B2109" t="s">
        <v>162</v>
      </c>
      <c r="C2109" t="s">
        <v>126</v>
      </c>
      <c r="E2109" t="s">
        <v>155</v>
      </c>
      <c r="F2109" s="1">
        <v>42829</v>
      </c>
      <c r="I2109" t="str">
        <f>IF(COUNTIF(Products!$A$2:$A$8,C2109)=0,C2109,"")</f>
        <v/>
      </c>
      <c r="J2109">
        <f>IF(OR(E2109="Prospecting",E2109="Engaging"),VLOOKUP(C2109,Products!$A$2:$C$8,3,FALSE),0)</f>
        <v>5482</v>
      </c>
    </row>
    <row r="2110" spans="1:10" x14ac:dyDescent="0.25">
      <c r="A2110" t="s">
        <v>2277</v>
      </c>
      <c r="B2110" t="s">
        <v>162</v>
      </c>
      <c r="C2110" t="s">
        <v>127</v>
      </c>
      <c r="D2110" t="s">
        <v>87</v>
      </c>
      <c r="E2110" t="s">
        <v>138</v>
      </c>
      <c r="F2110" s="1">
        <v>42829</v>
      </c>
      <c r="G2110" s="1">
        <v>42836</v>
      </c>
      <c r="H2110">
        <v>1181</v>
      </c>
      <c r="I2110" t="str">
        <f>IF(COUNTIF(Products!$A$2:$A$8,C2110)=0,C2110,"")</f>
        <v/>
      </c>
      <c r="J2110">
        <f>IF(OR(E2110="Prospecting",E2110="Engaging"),VLOOKUP(C2110,Products!$A$2:$C$8,3,FALSE),0)</f>
        <v>0</v>
      </c>
    </row>
    <row r="2111" spans="1:10" x14ac:dyDescent="0.25">
      <c r="A2111" t="s">
        <v>2278</v>
      </c>
      <c r="B2111" t="s">
        <v>152</v>
      </c>
      <c r="C2111" t="s">
        <v>127</v>
      </c>
      <c r="D2111" t="s">
        <v>12</v>
      </c>
      <c r="E2111" t="s">
        <v>138</v>
      </c>
      <c r="F2111" s="1">
        <v>42829</v>
      </c>
      <c r="G2111" s="1">
        <v>42897</v>
      </c>
      <c r="H2111">
        <v>1067</v>
      </c>
      <c r="I2111" t="str">
        <f>IF(COUNTIF(Products!$A$2:$A$8,C2111)=0,C2111,"")</f>
        <v/>
      </c>
      <c r="J2111">
        <f>IF(OR(E2111="Prospecting",E2111="Engaging"),VLOOKUP(C2111,Products!$A$2:$C$8,3,FALSE),0)</f>
        <v>0</v>
      </c>
    </row>
    <row r="2112" spans="1:10" x14ac:dyDescent="0.25">
      <c r="A2112" t="s">
        <v>2279</v>
      </c>
      <c r="B2112" t="s">
        <v>193</v>
      </c>
      <c r="C2112" t="s">
        <v>120</v>
      </c>
      <c r="D2112" t="s">
        <v>35</v>
      </c>
      <c r="E2112" t="s">
        <v>159</v>
      </c>
      <c r="F2112" s="1">
        <v>42829</v>
      </c>
      <c r="G2112" s="1">
        <v>42838</v>
      </c>
      <c r="H2112">
        <v>0</v>
      </c>
      <c r="I2112" t="str">
        <f>IF(COUNTIF(Products!$A$2:$A$8,C2112)=0,C2112,"")</f>
        <v/>
      </c>
      <c r="J2112">
        <f>IF(OR(E2112="Prospecting",E2112="Engaging"),VLOOKUP(C2112,Products!$A$2:$C$8,3,FALSE),0)</f>
        <v>0</v>
      </c>
    </row>
    <row r="2113" spans="1:10" x14ac:dyDescent="0.25">
      <c r="A2113" t="s">
        <v>2280</v>
      </c>
      <c r="B2113" t="s">
        <v>193</v>
      </c>
      <c r="C2113" t="s">
        <v>120</v>
      </c>
      <c r="D2113" t="s">
        <v>63</v>
      </c>
      <c r="E2113" t="s">
        <v>159</v>
      </c>
      <c r="F2113" s="1">
        <v>42829</v>
      </c>
      <c r="G2113" s="1">
        <v>42834</v>
      </c>
      <c r="H2113">
        <v>0</v>
      </c>
      <c r="I2113" t="str">
        <f>IF(COUNTIF(Products!$A$2:$A$8,C2113)=0,C2113,"")</f>
        <v/>
      </c>
      <c r="J2113">
        <f>IF(OR(E2113="Prospecting",E2113="Engaging"),VLOOKUP(C2113,Products!$A$2:$C$8,3,FALSE),0)</f>
        <v>0</v>
      </c>
    </row>
    <row r="2114" spans="1:10" x14ac:dyDescent="0.25">
      <c r="A2114" t="s">
        <v>2281</v>
      </c>
      <c r="B2114" t="s">
        <v>169</v>
      </c>
      <c r="C2114" t="s">
        <v>123</v>
      </c>
      <c r="D2114" t="s">
        <v>64</v>
      </c>
      <c r="E2114" t="s">
        <v>138</v>
      </c>
      <c r="F2114" s="1">
        <v>42829</v>
      </c>
      <c r="G2114" s="1">
        <v>42831</v>
      </c>
      <c r="H2114">
        <v>54</v>
      </c>
      <c r="I2114" t="str">
        <f>IF(COUNTIF(Products!$A$2:$A$8,C2114)=0,C2114,"")</f>
        <v/>
      </c>
      <c r="J2114">
        <f>IF(OR(E2114="Prospecting",E2114="Engaging"),VLOOKUP(C2114,Products!$A$2:$C$8,3,FALSE),0)</f>
        <v>0</v>
      </c>
    </row>
    <row r="2115" spans="1:10" x14ac:dyDescent="0.25">
      <c r="A2115" t="s">
        <v>2282</v>
      </c>
      <c r="B2115" t="s">
        <v>144</v>
      </c>
      <c r="C2115" t="s">
        <v>120</v>
      </c>
      <c r="D2115" t="s">
        <v>82</v>
      </c>
      <c r="E2115" t="s">
        <v>138</v>
      </c>
      <c r="F2115" s="1">
        <v>42829</v>
      </c>
      <c r="G2115" s="1">
        <v>42915</v>
      </c>
      <c r="H2115">
        <v>564</v>
      </c>
      <c r="I2115" t="str">
        <f>IF(COUNTIF(Products!$A$2:$A$8,C2115)=0,C2115,"")</f>
        <v/>
      </c>
      <c r="J2115">
        <f>IF(OR(E2115="Prospecting",E2115="Engaging"),VLOOKUP(C2115,Products!$A$2:$C$8,3,FALSE),0)</f>
        <v>0</v>
      </c>
    </row>
    <row r="2116" spans="1:10" x14ac:dyDescent="0.25">
      <c r="A2116" t="s">
        <v>2283</v>
      </c>
      <c r="B2116" t="s">
        <v>146</v>
      </c>
      <c r="C2116" t="s">
        <v>127</v>
      </c>
      <c r="D2116" t="s">
        <v>28</v>
      </c>
      <c r="E2116" t="s">
        <v>159</v>
      </c>
      <c r="F2116" s="1">
        <v>42830</v>
      </c>
      <c r="G2116" s="1">
        <v>42831</v>
      </c>
      <c r="H2116">
        <v>0</v>
      </c>
      <c r="I2116" t="str">
        <f>IF(COUNTIF(Products!$A$2:$A$8,C2116)=0,C2116,"")</f>
        <v/>
      </c>
      <c r="J2116">
        <f>IF(OR(E2116="Prospecting",E2116="Engaging"),VLOOKUP(C2116,Products!$A$2:$C$8,3,FALSE),0)</f>
        <v>0</v>
      </c>
    </row>
    <row r="2117" spans="1:10" x14ac:dyDescent="0.25">
      <c r="A2117" t="s">
        <v>2284</v>
      </c>
      <c r="B2117" t="s">
        <v>146</v>
      </c>
      <c r="C2117" t="s">
        <v>123</v>
      </c>
      <c r="D2117" t="s">
        <v>12</v>
      </c>
      <c r="E2117" t="s">
        <v>138</v>
      </c>
      <c r="F2117" s="1">
        <v>42830</v>
      </c>
      <c r="G2117" s="1">
        <v>42839</v>
      </c>
      <c r="H2117">
        <v>57</v>
      </c>
      <c r="I2117" t="str">
        <f>IF(COUNTIF(Products!$A$2:$A$8,C2117)=0,C2117,"")</f>
        <v/>
      </c>
      <c r="J2117">
        <f>IF(OR(E2117="Prospecting",E2117="Engaging"),VLOOKUP(C2117,Products!$A$2:$C$8,3,FALSE),0)</f>
        <v>0</v>
      </c>
    </row>
    <row r="2118" spans="1:10" x14ac:dyDescent="0.25">
      <c r="A2118" t="s">
        <v>2285</v>
      </c>
      <c r="B2118" t="s">
        <v>207</v>
      </c>
      <c r="C2118" t="s">
        <v>122</v>
      </c>
      <c r="D2118" t="s">
        <v>110</v>
      </c>
      <c r="E2118" t="s">
        <v>138</v>
      </c>
      <c r="F2118" s="1">
        <v>42830</v>
      </c>
      <c r="G2118" s="1">
        <v>42916</v>
      </c>
      <c r="H2118">
        <v>5558</v>
      </c>
      <c r="I2118" t="str">
        <f>IF(COUNTIF(Products!$A$2:$A$8,C2118)=0,C2118,"")</f>
        <v/>
      </c>
      <c r="J2118">
        <f>IF(OR(E2118="Prospecting",E2118="Engaging"),VLOOKUP(C2118,Products!$A$2:$C$8,3,FALSE),0)</f>
        <v>0</v>
      </c>
    </row>
    <row r="2119" spans="1:10" x14ac:dyDescent="0.25">
      <c r="A2119" t="s">
        <v>2286</v>
      </c>
      <c r="B2119" t="s">
        <v>264</v>
      </c>
      <c r="C2119" t="s">
        <v>126</v>
      </c>
      <c r="D2119" t="s">
        <v>104</v>
      </c>
      <c r="E2119" t="s">
        <v>159</v>
      </c>
      <c r="F2119" s="1">
        <v>42830</v>
      </c>
      <c r="G2119" s="1">
        <v>42835</v>
      </c>
      <c r="H2119">
        <v>0</v>
      </c>
      <c r="I2119" t="str">
        <f>IF(COUNTIF(Products!$A$2:$A$8,C2119)=0,C2119,"")</f>
        <v/>
      </c>
      <c r="J2119">
        <f>IF(OR(E2119="Prospecting",E2119="Engaging"),VLOOKUP(C2119,Products!$A$2:$C$8,3,FALSE),0)</f>
        <v>0</v>
      </c>
    </row>
    <row r="2120" spans="1:10" x14ac:dyDescent="0.25">
      <c r="A2120" t="s">
        <v>2287</v>
      </c>
      <c r="B2120" t="s">
        <v>239</v>
      </c>
      <c r="C2120" t="s">
        <v>120</v>
      </c>
      <c r="D2120" t="s">
        <v>92</v>
      </c>
      <c r="E2120" t="s">
        <v>159</v>
      </c>
      <c r="F2120" s="1">
        <v>42830</v>
      </c>
      <c r="G2120" s="1">
        <v>42832</v>
      </c>
      <c r="H2120">
        <v>0</v>
      </c>
      <c r="I2120" t="str">
        <f>IF(COUNTIF(Products!$A$2:$A$8,C2120)=0,C2120,"")</f>
        <v/>
      </c>
      <c r="J2120">
        <f>IF(OR(E2120="Prospecting",E2120="Engaging"),VLOOKUP(C2120,Products!$A$2:$C$8,3,FALSE),0)</f>
        <v>0</v>
      </c>
    </row>
    <row r="2121" spans="1:10" x14ac:dyDescent="0.25">
      <c r="A2121" t="s">
        <v>2288</v>
      </c>
      <c r="B2121" t="s">
        <v>239</v>
      </c>
      <c r="C2121" t="s">
        <v>127</v>
      </c>
      <c r="D2121" t="s">
        <v>20</v>
      </c>
      <c r="E2121" t="s">
        <v>138</v>
      </c>
      <c r="F2121" s="1">
        <v>42830</v>
      </c>
      <c r="G2121" s="1">
        <v>42835</v>
      </c>
      <c r="H2121">
        <v>1083</v>
      </c>
      <c r="I2121" t="str">
        <f>IF(COUNTIF(Products!$A$2:$A$8,C2121)=0,C2121,"")</f>
        <v/>
      </c>
      <c r="J2121">
        <f>IF(OR(E2121="Prospecting",E2121="Engaging"),VLOOKUP(C2121,Products!$A$2:$C$8,3,FALSE),0)</f>
        <v>0</v>
      </c>
    </row>
    <row r="2122" spans="1:10" x14ac:dyDescent="0.25">
      <c r="A2122" t="s">
        <v>2289</v>
      </c>
      <c r="B2122" t="s">
        <v>140</v>
      </c>
      <c r="C2122" t="s">
        <v>122</v>
      </c>
      <c r="D2122" t="s">
        <v>104</v>
      </c>
      <c r="E2122" t="s">
        <v>138</v>
      </c>
      <c r="F2122" s="1">
        <v>42830</v>
      </c>
      <c r="G2122" s="1">
        <v>42831</v>
      </c>
      <c r="H2122">
        <v>5647</v>
      </c>
      <c r="I2122" t="str">
        <f>IF(COUNTIF(Products!$A$2:$A$8,C2122)=0,C2122,"")</f>
        <v/>
      </c>
      <c r="J2122">
        <f>IF(OR(E2122="Prospecting",E2122="Engaging"),VLOOKUP(C2122,Products!$A$2:$C$8,3,FALSE),0)</f>
        <v>0</v>
      </c>
    </row>
    <row r="2123" spans="1:10" x14ac:dyDescent="0.25">
      <c r="A2123" t="s">
        <v>2290</v>
      </c>
      <c r="B2123" t="s">
        <v>224</v>
      </c>
      <c r="C2123" t="s">
        <v>120</v>
      </c>
      <c r="D2123" t="s">
        <v>112</v>
      </c>
      <c r="E2123" t="s">
        <v>159</v>
      </c>
      <c r="F2123" s="1">
        <v>42830</v>
      </c>
      <c r="G2123" s="1">
        <v>42954</v>
      </c>
      <c r="H2123">
        <v>0</v>
      </c>
      <c r="I2123" t="str">
        <f>IF(COUNTIF(Products!$A$2:$A$8,C2123)=0,C2123,"")</f>
        <v/>
      </c>
      <c r="J2123">
        <f>IF(OR(E2123="Prospecting",E2123="Engaging"),VLOOKUP(C2123,Products!$A$2:$C$8,3,FALSE),0)</f>
        <v>0</v>
      </c>
    </row>
    <row r="2124" spans="1:10" x14ac:dyDescent="0.25">
      <c r="A2124" t="s">
        <v>2291</v>
      </c>
      <c r="B2124" t="s">
        <v>224</v>
      </c>
      <c r="C2124" t="s">
        <v>122</v>
      </c>
      <c r="D2124" t="s">
        <v>92</v>
      </c>
      <c r="E2124" t="s">
        <v>138</v>
      </c>
      <c r="F2124" s="1">
        <v>42830</v>
      </c>
      <c r="G2124" s="1">
        <v>42905</v>
      </c>
      <c r="H2124">
        <v>4648</v>
      </c>
      <c r="I2124" t="str">
        <f>IF(COUNTIF(Products!$A$2:$A$8,C2124)=0,C2124,"")</f>
        <v/>
      </c>
      <c r="J2124">
        <f>IF(OR(E2124="Prospecting",E2124="Engaging"),VLOOKUP(C2124,Products!$A$2:$C$8,3,FALSE),0)</f>
        <v>0</v>
      </c>
    </row>
    <row r="2125" spans="1:10" x14ac:dyDescent="0.25">
      <c r="A2125" t="s">
        <v>2292</v>
      </c>
      <c r="B2125" t="s">
        <v>224</v>
      </c>
      <c r="C2125" t="s">
        <v>123</v>
      </c>
      <c r="D2125" t="s">
        <v>84</v>
      </c>
      <c r="E2125" t="s">
        <v>138</v>
      </c>
      <c r="F2125" s="1">
        <v>42830</v>
      </c>
      <c r="G2125" s="1">
        <v>42839</v>
      </c>
      <c r="H2125">
        <v>50</v>
      </c>
      <c r="I2125" t="str">
        <f>IF(COUNTIF(Products!$A$2:$A$8,C2125)=0,C2125,"")</f>
        <v/>
      </c>
      <c r="J2125">
        <f>IF(OR(E2125="Prospecting",E2125="Engaging"),VLOOKUP(C2125,Products!$A$2:$C$8,3,FALSE),0)</f>
        <v>0</v>
      </c>
    </row>
    <row r="2126" spans="1:10" x14ac:dyDescent="0.25">
      <c r="A2126" t="s">
        <v>2293</v>
      </c>
      <c r="B2126" t="s">
        <v>158</v>
      </c>
      <c r="C2126" t="s">
        <v>125</v>
      </c>
      <c r="D2126" t="s">
        <v>61</v>
      </c>
      <c r="E2126" t="s">
        <v>159</v>
      </c>
      <c r="F2126" s="1">
        <v>42830</v>
      </c>
      <c r="G2126" s="1">
        <v>42832</v>
      </c>
      <c r="H2126">
        <v>0</v>
      </c>
      <c r="I2126" t="str">
        <f>IF(COUNTIF(Products!$A$2:$A$8,C2126)=0,C2126,"")</f>
        <v/>
      </c>
      <c r="J2126">
        <f>IF(OR(E2126="Prospecting",E2126="Engaging"),VLOOKUP(C2126,Products!$A$2:$C$8,3,FALSE),0)</f>
        <v>0</v>
      </c>
    </row>
    <row r="2127" spans="1:10" x14ac:dyDescent="0.25">
      <c r="A2127" t="s">
        <v>2294</v>
      </c>
      <c r="B2127" t="s">
        <v>154</v>
      </c>
      <c r="C2127" t="s">
        <v>120</v>
      </c>
      <c r="D2127" t="s">
        <v>67</v>
      </c>
      <c r="E2127" t="s">
        <v>159</v>
      </c>
      <c r="F2127" s="1">
        <v>42830</v>
      </c>
      <c r="G2127" s="1">
        <v>42885</v>
      </c>
      <c r="H2127">
        <v>0</v>
      </c>
      <c r="I2127" t="str">
        <f>IF(COUNTIF(Products!$A$2:$A$8,C2127)=0,C2127,"")</f>
        <v/>
      </c>
      <c r="J2127">
        <f>IF(OR(E2127="Prospecting",E2127="Engaging"),VLOOKUP(C2127,Products!$A$2:$C$8,3,FALSE),0)</f>
        <v>0</v>
      </c>
    </row>
    <row r="2128" spans="1:10" x14ac:dyDescent="0.25">
      <c r="A2128" t="s">
        <v>2295</v>
      </c>
      <c r="B2128" t="s">
        <v>154</v>
      </c>
      <c r="C2128" t="s">
        <v>122</v>
      </c>
      <c r="D2128" t="s">
        <v>93</v>
      </c>
      <c r="E2128" t="s">
        <v>159</v>
      </c>
      <c r="F2128" s="1">
        <v>42830</v>
      </c>
      <c r="G2128" s="1">
        <v>42832</v>
      </c>
      <c r="H2128">
        <v>0</v>
      </c>
      <c r="I2128" t="str">
        <f>IF(COUNTIF(Products!$A$2:$A$8,C2128)=0,C2128,"")</f>
        <v/>
      </c>
      <c r="J2128">
        <f>IF(OR(E2128="Prospecting",E2128="Engaging"),VLOOKUP(C2128,Products!$A$2:$C$8,3,FALSE),0)</f>
        <v>0</v>
      </c>
    </row>
    <row r="2129" spans="1:10" x14ac:dyDescent="0.25">
      <c r="A2129" t="s">
        <v>2296</v>
      </c>
      <c r="B2129" t="s">
        <v>303</v>
      </c>
      <c r="C2129" t="s">
        <v>120</v>
      </c>
      <c r="D2129" t="s">
        <v>30</v>
      </c>
      <c r="E2129" t="s">
        <v>159</v>
      </c>
      <c r="F2129" s="1">
        <v>42830</v>
      </c>
      <c r="G2129" s="1">
        <v>42954</v>
      </c>
      <c r="H2129">
        <v>0</v>
      </c>
      <c r="I2129" t="str">
        <f>IF(COUNTIF(Products!$A$2:$A$8,C2129)=0,C2129,"")</f>
        <v/>
      </c>
      <c r="J2129">
        <f>IF(OR(E2129="Prospecting",E2129="Engaging"),VLOOKUP(C2129,Products!$A$2:$C$8,3,FALSE),0)</f>
        <v>0</v>
      </c>
    </row>
    <row r="2130" spans="1:10" x14ac:dyDescent="0.25">
      <c r="A2130" t="s">
        <v>2297</v>
      </c>
      <c r="B2130" t="s">
        <v>303</v>
      </c>
      <c r="C2130" t="s">
        <v>120</v>
      </c>
      <c r="D2130" t="s">
        <v>85</v>
      </c>
      <c r="E2130" t="s">
        <v>138</v>
      </c>
      <c r="F2130" s="1">
        <v>42830</v>
      </c>
      <c r="G2130" s="1">
        <v>42867</v>
      </c>
      <c r="H2130">
        <v>505</v>
      </c>
      <c r="I2130" t="str">
        <f>IF(COUNTIF(Products!$A$2:$A$8,C2130)=0,C2130,"")</f>
        <v/>
      </c>
      <c r="J2130">
        <f>IF(OR(E2130="Prospecting",E2130="Engaging"),VLOOKUP(C2130,Products!$A$2:$C$8,3,FALSE),0)</f>
        <v>0</v>
      </c>
    </row>
    <row r="2131" spans="1:10" x14ac:dyDescent="0.25">
      <c r="A2131" t="s">
        <v>2298</v>
      </c>
      <c r="B2131" t="s">
        <v>191</v>
      </c>
      <c r="C2131" t="s">
        <v>122</v>
      </c>
      <c r="D2131" t="s">
        <v>34</v>
      </c>
      <c r="E2131" t="s">
        <v>159</v>
      </c>
      <c r="F2131" s="1">
        <v>42830</v>
      </c>
      <c r="G2131" s="1">
        <v>42840</v>
      </c>
      <c r="H2131">
        <v>0</v>
      </c>
      <c r="I2131" t="str">
        <f>IF(COUNTIF(Products!$A$2:$A$8,C2131)=0,C2131,"")</f>
        <v/>
      </c>
      <c r="J2131">
        <f>IF(OR(E2131="Prospecting",E2131="Engaging"),VLOOKUP(C2131,Products!$A$2:$C$8,3,FALSE),0)</f>
        <v>0</v>
      </c>
    </row>
    <row r="2132" spans="1:10" x14ac:dyDescent="0.25">
      <c r="A2132" t="s">
        <v>2299</v>
      </c>
      <c r="B2132" t="s">
        <v>191</v>
      </c>
      <c r="C2132" t="s">
        <v>120</v>
      </c>
      <c r="D2132" t="s">
        <v>57</v>
      </c>
      <c r="E2132" t="s">
        <v>138</v>
      </c>
      <c r="F2132" s="1">
        <v>42830</v>
      </c>
      <c r="G2132" s="1">
        <v>42831</v>
      </c>
      <c r="H2132">
        <v>450</v>
      </c>
      <c r="I2132" t="str">
        <f>IF(COUNTIF(Products!$A$2:$A$8,C2132)=0,C2132,"")</f>
        <v/>
      </c>
      <c r="J2132">
        <f>IF(OR(E2132="Prospecting",E2132="Engaging"),VLOOKUP(C2132,Products!$A$2:$C$8,3,FALSE),0)</f>
        <v>0</v>
      </c>
    </row>
    <row r="2133" spans="1:10" x14ac:dyDescent="0.25">
      <c r="A2133" t="s">
        <v>2300</v>
      </c>
      <c r="B2133" t="s">
        <v>191</v>
      </c>
      <c r="C2133" t="s">
        <v>126</v>
      </c>
      <c r="D2133" t="s">
        <v>17</v>
      </c>
      <c r="E2133" t="s">
        <v>138</v>
      </c>
      <c r="F2133" s="1">
        <v>42830</v>
      </c>
      <c r="G2133" s="1">
        <v>42876</v>
      </c>
      <c r="H2133">
        <v>4983</v>
      </c>
      <c r="I2133" t="str">
        <f>IF(COUNTIF(Products!$A$2:$A$8,C2133)=0,C2133,"")</f>
        <v/>
      </c>
      <c r="J2133">
        <f>IF(OR(E2133="Prospecting",E2133="Engaging"),VLOOKUP(C2133,Products!$A$2:$C$8,3,FALSE),0)</f>
        <v>0</v>
      </c>
    </row>
    <row r="2134" spans="1:10" x14ac:dyDescent="0.25">
      <c r="A2134" t="s">
        <v>2301</v>
      </c>
      <c r="B2134" t="s">
        <v>217</v>
      </c>
      <c r="C2134" t="s">
        <v>127</v>
      </c>
      <c r="D2134" t="s">
        <v>88</v>
      </c>
      <c r="E2134" t="s">
        <v>138</v>
      </c>
      <c r="F2134" s="1">
        <v>42830</v>
      </c>
      <c r="G2134" s="1">
        <v>42905</v>
      </c>
      <c r="H2134">
        <v>1140</v>
      </c>
      <c r="I2134" t="str">
        <f>IF(COUNTIF(Products!$A$2:$A$8,C2134)=0,C2134,"")</f>
        <v/>
      </c>
      <c r="J2134">
        <f>IF(OR(E2134="Prospecting",E2134="Engaging"),VLOOKUP(C2134,Products!$A$2:$C$8,3,FALSE),0)</f>
        <v>0</v>
      </c>
    </row>
    <row r="2135" spans="1:10" x14ac:dyDescent="0.25">
      <c r="A2135" t="s">
        <v>2302</v>
      </c>
      <c r="B2135" t="s">
        <v>150</v>
      </c>
      <c r="C2135" t="s">
        <v>123</v>
      </c>
      <c r="E2135" t="s">
        <v>155</v>
      </c>
      <c r="F2135" s="1">
        <v>42830</v>
      </c>
      <c r="I2135" t="str">
        <f>IF(COUNTIF(Products!$A$2:$A$8,C2135)=0,C2135,"")</f>
        <v/>
      </c>
      <c r="J2135">
        <f>IF(OR(E2135="Prospecting",E2135="Engaging"),VLOOKUP(C2135,Products!$A$2:$C$8,3,FALSE),0)</f>
        <v>55</v>
      </c>
    </row>
    <row r="2136" spans="1:10" x14ac:dyDescent="0.25">
      <c r="A2136" t="s">
        <v>2303</v>
      </c>
      <c r="B2136" t="s">
        <v>150</v>
      </c>
      <c r="C2136" t="s">
        <v>127</v>
      </c>
      <c r="D2136" t="s">
        <v>39</v>
      </c>
      <c r="E2136" t="s">
        <v>159</v>
      </c>
      <c r="F2136" s="1">
        <v>42830</v>
      </c>
      <c r="G2136" s="1">
        <v>42832</v>
      </c>
      <c r="H2136">
        <v>0</v>
      </c>
      <c r="I2136" t="str">
        <f>IF(COUNTIF(Products!$A$2:$A$8,C2136)=0,C2136,"")</f>
        <v/>
      </c>
      <c r="J2136">
        <f>IF(OR(E2136="Prospecting",E2136="Engaging"),VLOOKUP(C2136,Products!$A$2:$C$8,3,FALSE),0)</f>
        <v>0</v>
      </c>
    </row>
    <row r="2137" spans="1:10" x14ac:dyDescent="0.25">
      <c r="A2137" t="s">
        <v>2304</v>
      </c>
      <c r="B2137" t="s">
        <v>150</v>
      </c>
      <c r="C2137" t="s">
        <v>125</v>
      </c>
      <c r="D2137" t="s">
        <v>66</v>
      </c>
      <c r="E2137" t="s">
        <v>138</v>
      </c>
      <c r="F2137" s="1">
        <v>42830</v>
      </c>
      <c r="G2137" s="1">
        <v>42908</v>
      </c>
      <c r="H2137">
        <v>3188</v>
      </c>
      <c r="I2137" t="str">
        <f>IF(COUNTIF(Products!$A$2:$A$8,C2137)=0,C2137,"")</f>
        <v/>
      </c>
      <c r="J2137">
        <f>IF(OR(E2137="Prospecting",E2137="Engaging"),VLOOKUP(C2137,Products!$A$2:$C$8,3,FALSE),0)</f>
        <v>0</v>
      </c>
    </row>
    <row r="2138" spans="1:10" x14ac:dyDescent="0.25">
      <c r="A2138" t="s">
        <v>2305</v>
      </c>
      <c r="B2138" t="s">
        <v>193</v>
      </c>
      <c r="C2138" t="s">
        <v>120</v>
      </c>
      <c r="D2138" t="s">
        <v>92</v>
      </c>
      <c r="E2138" t="s">
        <v>159</v>
      </c>
      <c r="F2138" s="1">
        <v>42830</v>
      </c>
      <c r="G2138" s="1">
        <v>42831</v>
      </c>
      <c r="H2138">
        <v>0</v>
      </c>
      <c r="I2138" t="str">
        <f>IF(COUNTIF(Products!$A$2:$A$8,C2138)=0,C2138,"")</f>
        <v/>
      </c>
      <c r="J2138">
        <f>IF(OR(E2138="Prospecting",E2138="Engaging"),VLOOKUP(C2138,Products!$A$2:$C$8,3,FALSE),0)</f>
        <v>0</v>
      </c>
    </row>
    <row r="2139" spans="1:10" x14ac:dyDescent="0.25">
      <c r="A2139" t="s">
        <v>2306</v>
      </c>
      <c r="B2139" t="s">
        <v>193</v>
      </c>
      <c r="C2139" t="s">
        <v>127</v>
      </c>
      <c r="D2139" t="s">
        <v>108</v>
      </c>
      <c r="E2139" t="s">
        <v>138</v>
      </c>
      <c r="F2139" s="1">
        <v>42830</v>
      </c>
      <c r="G2139" s="1">
        <v>42949</v>
      </c>
      <c r="H2139">
        <v>1091</v>
      </c>
      <c r="I2139" t="str">
        <f>IF(COUNTIF(Products!$A$2:$A$8,C2139)=0,C2139,"")</f>
        <v/>
      </c>
      <c r="J2139">
        <f>IF(OR(E2139="Prospecting",E2139="Engaging"),VLOOKUP(C2139,Products!$A$2:$C$8,3,FALSE),0)</f>
        <v>0</v>
      </c>
    </row>
    <row r="2140" spans="1:10" x14ac:dyDescent="0.25">
      <c r="A2140" t="s">
        <v>2307</v>
      </c>
      <c r="B2140" t="s">
        <v>193</v>
      </c>
      <c r="C2140" t="s">
        <v>126</v>
      </c>
      <c r="D2140" t="s">
        <v>16</v>
      </c>
      <c r="E2140" t="s">
        <v>138</v>
      </c>
      <c r="F2140" s="1">
        <v>42830</v>
      </c>
      <c r="G2140" s="1">
        <v>42837</v>
      </c>
      <c r="H2140">
        <v>5095</v>
      </c>
      <c r="I2140" t="str">
        <f>IF(COUNTIF(Products!$A$2:$A$8,C2140)=0,C2140,"")</f>
        <v/>
      </c>
      <c r="J2140">
        <f>IF(OR(E2140="Prospecting",E2140="Engaging"),VLOOKUP(C2140,Products!$A$2:$C$8,3,FALSE),0)</f>
        <v>0</v>
      </c>
    </row>
    <row r="2141" spans="1:10" x14ac:dyDescent="0.25">
      <c r="A2141" t="s">
        <v>2308</v>
      </c>
      <c r="B2141" t="s">
        <v>193</v>
      </c>
      <c r="C2141" t="s">
        <v>123</v>
      </c>
      <c r="D2141" t="s">
        <v>27</v>
      </c>
      <c r="E2141" t="s">
        <v>138</v>
      </c>
      <c r="F2141" s="1">
        <v>42830</v>
      </c>
      <c r="G2141" s="1">
        <v>42949</v>
      </c>
      <c r="H2141">
        <v>51</v>
      </c>
      <c r="I2141" t="str">
        <f>IF(COUNTIF(Products!$A$2:$A$8,C2141)=0,C2141,"")</f>
        <v/>
      </c>
      <c r="J2141">
        <f>IF(OR(E2141="Prospecting",E2141="Engaging"),VLOOKUP(C2141,Products!$A$2:$C$8,3,FALSE),0)</f>
        <v>0</v>
      </c>
    </row>
    <row r="2142" spans="1:10" x14ac:dyDescent="0.25">
      <c r="A2142" t="s">
        <v>2309</v>
      </c>
      <c r="B2142" t="s">
        <v>166</v>
      </c>
      <c r="C2142" t="s">
        <v>123</v>
      </c>
      <c r="D2142" t="s">
        <v>57</v>
      </c>
      <c r="E2142" t="s">
        <v>138</v>
      </c>
      <c r="F2142" s="1">
        <v>42830</v>
      </c>
      <c r="G2142" s="1">
        <v>42905</v>
      </c>
      <c r="H2142">
        <v>62</v>
      </c>
      <c r="I2142" t="str">
        <f>IF(COUNTIF(Products!$A$2:$A$8,C2142)=0,C2142,"")</f>
        <v/>
      </c>
      <c r="J2142">
        <f>IF(OR(E2142="Prospecting",E2142="Engaging"),VLOOKUP(C2142,Products!$A$2:$C$8,3,FALSE),0)</f>
        <v>0</v>
      </c>
    </row>
    <row r="2143" spans="1:10" x14ac:dyDescent="0.25">
      <c r="A2143" t="s">
        <v>2310</v>
      </c>
      <c r="B2143" t="s">
        <v>148</v>
      </c>
      <c r="C2143" t="s">
        <v>120</v>
      </c>
      <c r="D2143" t="s">
        <v>114</v>
      </c>
      <c r="E2143" t="s">
        <v>138</v>
      </c>
      <c r="F2143" s="1">
        <v>42830</v>
      </c>
      <c r="G2143" s="1">
        <v>42914</v>
      </c>
      <c r="H2143">
        <v>550</v>
      </c>
      <c r="I2143" t="str">
        <f>IF(COUNTIF(Products!$A$2:$A$8,C2143)=0,C2143,"")</f>
        <v/>
      </c>
      <c r="J2143">
        <f>IF(OR(E2143="Prospecting",E2143="Engaging"),VLOOKUP(C2143,Products!$A$2:$C$8,3,FALSE),0)</f>
        <v>0</v>
      </c>
    </row>
    <row r="2144" spans="1:10" x14ac:dyDescent="0.25">
      <c r="A2144" t="s">
        <v>2311</v>
      </c>
      <c r="B2144" t="s">
        <v>177</v>
      </c>
      <c r="C2144" t="s">
        <v>123</v>
      </c>
      <c r="D2144" t="s">
        <v>50</v>
      </c>
      <c r="E2144" t="s">
        <v>138</v>
      </c>
      <c r="F2144" s="1">
        <v>42830</v>
      </c>
      <c r="G2144" s="1">
        <v>42832</v>
      </c>
      <c r="H2144">
        <v>45</v>
      </c>
      <c r="I2144" t="str">
        <f>IF(COUNTIF(Products!$A$2:$A$8,C2144)=0,C2144,"")</f>
        <v/>
      </c>
      <c r="J2144">
        <f>IF(OR(E2144="Prospecting",E2144="Engaging"),VLOOKUP(C2144,Products!$A$2:$C$8,3,FALSE),0)</f>
        <v>0</v>
      </c>
    </row>
    <row r="2145" spans="1:10" x14ac:dyDescent="0.25">
      <c r="A2145" t="s">
        <v>2312</v>
      </c>
      <c r="B2145" t="s">
        <v>144</v>
      </c>
      <c r="C2145" t="s">
        <v>120</v>
      </c>
      <c r="E2145" t="s">
        <v>155</v>
      </c>
      <c r="F2145" s="1">
        <v>42830</v>
      </c>
      <c r="I2145" t="str">
        <f>IF(COUNTIF(Products!$A$2:$A$8,C2145)=0,C2145,"")</f>
        <v/>
      </c>
      <c r="J2145">
        <f>IF(OR(E2145="Prospecting",E2145="Engaging"),VLOOKUP(C2145,Products!$A$2:$C$8,3,FALSE),0)</f>
        <v>550</v>
      </c>
    </row>
    <row r="2146" spans="1:10" x14ac:dyDescent="0.25">
      <c r="A2146" t="s">
        <v>2313</v>
      </c>
      <c r="B2146" t="s">
        <v>146</v>
      </c>
      <c r="C2146" t="s">
        <v>120</v>
      </c>
      <c r="D2146" t="s">
        <v>36</v>
      </c>
      <c r="E2146" t="s">
        <v>138</v>
      </c>
      <c r="F2146" s="1">
        <v>42831</v>
      </c>
      <c r="G2146" s="1">
        <v>42895</v>
      </c>
      <c r="H2146">
        <v>527</v>
      </c>
      <c r="I2146" t="str">
        <f>IF(COUNTIF(Products!$A$2:$A$8,C2146)=0,C2146,"")</f>
        <v/>
      </c>
      <c r="J2146">
        <f>IF(OR(E2146="Prospecting",E2146="Engaging"),VLOOKUP(C2146,Products!$A$2:$C$8,3,FALSE),0)</f>
        <v>0</v>
      </c>
    </row>
    <row r="2147" spans="1:10" x14ac:dyDescent="0.25">
      <c r="A2147" t="s">
        <v>2314</v>
      </c>
      <c r="B2147" t="s">
        <v>207</v>
      </c>
      <c r="C2147" t="s">
        <v>120</v>
      </c>
      <c r="D2147" t="s">
        <v>68</v>
      </c>
      <c r="E2147" t="s">
        <v>159</v>
      </c>
      <c r="F2147" s="1">
        <v>42831</v>
      </c>
      <c r="G2147" s="1">
        <v>42840</v>
      </c>
      <c r="H2147">
        <v>0</v>
      </c>
      <c r="I2147" t="str">
        <f>IF(COUNTIF(Products!$A$2:$A$8,C2147)=0,C2147,"")</f>
        <v/>
      </c>
      <c r="J2147">
        <f>IF(OR(E2147="Prospecting",E2147="Engaging"),VLOOKUP(C2147,Products!$A$2:$C$8,3,FALSE),0)</f>
        <v>0</v>
      </c>
    </row>
    <row r="2148" spans="1:10" x14ac:dyDescent="0.25">
      <c r="A2148" t="s">
        <v>2315</v>
      </c>
      <c r="B2148" t="s">
        <v>207</v>
      </c>
      <c r="C2148" t="s">
        <v>127</v>
      </c>
      <c r="D2148" t="s">
        <v>108</v>
      </c>
      <c r="E2148" t="s">
        <v>159</v>
      </c>
      <c r="F2148" s="1">
        <v>42831</v>
      </c>
      <c r="G2148" s="1">
        <v>42885</v>
      </c>
      <c r="H2148">
        <v>0</v>
      </c>
      <c r="I2148" t="str">
        <f>IF(COUNTIF(Products!$A$2:$A$8,C2148)=0,C2148,"")</f>
        <v/>
      </c>
      <c r="J2148">
        <f>IF(OR(E2148="Prospecting",E2148="Engaging"),VLOOKUP(C2148,Products!$A$2:$C$8,3,FALSE),0)</f>
        <v>0</v>
      </c>
    </row>
    <row r="2149" spans="1:10" x14ac:dyDescent="0.25">
      <c r="A2149" t="s">
        <v>2316</v>
      </c>
      <c r="B2149" t="s">
        <v>171</v>
      </c>
      <c r="C2149" t="s">
        <v>125</v>
      </c>
      <c r="E2149" t="s">
        <v>155</v>
      </c>
      <c r="F2149" s="1">
        <v>42831</v>
      </c>
      <c r="I2149" t="str">
        <f>IF(COUNTIF(Products!$A$2:$A$8,C2149)=0,C2149,"")</f>
        <v/>
      </c>
      <c r="J2149">
        <f>IF(OR(E2149="Prospecting",E2149="Engaging"),VLOOKUP(C2149,Products!$A$2:$C$8,3,FALSE),0)</f>
        <v>3393</v>
      </c>
    </row>
    <row r="2150" spans="1:10" x14ac:dyDescent="0.25">
      <c r="A2150" t="s">
        <v>2317</v>
      </c>
      <c r="B2150" t="s">
        <v>140</v>
      </c>
      <c r="C2150" t="s">
        <v>125</v>
      </c>
      <c r="D2150" t="s">
        <v>33</v>
      </c>
      <c r="E2150" t="s">
        <v>159</v>
      </c>
      <c r="F2150" s="1">
        <v>42831</v>
      </c>
      <c r="G2150" s="1">
        <v>42833</v>
      </c>
      <c r="H2150">
        <v>0</v>
      </c>
      <c r="I2150" t="str">
        <f>IF(COUNTIF(Products!$A$2:$A$8,C2150)=0,C2150,"")</f>
        <v/>
      </c>
      <c r="J2150">
        <f>IF(OR(E2150="Prospecting",E2150="Engaging"),VLOOKUP(C2150,Products!$A$2:$C$8,3,FALSE),0)</f>
        <v>0</v>
      </c>
    </row>
    <row r="2151" spans="1:10" x14ac:dyDescent="0.25">
      <c r="A2151" t="s">
        <v>2318</v>
      </c>
      <c r="B2151" t="s">
        <v>140</v>
      </c>
      <c r="C2151" t="s">
        <v>123</v>
      </c>
      <c r="D2151" t="s">
        <v>89</v>
      </c>
      <c r="E2151" t="s">
        <v>138</v>
      </c>
      <c r="F2151" s="1">
        <v>42831</v>
      </c>
      <c r="G2151" s="1">
        <v>42839</v>
      </c>
      <c r="H2151">
        <v>64</v>
      </c>
      <c r="I2151" t="str">
        <f>IF(COUNTIF(Products!$A$2:$A$8,C2151)=0,C2151,"")</f>
        <v/>
      </c>
      <c r="J2151">
        <f>IF(OR(E2151="Prospecting",E2151="Engaging"),VLOOKUP(C2151,Products!$A$2:$C$8,3,FALSE),0)</f>
        <v>0</v>
      </c>
    </row>
    <row r="2152" spans="1:10" x14ac:dyDescent="0.25">
      <c r="A2152" t="s">
        <v>2319</v>
      </c>
      <c r="B2152" t="s">
        <v>224</v>
      </c>
      <c r="C2152" t="s">
        <v>125</v>
      </c>
      <c r="D2152" t="s">
        <v>84</v>
      </c>
      <c r="E2152" t="s">
        <v>138</v>
      </c>
      <c r="F2152" s="1">
        <v>42831</v>
      </c>
      <c r="G2152" s="1">
        <v>42840</v>
      </c>
      <c r="H2152">
        <v>3655</v>
      </c>
      <c r="I2152" t="str">
        <f>IF(COUNTIF(Products!$A$2:$A$8,C2152)=0,C2152,"")</f>
        <v/>
      </c>
      <c r="J2152">
        <f>IF(OR(E2152="Prospecting",E2152="Engaging"),VLOOKUP(C2152,Products!$A$2:$C$8,3,FALSE),0)</f>
        <v>0</v>
      </c>
    </row>
    <row r="2153" spans="1:10" x14ac:dyDescent="0.25">
      <c r="A2153" t="s">
        <v>2320</v>
      </c>
      <c r="B2153" t="s">
        <v>173</v>
      </c>
      <c r="C2153" t="s">
        <v>128</v>
      </c>
      <c r="E2153" t="s">
        <v>155</v>
      </c>
      <c r="F2153" s="1">
        <v>42831</v>
      </c>
      <c r="I2153" t="str">
        <f>IF(COUNTIF(Products!$A$2:$A$8,C2153)=0,C2153,"")</f>
        <v/>
      </c>
      <c r="J2153">
        <f>IF(OR(E2153="Prospecting",E2153="Engaging"),VLOOKUP(C2153,Products!$A$2:$C$8,3,FALSE),0)</f>
        <v>26768</v>
      </c>
    </row>
    <row r="2154" spans="1:10" x14ac:dyDescent="0.25">
      <c r="A2154" t="s">
        <v>2321</v>
      </c>
      <c r="B2154" t="s">
        <v>173</v>
      </c>
      <c r="C2154" t="s">
        <v>123</v>
      </c>
      <c r="E2154" t="s">
        <v>155</v>
      </c>
      <c r="F2154" s="1">
        <v>42831</v>
      </c>
      <c r="I2154" t="str">
        <f>IF(COUNTIF(Products!$A$2:$A$8,C2154)=0,C2154,"")</f>
        <v/>
      </c>
      <c r="J2154">
        <f>IF(OR(E2154="Prospecting",E2154="Engaging"),VLOOKUP(C2154,Products!$A$2:$C$8,3,FALSE),0)</f>
        <v>55</v>
      </c>
    </row>
    <row r="2155" spans="1:10" x14ac:dyDescent="0.25">
      <c r="A2155" t="s">
        <v>2322</v>
      </c>
      <c r="B2155" t="s">
        <v>158</v>
      </c>
      <c r="C2155" t="s">
        <v>123</v>
      </c>
      <c r="D2155" t="s">
        <v>14</v>
      </c>
      <c r="E2155" t="s">
        <v>159</v>
      </c>
      <c r="F2155" s="1">
        <v>42831</v>
      </c>
      <c r="G2155" s="1">
        <v>42841</v>
      </c>
      <c r="H2155">
        <v>0</v>
      </c>
      <c r="I2155" t="str">
        <f>IF(COUNTIF(Products!$A$2:$A$8,C2155)=0,C2155,"")</f>
        <v/>
      </c>
      <c r="J2155">
        <f>IF(OR(E2155="Prospecting",E2155="Engaging"),VLOOKUP(C2155,Products!$A$2:$C$8,3,FALSE),0)</f>
        <v>0</v>
      </c>
    </row>
    <row r="2156" spans="1:10" x14ac:dyDescent="0.25">
      <c r="A2156" t="s">
        <v>2323</v>
      </c>
      <c r="B2156" t="s">
        <v>158</v>
      </c>
      <c r="C2156" t="s">
        <v>125</v>
      </c>
      <c r="D2156" t="s">
        <v>89</v>
      </c>
      <c r="E2156" t="s">
        <v>159</v>
      </c>
      <c r="F2156" s="1">
        <v>42831</v>
      </c>
      <c r="G2156" s="1">
        <v>42838</v>
      </c>
      <c r="H2156">
        <v>0</v>
      </c>
      <c r="I2156" t="str">
        <f>IF(COUNTIF(Products!$A$2:$A$8,C2156)=0,C2156,"")</f>
        <v/>
      </c>
      <c r="J2156">
        <f>IF(OR(E2156="Prospecting",E2156="Engaging"),VLOOKUP(C2156,Products!$A$2:$C$8,3,FALSE),0)</f>
        <v>0</v>
      </c>
    </row>
    <row r="2157" spans="1:10" x14ac:dyDescent="0.25">
      <c r="A2157" t="s">
        <v>2324</v>
      </c>
      <c r="B2157" t="s">
        <v>164</v>
      </c>
      <c r="C2157" t="s">
        <v>125</v>
      </c>
      <c r="E2157" t="s">
        <v>155</v>
      </c>
      <c r="F2157" s="1">
        <v>42831</v>
      </c>
      <c r="I2157" t="str">
        <f>IF(COUNTIF(Products!$A$2:$A$8,C2157)=0,C2157,"")</f>
        <v/>
      </c>
      <c r="J2157">
        <f>IF(OR(E2157="Prospecting",E2157="Engaging"),VLOOKUP(C2157,Products!$A$2:$C$8,3,FALSE),0)</f>
        <v>3393</v>
      </c>
    </row>
    <row r="2158" spans="1:10" x14ac:dyDescent="0.25">
      <c r="A2158" t="s">
        <v>2325</v>
      </c>
      <c r="B2158" t="s">
        <v>154</v>
      </c>
      <c r="C2158" t="s">
        <v>120</v>
      </c>
      <c r="D2158" t="s">
        <v>44</v>
      </c>
      <c r="E2158" t="s">
        <v>138</v>
      </c>
      <c r="F2158" s="1">
        <v>42831</v>
      </c>
      <c r="G2158" s="1">
        <v>42876</v>
      </c>
      <c r="H2158">
        <v>561</v>
      </c>
      <c r="I2158" t="str">
        <f>IF(COUNTIF(Products!$A$2:$A$8,C2158)=0,C2158,"")</f>
        <v/>
      </c>
      <c r="J2158">
        <f>IF(OR(E2158="Prospecting",E2158="Engaging"),VLOOKUP(C2158,Products!$A$2:$C$8,3,FALSE),0)</f>
        <v>0</v>
      </c>
    </row>
    <row r="2159" spans="1:10" x14ac:dyDescent="0.25">
      <c r="A2159" t="s">
        <v>2326</v>
      </c>
      <c r="B2159" t="s">
        <v>180</v>
      </c>
      <c r="C2159" t="s">
        <v>127</v>
      </c>
      <c r="E2159" t="s">
        <v>155</v>
      </c>
      <c r="F2159" s="1">
        <v>42831</v>
      </c>
      <c r="I2159" t="str">
        <f>IF(COUNTIF(Products!$A$2:$A$8,C2159)=0,C2159,"")</f>
        <v/>
      </c>
      <c r="J2159">
        <f>IF(OR(E2159="Prospecting",E2159="Engaging"),VLOOKUP(C2159,Products!$A$2:$C$8,3,FALSE),0)</f>
        <v>1096</v>
      </c>
    </row>
    <row r="2160" spans="1:10" x14ac:dyDescent="0.25">
      <c r="A2160" t="s">
        <v>2327</v>
      </c>
      <c r="B2160" t="s">
        <v>191</v>
      </c>
      <c r="C2160" t="s">
        <v>120</v>
      </c>
      <c r="D2160" t="s">
        <v>60</v>
      </c>
      <c r="E2160" t="s">
        <v>159</v>
      </c>
      <c r="F2160" s="1">
        <v>42831</v>
      </c>
      <c r="G2160" s="1">
        <v>42953</v>
      </c>
      <c r="H2160">
        <v>0</v>
      </c>
      <c r="I2160" t="str">
        <f>IF(COUNTIF(Products!$A$2:$A$8,C2160)=0,C2160,"")</f>
        <v/>
      </c>
      <c r="J2160">
        <f>IF(OR(E2160="Prospecting",E2160="Engaging"),VLOOKUP(C2160,Products!$A$2:$C$8,3,FALSE),0)</f>
        <v>0</v>
      </c>
    </row>
    <row r="2161" spans="1:10" x14ac:dyDescent="0.25">
      <c r="A2161" t="s">
        <v>2328</v>
      </c>
      <c r="B2161" t="s">
        <v>191</v>
      </c>
      <c r="C2161" t="s">
        <v>127</v>
      </c>
      <c r="D2161" t="s">
        <v>39</v>
      </c>
      <c r="E2161" t="s">
        <v>159</v>
      </c>
      <c r="F2161" s="1">
        <v>42831</v>
      </c>
      <c r="G2161" s="1">
        <v>42841</v>
      </c>
      <c r="H2161">
        <v>0</v>
      </c>
      <c r="I2161" t="str">
        <f>IF(COUNTIF(Products!$A$2:$A$8,C2161)=0,C2161,"")</f>
        <v/>
      </c>
      <c r="J2161">
        <f>IF(OR(E2161="Prospecting",E2161="Engaging"),VLOOKUP(C2161,Products!$A$2:$C$8,3,FALSE),0)</f>
        <v>0</v>
      </c>
    </row>
    <row r="2162" spans="1:10" x14ac:dyDescent="0.25">
      <c r="A2162" t="s">
        <v>2329</v>
      </c>
      <c r="B2162" t="s">
        <v>191</v>
      </c>
      <c r="C2162" t="s">
        <v>126</v>
      </c>
      <c r="D2162" t="s">
        <v>82</v>
      </c>
      <c r="E2162" t="s">
        <v>138</v>
      </c>
      <c r="F2162" s="1">
        <v>42831</v>
      </c>
      <c r="G2162" s="1">
        <v>42832</v>
      </c>
      <c r="H2162">
        <v>6154</v>
      </c>
      <c r="I2162" t="str">
        <f>IF(COUNTIF(Products!$A$2:$A$8,C2162)=0,C2162,"")</f>
        <v/>
      </c>
      <c r="J2162">
        <f>IF(OR(E2162="Prospecting",E2162="Engaging"),VLOOKUP(C2162,Products!$A$2:$C$8,3,FALSE),0)</f>
        <v>0</v>
      </c>
    </row>
    <row r="2163" spans="1:10" x14ac:dyDescent="0.25">
      <c r="A2163" t="s">
        <v>2330</v>
      </c>
      <c r="B2163" t="s">
        <v>191</v>
      </c>
      <c r="C2163" t="s">
        <v>122</v>
      </c>
      <c r="D2163" t="s">
        <v>23</v>
      </c>
      <c r="E2163" t="s">
        <v>138</v>
      </c>
      <c r="F2163" s="1">
        <v>42831</v>
      </c>
      <c r="G2163" s="1">
        <v>42837</v>
      </c>
      <c r="H2163">
        <v>4756</v>
      </c>
      <c r="I2163" t="str">
        <f>IF(COUNTIF(Products!$A$2:$A$8,C2163)=0,C2163,"")</f>
        <v/>
      </c>
      <c r="J2163">
        <f>IF(OR(E2163="Prospecting",E2163="Engaging"),VLOOKUP(C2163,Products!$A$2:$C$8,3,FALSE),0)</f>
        <v>0</v>
      </c>
    </row>
    <row r="2164" spans="1:10" x14ac:dyDescent="0.25">
      <c r="A2164" t="s">
        <v>2331</v>
      </c>
      <c r="B2164" t="s">
        <v>217</v>
      </c>
      <c r="C2164" t="s">
        <v>120</v>
      </c>
      <c r="D2164" t="s">
        <v>96</v>
      </c>
      <c r="E2164" t="s">
        <v>159</v>
      </c>
      <c r="F2164" s="1">
        <v>42831</v>
      </c>
      <c r="G2164" s="1">
        <v>42839</v>
      </c>
      <c r="H2164">
        <v>0</v>
      </c>
      <c r="I2164" t="str">
        <f>IF(COUNTIF(Products!$A$2:$A$8,C2164)=0,C2164,"")</f>
        <v/>
      </c>
      <c r="J2164">
        <f>IF(OR(E2164="Prospecting",E2164="Engaging"),VLOOKUP(C2164,Products!$A$2:$C$8,3,FALSE),0)</f>
        <v>0</v>
      </c>
    </row>
    <row r="2165" spans="1:10" x14ac:dyDescent="0.25">
      <c r="A2165" t="s">
        <v>2332</v>
      </c>
      <c r="B2165" t="s">
        <v>217</v>
      </c>
      <c r="C2165" t="s">
        <v>123</v>
      </c>
      <c r="D2165" t="s">
        <v>55</v>
      </c>
      <c r="E2165" t="s">
        <v>138</v>
      </c>
      <c r="F2165" s="1">
        <v>42831</v>
      </c>
      <c r="G2165" s="1">
        <v>42885</v>
      </c>
      <c r="H2165">
        <v>61</v>
      </c>
      <c r="I2165" t="str">
        <f>IF(COUNTIF(Products!$A$2:$A$8,C2165)=0,C2165,"")</f>
        <v/>
      </c>
      <c r="J2165">
        <f>IF(OR(E2165="Prospecting",E2165="Engaging"),VLOOKUP(C2165,Products!$A$2:$C$8,3,FALSE),0)</f>
        <v>0</v>
      </c>
    </row>
    <row r="2166" spans="1:10" x14ac:dyDescent="0.25">
      <c r="A2166" t="s">
        <v>2333</v>
      </c>
      <c r="B2166" t="s">
        <v>137</v>
      </c>
      <c r="C2166" t="s">
        <v>120</v>
      </c>
      <c r="D2166" t="s">
        <v>77</v>
      </c>
      <c r="E2166" t="s">
        <v>138</v>
      </c>
      <c r="F2166" s="1">
        <v>42831</v>
      </c>
      <c r="G2166" s="1">
        <v>42910</v>
      </c>
      <c r="H2166">
        <v>575</v>
      </c>
      <c r="I2166" t="str">
        <f>IF(COUNTIF(Products!$A$2:$A$8,C2166)=0,C2166,"")</f>
        <v/>
      </c>
      <c r="J2166">
        <f>IF(OR(E2166="Prospecting",E2166="Engaging"),VLOOKUP(C2166,Products!$A$2:$C$8,3,FALSE),0)</f>
        <v>0</v>
      </c>
    </row>
    <row r="2167" spans="1:10" x14ac:dyDescent="0.25">
      <c r="A2167" t="s">
        <v>2334</v>
      </c>
      <c r="B2167" t="s">
        <v>137</v>
      </c>
      <c r="C2167" t="s">
        <v>127</v>
      </c>
      <c r="D2167" t="s">
        <v>42</v>
      </c>
      <c r="E2167" t="s">
        <v>138</v>
      </c>
      <c r="F2167" s="1">
        <v>42831</v>
      </c>
      <c r="G2167" s="1">
        <v>42877</v>
      </c>
      <c r="H2167">
        <v>1147</v>
      </c>
      <c r="I2167" t="str">
        <f>IF(COUNTIF(Products!$A$2:$A$8,C2167)=0,C2167,"")</f>
        <v/>
      </c>
      <c r="J2167">
        <f>IF(OR(E2167="Prospecting",E2167="Engaging"),VLOOKUP(C2167,Products!$A$2:$C$8,3,FALSE),0)</f>
        <v>0</v>
      </c>
    </row>
    <row r="2168" spans="1:10" x14ac:dyDescent="0.25">
      <c r="A2168" t="s">
        <v>2335</v>
      </c>
      <c r="B2168" t="s">
        <v>137</v>
      </c>
      <c r="C2168" t="s">
        <v>125</v>
      </c>
      <c r="D2168" t="s">
        <v>46</v>
      </c>
      <c r="E2168" t="s">
        <v>138</v>
      </c>
      <c r="F2168" s="1">
        <v>42831</v>
      </c>
      <c r="G2168" s="1">
        <v>42898</v>
      </c>
      <c r="H2168">
        <v>3161</v>
      </c>
      <c r="I2168" t="str">
        <f>IF(COUNTIF(Products!$A$2:$A$8,C2168)=0,C2168,"")</f>
        <v/>
      </c>
      <c r="J2168">
        <f>IF(OR(E2168="Prospecting",E2168="Engaging"),VLOOKUP(C2168,Products!$A$2:$C$8,3,FALSE),0)</f>
        <v>0</v>
      </c>
    </row>
    <row r="2169" spans="1:10" x14ac:dyDescent="0.25">
      <c r="A2169" t="s">
        <v>2336</v>
      </c>
      <c r="B2169" t="s">
        <v>152</v>
      </c>
      <c r="C2169" t="s">
        <v>120</v>
      </c>
      <c r="D2169" t="s">
        <v>64</v>
      </c>
      <c r="E2169" t="s">
        <v>159</v>
      </c>
      <c r="F2169" s="1">
        <v>42831</v>
      </c>
      <c r="G2169" s="1">
        <v>42841</v>
      </c>
      <c r="H2169">
        <v>0</v>
      </c>
      <c r="I2169" t="str">
        <f>IF(COUNTIF(Products!$A$2:$A$8,C2169)=0,C2169,"")</f>
        <v/>
      </c>
      <c r="J2169">
        <f>IF(OR(E2169="Prospecting",E2169="Engaging"),VLOOKUP(C2169,Products!$A$2:$C$8,3,FALSE),0)</f>
        <v>0</v>
      </c>
    </row>
    <row r="2170" spans="1:10" x14ac:dyDescent="0.25">
      <c r="A2170" t="s">
        <v>2337</v>
      </c>
      <c r="B2170" t="s">
        <v>148</v>
      </c>
      <c r="C2170" t="s">
        <v>125</v>
      </c>
      <c r="D2170" t="s">
        <v>27</v>
      </c>
      <c r="E2170" t="s">
        <v>159</v>
      </c>
      <c r="F2170" s="1">
        <v>42831</v>
      </c>
      <c r="G2170" s="1">
        <v>42839</v>
      </c>
      <c r="H2170">
        <v>0</v>
      </c>
      <c r="I2170" t="str">
        <f>IF(COUNTIF(Products!$A$2:$A$8,C2170)=0,C2170,"")</f>
        <v/>
      </c>
      <c r="J2170">
        <f>IF(OR(E2170="Prospecting",E2170="Engaging"),VLOOKUP(C2170,Products!$A$2:$C$8,3,FALSE),0)</f>
        <v>0</v>
      </c>
    </row>
    <row r="2171" spans="1:10" x14ac:dyDescent="0.25">
      <c r="A2171" t="s">
        <v>2338</v>
      </c>
      <c r="B2171" t="s">
        <v>148</v>
      </c>
      <c r="C2171" t="s">
        <v>120</v>
      </c>
      <c r="D2171" t="s">
        <v>90</v>
      </c>
      <c r="E2171" t="s">
        <v>138</v>
      </c>
      <c r="F2171" s="1">
        <v>42831</v>
      </c>
      <c r="G2171" s="1">
        <v>42859</v>
      </c>
      <c r="H2171">
        <v>525</v>
      </c>
      <c r="I2171" t="str">
        <f>IF(COUNTIF(Products!$A$2:$A$8,C2171)=0,C2171,"")</f>
        <v/>
      </c>
      <c r="J2171">
        <f>IF(OR(E2171="Prospecting",E2171="Engaging"),VLOOKUP(C2171,Products!$A$2:$C$8,3,FALSE),0)</f>
        <v>0</v>
      </c>
    </row>
    <row r="2172" spans="1:10" x14ac:dyDescent="0.25">
      <c r="A2172" t="s">
        <v>2339</v>
      </c>
      <c r="B2172" t="s">
        <v>144</v>
      </c>
      <c r="C2172" t="s">
        <v>122</v>
      </c>
      <c r="D2172" t="s">
        <v>29</v>
      </c>
      <c r="E2172" t="s">
        <v>138</v>
      </c>
      <c r="F2172" s="1">
        <v>42831</v>
      </c>
      <c r="G2172" s="1">
        <v>42837</v>
      </c>
      <c r="H2172">
        <v>4168</v>
      </c>
      <c r="I2172" t="str">
        <f>IF(COUNTIF(Products!$A$2:$A$8,C2172)=0,C2172,"")</f>
        <v/>
      </c>
      <c r="J2172">
        <f>IF(OR(E2172="Prospecting",E2172="Engaging"),VLOOKUP(C2172,Products!$A$2:$C$8,3,FALSE),0)</f>
        <v>0</v>
      </c>
    </row>
    <row r="2173" spans="1:10" x14ac:dyDescent="0.25">
      <c r="A2173" t="s">
        <v>2340</v>
      </c>
      <c r="B2173" t="s">
        <v>146</v>
      </c>
      <c r="C2173" t="s">
        <v>120</v>
      </c>
      <c r="D2173" t="s">
        <v>77</v>
      </c>
      <c r="E2173" t="s">
        <v>138</v>
      </c>
      <c r="F2173" s="1">
        <v>42832</v>
      </c>
      <c r="G2173" s="1">
        <v>42833</v>
      </c>
      <c r="H2173">
        <v>596</v>
      </c>
      <c r="I2173" t="str">
        <f>IF(COUNTIF(Products!$A$2:$A$8,C2173)=0,C2173,"")</f>
        <v/>
      </c>
      <c r="J2173">
        <f>IF(OR(E2173="Prospecting",E2173="Engaging"),VLOOKUP(C2173,Products!$A$2:$C$8,3,FALSE),0)</f>
        <v>0</v>
      </c>
    </row>
    <row r="2174" spans="1:10" x14ac:dyDescent="0.25">
      <c r="A2174" t="s">
        <v>2341</v>
      </c>
      <c r="B2174" t="s">
        <v>222</v>
      </c>
      <c r="C2174" t="s">
        <v>122</v>
      </c>
      <c r="E2174" t="s">
        <v>155</v>
      </c>
      <c r="F2174" s="1">
        <v>42832</v>
      </c>
      <c r="I2174" t="str">
        <f>IF(COUNTIF(Products!$A$2:$A$8,C2174)=0,C2174,"")</f>
        <v/>
      </c>
      <c r="J2174">
        <f>IF(OR(E2174="Prospecting",E2174="Engaging"),VLOOKUP(C2174,Products!$A$2:$C$8,3,FALSE),0)</f>
        <v>4821</v>
      </c>
    </row>
    <row r="2175" spans="1:10" x14ac:dyDescent="0.25">
      <c r="A2175" t="s">
        <v>2342</v>
      </c>
      <c r="B2175" t="s">
        <v>222</v>
      </c>
      <c r="C2175" t="s">
        <v>123</v>
      </c>
      <c r="D2175" t="s">
        <v>115</v>
      </c>
      <c r="E2175" t="s">
        <v>138</v>
      </c>
      <c r="F2175" s="1">
        <v>42832</v>
      </c>
      <c r="G2175" s="1">
        <v>42840</v>
      </c>
      <c r="H2175">
        <v>59</v>
      </c>
      <c r="I2175" t="str">
        <f>IF(COUNTIF(Products!$A$2:$A$8,C2175)=0,C2175,"")</f>
        <v/>
      </c>
      <c r="J2175">
        <f>IF(OR(E2175="Prospecting",E2175="Engaging"),VLOOKUP(C2175,Products!$A$2:$C$8,3,FALSE),0)</f>
        <v>0</v>
      </c>
    </row>
    <row r="2176" spans="1:10" x14ac:dyDescent="0.25">
      <c r="A2176" t="s">
        <v>2343</v>
      </c>
      <c r="B2176" t="s">
        <v>207</v>
      </c>
      <c r="C2176" t="s">
        <v>122</v>
      </c>
      <c r="D2176" t="s">
        <v>80</v>
      </c>
      <c r="E2176" t="s">
        <v>159</v>
      </c>
      <c r="F2176" s="1">
        <v>42832</v>
      </c>
      <c r="G2176" s="1">
        <v>42869</v>
      </c>
      <c r="H2176">
        <v>0</v>
      </c>
      <c r="I2176" t="str">
        <f>IF(COUNTIF(Products!$A$2:$A$8,C2176)=0,C2176,"")</f>
        <v/>
      </c>
      <c r="J2176">
        <f>IF(OR(E2176="Prospecting",E2176="Engaging"),VLOOKUP(C2176,Products!$A$2:$C$8,3,FALSE),0)</f>
        <v>0</v>
      </c>
    </row>
    <row r="2177" spans="1:10" x14ac:dyDescent="0.25">
      <c r="A2177" t="s">
        <v>2344</v>
      </c>
      <c r="B2177" t="s">
        <v>239</v>
      </c>
      <c r="C2177" t="s">
        <v>125</v>
      </c>
      <c r="E2177" t="s">
        <v>155</v>
      </c>
      <c r="F2177" s="1">
        <v>42832</v>
      </c>
      <c r="I2177" t="str">
        <f>IF(COUNTIF(Products!$A$2:$A$8,C2177)=0,C2177,"")</f>
        <v/>
      </c>
      <c r="J2177">
        <f>IF(OR(E2177="Prospecting",E2177="Engaging"),VLOOKUP(C2177,Products!$A$2:$C$8,3,FALSE),0)</f>
        <v>3393</v>
      </c>
    </row>
    <row r="2178" spans="1:10" x14ac:dyDescent="0.25">
      <c r="A2178" t="s">
        <v>2345</v>
      </c>
      <c r="B2178" t="s">
        <v>239</v>
      </c>
      <c r="C2178" t="s">
        <v>126</v>
      </c>
      <c r="D2178" t="s">
        <v>69</v>
      </c>
      <c r="E2178" t="s">
        <v>138</v>
      </c>
      <c r="F2178" s="1">
        <v>42832</v>
      </c>
      <c r="G2178" s="1">
        <v>42840</v>
      </c>
      <c r="H2178">
        <v>5684</v>
      </c>
      <c r="I2178" t="str">
        <f>IF(COUNTIF(Products!$A$2:$A$8,C2178)=0,C2178,"")</f>
        <v/>
      </c>
      <c r="J2178">
        <f>IF(OR(E2178="Prospecting",E2178="Engaging"),VLOOKUP(C2178,Products!$A$2:$C$8,3,FALSE),0)</f>
        <v>0</v>
      </c>
    </row>
    <row r="2179" spans="1:10" x14ac:dyDescent="0.25">
      <c r="A2179" t="s">
        <v>2346</v>
      </c>
      <c r="B2179" t="s">
        <v>171</v>
      </c>
      <c r="C2179" t="s">
        <v>125</v>
      </c>
      <c r="D2179" t="s">
        <v>67</v>
      </c>
      <c r="E2179" t="s">
        <v>159</v>
      </c>
      <c r="F2179" s="1">
        <v>42832</v>
      </c>
      <c r="G2179" s="1">
        <v>42840</v>
      </c>
      <c r="H2179">
        <v>0</v>
      </c>
      <c r="I2179" t="str">
        <f>IF(COUNTIF(Products!$A$2:$A$8,C2179)=0,C2179,"")</f>
        <v/>
      </c>
      <c r="J2179">
        <f>IF(OR(E2179="Prospecting",E2179="Engaging"),VLOOKUP(C2179,Products!$A$2:$C$8,3,FALSE),0)</f>
        <v>0</v>
      </c>
    </row>
    <row r="2180" spans="1:10" x14ac:dyDescent="0.25">
      <c r="A2180" t="s">
        <v>2347</v>
      </c>
      <c r="B2180" t="s">
        <v>140</v>
      </c>
      <c r="C2180" t="s">
        <v>122</v>
      </c>
      <c r="D2180" t="s">
        <v>55</v>
      </c>
      <c r="E2180" t="s">
        <v>138</v>
      </c>
      <c r="F2180" s="1">
        <v>42832</v>
      </c>
      <c r="G2180" s="1">
        <v>42840</v>
      </c>
      <c r="H2180">
        <v>4413</v>
      </c>
      <c r="I2180" t="str">
        <f>IF(COUNTIF(Products!$A$2:$A$8,C2180)=0,C2180,"")</f>
        <v/>
      </c>
      <c r="J2180">
        <f>IF(OR(E2180="Prospecting",E2180="Engaging"),VLOOKUP(C2180,Products!$A$2:$C$8,3,FALSE),0)</f>
        <v>0</v>
      </c>
    </row>
    <row r="2181" spans="1:10" x14ac:dyDescent="0.25">
      <c r="A2181" t="s">
        <v>2348</v>
      </c>
      <c r="B2181" t="s">
        <v>224</v>
      </c>
      <c r="C2181" t="s">
        <v>125</v>
      </c>
      <c r="D2181" t="s">
        <v>81</v>
      </c>
      <c r="E2181" t="s">
        <v>159</v>
      </c>
      <c r="F2181" s="1">
        <v>42832</v>
      </c>
      <c r="G2181" s="1">
        <v>42842</v>
      </c>
      <c r="H2181">
        <v>0</v>
      </c>
      <c r="I2181" t="str">
        <f>IF(COUNTIF(Products!$A$2:$A$8,C2181)=0,C2181,"")</f>
        <v/>
      </c>
      <c r="J2181">
        <f>IF(OR(E2181="Prospecting",E2181="Engaging"),VLOOKUP(C2181,Products!$A$2:$C$8,3,FALSE),0)</f>
        <v>0</v>
      </c>
    </row>
    <row r="2182" spans="1:10" x14ac:dyDescent="0.25">
      <c r="A2182" t="s">
        <v>2349</v>
      </c>
      <c r="B2182" t="s">
        <v>224</v>
      </c>
      <c r="C2182" t="s">
        <v>125</v>
      </c>
      <c r="D2182" t="s">
        <v>106</v>
      </c>
      <c r="E2182" t="s">
        <v>159</v>
      </c>
      <c r="F2182" s="1">
        <v>42832</v>
      </c>
      <c r="G2182" s="1">
        <v>42840</v>
      </c>
      <c r="H2182">
        <v>0</v>
      </c>
      <c r="I2182" t="str">
        <f>IF(COUNTIF(Products!$A$2:$A$8,C2182)=0,C2182,"")</f>
        <v/>
      </c>
      <c r="J2182">
        <f>IF(OR(E2182="Prospecting",E2182="Engaging"),VLOOKUP(C2182,Products!$A$2:$C$8,3,FALSE),0)</f>
        <v>0</v>
      </c>
    </row>
    <row r="2183" spans="1:10" x14ac:dyDescent="0.25">
      <c r="A2183" t="s">
        <v>2350</v>
      </c>
      <c r="B2183" t="s">
        <v>224</v>
      </c>
      <c r="C2183" t="s">
        <v>122</v>
      </c>
      <c r="D2183" t="s">
        <v>73</v>
      </c>
      <c r="E2183" t="s">
        <v>138</v>
      </c>
      <c r="F2183" s="1">
        <v>42832</v>
      </c>
      <c r="G2183" s="1">
        <v>42838</v>
      </c>
      <c r="H2183">
        <v>4152</v>
      </c>
      <c r="I2183" t="str">
        <f>IF(COUNTIF(Products!$A$2:$A$8,C2183)=0,C2183,"")</f>
        <v/>
      </c>
      <c r="J2183">
        <f>IF(OR(E2183="Prospecting",E2183="Engaging"),VLOOKUP(C2183,Products!$A$2:$C$8,3,FALSE),0)</f>
        <v>0</v>
      </c>
    </row>
    <row r="2184" spans="1:10" x14ac:dyDescent="0.25">
      <c r="A2184" t="s">
        <v>2351</v>
      </c>
      <c r="B2184" t="s">
        <v>173</v>
      </c>
      <c r="C2184" t="s">
        <v>123</v>
      </c>
      <c r="D2184" t="s">
        <v>29</v>
      </c>
      <c r="E2184" t="s">
        <v>138</v>
      </c>
      <c r="F2184" s="1">
        <v>42832</v>
      </c>
      <c r="G2184" s="1">
        <v>42910</v>
      </c>
      <c r="H2184">
        <v>51</v>
      </c>
      <c r="I2184" t="str">
        <f>IF(COUNTIF(Products!$A$2:$A$8,C2184)=0,C2184,"")</f>
        <v/>
      </c>
      <c r="J2184">
        <f>IF(OR(E2184="Prospecting",E2184="Engaging"),VLOOKUP(C2184,Products!$A$2:$C$8,3,FALSE),0)</f>
        <v>0</v>
      </c>
    </row>
    <row r="2185" spans="1:10" x14ac:dyDescent="0.25">
      <c r="A2185" t="s">
        <v>2352</v>
      </c>
      <c r="B2185" t="s">
        <v>198</v>
      </c>
      <c r="C2185" t="s">
        <v>120</v>
      </c>
      <c r="D2185" t="s">
        <v>111</v>
      </c>
      <c r="E2185" t="s">
        <v>159</v>
      </c>
      <c r="F2185" s="1">
        <v>42832</v>
      </c>
      <c r="G2185" s="1">
        <v>42840</v>
      </c>
      <c r="H2185">
        <v>0</v>
      </c>
      <c r="I2185" t="str">
        <f>IF(COUNTIF(Products!$A$2:$A$8,C2185)=0,C2185,"")</f>
        <v/>
      </c>
      <c r="J2185">
        <f>IF(OR(E2185="Prospecting",E2185="Engaging"),VLOOKUP(C2185,Products!$A$2:$C$8,3,FALSE),0)</f>
        <v>0</v>
      </c>
    </row>
    <row r="2186" spans="1:10" x14ac:dyDescent="0.25">
      <c r="A2186" t="s">
        <v>2353</v>
      </c>
      <c r="B2186" t="s">
        <v>158</v>
      </c>
      <c r="C2186" t="s">
        <v>125</v>
      </c>
      <c r="D2186" t="s">
        <v>103</v>
      </c>
      <c r="E2186" t="s">
        <v>159</v>
      </c>
      <c r="F2186" s="1">
        <v>42832</v>
      </c>
      <c r="G2186" s="1">
        <v>42843</v>
      </c>
      <c r="H2186">
        <v>0</v>
      </c>
      <c r="I2186" t="str">
        <f>IF(COUNTIF(Products!$A$2:$A$8,C2186)=0,C2186,"")</f>
        <v/>
      </c>
      <c r="J2186">
        <f>IF(OR(E2186="Prospecting",E2186="Engaging"),VLOOKUP(C2186,Products!$A$2:$C$8,3,FALSE),0)</f>
        <v>0</v>
      </c>
    </row>
    <row r="2187" spans="1:10" x14ac:dyDescent="0.25">
      <c r="A2187" t="s">
        <v>2354</v>
      </c>
      <c r="B2187" t="s">
        <v>154</v>
      </c>
      <c r="C2187" t="s">
        <v>127</v>
      </c>
      <c r="D2187" t="s">
        <v>41</v>
      </c>
      <c r="E2187" t="s">
        <v>138</v>
      </c>
      <c r="F2187" s="1">
        <v>42832</v>
      </c>
      <c r="G2187" s="1">
        <v>42873</v>
      </c>
      <c r="H2187">
        <v>1103</v>
      </c>
      <c r="I2187" t="str">
        <f>IF(COUNTIF(Products!$A$2:$A$8,C2187)=0,C2187,"")</f>
        <v/>
      </c>
      <c r="J2187">
        <f>IF(OR(E2187="Prospecting",E2187="Engaging"),VLOOKUP(C2187,Products!$A$2:$C$8,3,FALSE),0)</f>
        <v>0</v>
      </c>
    </row>
    <row r="2188" spans="1:10" x14ac:dyDescent="0.25">
      <c r="A2188" t="s">
        <v>2355</v>
      </c>
      <c r="B2188" t="s">
        <v>303</v>
      </c>
      <c r="C2188" t="s">
        <v>127</v>
      </c>
      <c r="D2188" t="s">
        <v>77</v>
      </c>
      <c r="E2188" t="s">
        <v>138</v>
      </c>
      <c r="F2188" s="1">
        <v>42832</v>
      </c>
      <c r="G2188" s="1">
        <v>42834</v>
      </c>
      <c r="H2188">
        <v>1091</v>
      </c>
      <c r="I2188" t="str">
        <f>IF(COUNTIF(Products!$A$2:$A$8,C2188)=0,C2188,"")</f>
        <v/>
      </c>
      <c r="J2188">
        <f>IF(OR(E2188="Prospecting",E2188="Engaging"),VLOOKUP(C2188,Products!$A$2:$C$8,3,FALSE),0)</f>
        <v>0</v>
      </c>
    </row>
    <row r="2189" spans="1:10" x14ac:dyDescent="0.25">
      <c r="A2189" t="s">
        <v>2356</v>
      </c>
      <c r="B2189" t="s">
        <v>303</v>
      </c>
      <c r="C2189" t="s">
        <v>127</v>
      </c>
      <c r="D2189" t="s">
        <v>116</v>
      </c>
      <c r="E2189" t="s">
        <v>138</v>
      </c>
      <c r="F2189" s="1">
        <v>42832</v>
      </c>
      <c r="G2189" s="1">
        <v>42842</v>
      </c>
      <c r="H2189">
        <v>1189</v>
      </c>
      <c r="I2189" t="str">
        <f>IF(COUNTIF(Products!$A$2:$A$8,C2189)=0,C2189,"")</f>
        <v/>
      </c>
      <c r="J2189">
        <f>IF(OR(E2189="Prospecting",E2189="Engaging"),VLOOKUP(C2189,Products!$A$2:$C$8,3,FALSE),0)</f>
        <v>0</v>
      </c>
    </row>
    <row r="2190" spans="1:10" x14ac:dyDescent="0.25">
      <c r="A2190" t="s">
        <v>2357</v>
      </c>
      <c r="B2190" t="s">
        <v>303</v>
      </c>
      <c r="C2190" t="s">
        <v>122</v>
      </c>
      <c r="D2190" t="s">
        <v>96</v>
      </c>
      <c r="E2190" t="s">
        <v>138</v>
      </c>
      <c r="F2190" s="1">
        <v>42832</v>
      </c>
      <c r="G2190" s="1">
        <v>42913</v>
      </c>
      <c r="H2190">
        <v>4534</v>
      </c>
      <c r="I2190" t="str">
        <f>IF(COUNTIF(Products!$A$2:$A$8,C2190)=0,C2190,"")</f>
        <v/>
      </c>
      <c r="J2190">
        <f>IF(OR(E2190="Prospecting",E2190="Engaging"),VLOOKUP(C2190,Products!$A$2:$C$8,3,FALSE),0)</f>
        <v>0</v>
      </c>
    </row>
    <row r="2191" spans="1:10" x14ac:dyDescent="0.25">
      <c r="A2191" t="s">
        <v>2358</v>
      </c>
      <c r="B2191" t="s">
        <v>180</v>
      </c>
      <c r="C2191" t="s">
        <v>120</v>
      </c>
      <c r="D2191" t="s">
        <v>47</v>
      </c>
      <c r="E2191" t="s">
        <v>159</v>
      </c>
      <c r="F2191" s="1">
        <v>42832</v>
      </c>
      <c r="G2191" s="1">
        <v>42867</v>
      </c>
      <c r="H2191">
        <v>0</v>
      </c>
      <c r="I2191" t="str">
        <f>IF(COUNTIF(Products!$A$2:$A$8,C2191)=0,C2191,"")</f>
        <v/>
      </c>
      <c r="J2191">
        <f>IF(OR(E2191="Prospecting",E2191="Engaging"),VLOOKUP(C2191,Products!$A$2:$C$8,3,FALSE),0)</f>
        <v>0</v>
      </c>
    </row>
    <row r="2192" spans="1:10" x14ac:dyDescent="0.25">
      <c r="A2192" t="s">
        <v>2359</v>
      </c>
      <c r="B2192" t="s">
        <v>180</v>
      </c>
      <c r="C2192" t="s">
        <v>127</v>
      </c>
      <c r="D2192" t="s">
        <v>69</v>
      </c>
      <c r="E2192" t="s">
        <v>159</v>
      </c>
      <c r="F2192" s="1">
        <v>42832</v>
      </c>
      <c r="G2192" s="1">
        <v>42841</v>
      </c>
      <c r="H2192">
        <v>0</v>
      </c>
      <c r="I2192" t="str">
        <f>IF(COUNTIF(Products!$A$2:$A$8,C2192)=0,C2192,"")</f>
        <v/>
      </c>
      <c r="J2192">
        <f>IF(OR(E2192="Prospecting",E2192="Engaging"),VLOOKUP(C2192,Products!$A$2:$C$8,3,FALSE),0)</f>
        <v>0</v>
      </c>
    </row>
    <row r="2193" spans="1:10" x14ac:dyDescent="0.25">
      <c r="A2193" t="s">
        <v>2360</v>
      </c>
      <c r="B2193" t="s">
        <v>191</v>
      </c>
      <c r="C2193" t="s">
        <v>120</v>
      </c>
      <c r="E2193" t="s">
        <v>155</v>
      </c>
      <c r="F2193" s="1">
        <v>42832</v>
      </c>
      <c r="I2193" t="str">
        <f>IF(COUNTIF(Products!$A$2:$A$8,C2193)=0,C2193,"")</f>
        <v/>
      </c>
      <c r="J2193">
        <f>IF(OR(E2193="Prospecting",E2193="Engaging"),VLOOKUP(C2193,Products!$A$2:$C$8,3,FALSE),0)</f>
        <v>550</v>
      </c>
    </row>
    <row r="2194" spans="1:10" x14ac:dyDescent="0.25">
      <c r="A2194" t="s">
        <v>2361</v>
      </c>
      <c r="B2194" t="s">
        <v>191</v>
      </c>
      <c r="C2194" t="s">
        <v>125</v>
      </c>
      <c r="E2194" t="s">
        <v>155</v>
      </c>
      <c r="F2194" s="1">
        <v>42832</v>
      </c>
      <c r="I2194" t="str">
        <f>IF(COUNTIF(Products!$A$2:$A$8,C2194)=0,C2194,"")</f>
        <v/>
      </c>
      <c r="J2194">
        <f>IF(OR(E2194="Prospecting",E2194="Engaging"),VLOOKUP(C2194,Products!$A$2:$C$8,3,FALSE),0)</f>
        <v>3393</v>
      </c>
    </row>
    <row r="2195" spans="1:10" x14ac:dyDescent="0.25">
      <c r="A2195" t="s">
        <v>2362</v>
      </c>
      <c r="B2195" t="s">
        <v>217</v>
      </c>
      <c r="C2195" t="s">
        <v>120</v>
      </c>
      <c r="D2195" t="s">
        <v>26</v>
      </c>
      <c r="E2195" t="s">
        <v>159</v>
      </c>
      <c r="F2195" s="1">
        <v>42832</v>
      </c>
      <c r="G2195" s="1">
        <v>42841</v>
      </c>
      <c r="H2195">
        <v>0</v>
      </c>
      <c r="I2195" t="str">
        <f>IF(COUNTIF(Products!$A$2:$A$8,C2195)=0,C2195,"")</f>
        <v/>
      </c>
      <c r="J2195">
        <f>IF(OR(E2195="Prospecting",E2195="Engaging"),VLOOKUP(C2195,Products!$A$2:$C$8,3,FALSE),0)</f>
        <v>0</v>
      </c>
    </row>
    <row r="2196" spans="1:10" x14ac:dyDescent="0.25">
      <c r="A2196" t="s">
        <v>2363</v>
      </c>
      <c r="B2196" t="s">
        <v>150</v>
      </c>
      <c r="C2196" t="s">
        <v>120</v>
      </c>
      <c r="D2196" t="s">
        <v>27</v>
      </c>
      <c r="E2196" t="s">
        <v>138</v>
      </c>
      <c r="F2196" s="1">
        <v>42832</v>
      </c>
      <c r="G2196" s="1">
        <v>42838</v>
      </c>
      <c r="H2196">
        <v>522</v>
      </c>
      <c r="I2196" t="str">
        <f>IF(COUNTIF(Products!$A$2:$A$8,C2196)=0,C2196,"")</f>
        <v/>
      </c>
      <c r="J2196">
        <f>IF(OR(E2196="Prospecting",E2196="Engaging"),VLOOKUP(C2196,Products!$A$2:$C$8,3,FALSE),0)</f>
        <v>0</v>
      </c>
    </row>
    <row r="2197" spans="1:10" x14ac:dyDescent="0.25">
      <c r="A2197" t="s">
        <v>2364</v>
      </c>
      <c r="B2197" t="s">
        <v>150</v>
      </c>
      <c r="C2197" t="s">
        <v>122</v>
      </c>
      <c r="D2197" t="s">
        <v>56</v>
      </c>
      <c r="E2197" t="s">
        <v>138</v>
      </c>
      <c r="F2197" s="1">
        <v>42832</v>
      </c>
      <c r="G2197" s="1">
        <v>42882</v>
      </c>
      <c r="H2197">
        <v>5012</v>
      </c>
      <c r="I2197" t="str">
        <f>IF(COUNTIF(Products!$A$2:$A$8,C2197)=0,C2197,"")</f>
        <v/>
      </c>
      <c r="J2197">
        <f>IF(OR(E2197="Prospecting",E2197="Engaging"),VLOOKUP(C2197,Products!$A$2:$C$8,3,FALSE),0)</f>
        <v>0</v>
      </c>
    </row>
    <row r="2198" spans="1:10" x14ac:dyDescent="0.25">
      <c r="A2198" t="s">
        <v>2365</v>
      </c>
      <c r="B2198" t="s">
        <v>162</v>
      </c>
      <c r="C2198" t="s">
        <v>127</v>
      </c>
      <c r="D2198" t="s">
        <v>87</v>
      </c>
      <c r="E2198" t="s">
        <v>138</v>
      </c>
      <c r="F2198" s="1">
        <v>42832</v>
      </c>
      <c r="G2198" s="1">
        <v>42833</v>
      </c>
      <c r="H2198">
        <v>1109</v>
      </c>
      <c r="I2198" t="str">
        <f>IF(COUNTIF(Products!$A$2:$A$8,C2198)=0,C2198,"")</f>
        <v/>
      </c>
      <c r="J2198">
        <f>IF(OR(E2198="Prospecting",E2198="Engaging"),VLOOKUP(C2198,Products!$A$2:$C$8,3,FALSE),0)</f>
        <v>0</v>
      </c>
    </row>
    <row r="2199" spans="1:10" x14ac:dyDescent="0.25">
      <c r="A2199" t="s">
        <v>2366</v>
      </c>
      <c r="B2199" t="s">
        <v>137</v>
      </c>
      <c r="C2199" t="s">
        <v>126</v>
      </c>
      <c r="D2199" t="s">
        <v>51</v>
      </c>
      <c r="E2199" t="s">
        <v>138</v>
      </c>
      <c r="F2199" s="1">
        <v>42832</v>
      </c>
      <c r="G2199" s="1">
        <v>42838</v>
      </c>
      <c r="H2199">
        <v>4659</v>
      </c>
      <c r="I2199" t="str">
        <f>IF(COUNTIF(Products!$A$2:$A$8,C2199)=0,C2199,"")</f>
        <v/>
      </c>
      <c r="J2199">
        <f>IF(OR(E2199="Prospecting",E2199="Engaging"),VLOOKUP(C2199,Products!$A$2:$C$8,3,FALSE),0)</f>
        <v>0</v>
      </c>
    </row>
    <row r="2200" spans="1:10" x14ac:dyDescent="0.25">
      <c r="A2200" t="s">
        <v>2367</v>
      </c>
      <c r="B2200" t="s">
        <v>152</v>
      </c>
      <c r="C2200" t="s">
        <v>120</v>
      </c>
      <c r="D2200" t="s">
        <v>22</v>
      </c>
      <c r="E2200" t="s">
        <v>159</v>
      </c>
      <c r="F2200" s="1">
        <v>42832</v>
      </c>
      <c r="G2200" s="1">
        <v>42841</v>
      </c>
      <c r="H2200">
        <v>0</v>
      </c>
      <c r="I2200" t="str">
        <f>IF(COUNTIF(Products!$A$2:$A$8,C2200)=0,C2200,"")</f>
        <v/>
      </c>
      <c r="J2200">
        <f>IF(OR(E2200="Prospecting",E2200="Engaging"),VLOOKUP(C2200,Products!$A$2:$C$8,3,FALSE),0)</f>
        <v>0</v>
      </c>
    </row>
    <row r="2201" spans="1:10" x14ac:dyDescent="0.25">
      <c r="A2201" t="s">
        <v>2368</v>
      </c>
      <c r="B2201" t="s">
        <v>169</v>
      </c>
      <c r="C2201" t="s">
        <v>126</v>
      </c>
      <c r="D2201" t="s">
        <v>26</v>
      </c>
      <c r="E2201" t="s">
        <v>159</v>
      </c>
      <c r="F2201" s="1">
        <v>42832</v>
      </c>
      <c r="G2201" s="1">
        <v>42899</v>
      </c>
      <c r="H2201">
        <v>0</v>
      </c>
      <c r="I2201" t="str">
        <f>IF(COUNTIF(Products!$A$2:$A$8,C2201)=0,C2201,"")</f>
        <v/>
      </c>
      <c r="J2201">
        <f>IF(OR(E2201="Prospecting",E2201="Engaging"),VLOOKUP(C2201,Products!$A$2:$C$8,3,FALSE),0)</f>
        <v>0</v>
      </c>
    </row>
    <row r="2202" spans="1:10" x14ac:dyDescent="0.25">
      <c r="A2202" t="s">
        <v>2369</v>
      </c>
      <c r="B2202" t="s">
        <v>169</v>
      </c>
      <c r="C2202" t="s">
        <v>126</v>
      </c>
      <c r="D2202" t="s">
        <v>104</v>
      </c>
      <c r="E2202" t="s">
        <v>159</v>
      </c>
      <c r="F2202" s="1">
        <v>42832</v>
      </c>
      <c r="G2202" s="1">
        <v>42834</v>
      </c>
      <c r="H2202">
        <v>0</v>
      </c>
      <c r="I2202" t="str">
        <f>IF(COUNTIF(Products!$A$2:$A$8,C2202)=0,C2202,"")</f>
        <v/>
      </c>
      <c r="J2202">
        <f>IF(OR(E2202="Prospecting",E2202="Engaging"),VLOOKUP(C2202,Products!$A$2:$C$8,3,FALSE),0)</f>
        <v>0</v>
      </c>
    </row>
    <row r="2203" spans="1:10" x14ac:dyDescent="0.25">
      <c r="A2203" t="s">
        <v>2370</v>
      </c>
      <c r="B2203" t="s">
        <v>169</v>
      </c>
      <c r="C2203" t="s">
        <v>123</v>
      </c>
      <c r="D2203" t="s">
        <v>70</v>
      </c>
      <c r="E2203" t="s">
        <v>159</v>
      </c>
      <c r="F2203" s="1">
        <v>42832</v>
      </c>
      <c r="G2203" s="1">
        <v>42885</v>
      </c>
      <c r="H2203">
        <v>0</v>
      </c>
      <c r="I2203" t="str">
        <f>IF(COUNTIF(Products!$A$2:$A$8,C2203)=0,C2203,"")</f>
        <v/>
      </c>
      <c r="J2203">
        <f>IF(OR(E2203="Prospecting",E2203="Engaging"),VLOOKUP(C2203,Products!$A$2:$C$8,3,FALSE),0)</f>
        <v>0</v>
      </c>
    </row>
    <row r="2204" spans="1:10" x14ac:dyDescent="0.25">
      <c r="A2204" t="s">
        <v>2371</v>
      </c>
      <c r="B2204" t="s">
        <v>169</v>
      </c>
      <c r="C2204" t="s">
        <v>125</v>
      </c>
      <c r="D2204" t="s">
        <v>85</v>
      </c>
      <c r="E2204" t="s">
        <v>159</v>
      </c>
      <c r="F2204" s="1">
        <v>42832</v>
      </c>
      <c r="G2204" s="1">
        <v>42837</v>
      </c>
      <c r="H2204">
        <v>0</v>
      </c>
      <c r="I2204" t="str">
        <f>IF(COUNTIF(Products!$A$2:$A$8,C2204)=0,C2204,"")</f>
        <v/>
      </c>
      <c r="J2204">
        <f>IF(OR(E2204="Prospecting",E2204="Engaging"),VLOOKUP(C2204,Products!$A$2:$C$8,3,FALSE),0)</f>
        <v>0</v>
      </c>
    </row>
    <row r="2205" spans="1:10" x14ac:dyDescent="0.25">
      <c r="A2205" t="s">
        <v>2372</v>
      </c>
      <c r="B2205" t="s">
        <v>148</v>
      </c>
      <c r="C2205" t="s">
        <v>120</v>
      </c>
      <c r="E2205" t="s">
        <v>155</v>
      </c>
      <c r="F2205" s="1">
        <v>42832</v>
      </c>
      <c r="I2205" t="str">
        <f>IF(COUNTIF(Products!$A$2:$A$8,C2205)=0,C2205,"")</f>
        <v/>
      </c>
      <c r="J2205">
        <f>IF(OR(E2205="Prospecting",E2205="Engaging"),VLOOKUP(C2205,Products!$A$2:$C$8,3,FALSE),0)</f>
        <v>550</v>
      </c>
    </row>
    <row r="2206" spans="1:10" x14ac:dyDescent="0.25">
      <c r="A2206" t="s">
        <v>2373</v>
      </c>
      <c r="B2206" t="s">
        <v>148</v>
      </c>
      <c r="C2206" t="s">
        <v>125</v>
      </c>
      <c r="D2206" t="s">
        <v>69</v>
      </c>
      <c r="E2206" t="s">
        <v>159</v>
      </c>
      <c r="F2206" s="1">
        <v>42832</v>
      </c>
      <c r="G2206" s="1">
        <v>42841</v>
      </c>
      <c r="H2206">
        <v>0</v>
      </c>
      <c r="I2206" t="str">
        <f>IF(COUNTIF(Products!$A$2:$A$8,C2206)=0,C2206,"")</f>
        <v/>
      </c>
      <c r="J2206">
        <f>IF(OR(E2206="Prospecting",E2206="Engaging"),VLOOKUP(C2206,Products!$A$2:$C$8,3,FALSE),0)</f>
        <v>0</v>
      </c>
    </row>
    <row r="2207" spans="1:10" x14ac:dyDescent="0.25">
      <c r="A2207" t="s">
        <v>2374</v>
      </c>
      <c r="B2207" t="s">
        <v>144</v>
      </c>
      <c r="C2207" t="s">
        <v>125</v>
      </c>
      <c r="D2207" t="s">
        <v>44</v>
      </c>
      <c r="E2207" t="s">
        <v>159</v>
      </c>
      <c r="F2207" s="1">
        <v>42832</v>
      </c>
      <c r="G2207" s="1">
        <v>42838</v>
      </c>
      <c r="H2207">
        <v>0</v>
      </c>
      <c r="I2207" t="str">
        <f>IF(COUNTIF(Products!$A$2:$A$8,C2207)=0,C2207,"")</f>
        <v/>
      </c>
      <c r="J2207">
        <f>IF(OR(E2207="Prospecting",E2207="Engaging"),VLOOKUP(C2207,Products!$A$2:$C$8,3,FALSE),0)</f>
        <v>0</v>
      </c>
    </row>
    <row r="2208" spans="1:10" x14ac:dyDescent="0.25">
      <c r="A2208" t="s">
        <v>2375</v>
      </c>
      <c r="B2208" t="s">
        <v>146</v>
      </c>
      <c r="C2208" t="s">
        <v>125</v>
      </c>
      <c r="D2208" t="s">
        <v>30</v>
      </c>
      <c r="E2208" t="s">
        <v>159</v>
      </c>
      <c r="F2208" s="1">
        <v>42833</v>
      </c>
      <c r="G2208" s="1">
        <v>42840</v>
      </c>
      <c r="H2208">
        <v>0</v>
      </c>
      <c r="I2208" t="str">
        <f>IF(COUNTIF(Products!$A$2:$A$8,C2208)=0,C2208,"")</f>
        <v/>
      </c>
      <c r="J2208">
        <f>IF(OR(E2208="Prospecting",E2208="Engaging"),VLOOKUP(C2208,Products!$A$2:$C$8,3,FALSE),0)</f>
        <v>0</v>
      </c>
    </row>
    <row r="2209" spans="1:10" x14ac:dyDescent="0.25">
      <c r="A2209" t="s">
        <v>2376</v>
      </c>
      <c r="B2209" t="s">
        <v>146</v>
      </c>
      <c r="C2209" t="s">
        <v>127</v>
      </c>
      <c r="D2209" t="s">
        <v>94</v>
      </c>
      <c r="E2209" t="s">
        <v>138</v>
      </c>
      <c r="F2209" s="1">
        <v>42833</v>
      </c>
      <c r="G2209" s="1">
        <v>42840</v>
      </c>
      <c r="H2209">
        <v>1142</v>
      </c>
      <c r="I2209" t="str">
        <f>IF(COUNTIF(Products!$A$2:$A$8,C2209)=0,C2209,"")</f>
        <v/>
      </c>
      <c r="J2209">
        <f>IF(OR(E2209="Prospecting",E2209="Engaging"),VLOOKUP(C2209,Products!$A$2:$C$8,3,FALSE),0)</f>
        <v>0</v>
      </c>
    </row>
    <row r="2210" spans="1:10" x14ac:dyDescent="0.25">
      <c r="A2210" t="s">
        <v>2377</v>
      </c>
      <c r="B2210" t="s">
        <v>207</v>
      </c>
      <c r="C2210" t="s">
        <v>122</v>
      </c>
      <c r="E2210" t="s">
        <v>155</v>
      </c>
      <c r="F2210" s="1">
        <v>42833</v>
      </c>
      <c r="I2210" t="str">
        <f>IF(COUNTIF(Products!$A$2:$A$8,C2210)=0,C2210,"")</f>
        <v/>
      </c>
      <c r="J2210">
        <f>IF(OR(E2210="Prospecting",E2210="Engaging"),VLOOKUP(C2210,Products!$A$2:$C$8,3,FALSE),0)</f>
        <v>4821</v>
      </c>
    </row>
    <row r="2211" spans="1:10" x14ac:dyDescent="0.25">
      <c r="A2211" t="s">
        <v>2378</v>
      </c>
      <c r="B2211" t="s">
        <v>239</v>
      </c>
      <c r="C2211" t="s">
        <v>120</v>
      </c>
      <c r="D2211" t="s">
        <v>111</v>
      </c>
      <c r="E2211" t="s">
        <v>138</v>
      </c>
      <c r="F2211" s="1">
        <v>42833</v>
      </c>
      <c r="G2211" s="1">
        <v>42882</v>
      </c>
      <c r="H2211">
        <v>491</v>
      </c>
      <c r="I2211" t="str">
        <f>IF(COUNTIF(Products!$A$2:$A$8,C2211)=0,C2211,"")</f>
        <v/>
      </c>
      <c r="J2211">
        <f>IF(OR(E2211="Prospecting",E2211="Engaging"),VLOOKUP(C2211,Products!$A$2:$C$8,3,FALSE),0)</f>
        <v>0</v>
      </c>
    </row>
    <row r="2212" spans="1:10" x14ac:dyDescent="0.25">
      <c r="A2212" t="s">
        <v>2379</v>
      </c>
      <c r="B2212" t="s">
        <v>171</v>
      </c>
      <c r="C2212" t="s">
        <v>126</v>
      </c>
      <c r="D2212" t="s">
        <v>109</v>
      </c>
      <c r="E2212" t="s">
        <v>155</v>
      </c>
      <c r="F2212" s="1">
        <v>42833</v>
      </c>
      <c r="I2212" t="str">
        <f>IF(COUNTIF(Products!$A$2:$A$8,C2212)=0,C2212,"")</f>
        <v/>
      </c>
      <c r="J2212">
        <f>IF(OR(E2212="Prospecting",E2212="Engaging"),VLOOKUP(C2212,Products!$A$2:$C$8,3,FALSE),0)</f>
        <v>5482</v>
      </c>
    </row>
    <row r="2213" spans="1:10" x14ac:dyDescent="0.25">
      <c r="A2213" t="s">
        <v>2380</v>
      </c>
      <c r="B2213" t="s">
        <v>140</v>
      </c>
      <c r="C2213" t="s">
        <v>122</v>
      </c>
      <c r="D2213" t="s">
        <v>42</v>
      </c>
      <c r="E2213" t="s">
        <v>159</v>
      </c>
      <c r="F2213" s="1">
        <v>42833</v>
      </c>
      <c r="G2213" s="1">
        <v>42843</v>
      </c>
      <c r="H2213">
        <v>0</v>
      </c>
      <c r="I2213" t="str">
        <f>IF(COUNTIF(Products!$A$2:$A$8,C2213)=0,C2213,"")</f>
        <v/>
      </c>
      <c r="J2213">
        <f>IF(OR(E2213="Prospecting",E2213="Engaging"),VLOOKUP(C2213,Products!$A$2:$C$8,3,FALSE),0)</f>
        <v>0</v>
      </c>
    </row>
    <row r="2214" spans="1:10" x14ac:dyDescent="0.25">
      <c r="A2214" t="s">
        <v>2381</v>
      </c>
      <c r="B2214" t="s">
        <v>140</v>
      </c>
      <c r="C2214" t="s">
        <v>123</v>
      </c>
      <c r="D2214" t="s">
        <v>33</v>
      </c>
      <c r="E2214" t="s">
        <v>159</v>
      </c>
      <c r="F2214" s="1">
        <v>42833</v>
      </c>
      <c r="G2214" s="1">
        <v>42839</v>
      </c>
      <c r="H2214">
        <v>0</v>
      </c>
      <c r="I2214" t="str">
        <f>IF(COUNTIF(Products!$A$2:$A$8,C2214)=0,C2214,"")</f>
        <v/>
      </c>
      <c r="J2214">
        <f>IF(OR(E2214="Prospecting",E2214="Engaging"),VLOOKUP(C2214,Products!$A$2:$C$8,3,FALSE),0)</f>
        <v>0</v>
      </c>
    </row>
    <row r="2215" spans="1:10" x14ac:dyDescent="0.25">
      <c r="A2215" t="s">
        <v>2382</v>
      </c>
      <c r="B2215" t="s">
        <v>140</v>
      </c>
      <c r="C2215" t="s">
        <v>122</v>
      </c>
      <c r="D2215" t="s">
        <v>46</v>
      </c>
      <c r="E2215" t="s">
        <v>138</v>
      </c>
      <c r="F2215" s="1">
        <v>42833</v>
      </c>
      <c r="G2215" s="1">
        <v>42834</v>
      </c>
      <c r="H2215">
        <v>5678</v>
      </c>
      <c r="I2215" t="str">
        <f>IF(COUNTIF(Products!$A$2:$A$8,C2215)=0,C2215,"")</f>
        <v/>
      </c>
      <c r="J2215">
        <f>IF(OR(E2215="Prospecting",E2215="Engaging"),VLOOKUP(C2215,Products!$A$2:$C$8,3,FALSE),0)</f>
        <v>0</v>
      </c>
    </row>
    <row r="2216" spans="1:10" x14ac:dyDescent="0.25">
      <c r="A2216" t="s">
        <v>2383</v>
      </c>
      <c r="B2216" t="s">
        <v>224</v>
      </c>
      <c r="C2216" t="s">
        <v>122</v>
      </c>
      <c r="D2216" t="s">
        <v>16</v>
      </c>
      <c r="E2216" t="s">
        <v>159</v>
      </c>
      <c r="F2216" s="1">
        <v>42833</v>
      </c>
      <c r="G2216" s="1">
        <v>42841</v>
      </c>
      <c r="H2216">
        <v>0</v>
      </c>
      <c r="I2216" t="str">
        <f>IF(COUNTIF(Products!$A$2:$A$8,C2216)=0,C2216,"")</f>
        <v/>
      </c>
      <c r="J2216">
        <f>IF(OR(E2216="Prospecting",E2216="Engaging"),VLOOKUP(C2216,Products!$A$2:$C$8,3,FALSE),0)</f>
        <v>0</v>
      </c>
    </row>
    <row r="2217" spans="1:10" x14ac:dyDescent="0.25">
      <c r="A2217" t="s">
        <v>2384</v>
      </c>
      <c r="B2217" t="s">
        <v>224</v>
      </c>
      <c r="C2217" t="s">
        <v>120</v>
      </c>
      <c r="D2217" t="s">
        <v>98</v>
      </c>
      <c r="E2217" t="s">
        <v>138</v>
      </c>
      <c r="F2217" s="1">
        <v>42833</v>
      </c>
      <c r="G2217" s="1">
        <v>42900</v>
      </c>
      <c r="H2217">
        <v>547</v>
      </c>
      <c r="I2217" t="str">
        <f>IF(COUNTIF(Products!$A$2:$A$8,C2217)=0,C2217,"")</f>
        <v/>
      </c>
      <c r="J2217">
        <f>IF(OR(E2217="Prospecting",E2217="Engaging"),VLOOKUP(C2217,Products!$A$2:$C$8,3,FALSE),0)</f>
        <v>0</v>
      </c>
    </row>
    <row r="2218" spans="1:10" x14ac:dyDescent="0.25">
      <c r="A2218" t="s">
        <v>2385</v>
      </c>
      <c r="B2218" t="s">
        <v>198</v>
      </c>
      <c r="C2218" t="s">
        <v>120</v>
      </c>
      <c r="D2218" t="s">
        <v>105</v>
      </c>
      <c r="E2218" t="s">
        <v>159</v>
      </c>
      <c r="F2218" s="1">
        <v>42833</v>
      </c>
      <c r="G2218" s="1">
        <v>42841</v>
      </c>
      <c r="H2218">
        <v>0</v>
      </c>
      <c r="I2218" t="str">
        <f>IF(COUNTIF(Products!$A$2:$A$8,C2218)=0,C2218,"")</f>
        <v/>
      </c>
      <c r="J2218">
        <f>IF(OR(E2218="Prospecting",E2218="Engaging"),VLOOKUP(C2218,Products!$A$2:$C$8,3,FALSE),0)</f>
        <v>0</v>
      </c>
    </row>
    <row r="2219" spans="1:10" x14ac:dyDescent="0.25">
      <c r="A2219" t="s">
        <v>2386</v>
      </c>
      <c r="B2219" t="s">
        <v>164</v>
      </c>
      <c r="C2219" t="s">
        <v>127</v>
      </c>
      <c r="D2219" t="s">
        <v>93</v>
      </c>
      <c r="E2219" t="s">
        <v>138</v>
      </c>
      <c r="F2219" s="1">
        <v>42833</v>
      </c>
      <c r="G2219" s="1">
        <v>42880</v>
      </c>
      <c r="H2219">
        <v>935</v>
      </c>
      <c r="I2219" t="str">
        <f>IF(COUNTIF(Products!$A$2:$A$8,C2219)=0,C2219,"")</f>
        <v/>
      </c>
      <c r="J2219">
        <f>IF(OR(E2219="Prospecting",E2219="Engaging"),VLOOKUP(C2219,Products!$A$2:$C$8,3,FALSE),0)</f>
        <v>0</v>
      </c>
    </row>
    <row r="2220" spans="1:10" x14ac:dyDescent="0.25">
      <c r="A2220" t="s">
        <v>2387</v>
      </c>
      <c r="B2220" t="s">
        <v>164</v>
      </c>
      <c r="C2220" t="s">
        <v>126</v>
      </c>
      <c r="D2220" t="s">
        <v>90</v>
      </c>
      <c r="E2220" t="s">
        <v>138</v>
      </c>
      <c r="F2220" s="1">
        <v>42833</v>
      </c>
      <c r="G2220" s="1">
        <v>42835</v>
      </c>
      <c r="H2220">
        <v>4761</v>
      </c>
      <c r="I2220" t="str">
        <f>IF(COUNTIF(Products!$A$2:$A$8,C2220)=0,C2220,"")</f>
        <v/>
      </c>
      <c r="J2220">
        <f>IF(OR(E2220="Prospecting",E2220="Engaging"),VLOOKUP(C2220,Products!$A$2:$C$8,3,FALSE),0)</f>
        <v>0</v>
      </c>
    </row>
    <row r="2221" spans="1:10" x14ac:dyDescent="0.25">
      <c r="A2221" t="s">
        <v>2388</v>
      </c>
      <c r="B2221" t="s">
        <v>164</v>
      </c>
      <c r="C2221" t="s">
        <v>125</v>
      </c>
      <c r="D2221" t="s">
        <v>78</v>
      </c>
      <c r="E2221" t="s">
        <v>138</v>
      </c>
      <c r="F2221" s="1">
        <v>42833</v>
      </c>
      <c r="G2221" s="1">
        <v>42839</v>
      </c>
      <c r="H2221">
        <v>3224</v>
      </c>
      <c r="I2221" t="str">
        <f>IF(COUNTIF(Products!$A$2:$A$8,C2221)=0,C2221,"")</f>
        <v/>
      </c>
      <c r="J2221">
        <f>IF(OR(E2221="Prospecting",E2221="Engaging"),VLOOKUP(C2221,Products!$A$2:$C$8,3,FALSE),0)</f>
        <v>0</v>
      </c>
    </row>
    <row r="2222" spans="1:10" x14ac:dyDescent="0.25">
      <c r="A2222" t="s">
        <v>2389</v>
      </c>
      <c r="B2222" t="s">
        <v>180</v>
      </c>
      <c r="C2222" t="s">
        <v>120</v>
      </c>
      <c r="D2222" t="s">
        <v>100</v>
      </c>
      <c r="E2222" t="s">
        <v>138</v>
      </c>
      <c r="F2222" s="1">
        <v>42833</v>
      </c>
      <c r="G2222" s="1">
        <v>42842</v>
      </c>
      <c r="H2222">
        <v>501</v>
      </c>
      <c r="I2222" t="str">
        <f>IF(COUNTIF(Products!$A$2:$A$8,C2222)=0,C2222,"")</f>
        <v/>
      </c>
      <c r="J2222">
        <f>IF(OR(E2222="Prospecting",E2222="Engaging"),VLOOKUP(C2222,Products!$A$2:$C$8,3,FALSE),0)</f>
        <v>0</v>
      </c>
    </row>
    <row r="2223" spans="1:10" x14ac:dyDescent="0.25">
      <c r="A2223" t="s">
        <v>2390</v>
      </c>
      <c r="B2223" t="s">
        <v>217</v>
      </c>
      <c r="C2223" t="s">
        <v>125</v>
      </c>
      <c r="D2223" t="s">
        <v>95</v>
      </c>
      <c r="E2223" t="s">
        <v>138</v>
      </c>
      <c r="F2223" s="1">
        <v>42833</v>
      </c>
      <c r="G2223" s="1">
        <v>42842</v>
      </c>
      <c r="H2223">
        <v>3532</v>
      </c>
      <c r="I2223" t="str">
        <f>IF(COUNTIF(Products!$A$2:$A$8,C2223)=0,C2223,"")</f>
        <v/>
      </c>
      <c r="J2223">
        <f>IF(OR(E2223="Prospecting",E2223="Engaging"),VLOOKUP(C2223,Products!$A$2:$C$8,3,FALSE),0)</f>
        <v>0</v>
      </c>
    </row>
    <row r="2224" spans="1:10" x14ac:dyDescent="0.25">
      <c r="A2224" t="s">
        <v>2391</v>
      </c>
      <c r="B2224" t="s">
        <v>150</v>
      </c>
      <c r="C2224" t="s">
        <v>125</v>
      </c>
      <c r="E2224" t="s">
        <v>155</v>
      </c>
      <c r="F2224" s="1">
        <v>42833</v>
      </c>
      <c r="I2224" t="str">
        <f>IF(COUNTIF(Products!$A$2:$A$8,C2224)=0,C2224,"")</f>
        <v/>
      </c>
      <c r="J2224">
        <f>IF(OR(E2224="Prospecting",E2224="Engaging"),VLOOKUP(C2224,Products!$A$2:$C$8,3,FALSE),0)</f>
        <v>3393</v>
      </c>
    </row>
    <row r="2225" spans="1:10" x14ac:dyDescent="0.25">
      <c r="A2225" t="s">
        <v>2392</v>
      </c>
      <c r="B2225" t="s">
        <v>162</v>
      </c>
      <c r="C2225" t="s">
        <v>122</v>
      </c>
      <c r="D2225" t="s">
        <v>107</v>
      </c>
      <c r="E2225" t="s">
        <v>138</v>
      </c>
      <c r="F2225" s="1">
        <v>42833</v>
      </c>
      <c r="G2225" s="1">
        <v>42837</v>
      </c>
      <c r="H2225">
        <v>4320</v>
      </c>
      <c r="I2225" t="str">
        <f>IF(COUNTIF(Products!$A$2:$A$8,C2225)=0,C2225,"")</f>
        <v/>
      </c>
      <c r="J2225">
        <f>IF(OR(E2225="Prospecting",E2225="Engaging"),VLOOKUP(C2225,Products!$A$2:$C$8,3,FALSE),0)</f>
        <v>0</v>
      </c>
    </row>
    <row r="2226" spans="1:10" x14ac:dyDescent="0.25">
      <c r="A2226" t="s">
        <v>2393</v>
      </c>
      <c r="B2226" t="s">
        <v>137</v>
      </c>
      <c r="C2226" t="s">
        <v>123</v>
      </c>
      <c r="D2226" t="s">
        <v>51</v>
      </c>
      <c r="E2226" t="s">
        <v>159</v>
      </c>
      <c r="F2226" s="1">
        <v>42833</v>
      </c>
      <c r="G2226" s="1">
        <v>42835</v>
      </c>
      <c r="H2226">
        <v>0</v>
      </c>
      <c r="I2226" t="str">
        <f>IF(COUNTIF(Products!$A$2:$A$8,C2226)=0,C2226,"")</f>
        <v/>
      </c>
      <c r="J2226">
        <f>IF(OR(E2226="Prospecting",E2226="Engaging"),VLOOKUP(C2226,Products!$A$2:$C$8,3,FALSE),0)</f>
        <v>0</v>
      </c>
    </row>
    <row r="2227" spans="1:10" x14ac:dyDescent="0.25">
      <c r="A2227" t="s">
        <v>2394</v>
      </c>
      <c r="B2227" t="s">
        <v>193</v>
      </c>
      <c r="C2227" t="s">
        <v>127</v>
      </c>
      <c r="D2227" t="s">
        <v>115</v>
      </c>
      <c r="E2227" t="s">
        <v>138</v>
      </c>
      <c r="F2227" s="1">
        <v>42833</v>
      </c>
      <c r="G2227" s="1">
        <v>42897</v>
      </c>
      <c r="H2227">
        <v>1123</v>
      </c>
      <c r="I2227" t="str">
        <f>IF(COUNTIF(Products!$A$2:$A$8,C2227)=0,C2227,"")</f>
        <v/>
      </c>
      <c r="J2227">
        <f>IF(OR(E2227="Prospecting",E2227="Engaging"),VLOOKUP(C2227,Products!$A$2:$C$8,3,FALSE),0)</f>
        <v>0</v>
      </c>
    </row>
    <row r="2228" spans="1:10" x14ac:dyDescent="0.25">
      <c r="A2228" t="s">
        <v>2395</v>
      </c>
      <c r="B2228" t="s">
        <v>187</v>
      </c>
      <c r="C2228" t="s">
        <v>122</v>
      </c>
      <c r="D2228" t="s">
        <v>108</v>
      </c>
      <c r="E2228" t="s">
        <v>138</v>
      </c>
      <c r="F2228" s="1">
        <v>42833</v>
      </c>
      <c r="G2228" s="1">
        <v>42834</v>
      </c>
      <c r="H2228">
        <v>5217</v>
      </c>
      <c r="I2228" t="str">
        <f>IF(COUNTIF(Products!$A$2:$A$8,C2228)=0,C2228,"")</f>
        <v/>
      </c>
      <c r="J2228">
        <f>IF(OR(E2228="Prospecting",E2228="Engaging"),VLOOKUP(C2228,Products!$A$2:$C$8,3,FALSE),0)</f>
        <v>0</v>
      </c>
    </row>
    <row r="2229" spans="1:10" x14ac:dyDescent="0.25">
      <c r="A2229" t="s">
        <v>2396</v>
      </c>
      <c r="B2229" t="s">
        <v>169</v>
      </c>
      <c r="C2229" t="s">
        <v>123</v>
      </c>
      <c r="D2229" t="s">
        <v>26</v>
      </c>
      <c r="E2229" t="s">
        <v>159</v>
      </c>
      <c r="F2229" s="1">
        <v>42833</v>
      </c>
      <c r="G2229" s="1">
        <v>42882</v>
      </c>
      <c r="H2229">
        <v>0</v>
      </c>
      <c r="I2229" t="str">
        <f>IF(COUNTIF(Products!$A$2:$A$8,C2229)=0,C2229,"")</f>
        <v/>
      </c>
      <c r="J2229">
        <f>IF(OR(E2229="Prospecting",E2229="Engaging"),VLOOKUP(C2229,Products!$A$2:$C$8,3,FALSE),0)</f>
        <v>0</v>
      </c>
    </row>
    <row r="2230" spans="1:10" x14ac:dyDescent="0.25">
      <c r="A2230" t="s">
        <v>2397</v>
      </c>
      <c r="B2230" t="s">
        <v>148</v>
      </c>
      <c r="C2230" t="s">
        <v>122</v>
      </c>
      <c r="E2230" t="s">
        <v>155</v>
      </c>
      <c r="F2230" s="1">
        <v>42833</v>
      </c>
      <c r="I2230" t="str">
        <f>IF(COUNTIF(Products!$A$2:$A$8,C2230)=0,C2230,"")</f>
        <v/>
      </c>
      <c r="J2230">
        <f>IF(OR(E2230="Prospecting",E2230="Engaging"),VLOOKUP(C2230,Products!$A$2:$C$8,3,FALSE),0)</f>
        <v>4821</v>
      </c>
    </row>
    <row r="2231" spans="1:10" x14ac:dyDescent="0.25">
      <c r="A2231" t="s">
        <v>2398</v>
      </c>
      <c r="B2231" t="s">
        <v>148</v>
      </c>
      <c r="C2231" t="s">
        <v>120</v>
      </c>
      <c r="D2231" t="s">
        <v>71</v>
      </c>
      <c r="E2231" t="s">
        <v>138</v>
      </c>
      <c r="F2231" s="1">
        <v>42833</v>
      </c>
      <c r="G2231" s="1">
        <v>42896</v>
      </c>
      <c r="H2231">
        <v>595</v>
      </c>
      <c r="I2231" t="str">
        <f>IF(COUNTIF(Products!$A$2:$A$8,C2231)=0,C2231,"")</f>
        <v/>
      </c>
      <c r="J2231">
        <f>IF(OR(E2231="Prospecting",E2231="Engaging"),VLOOKUP(C2231,Products!$A$2:$C$8,3,FALSE),0)</f>
        <v>0</v>
      </c>
    </row>
    <row r="2232" spans="1:10" x14ac:dyDescent="0.25">
      <c r="A2232" t="s">
        <v>2399</v>
      </c>
      <c r="B2232" t="s">
        <v>148</v>
      </c>
      <c r="C2232" t="s">
        <v>126</v>
      </c>
      <c r="D2232" t="s">
        <v>69</v>
      </c>
      <c r="E2232" t="s">
        <v>138</v>
      </c>
      <c r="F2232" s="1">
        <v>42833</v>
      </c>
      <c r="G2232" s="1">
        <v>42841</v>
      </c>
      <c r="H2232">
        <v>5848</v>
      </c>
      <c r="I2232" t="str">
        <f>IF(COUNTIF(Products!$A$2:$A$8,C2232)=0,C2232,"")</f>
        <v/>
      </c>
      <c r="J2232">
        <f>IF(OR(E2232="Prospecting",E2232="Engaging"),VLOOKUP(C2232,Products!$A$2:$C$8,3,FALSE),0)</f>
        <v>0</v>
      </c>
    </row>
    <row r="2233" spans="1:10" x14ac:dyDescent="0.25">
      <c r="A2233" t="s">
        <v>2400</v>
      </c>
      <c r="B2233" t="s">
        <v>144</v>
      </c>
      <c r="C2233" t="s">
        <v>120</v>
      </c>
      <c r="D2233" t="s">
        <v>39</v>
      </c>
      <c r="E2233" t="s">
        <v>159</v>
      </c>
      <c r="F2233" s="1">
        <v>42833</v>
      </c>
      <c r="G2233" s="1">
        <v>42834</v>
      </c>
      <c r="H2233">
        <v>0</v>
      </c>
      <c r="I2233" t="str">
        <f>IF(COUNTIF(Products!$A$2:$A$8,C2233)=0,C2233,"")</f>
        <v/>
      </c>
      <c r="J2233">
        <f>IF(OR(E2233="Prospecting",E2233="Engaging"),VLOOKUP(C2233,Products!$A$2:$C$8,3,FALSE),0)</f>
        <v>0</v>
      </c>
    </row>
    <row r="2234" spans="1:10" x14ac:dyDescent="0.25">
      <c r="A2234" t="s">
        <v>2401</v>
      </c>
      <c r="B2234" t="s">
        <v>144</v>
      </c>
      <c r="C2234" t="s">
        <v>123</v>
      </c>
      <c r="D2234" t="s">
        <v>82</v>
      </c>
      <c r="E2234" t="s">
        <v>159</v>
      </c>
      <c r="F2234" s="1">
        <v>42833</v>
      </c>
      <c r="G2234" s="1">
        <v>42838</v>
      </c>
      <c r="H2234">
        <v>0</v>
      </c>
      <c r="I2234" t="str">
        <f>IF(COUNTIF(Products!$A$2:$A$8,C2234)=0,C2234,"")</f>
        <v/>
      </c>
      <c r="J2234">
        <f>IF(OR(E2234="Prospecting",E2234="Engaging"),VLOOKUP(C2234,Products!$A$2:$C$8,3,FALSE),0)</f>
        <v>0</v>
      </c>
    </row>
    <row r="2235" spans="1:10" x14ac:dyDescent="0.25">
      <c r="A2235" t="s">
        <v>2402</v>
      </c>
      <c r="B2235" t="s">
        <v>144</v>
      </c>
      <c r="C2235" t="s">
        <v>126</v>
      </c>
      <c r="D2235" t="s">
        <v>107</v>
      </c>
      <c r="E2235" t="s">
        <v>138</v>
      </c>
      <c r="F2235" s="1">
        <v>42833</v>
      </c>
      <c r="G2235" s="1">
        <v>42842</v>
      </c>
      <c r="H2235">
        <v>5884</v>
      </c>
      <c r="I2235" t="str">
        <f>IF(COUNTIF(Products!$A$2:$A$8,C2235)=0,C2235,"")</f>
        <v/>
      </c>
      <c r="J2235">
        <f>IF(OR(E2235="Prospecting",E2235="Engaging"),VLOOKUP(C2235,Products!$A$2:$C$8,3,FALSE),0)</f>
        <v>0</v>
      </c>
    </row>
    <row r="2236" spans="1:10" x14ac:dyDescent="0.25">
      <c r="A2236" t="s">
        <v>2403</v>
      </c>
      <c r="B2236" t="s">
        <v>146</v>
      </c>
      <c r="C2236" t="s">
        <v>125</v>
      </c>
      <c r="D2236" t="s">
        <v>12</v>
      </c>
      <c r="E2236" t="s">
        <v>138</v>
      </c>
      <c r="F2236" s="1">
        <v>42834</v>
      </c>
      <c r="G2236" s="1">
        <v>42888</v>
      </c>
      <c r="H2236">
        <v>3666</v>
      </c>
      <c r="I2236" t="str">
        <f>IF(COUNTIF(Products!$A$2:$A$8,C2236)=0,C2236,"")</f>
        <v/>
      </c>
      <c r="J2236">
        <f>IF(OR(E2236="Prospecting",E2236="Engaging"),VLOOKUP(C2236,Products!$A$2:$C$8,3,FALSE),0)</f>
        <v>0</v>
      </c>
    </row>
    <row r="2237" spans="1:10" x14ac:dyDescent="0.25">
      <c r="A2237" t="s">
        <v>2404</v>
      </c>
      <c r="B2237" t="s">
        <v>222</v>
      </c>
      <c r="C2237" t="s">
        <v>120</v>
      </c>
      <c r="D2237" t="s">
        <v>111</v>
      </c>
      <c r="E2237" t="s">
        <v>159</v>
      </c>
      <c r="F2237" s="1">
        <v>42834</v>
      </c>
      <c r="G2237" s="1">
        <v>42843</v>
      </c>
      <c r="H2237">
        <v>0</v>
      </c>
      <c r="I2237" t="str">
        <f>IF(COUNTIF(Products!$A$2:$A$8,C2237)=0,C2237,"")</f>
        <v/>
      </c>
      <c r="J2237">
        <f>IF(OR(E2237="Prospecting",E2237="Engaging"),VLOOKUP(C2237,Products!$A$2:$C$8,3,FALSE),0)</f>
        <v>0</v>
      </c>
    </row>
    <row r="2238" spans="1:10" x14ac:dyDescent="0.25">
      <c r="A2238" t="s">
        <v>2405</v>
      </c>
      <c r="B2238" t="s">
        <v>207</v>
      </c>
      <c r="C2238" t="s">
        <v>120</v>
      </c>
      <c r="D2238" t="s">
        <v>69</v>
      </c>
      <c r="E2238" t="s">
        <v>138</v>
      </c>
      <c r="F2238" s="1">
        <v>42834</v>
      </c>
      <c r="G2238" s="1">
        <v>42845</v>
      </c>
      <c r="H2238">
        <v>598</v>
      </c>
      <c r="I2238" t="str">
        <f>IF(COUNTIF(Products!$A$2:$A$8,C2238)=0,C2238,"")</f>
        <v/>
      </c>
      <c r="J2238">
        <f>IF(OR(E2238="Prospecting",E2238="Engaging"),VLOOKUP(C2238,Products!$A$2:$C$8,3,FALSE),0)</f>
        <v>0</v>
      </c>
    </row>
    <row r="2239" spans="1:10" x14ac:dyDescent="0.25">
      <c r="A2239" t="s">
        <v>2406</v>
      </c>
      <c r="B2239" t="s">
        <v>207</v>
      </c>
      <c r="C2239" t="s">
        <v>125</v>
      </c>
      <c r="D2239" t="s">
        <v>63</v>
      </c>
      <c r="E2239" t="s">
        <v>138</v>
      </c>
      <c r="F2239" s="1">
        <v>42834</v>
      </c>
      <c r="G2239" s="1">
        <v>42841</v>
      </c>
      <c r="H2239">
        <v>3275</v>
      </c>
      <c r="I2239" t="str">
        <f>IF(COUNTIF(Products!$A$2:$A$8,C2239)=0,C2239,"")</f>
        <v/>
      </c>
      <c r="J2239">
        <f>IF(OR(E2239="Prospecting",E2239="Engaging"),VLOOKUP(C2239,Products!$A$2:$C$8,3,FALSE),0)</f>
        <v>0</v>
      </c>
    </row>
    <row r="2240" spans="1:10" x14ac:dyDescent="0.25">
      <c r="A2240" t="s">
        <v>2407</v>
      </c>
      <c r="B2240" t="s">
        <v>264</v>
      </c>
      <c r="C2240" t="s">
        <v>120</v>
      </c>
      <c r="D2240" t="s">
        <v>46</v>
      </c>
      <c r="E2240" t="s">
        <v>159</v>
      </c>
      <c r="F2240" s="1">
        <v>42834</v>
      </c>
      <c r="G2240" s="1">
        <v>42835</v>
      </c>
      <c r="H2240">
        <v>0</v>
      </c>
      <c r="I2240" t="str">
        <f>IF(COUNTIF(Products!$A$2:$A$8,C2240)=0,C2240,"")</f>
        <v/>
      </c>
      <c r="J2240">
        <f>IF(OR(E2240="Prospecting",E2240="Engaging"),VLOOKUP(C2240,Products!$A$2:$C$8,3,FALSE),0)</f>
        <v>0</v>
      </c>
    </row>
    <row r="2241" spans="1:10" x14ac:dyDescent="0.25">
      <c r="A2241" t="s">
        <v>2408</v>
      </c>
      <c r="B2241" t="s">
        <v>264</v>
      </c>
      <c r="C2241" t="s">
        <v>120</v>
      </c>
      <c r="D2241" t="s">
        <v>64</v>
      </c>
      <c r="E2241" t="s">
        <v>159</v>
      </c>
      <c r="F2241" s="1">
        <v>42834</v>
      </c>
      <c r="G2241" s="1">
        <v>42843</v>
      </c>
      <c r="H2241">
        <v>0</v>
      </c>
      <c r="I2241" t="str">
        <f>IF(COUNTIF(Products!$A$2:$A$8,C2241)=0,C2241,"")</f>
        <v/>
      </c>
      <c r="J2241">
        <f>IF(OR(E2241="Prospecting",E2241="Engaging"),VLOOKUP(C2241,Products!$A$2:$C$8,3,FALSE),0)</f>
        <v>0</v>
      </c>
    </row>
    <row r="2242" spans="1:10" x14ac:dyDescent="0.25">
      <c r="A2242" t="s">
        <v>2409</v>
      </c>
      <c r="B2242" t="s">
        <v>264</v>
      </c>
      <c r="C2242" t="s">
        <v>123</v>
      </c>
      <c r="D2242" t="s">
        <v>116</v>
      </c>
      <c r="E2242" t="s">
        <v>159</v>
      </c>
      <c r="F2242" s="1">
        <v>42834</v>
      </c>
      <c r="G2242" s="1">
        <v>42845</v>
      </c>
      <c r="H2242">
        <v>0</v>
      </c>
      <c r="I2242" t="str">
        <f>IF(COUNTIF(Products!$A$2:$A$8,C2242)=0,C2242,"")</f>
        <v/>
      </c>
      <c r="J2242">
        <f>IF(OR(E2242="Prospecting",E2242="Engaging"),VLOOKUP(C2242,Products!$A$2:$C$8,3,FALSE),0)</f>
        <v>0</v>
      </c>
    </row>
    <row r="2243" spans="1:10" x14ac:dyDescent="0.25">
      <c r="A2243" t="s">
        <v>2410</v>
      </c>
      <c r="B2243" t="s">
        <v>239</v>
      </c>
      <c r="C2243" t="s">
        <v>125</v>
      </c>
      <c r="E2243" t="s">
        <v>155</v>
      </c>
      <c r="F2243" s="1">
        <v>42834</v>
      </c>
      <c r="I2243" t="str">
        <f>IF(COUNTIF(Products!$A$2:$A$8,C2243)=0,C2243,"")</f>
        <v/>
      </c>
      <c r="J2243">
        <f>IF(OR(E2243="Prospecting",E2243="Engaging"),VLOOKUP(C2243,Products!$A$2:$C$8,3,FALSE),0)</f>
        <v>3393</v>
      </c>
    </row>
    <row r="2244" spans="1:10" x14ac:dyDescent="0.25">
      <c r="A2244" t="s">
        <v>2411</v>
      </c>
      <c r="B2244" t="s">
        <v>171</v>
      </c>
      <c r="C2244" t="s">
        <v>122</v>
      </c>
      <c r="D2244" t="s">
        <v>10</v>
      </c>
      <c r="E2244" t="s">
        <v>159</v>
      </c>
      <c r="F2244" s="1">
        <v>42834</v>
      </c>
      <c r="G2244" s="1">
        <v>42885</v>
      </c>
      <c r="H2244">
        <v>0</v>
      </c>
      <c r="I2244" t="str">
        <f>IF(COUNTIF(Products!$A$2:$A$8,C2244)=0,C2244,"")</f>
        <v/>
      </c>
      <c r="J2244">
        <f>IF(OR(E2244="Prospecting",E2244="Engaging"),VLOOKUP(C2244,Products!$A$2:$C$8,3,FALSE),0)</f>
        <v>0</v>
      </c>
    </row>
    <row r="2245" spans="1:10" x14ac:dyDescent="0.25">
      <c r="A2245" t="s">
        <v>2412</v>
      </c>
      <c r="B2245" t="s">
        <v>140</v>
      </c>
      <c r="C2245" t="s">
        <v>122</v>
      </c>
      <c r="D2245" t="s">
        <v>88</v>
      </c>
      <c r="E2245" t="s">
        <v>138</v>
      </c>
      <c r="F2245" s="1">
        <v>42834</v>
      </c>
      <c r="G2245" s="1">
        <v>42843</v>
      </c>
      <c r="H2245">
        <v>4978</v>
      </c>
      <c r="I2245" t="str">
        <f>IF(COUNTIF(Products!$A$2:$A$8,C2245)=0,C2245,"")</f>
        <v/>
      </c>
      <c r="J2245">
        <f>IF(OR(E2245="Prospecting",E2245="Engaging"),VLOOKUP(C2245,Products!$A$2:$C$8,3,FALSE),0)</f>
        <v>0</v>
      </c>
    </row>
    <row r="2246" spans="1:10" x14ac:dyDescent="0.25">
      <c r="A2246" t="s">
        <v>2413</v>
      </c>
      <c r="B2246" t="s">
        <v>173</v>
      </c>
      <c r="C2246" t="s">
        <v>123</v>
      </c>
      <c r="D2246" t="s">
        <v>29</v>
      </c>
      <c r="E2246" t="s">
        <v>138</v>
      </c>
      <c r="F2246" s="1">
        <v>42834</v>
      </c>
      <c r="G2246" s="1">
        <v>42884</v>
      </c>
      <c r="H2246">
        <v>56</v>
      </c>
      <c r="I2246" t="str">
        <f>IF(COUNTIF(Products!$A$2:$A$8,C2246)=0,C2246,"")</f>
        <v/>
      </c>
      <c r="J2246">
        <f>IF(OR(E2246="Prospecting",E2246="Engaging"),VLOOKUP(C2246,Products!$A$2:$C$8,3,FALSE),0)</f>
        <v>0</v>
      </c>
    </row>
    <row r="2247" spans="1:10" x14ac:dyDescent="0.25">
      <c r="A2247" t="s">
        <v>2414</v>
      </c>
      <c r="B2247" t="s">
        <v>158</v>
      </c>
      <c r="C2247" t="s">
        <v>125</v>
      </c>
      <c r="D2247" t="s">
        <v>32</v>
      </c>
      <c r="E2247" t="s">
        <v>138</v>
      </c>
      <c r="F2247" s="1">
        <v>42834</v>
      </c>
      <c r="G2247" s="1">
        <v>42839</v>
      </c>
      <c r="H2247">
        <v>3077</v>
      </c>
      <c r="I2247" t="str">
        <f>IF(COUNTIF(Products!$A$2:$A$8,C2247)=0,C2247,"")</f>
        <v/>
      </c>
      <c r="J2247">
        <f>IF(OR(E2247="Prospecting",E2247="Engaging"),VLOOKUP(C2247,Products!$A$2:$C$8,3,FALSE),0)</f>
        <v>0</v>
      </c>
    </row>
    <row r="2248" spans="1:10" x14ac:dyDescent="0.25">
      <c r="A2248" t="s">
        <v>2415</v>
      </c>
      <c r="B2248" t="s">
        <v>164</v>
      </c>
      <c r="C2248" t="s">
        <v>127</v>
      </c>
      <c r="D2248" t="s">
        <v>61</v>
      </c>
      <c r="E2248" t="s">
        <v>138</v>
      </c>
      <c r="F2248" s="1">
        <v>42834</v>
      </c>
      <c r="G2248" s="1">
        <v>42842</v>
      </c>
      <c r="H2248">
        <v>974</v>
      </c>
      <c r="I2248" t="str">
        <f>IF(COUNTIF(Products!$A$2:$A$8,C2248)=0,C2248,"")</f>
        <v/>
      </c>
      <c r="J2248">
        <f>IF(OR(E2248="Prospecting",E2248="Engaging"),VLOOKUP(C2248,Products!$A$2:$C$8,3,FALSE),0)</f>
        <v>0</v>
      </c>
    </row>
    <row r="2249" spans="1:10" x14ac:dyDescent="0.25">
      <c r="A2249" t="s">
        <v>2416</v>
      </c>
      <c r="B2249" t="s">
        <v>180</v>
      </c>
      <c r="C2249" t="s">
        <v>127</v>
      </c>
      <c r="D2249" t="s">
        <v>23</v>
      </c>
      <c r="E2249" t="s">
        <v>138</v>
      </c>
      <c r="F2249" s="1">
        <v>42834</v>
      </c>
      <c r="G2249" s="1">
        <v>42835</v>
      </c>
      <c r="H2249">
        <v>915</v>
      </c>
      <c r="I2249" t="str">
        <f>IF(COUNTIF(Products!$A$2:$A$8,C2249)=0,C2249,"")</f>
        <v/>
      </c>
      <c r="J2249">
        <f>IF(OR(E2249="Prospecting",E2249="Engaging"),VLOOKUP(C2249,Products!$A$2:$C$8,3,FALSE),0)</f>
        <v>0</v>
      </c>
    </row>
    <row r="2250" spans="1:10" x14ac:dyDescent="0.25">
      <c r="A2250" t="s">
        <v>2417</v>
      </c>
      <c r="B2250" t="s">
        <v>191</v>
      </c>
      <c r="C2250" t="s">
        <v>127</v>
      </c>
      <c r="D2250" t="s">
        <v>93</v>
      </c>
      <c r="E2250" t="s">
        <v>159</v>
      </c>
      <c r="F2250" s="1">
        <v>42834</v>
      </c>
      <c r="G2250" s="1">
        <v>42959</v>
      </c>
      <c r="H2250">
        <v>0</v>
      </c>
      <c r="I2250" t="str">
        <f>IF(COUNTIF(Products!$A$2:$A$8,C2250)=0,C2250,"")</f>
        <v/>
      </c>
      <c r="J2250">
        <f>IF(OR(E2250="Prospecting",E2250="Engaging"),VLOOKUP(C2250,Products!$A$2:$C$8,3,FALSE),0)</f>
        <v>0</v>
      </c>
    </row>
    <row r="2251" spans="1:10" x14ac:dyDescent="0.25">
      <c r="A2251" t="s">
        <v>2418</v>
      </c>
      <c r="B2251" t="s">
        <v>191</v>
      </c>
      <c r="C2251" t="s">
        <v>125</v>
      </c>
      <c r="D2251" t="s">
        <v>17</v>
      </c>
      <c r="E2251" t="s">
        <v>159</v>
      </c>
      <c r="F2251" s="1">
        <v>42834</v>
      </c>
      <c r="G2251" s="1">
        <v>42841</v>
      </c>
      <c r="H2251">
        <v>0</v>
      </c>
      <c r="I2251" t="str">
        <f>IF(COUNTIF(Products!$A$2:$A$8,C2251)=0,C2251,"")</f>
        <v/>
      </c>
      <c r="J2251">
        <f>IF(OR(E2251="Prospecting",E2251="Engaging"),VLOOKUP(C2251,Products!$A$2:$C$8,3,FALSE),0)</f>
        <v>0</v>
      </c>
    </row>
    <row r="2252" spans="1:10" x14ac:dyDescent="0.25">
      <c r="A2252" t="s">
        <v>2419</v>
      </c>
      <c r="B2252" t="s">
        <v>191</v>
      </c>
      <c r="C2252" t="s">
        <v>127</v>
      </c>
      <c r="D2252" t="s">
        <v>27</v>
      </c>
      <c r="E2252" t="s">
        <v>138</v>
      </c>
      <c r="F2252" s="1">
        <v>42834</v>
      </c>
      <c r="G2252" s="1">
        <v>42906</v>
      </c>
      <c r="H2252">
        <v>983</v>
      </c>
      <c r="I2252" t="str">
        <f>IF(COUNTIF(Products!$A$2:$A$8,C2252)=0,C2252,"")</f>
        <v/>
      </c>
      <c r="J2252">
        <f>IF(OR(E2252="Prospecting",E2252="Engaging"),VLOOKUP(C2252,Products!$A$2:$C$8,3,FALSE),0)</f>
        <v>0</v>
      </c>
    </row>
    <row r="2253" spans="1:10" x14ac:dyDescent="0.25">
      <c r="A2253" t="s">
        <v>2420</v>
      </c>
      <c r="B2253" t="s">
        <v>205</v>
      </c>
      <c r="C2253" t="s">
        <v>127</v>
      </c>
      <c r="D2253" t="s">
        <v>32</v>
      </c>
      <c r="E2253" t="s">
        <v>138</v>
      </c>
      <c r="F2253" s="1">
        <v>42834</v>
      </c>
      <c r="G2253" s="1">
        <v>42835</v>
      </c>
      <c r="H2253">
        <v>1204</v>
      </c>
      <c r="I2253" t="str">
        <f>IF(COUNTIF(Products!$A$2:$A$8,C2253)=0,C2253,"")</f>
        <v/>
      </c>
      <c r="J2253">
        <f>IF(OR(E2253="Prospecting",E2253="Engaging"),VLOOKUP(C2253,Products!$A$2:$C$8,3,FALSE),0)</f>
        <v>0</v>
      </c>
    </row>
    <row r="2254" spans="1:10" x14ac:dyDescent="0.25">
      <c r="A2254" t="s">
        <v>2421</v>
      </c>
      <c r="B2254" t="s">
        <v>137</v>
      </c>
      <c r="C2254" t="s">
        <v>126</v>
      </c>
      <c r="D2254" t="s">
        <v>27</v>
      </c>
      <c r="E2254" t="s">
        <v>159</v>
      </c>
      <c r="F2254" s="1">
        <v>42834</v>
      </c>
      <c r="G2254" s="1">
        <v>42841</v>
      </c>
      <c r="H2254">
        <v>0</v>
      </c>
      <c r="I2254" t="str">
        <f>IF(COUNTIF(Products!$A$2:$A$8,C2254)=0,C2254,"")</f>
        <v/>
      </c>
      <c r="J2254">
        <f>IF(OR(E2254="Prospecting",E2254="Engaging"),VLOOKUP(C2254,Products!$A$2:$C$8,3,FALSE),0)</f>
        <v>0</v>
      </c>
    </row>
    <row r="2255" spans="1:10" x14ac:dyDescent="0.25">
      <c r="A2255" t="s">
        <v>2422</v>
      </c>
      <c r="B2255" t="s">
        <v>152</v>
      </c>
      <c r="C2255" t="s">
        <v>127</v>
      </c>
      <c r="D2255" t="s">
        <v>70</v>
      </c>
      <c r="E2255" t="s">
        <v>138</v>
      </c>
      <c r="F2255" s="1">
        <v>42834</v>
      </c>
      <c r="G2255" s="1">
        <v>42835</v>
      </c>
      <c r="H2255">
        <v>970</v>
      </c>
      <c r="I2255" t="str">
        <f>IF(COUNTIF(Products!$A$2:$A$8,C2255)=0,C2255,"")</f>
        <v/>
      </c>
      <c r="J2255">
        <f>IF(OR(E2255="Prospecting",E2255="Engaging"),VLOOKUP(C2255,Products!$A$2:$C$8,3,FALSE),0)</f>
        <v>0</v>
      </c>
    </row>
    <row r="2256" spans="1:10" x14ac:dyDescent="0.25">
      <c r="A2256" t="s">
        <v>2423</v>
      </c>
      <c r="B2256" t="s">
        <v>193</v>
      </c>
      <c r="C2256" t="s">
        <v>120</v>
      </c>
      <c r="D2256" t="s">
        <v>10</v>
      </c>
      <c r="E2256" t="s">
        <v>138</v>
      </c>
      <c r="F2256" s="1">
        <v>42834</v>
      </c>
      <c r="G2256" s="1">
        <v>42841</v>
      </c>
      <c r="H2256">
        <v>575</v>
      </c>
      <c r="I2256" t="str">
        <f>IF(COUNTIF(Products!$A$2:$A$8,C2256)=0,C2256,"")</f>
        <v/>
      </c>
      <c r="J2256">
        <f>IF(OR(E2256="Prospecting",E2256="Engaging"),VLOOKUP(C2256,Products!$A$2:$C$8,3,FALSE),0)</f>
        <v>0</v>
      </c>
    </row>
    <row r="2257" spans="1:10" x14ac:dyDescent="0.25">
      <c r="A2257" t="s">
        <v>2424</v>
      </c>
      <c r="B2257" t="s">
        <v>187</v>
      </c>
      <c r="C2257" t="s">
        <v>126</v>
      </c>
      <c r="D2257" t="s">
        <v>48</v>
      </c>
      <c r="E2257" t="s">
        <v>138</v>
      </c>
      <c r="F2257" s="1">
        <v>42834</v>
      </c>
      <c r="G2257" s="1">
        <v>42904</v>
      </c>
      <c r="H2257">
        <v>5986</v>
      </c>
      <c r="I2257" t="str">
        <f>IF(COUNTIF(Products!$A$2:$A$8,C2257)=0,C2257,"")</f>
        <v/>
      </c>
      <c r="J2257">
        <f>IF(OR(E2257="Prospecting",E2257="Engaging"),VLOOKUP(C2257,Products!$A$2:$C$8,3,FALSE),0)</f>
        <v>0</v>
      </c>
    </row>
    <row r="2258" spans="1:10" x14ac:dyDescent="0.25">
      <c r="A2258" t="s">
        <v>2425</v>
      </c>
      <c r="B2258" t="s">
        <v>169</v>
      </c>
      <c r="C2258" t="s">
        <v>127</v>
      </c>
      <c r="D2258" t="s">
        <v>42</v>
      </c>
      <c r="E2258" t="s">
        <v>159</v>
      </c>
      <c r="F2258" s="1">
        <v>42834</v>
      </c>
      <c r="G2258" s="1">
        <v>42846</v>
      </c>
      <c r="H2258">
        <v>0</v>
      </c>
      <c r="I2258" t="str">
        <f>IF(COUNTIF(Products!$A$2:$A$8,C2258)=0,C2258,"")</f>
        <v/>
      </c>
      <c r="J2258">
        <f>IF(OR(E2258="Prospecting",E2258="Engaging"),VLOOKUP(C2258,Products!$A$2:$C$8,3,FALSE),0)</f>
        <v>0</v>
      </c>
    </row>
    <row r="2259" spans="1:10" x14ac:dyDescent="0.25">
      <c r="A2259" t="s">
        <v>2426</v>
      </c>
      <c r="B2259" t="s">
        <v>148</v>
      </c>
      <c r="C2259" t="s">
        <v>123</v>
      </c>
      <c r="D2259" t="s">
        <v>87</v>
      </c>
      <c r="E2259" t="s">
        <v>138</v>
      </c>
      <c r="F2259" s="1">
        <v>42834</v>
      </c>
      <c r="G2259" s="1">
        <v>42902</v>
      </c>
      <c r="H2259">
        <v>64</v>
      </c>
      <c r="I2259" t="str">
        <f>IF(COUNTIF(Products!$A$2:$A$8,C2259)=0,C2259,"")</f>
        <v/>
      </c>
      <c r="J2259">
        <f>IF(OR(E2259="Prospecting",E2259="Engaging"),VLOOKUP(C2259,Products!$A$2:$C$8,3,FALSE),0)</f>
        <v>0</v>
      </c>
    </row>
    <row r="2260" spans="1:10" x14ac:dyDescent="0.25">
      <c r="A2260" t="s">
        <v>2427</v>
      </c>
      <c r="B2260" t="s">
        <v>177</v>
      </c>
      <c r="C2260" t="s">
        <v>123</v>
      </c>
      <c r="E2260" t="s">
        <v>155</v>
      </c>
      <c r="F2260" s="1">
        <v>42834</v>
      </c>
      <c r="I2260" t="str">
        <f>IF(COUNTIF(Products!$A$2:$A$8,C2260)=0,C2260,"")</f>
        <v/>
      </c>
      <c r="J2260">
        <f>IF(OR(E2260="Prospecting",E2260="Engaging"),VLOOKUP(C2260,Products!$A$2:$C$8,3,FALSE),0)</f>
        <v>55</v>
      </c>
    </row>
    <row r="2261" spans="1:10" x14ac:dyDescent="0.25">
      <c r="A2261" t="s">
        <v>2428</v>
      </c>
      <c r="B2261" t="s">
        <v>144</v>
      </c>
      <c r="C2261" t="s">
        <v>127</v>
      </c>
      <c r="D2261" t="s">
        <v>112</v>
      </c>
      <c r="E2261" t="s">
        <v>155</v>
      </c>
      <c r="F2261" s="1">
        <v>42834</v>
      </c>
      <c r="I2261" t="str">
        <f>IF(COUNTIF(Products!$A$2:$A$8,C2261)=0,C2261,"")</f>
        <v/>
      </c>
      <c r="J2261">
        <f>IF(OR(E2261="Prospecting",E2261="Engaging"),VLOOKUP(C2261,Products!$A$2:$C$8,3,FALSE),0)</f>
        <v>1096</v>
      </c>
    </row>
    <row r="2262" spans="1:10" x14ac:dyDescent="0.25">
      <c r="A2262" t="s">
        <v>2429</v>
      </c>
      <c r="B2262" t="s">
        <v>144</v>
      </c>
      <c r="C2262" t="s">
        <v>120</v>
      </c>
      <c r="D2262" t="s">
        <v>90</v>
      </c>
      <c r="E2262" t="s">
        <v>159</v>
      </c>
      <c r="F2262" s="1">
        <v>42834</v>
      </c>
      <c r="G2262" s="1">
        <v>42840</v>
      </c>
      <c r="H2262">
        <v>0</v>
      </c>
      <c r="I2262" t="str">
        <f>IF(COUNTIF(Products!$A$2:$A$8,C2262)=0,C2262,"")</f>
        <v/>
      </c>
      <c r="J2262">
        <f>IF(OR(E2262="Prospecting",E2262="Engaging"),VLOOKUP(C2262,Products!$A$2:$C$8,3,FALSE),0)</f>
        <v>0</v>
      </c>
    </row>
    <row r="2263" spans="1:10" x14ac:dyDescent="0.25">
      <c r="A2263" t="s">
        <v>2430</v>
      </c>
      <c r="B2263" t="s">
        <v>144</v>
      </c>
      <c r="C2263" t="s">
        <v>125</v>
      </c>
      <c r="D2263" t="s">
        <v>66</v>
      </c>
      <c r="E2263" t="s">
        <v>138</v>
      </c>
      <c r="F2263" s="1">
        <v>42834</v>
      </c>
      <c r="G2263" s="1">
        <v>42912</v>
      </c>
      <c r="H2263">
        <v>3070</v>
      </c>
      <c r="I2263" t="str">
        <f>IF(COUNTIF(Products!$A$2:$A$8,C2263)=0,C2263,"")</f>
        <v/>
      </c>
      <c r="J2263">
        <f>IF(OR(E2263="Prospecting",E2263="Engaging"),VLOOKUP(C2263,Products!$A$2:$C$8,3,FALSE),0)</f>
        <v>0</v>
      </c>
    </row>
    <row r="2264" spans="1:10" x14ac:dyDescent="0.25">
      <c r="A2264" t="s">
        <v>2431</v>
      </c>
      <c r="B2264" t="s">
        <v>146</v>
      </c>
      <c r="C2264" t="s">
        <v>123</v>
      </c>
      <c r="D2264" t="s">
        <v>42</v>
      </c>
      <c r="E2264" t="s">
        <v>159</v>
      </c>
      <c r="F2264" s="1">
        <v>42835</v>
      </c>
      <c r="G2264" s="1">
        <v>42836</v>
      </c>
      <c r="H2264">
        <v>0</v>
      </c>
      <c r="I2264" t="str">
        <f>IF(COUNTIF(Products!$A$2:$A$8,C2264)=0,C2264,"")</f>
        <v/>
      </c>
      <c r="J2264">
        <f>IF(OR(E2264="Prospecting",E2264="Engaging"),VLOOKUP(C2264,Products!$A$2:$C$8,3,FALSE),0)</f>
        <v>0</v>
      </c>
    </row>
    <row r="2265" spans="1:10" x14ac:dyDescent="0.25">
      <c r="A2265" t="s">
        <v>2432</v>
      </c>
      <c r="B2265" t="s">
        <v>222</v>
      </c>
      <c r="C2265" t="s">
        <v>120</v>
      </c>
      <c r="D2265" t="s">
        <v>63</v>
      </c>
      <c r="E2265" t="s">
        <v>159</v>
      </c>
      <c r="F2265" s="1">
        <v>42835</v>
      </c>
      <c r="G2265" s="1">
        <v>42836</v>
      </c>
      <c r="H2265">
        <v>0</v>
      </c>
      <c r="I2265" t="str">
        <f>IF(COUNTIF(Products!$A$2:$A$8,C2265)=0,C2265,"")</f>
        <v/>
      </c>
      <c r="J2265">
        <f>IF(OR(E2265="Prospecting",E2265="Engaging"),VLOOKUP(C2265,Products!$A$2:$C$8,3,FALSE),0)</f>
        <v>0</v>
      </c>
    </row>
    <row r="2266" spans="1:10" x14ac:dyDescent="0.25">
      <c r="A2266" t="s">
        <v>2433</v>
      </c>
      <c r="B2266" t="s">
        <v>207</v>
      </c>
      <c r="C2266" t="s">
        <v>127</v>
      </c>
      <c r="D2266" t="s">
        <v>73</v>
      </c>
      <c r="E2266" t="s">
        <v>159</v>
      </c>
      <c r="F2266" s="1">
        <v>42835</v>
      </c>
      <c r="G2266" s="1">
        <v>42842</v>
      </c>
      <c r="H2266">
        <v>0</v>
      </c>
      <c r="I2266" t="str">
        <f>IF(COUNTIF(Products!$A$2:$A$8,C2266)=0,C2266,"")</f>
        <v/>
      </c>
      <c r="J2266">
        <f>IF(OR(E2266="Prospecting",E2266="Engaging"),VLOOKUP(C2266,Products!$A$2:$C$8,3,FALSE),0)</f>
        <v>0</v>
      </c>
    </row>
    <row r="2267" spans="1:10" x14ac:dyDescent="0.25">
      <c r="A2267" t="s">
        <v>2434</v>
      </c>
      <c r="B2267" t="s">
        <v>264</v>
      </c>
      <c r="C2267" t="s">
        <v>123</v>
      </c>
      <c r="D2267" t="s">
        <v>85</v>
      </c>
      <c r="E2267" t="s">
        <v>159</v>
      </c>
      <c r="F2267" s="1">
        <v>42835</v>
      </c>
      <c r="G2267" s="1">
        <v>42845</v>
      </c>
      <c r="H2267">
        <v>0</v>
      </c>
      <c r="I2267" t="str">
        <f>IF(COUNTIF(Products!$A$2:$A$8,C2267)=0,C2267,"")</f>
        <v/>
      </c>
      <c r="J2267">
        <f>IF(OR(E2267="Prospecting",E2267="Engaging"),VLOOKUP(C2267,Products!$A$2:$C$8,3,FALSE),0)</f>
        <v>0</v>
      </c>
    </row>
    <row r="2268" spans="1:10" x14ac:dyDescent="0.25">
      <c r="A2268" t="s">
        <v>2435</v>
      </c>
      <c r="B2268" t="s">
        <v>264</v>
      </c>
      <c r="C2268" t="s">
        <v>125</v>
      </c>
      <c r="D2268" t="s">
        <v>64</v>
      </c>
      <c r="E2268" t="s">
        <v>138</v>
      </c>
      <c r="F2268" s="1">
        <v>42835</v>
      </c>
      <c r="G2268" s="1">
        <v>42843</v>
      </c>
      <c r="H2268">
        <v>3409</v>
      </c>
      <c r="I2268" t="str">
        <f>IF(COUNTIF(Products!$A$2:$A$8,C2268)=0,C2268,"")</f>
        <v/>
      </c>
      <c r="J2268">
        <f>IF(OR(E2268="Prospecting",E2268="Engaging"),VLOOKUP(C2268,Products!$A$2:$C$8,3,FALSE),0)</f>
        <v>0</v>
      </c>
    </row>
    <row r="2269" spans="1:10" x14ac:dyDescent="0.25">
      <c r="A2269" t="s">
        <v>2436</v>
      </c>
      <c r="B2269" t="s">
        <v>171</v>
      </c>
      <c r="C2269" t="s">
        <v>126</v>
      </c>
      <c r="D2269" t="s">
        <v>7</v>
      </c>
      <c r="E2269" t="s">
        <v>138</v>
      </c>
      <c r="F2269" s="1">
        <v>42835</v>
      </c>
      <c r="G2269" s="1">
        <v>42897</v>
      </c>
      <c r="H2269">
        <v>5721</v>
      </c>
      <c r="I2269" t="str">
        <f>IF(COUNTIF(Products!$A$2:$A$8,C2269)=0,C2269,"")</f>
        <v/>
      </c>
      <c r="J2269">
        <f>IF(OR(E2269="Prospecting",E2269="Engaging"),VLOOKUP(C2269,Products!$A$2:$C$8,3,FALSE),0)</f>
        <v>0</v>
      </c>
    </row>
    <row r="2270" spans="1:10" x14ac:dyDescent="0.25">
      <c r="A2270" t="s">
        <v>2437</v>
      </c>
      <c r="B2270" t="s">
        <v>171</v>
      </c>
      <c r="C2270" t="s">
        <v>122</v>
      </c>
      <c r="D2270" t="s">
        <v>48</v>
      </c>
      <c r="E2270" t="s">
        <v>138</v>
      </c>
      <c r="F2270" s="1">
        <v>42835</v>
      </c>
      <c r="G2270" s="1">
        <v>42914</v>
      </c>
      <c r="H2270">
        <v>5039</v>
      </c>
      <c r="I2270" t="str">
        <f>IF(COUNTIF(Products!$A$2:$A$8,C2270)=0,C2270,"")</f>
        <v/>
      </c>
      <c r="J2270">
        <f>IF(OR(E2270="Prospecting",E2270="Engaging"),VLOOKUP(C2270,Products!$A$2:$C$8,3,FALSE),0)</f>
        <v>0</v>
      </c>
    </row>
    <row r="2271" spans="1:10" x14ac:dyDescent="0.25">
      <c r="A2271" t="s">
        <v>2438</v>
      </c>
      <c r="B2271" t="s">
        <v>171</v>
      </c>
      <c r="C2271" t="s">
        <v>122</v>
      </c>
      <c r="D2271" t="s">
        <v>108</v>
      </c>
      <c r="E2271" t="s">
        <v>138</v>
      </c>
      <c r="F2271" s="1">
        <v>42835</v>
      </c>
      <c r="G2271" s="1">
        <v>42836</v>
      </c>
      <c r="H2271">
        <v>5000</v>
      </c>
      <c r="I2271" t="str">
        <f>IF(COUNTIF(Products!$A$2:$A$8,C2271)=0,C2271,"")</f>
        <v/>
      </c>
      <c r="J2271">
        <f>IF(OR(E2271="Prospecting",E2271="Engaging"),VLOOKUP(C2271,Products!$A$2:$C$8,3,FALSE),0)</f>
        <v>0</v>
      </c>
    </row>
    <row r="2272" spans="1:10" x14ac:dyDescent="0.25">
      <c r="A2272" t="s">
        <v>2439</v>
      </c>
      <c r="B2272" t="s">
        <v>140</v>
      </c>
      <c r="C2272" t="s">
        <v>120</v>
      </c>
      <c r="D2272" t="s">
        <v>61</v>
      </c>
      <c r="E2272" t="s">
        <v>159</v>
      </c>
      <c r="F2272" s="1">
        <v>42835</v>
      </c>
      <c r="G2272" s="1">
        <v>42843</v>
      </c>
      <c r="H2272">
        <v>0</v>
      </c>
      <c r="I2272" t="str">
        <f>IF(COUNTIF(Products!$A$2:$A$8,C2272)=0,C2272,"")</f>
        <v/>
      </c>
      <c r="J2272">
        <f>IF(OR(E2272="Prospecting",E2272="Engaging"),VLOOKUP(C2272,Products!$A$2:$C$8,3,FALSE),0)</f>
        <v>0</v>
      </c>
    </row>
    <row r="2273" spans="1:10" x14ac:dyDescent="0.25">
      <c r="A2273" t="s">
        <v>2440</v>
      </c>
      <c r="B2273" t="s">
        <v>140</v>
      </c>
      <c r="C2273" t="s">
        <v>122</v>
      </c>
      <c r="D2273" t="s">
        <v>26</v>
      </c>
      <c r="E2273" t="s">
        <v>159</v>
      </c>
      <c r="F2273" s="1">
        <v>42835</v>
      </c>
      <c r="G2273" s="1">
        <v>42843</v>
      </c>
      <c r="H2273">
        <v>0</v>
      </c>
      <c r="I2273" t="str">
        <f>IF(COUNTIF(Products!$A$2:$A$8,C2273)=0,C2273,"")</f>
        <v/>
      </c>
      <c r="J2273">
        <f>IF(OR(E2273="Prospecting",E2273="Engaging"),VLOOKUP(C2273,Products!$A$2:$C$8,3,FALSE),0)</f>
        <v>0</v>
      </c>
    </row>
    <row r="2274" spans="1:10" x14ac:dyDescent="0.25">
      <c r="A2274" t="s">
        <v>2441</v>
      </c>
      <c r="B2274" t="s">
        <v>140</v>
      </c>
      <c r="C2274" t="s">
        <v>126</v>
      </c>
      <c r="D2274" t="s">
        <v>55</v>
      </c>
      <c r="E2274" t="s">
        <v>138</v>
      </c>
      <c r="F2274" s="1">
        <v>42835</v>
      </c>
      <c r="G2274" s="1">
        <v>42841</v>
      </c>
      <c r="H2274">
        <v>4955</v>
      </c>
      <c r="I2274" t="str">
        <f>IF(COUNTIF(Products!$A$2:$A$8,C2274)=0,C2274,"")</f>
        <v/>
      </c>
      <c r="J2274">
        <f>IF(OR(E2274="Prospecting",E2274="Engaging"),VLOOKUP(C2274,Products!$A$2:$C$8,3,FALSE),0)</f>
        <v>0</v>
      </c>
    </row>
    <row r="2275" spans="1:10" x14ac:dyDescent="0.25">
      <c r="A2275" t="s">
        <v>2442</v>
      </c>
      <c r="B2275" t="s">
        <v>140</v>
      </c>
      <c r="C2275" t="s">
        <v>122</v>
      </c>
      <c r="D2275" t="s">
        <v>27</v>
      </c>
      <c r="E2275" t="s">
        <v>138</v>
      </c>
      <c r="F2275" s="1">
        <v>42835</v>
      </c>
      <c r="G2275" s="1">
        <v>42842</v>
      </c>
      <c r="H2275">
        <v>5065</v>
      </c>
      <c r="I2275" t="str">
        <f>IF(COUNTIF(Products!$A$2:$A$8,C2275)=0,C2275,"")</f>
        <v/>
      </c>
      <c r="J2275">
        <f>IF(OR(E2275="Prospecting",E2275="Engaging"),VLOOKUP(C2275,Products!$A$2:$C$8,3,FALSE),0)</f>
        <v>0</v>
      </c>
    </row>
    <row r="2276" spans="1:10" x14ac:dyDescent="0.25">
      <c r="A2276" t="s">
        <v>2443</v>
      </c>
      <c r="B2276" t="s">
        <v>140</v>
      </c>
      <c r="C2276" t="s">
        <v>122</v>
      </c>
      <c r="D2276" t="s">
        <v>53</v>
      </c>
      <c r="E2276" t="s">
        <v>138</v>
      </c>
      <c r="F2276" s="1">
        <v>42835</v>
      </c>
      <c r="G2276" s="1">
        <v>42842</v>
      </c>
      <c r="H2276">
        <v>4343</v>
      </c>
      <c r="I2276" t="str">
        <f>IF(COUNTIF(Products!$A$2:$A$8,C2276)=0,C2276,"")</f>
        <v/>
      </c>
      <c r="J2276">
        <f>IF(OR(E2276="Prospecting",E2276="Engaging"),VLOOKUP(C2276,Products!$A$2:$C$8,3,FALSE),0)</f>
        <v>0</v>
      </c>
    </row>
    <row r="2277" spans="1:10" x14ac:dyDescent="0.25">
      <c r="A2277" t="s">
        <v>2444</v>
      </c>
      <c r="B2277" t="s">
        <v>140</v>
      </c>
      <c r="C2277" t="s">
        <v>122</v>
      </c>
      <c r="D2277" t="s">
        <v>94</v>
      </c>
      <c r="E2277" t="s">
        <v>138</v>
      </c>
      <c r="F2277" s="1">
        <v>42835</v>
      </c>
      <c r="G2277" s="1">
        <v>42845</v>
      </c>
      <c r="H2277">
        <v>3892</v>
      </c>
      <c r="I2277" t="str">
        <f>IF(COUNTIF(Products!$A$2:$A$8,C2277)=0,C2277,"")</f>
        <v/>
      </c>
      <c r="J2277">
        <f>IF(OR(E2277="Prospecting",E2277="Engaging"),VLOOKUP(C2277,Products!$A$2:$C$8,3,FALSE),0)</f>
        <v>0</v>
      </c>
    </row>
    <row r="2278" spans="1:10" x14ac:dyDescent="0.25">
      <c r="A2278" t="s">
        <v>2445</v>
      </c>
      <c r="B2278" t="s">
        <v>158</v>
      </c>
      <c r="C2278" t="s">
        <v>120</v>
      </c>
      <c r="D2278" t="s">
        <v>77</v>
      </c>
      <c r="E2278" t="s">
        <v>159</v>
      </c>
      <c r="F2278" s="1">
        <v>42835</v>
      </c>
      <c r="G2278" s="1">
        <v>42845</v>
      </c>
      <c r="H2278">
        <v>0</v>
      </c>
      <c r="I2278" t="str">
        <f>IF(COUNTIF(Products!$A$2:$A$8,C2278)=0,C2278,"")</f>
        <v/>
      </c>
      <c r="J2278">
        <f>IF(OR(E2278="Prospecting",E2278="Engaging"),VLOOKUP(C2278,Products!$A$2:$C$8,3,FALSE),0)</f>
        <v>0</v>
      </c>
    </row>
    <row r="2279" spans="1:10" x14ac:dyDescent="0.25">
      <c r="A2279" t="s">
        <v>2446</v>
      </c>
      <c r="B2279" t="s">
        <v>164</v>
      </c>
      <c r="C2279" t="s">
        <v>125</v>
      </c>
      <c r="E2279" t="s">
        <v>155</v>
      </c>
      <c r="F2279" s="1">
        <v>42835</v>
      </c>
      <c r="I2279" t="str">
        <f>IF(COUNTIF(Products!$A$2:$A$8,C2279)=0,C2279,"")</f>
        <v/>
      </c>
      <c r="J2279">
        <f>IF(OR(E2279="Prospecting",E2279="Engaging"),VLOOKUP(C2279,Products!$A$2:$C$8,3,FALSE),0)</f>
        <v>3393</v>
      </c>
    </row>
    <row r="2280" spans="1:10" x14ac:dyDescent="0.25">
      <c r="A2280" t="s">
        <v>2447</v>
      </c>
      <c r="B2280" t="s">
        <v>154</v>
      </c>
      <c r="C2280" t="s">
        <v>125</v>
      </c>
      <c r="D2280" t="s">
        <v>23</v>
      </c>
      <c r="E2280" t="s">
        <v>159</v>
      </c>
      <c r="F2280" s="1">
        <v>42835</v>
      </c>
      <c r="G2280" s="1">
        <v>42836</v>
      </c>
      <c r="H2280">
        <v>0</v>
      </c>
      <c r="I2280" t="str">
        <f>IF(COUNTIF(Products!$A$2:$A$8,C2280)=0,C2280,"")</f>
        <v/>
      </c>
      <c r="J2280">
        <f>IF(OR(E2280="Prospecting",E2280="Engaging"),VLOOKUP(C2280,Products!$A$2:$C$8,3,FALSE),0)</f>
        <v>0</v>
      </c>
    </row>
    <row r="2281" spans="1:10" x14ac:dyDescent="0.25">
      <c r="A2281" t="s">
        <v>2448</v>
      </c>
      <c r="B2281" t="s">
        <v>303</v>
      </c>
      <c r="C2281" t="s">
        <v>127</v>
      </c>
      <c r="D2281" t="s">
        <v>28</v>
      </c>
      <c r="E2281" t="s">
        <v>138</v>
      </c>
      <c r="F2281" s="1">
        <v>42835</v>
      </c>
      <c r="G2281" s="1">
        <v>42913</v>
      </c>
      <c r="H2281">
        <v>1115</v>
      </c>
      <c r="I2281" t="str">
        <f>IF(COUNTIF(Products!$A$2:$A$8,C2281)=0,C2281,"")</f>
        <v/>
      </c>
      <c r="J2281">
        <f>IF(OR(E2281="Prospecting",E2281="Engaging"),VLOOKUP(C2281,Products!$A$2:$C$8,3,FALSE),0)</f>
        <v>0</v>
      </c>
    </row>
    <row r="2282" spans="1:10" x14ac:dyDescent="0.25">
      <c r="A2282" t="s">
        <v>2449</v>
      </c>
      <c r="B2282" t="s">
        <v>180</v>
      </c>
      <c r="C2282" t="s">
        <v>120</v>
      </c>
      <c r="D2282" t="s">
        <v>67</v>
      </c>
      <c r="E2282" t="s">
        <v>138</v>
      </c>
      <c r="F2282" s="1">
        <v>42835</v>
      </c>
      <c r="G2282" s="1">
        <v>42841</v>
      </c>
      <c r="H2282">
        <v>533</v>
      </c>
      <c r="I2282" t="str">
        <f>IF(COUNTIF(Products!$A$2:$A$8,C2282)=0,C2282,"")</f>
        <v/>
      </c>
      <c r="J2282">
        <f>IF(OR(E2282="Prospecting",E2282="Engaging"),VLOOKUP(C2282,Products!$A$2:$C$8,3,FALSE),0)</f>
        <v>0</v>
      </c>
    </row>
    <row r="2283" spans="1:10" x14ac:dyDescent="0.25">
      <c r="A2283" t="s">
        <v>2450</v>
      </c>
      <c r="B2283" t="s">
        <v>180</v>
      </c>
      <c r="C2283" t="s">
        <v>127</v>
      </c>
      <c r="D2283" t="s">
        <v>23</v>
      </c>
      <c r="E2283" t="s">
        <v>138</v>
      </c>
      <c r="F2283" s="1">
        <v>42835</v>
      </c>
      <c r="G2283" s="1">
        <v>42838</v>
      </c>
      <c r="H2283">
        <v>1290</v>
      </c>
      <c r="I2283" t="str">
        <f>IF(COUNTIF(Products!$A$2:$A$8,C2283)=0,C2283,"")</f>
        <v/>
      </c>
      <c r="J2283">
        <f>IF(OR(E2283="Prospecting",E2283="Engaging"),VLOOKUP(C2283,Products!$A$2:$C$8,3,FALSE),0)</f>
        <v>0</v>
      </c>
    </row>
    <row r="2284" spans="1:10" x14ac:dyDescent="0.25">
      <c r="A2284" t="s">
        <v>2451</v>
      </c>
      <c r="B2284" t="s">
        <v>191</v>
      </c>
      <c r="C2284" t="s">
        <v>120</v>
      </c>
      <c r="D2284" t="s">
        <v>61</v>
      </c>
      <c r="E2284" t="s">
        <v>159</v>
      </c>
      <c r="F2284" s="1">
        <v>42835</v>
      </c>
      <c r="G2284" s="1">
        <v>42837</v>
      </c>
      <c r="H2284">
        <v>0</v>
      </c>
      <c r="I2284" t="str">
        <f>IF(COUNTIF(Products!$A$2:$A$8,C2284)=0,C2284,"")</f>
        <v/>
      </c>
      <c r="J2284">
        <f>IF(OR(E2284="Prospecting",E2284="Engaging"),VLOOKUP(C2284,Products!$A$2:$C$8,3,FALSE),0)</f>
        <v>0</v>
      </c>
    </row>
    <row r="2285" spans="1:10" x14ac:dyDescent="0.25">
      <c r="A2285" t="s">
        <v>2452</v>
      </c>
      <c r="B2285" t="s">
        <v>191</v>
      </c>
      <c r="C2285" t="s">
        <v>127</v>
      </c>
      <c r="D2285" t="s">
        <v>57</v>
      </c>
      <c r="E2285" t="s">
        <v>159</v>
      </c>
      <c r="F2285" s="1">
        <v>42835</v>
      </c>
      <c r="G2285" s="1">
        <v>42899</v>
      </c>
      <c r="H2285">
        <v>0</v>
      </c>
      <c r="I2285" t="str">
        <f>IF(COUNTIF(Products!$A$2:$A$8,C2285)=0,C2285,"")</f>
        <v/>
      </c>
      <c r="J2285">
        <f>IF(OR(E2285="Prospecting",E2285="Engaging"),VLOOKUP(C2285,Products!$A$2:$C$8,3,FALSE),0)</f>
        <v>0</v>
      </c>
    </row>
    <row r="2286" spans="1:10" x14ac:dyDescent="0.25">
      <c r="A2286" t="s">
        <v>2453</v>
      </c>
      <c r="B2286" t="s">
        <v>217</v>
      </c>
      <c r="C2286" t="s">
        <v>123</v>
      </c>
      <c r="D2286" t="s">
        <v>36</v>
      </c>
      <c r="E2286" t="s">
        <v>159</v>
      </c>
      <c r="F2286" s="1">
        <v>42835</v>
      </c>
      <c r="G2286" s="1">
        <v>42837</v>
      </c>
      <c r="H2286">
        <v>0</v>
      </c>
      <c r="I2286" t="str">
        <f>IF(COUNTIF(Products!$A$2:$A$8,C2286)=0,C2286,"")</f>
        <v/>
      </c>
      <c r="J2286">
        <f>IF(OR(E2286="Prospecting",E2286="Engaging"),VLOOKUP(C2286,Products!$A$2:$C$8,3,FALSE),0)</f>
        <v>0</v>
      </c>
    </row>
    <row r="2287" spans="1:10" x14ac:dyDescent="0.25">
      <c r="A2287" t="s">
        <v>2454</v>
      </c>
      <c r="B2287" t="s">
        <v>217</v>
      </c>
      <c r="C2287" t="s">
        <v>127</v>
      </c>
      <c r="D2287" t="s">
        <v>26</v>
      </c>
      <c r="E2287" t="s">
        <v>138</v>
      </c>
      <c r="F2287" s="1">
        <v>42835</v>
      </c>
      <c r="G2287" s="1">
        <v>42888</v>
      </c>
      <c r="H2287">
        <v>1047</v>
      </c>
      <c r="I2287" t="str">
        <f>IF(COUNTIF(Products!$A$2:$A$8,C2287)=0,C2287,"")</f>
        <v/>
      </c>
      <c r="J2287">
        <f>IF(OR(E2287="Prospecting",E2287="Engaging"),VLOOKUP(C2287,Products!$A$2:$C$8,3,FALSE),0)</f>
        <v>0</v>
      </c>
    </row>
    <row r="2288" spans="1:10" x14ac:dyDescent="0.25">
      <c r="A2288" t="s">
        <v>2455</v>
      </c>
      <c r="B2288" t="s">
        <v>217</v>
      </c>
      <c r="C2288" t="s">
        <v>123</v>
      </c>
      <c r="D2288" t="s">
        <v>55</v>
      </c>
      <c r="E2288" t="s">
        <v>138</v>
      </c>
      <c r="F2288" s="1">
        <v>42835</v>
      </c>
      <c r="G2288" s="1">
        <v>42843</v>
      </c>
      <c r="H2288">
        <v>47</v>
      </c>
      <c r="I2288" t="str">
        <f>IF(COUNTIF(Products!$A$2:$A$8,C2288)=0,C2288,"")</f>
        <v/>
      </c>
      <c r="J2288">
        <f>IF(OR(E2288="Prospecting",E2288="Engaging"),VLOOKUP(C2288,Products!$A$2:$C$8,3,FALSE),0)</f>
        <v>0</v>
      </c>
    </row>
    <row r="2289" spans="1:10" x14ac:dyDescent="0.25">
      <c r="A2289" t="s">
        <v>2456</v>
      </c>
      <c r="B2289" t="s">
        <v>150</v>
      </c>
      <c r="C2289" t="s">
        <v>125</v>
      </c>
      <c r="D2289" t="s">
        <v>46</v>
      </c>
      <c r="E2289" t="s">
        <v>155</v>
      </c>
      <c r="F2289" s="1">
        <v>42835</v>
      </c>
      <c r="I2289" t="str">
        <f>IF(COUNTIF(Products!$A$2:$A$8,C2289)=0,C2289,"")</f>
        <v/>
      </c>
      <c r="J2289">
        <f>IF(OR(E2289="Prospecting",E2289="Engaging"),VLOOKUP(C2289,Products!$A$2:$C$8,3,FALSE),0)</f>
        <v>3393</v>
      </c>
    </row>
    <row r="2290" spans="1:10" x14ac:dyDescent="0.25">
      <c r="A2290" t="s">
        <v>2457</v>
      </c>
      <c r="B2290" t="s">
        <v>205</v>
      </c>
      <c r="C2290" t="s">
        <v>120</v>
      </c>
      <c r="D2290" t="s">
        <v>27</v>
      </c>
      <c r="E2290" t="s">
        <v>159</v>
      </c>
      <c r="F2290" s="1">
        <v>42835</v>
      </c>
      <c r="G2290" s="1">
        <v>42846</v>
      </c>
      <c r="H2290">
        <v>0</v>
      </c>
      <c r="I2290" t="str">
        <f>IF(COUNTIF(Products!$A$2:$A$8,C2290)=0,C2290,"")</f>
        <v/>
      </c>
      <c r="J2290">
        <f>IF(OR(E2290="Prospecting",E2290="Engaging"),VLOOKUP(C2290,Products!$A$2:$C$8,3,FALSE),0)</f>
        <v>0</v>
      </c>
    </row>
    <row r="2291" spans="1:10" x14ac:dyDescent="0.25">
      <c r="A2291" t="s">
        <v>2458</v>
      </c>
      <c r="B2291" t="s">
        <v>205</v>
      </c>
      <c r="C2291" t="s">
        <v>122</v>
      </c>
      <c r="D2291" t="s">
        <v>85</v>
      </c>
      <c r="E2291" t="s">
        <v>138</v>
      </c>
      <c r="F2291" s="1">
        <v>42835</v>
      </c>
      <c r="G2291" s="1">
        <v>42895</v>
      </c>
      <c r="H2291">
        <v>4413</v>
      </c>
      <c r="I2291" t="str">
        <f>IF(COUNTIF(Products!$A$2:$A$8,C2291)=0,C2291,"")</f>
        <v/>
      </c>
      <c r="J2291">
        <f>IF(OR(E2291="Prospecting",E2291="Engaging"),VLOOKUP(C2291,Products!$A$2:$C$8,3,FALSE),0)</f>
        <v>0</v>
      </c>
    </row>
    <row r="2292" spans="1:10" x14ac:dyDescent="0.25">
      <c r="A2292" t="s">
        <v>2459</v>
      </c>
      <c r="B2292" t="s">
        <v>162</v>
      </c>
      <c r="C2292" t="s">
        <v>127</v>
      </c>
      <c r="D2292" t="s">
        <v>61</v>
      </c>
      <c r="E2292" t="s">
        <v>138</v>
      </c>
      <c r="F2292" s="1">
        <v>42835</v>
      </c>
      <c r="G2292" s="1">
        <v>42912</v>
      </c>
      <c r="H2292">
        <v>950</v>
      </c>
      <c r="I2292" t="str">
        <f>IF(COUNTIF(Products!$A$2:$A$8,C2292)=0,C2292,"")</f>
        <v/>
      </c>
      <c r="J2292">
        <f>IF(OR(E2292="Prospecting",E2292="Engaging"),VLOOKUP(C2292,Products!$A$2:$C$8,3,FALSE),0)</f>
        <v>0</v>
      </c>
    </row>
    <row r="2293" spans="1:10" x14ac:dyDescent="0.25">
      <c r="A2293" t="s">
        <v>2460</v>
      </c>
      <c r="B2293" t="s">
        <v>193</v>
      </c>
      <c r="C2293" t="s">
        <v>122</v>
      </c>
      <c r="D2293" t="s">
        <v>84</v>
      </c>
      <c r="E2293" t="s">
        <v>159</v>
      </c>
      <c r="F2293" s="1">
        <v>42835</v>
      </c>
      <c r="G2293" s="1">
        <v>42841</v>
      </c>
      <c r="H2293">
        <v>0</v>
      </c>
      <c r="I2293" t="str">
        <f>IF(COUNTIF(Products!$A$2:$A$8,C2293)=0,C2293,"")</f>
        <v/>
      </c>
      <c r="J2293">
        <f>IF(OR(E2293="Prospecting",E2293="Engaging"),VLOOKUP(C2293,Products!$A$2:$C$8,3,FALSE),0)</f>
        <v>0</v>
      </c>
    </row>
    <row r="2294" spans="1:10" x14ac:dyDescent="0.25">
      <c r="A2294" t="s">
        <v>2461</v>
      </c>
      <c r="B2294" t="s">
        <v>193</v>
      </c>
      <c r="C2294" t="s">
        <v>122</v>
      </c>
      <c r="D2294" t="s">
        <v>102</v>
      </c>
      <c r="E2294" t="s">
        <v>138</v>
      </c>
      <c r="F2294" s="1">
        <v>42835</v>
      </c>
      <c r="G2294" s="1">
        <v>42845</v>
      </c>
      <c r="H2294">
        <v>4136</v>
      </c>
      <c r="I2294" t="str">
        <f>IF(COUNTIF(Products!$A$2:$A$8,C2294)=0,C2294,"")</f>
        <v/>
      </c>
      <c r="J2294">
        <f>IF(OR(E2294="Prospecting",E2294="Engaging"),VLOOKUP(C2294,Products!$A$2:$C$8,3,FALSE),0)</f>
        <v>0</v>
      </c>
    </row>
    <row r="2295" spans="1:10" x14ac:dyDescent="0.25">
      <c r="A2295" t="s">
        <v>2462</v>
      </c>
      <c r="B2295" t="s">
        <v>169</v>
      </c>
      <c r="C2295" t="s">
        <v>123</v>
      </c>
      <c r="D2295" t="s">
        <v>89</v>
      </c>
      <c r="E2295" t="s">
        <v>138</v>
      </c>
      <c r="F2295" s="1">
        <v>42835</v>
      </c>
      <c r="G2295" s="1">
        <v>42843</v>
      </c>
      <c r="H2295">
        <v>62</v>
      </c>
      <c r="I2295" t="str">
        <f>IF(COUNTIF(Products!$A$2:$A$8,C2295)=0,C2295,"")</f>
        <v/>
      </c>
      <c r="J2295">
        <f>IF(OR(E2295="Prospecting",E2295="Engaging"),VLOOKUP(C2295,Products!$A$2:$C$8,3,FALSE),0)</f>
        <v>0</v>
      </c>
    </row>
    <row r="2296" spans="1:10" x14ac:dyDescent="0.25">
      <c r="A2296" t="s">
        <v>2463</v>
      </c>
      <c r="B2296" t="s">
        <v>148</v>
      </c>
      <c r="C2296" t="s">
        <v>123</v>
      </c>
      <c r="D2296" t="s">
        <v>66</v>
      </c>
      <c r="E2296" t="s">
        <v>159</v>
      </c>
      <c r="F2296" s="1">
        <v>42835</v>
      </c>
      <c r="G2296" s="1">
        <v>42843</v>
      </c>
      <c r="H2296">
        <v>0</v>
      </c>
      <c r="I2296" t="str">
        <f>IF(COUNTIF(Products!$A$2:$A$8,C2296)=0,C2296,"")</f>
        <v/>
      </c>
      <c r="J2296">
        <f>IF(OR(E2296="Prospecting",E2296="Engaging"),VLOOKUP(C2296,Products!$A$2:$C$8,3,FALSE),0)</f>
        <v>0</v>
      </c>
    </row>
    <row r="2297" spans="1:10" x14ac:dyDescent="0.25">
      <c r="A2297" t="s">
        <v>2464</v>
      </c>
      <c r="B2297" t="s">
        <v>144</v>
      </c>
      <c r="C2297" t="s">
        <v>125</v>
      </c>
      <c r="E2297" t="s">
        <v>155</v>
      </c>
      <c r="F2297" s="1">
        <v>42835</v>
      </c>
      <c r="I2297" t="str">
        <f>IF(COUNTIF(Products!$A$2:$A$8,C2297)=0,C2297,"")</f>
        <v/>
      </c>
      <c r="J2297">
        <f>IF(OR(E2297="Prospecting",E2297="Engaging"),VLOOKUP(C2297,Products!$A$2:$C$8,3,FALSE),0)</f>
        <v>3393</v>
      </c>
    </row>
    <row r="2298" spans="1:10" x14ac:dyDescent="0.25">
      <c r="A2298" t="s">
        <v>2465</v>
      </c>
      <c r="B2298" t="s">
        <v>144</v>
      </c>
      <c r="C2298" t="s">
        <v>120</v>
      </c>
      <c r="D2298" t="s">
        <v>56</v>
      </c>
      <c r="E2298" t="s">
        <v>138</v>
      </c>
      <c r="F2298" s="1">
        <v>42835</v>
      </c>
      <c r="G2298" s="1">
        <v>42836</v>
      </c>
      <c r="H2298">
        <v>467</v>
      </c>
      <c r="I2298" t="str">
        <f>IF(COUNTIF(Products!$A$2:$A$8,C2298)=0,C2298,"")</f>
        <v/>
      </c>
      <c r="J2298">
        <f>IF(OR(E2298="Prospecting",E2298="Engaging"),VLOOKUP(C2298,Products!$A$2:$C$8,3,FALSE),0)</f>
        <v>0</v>
      </c>
    </row>
    <row r="2299" spans="1:10" x14ac:dyDescent="0.25">
      <c r="A2299" t="s">
        <v>2466</v>
      </c>
      <c r="B2299" t="s">
        <v>222</v>
      </c>
      <c r="C2299" t="s">
        <v>127</v>
      </c>
      <c r="D2299" t="s">
        <v>50</v>
      </c>
      <c r="E2299" t="s">
        <v>138</v>
      </c>
      <c r="F2299" s="1">
        <v>42836</v>
      </c>
      <c r="G2299" s="1">
        <v>42897</v>
      </c>
      <c r="H2299">
        <v>1075</v>
      </c>
      <c r="I2299" t="str">
        <f>IF(COUNTIF(Products!$A$2:$A$8,C2299)=0,C2299,"")</f>
        <v/>
      </c>
      <c r="J2299">
        <f>IF(OR(E2299="Prospecting",E2299="Engaging"),VLOOKUP(C2299,Products!$A$2:$C$8,3,FALSE),0)</f>
        <v>0</v>
      </c>
    </row>
    <row r="2300" spans="1:10" x14ac:dyDescent="0.25">
      <c r="A2300" t="s">
        <v>2467</v>
      </c>
      <c r="B2300" t="s">
        <v>264</v>
      </c>
      <c r="C2300" t="s">
        <v>123</v>
      </c>
      <c r="D2300" t="s">
        <v>12</v>
      </c>
      <c r="E2300" t="s">
        <v>159</v>
      </c>
      <c r="F2300" s="1">
        <v>42836</v>
      </c>
      <c r="G2300" s="1">
        <v>42844</v>
      </c>
      <c r="H2300">
        <v>0</v>
      </c>
      <c r="I2300" t="str">
        <f>IF(COUNTIF(Products!$A$2:$A$8,C2300)=0,C2300,"")</f>
        <v/>
      </c>
      <c r="J2300">
        <f>IF(OR(E2300="Prospecting",E2300="Engaging"),VLOOKUP(C2300,Products!$A$2:$C$8,3,FALSE),0)</f>
        <v>0</v>
      </c>
    </row>
    <row r="2301" spans="1:10" x14ac:dyDescent="0.25">
      <c r="A2301" t="s">
        <v>2468</v>
      </c>
      <c r="B2301" t="s">
        <v>171</v>
      </c>
      <c r="C2301" t="s">
        <v>123</v>
      </c>
      <c r="D2301" t="s">
        <v>80</v>
      </c>
      <c r="E2301" t="s">
        <v>138</v>
      </c>
      <c r="F2301" s="1">
        <v>42836</v>
      </c>
      <c r="G2301" s="1">
        <v>42838</v>
      </c>
      <c r="H2301">
        <v>52</v>
      </c>
      <c r="I2301" t="str">
        <f>IF(COUNTIF(Products!$A$2:$A$8,C2301)=0,C2301,"")</f>
        <v/>
      </c>
      <c r="J2301">
        <f>IF(OR(E2301="Prospecting",E2301="Engaging"),VLOOKUP(C2301,Products!$A$2:$C$8,3,FALSE),0)</f>
        <v>0</v>
      </c>
    </row>
    <row r="2302" spans="1:10" x14ac:dyDescent="0.25">
      <c r="A2302" t="s">
        <v>2469</v>
      </c>
      <c r="B2302" t="s">
        <v>140</v>
      </c>
      <c r="C2302" t="s">
        <v>122</v>
      </c>
      <c r="D2302" t="s">
        <v>32</v>
      </c>
      <c r="E2302" t="s">
        <v>159</v>
      </c>
      <c r="F2302" s="1">
        <v>42836</v>
      </c>
      <c r="G2302" s="1">
        <v>42844</v>
      </c>
      <c r="H2302">
        <v>0</v>
      </c>
      <c r="I2302" t="str">
        <f>IF(COUNTIF(Products!$A$2:$A$8,C2302)=0,C2302,"")</f>
        <v/>
      </c>
      <c r="J2302">
        <f>IF(OR(E2302="Prospecting",E2302="Engaging"),VLOOKUP(C2302,Products!$A$2:$C$8,3,FALSE),0)</f>
        <v>0</v>
      </c>
    </row>
    <row r="2303" spans="1:10" x14ac:dyDescent="0.25">
      <c r="A2303" t="s">
        <v>2470</v>
      </c>
      <c r="B2303" t="s">
        <v>140</v>
      </c>
      <c r="C2303" t="s">
        <v>122</v>
      </c>
      <c r="D2303" t="s">
        <v>32</v>
      </c>
      <c r="E2303" t="s">
        <v>159</v>
      </c>
      <c r="F2303" s="1">
        <v>42836</v>
      </c>
      <c r="G2303" s="1">
        <v>42837</v>
      </c>
      <c r="H2303">
        <v>0</v>
      </c>
      <c r="I2303" t="str">
        <f>IF(COUNTIF(Products!$A$2:$A$8,C2303)=0,C2303,"")</f>
        <v/>
      </c>
      <c r="J2303">
        <f>IF(OR(E2303="Prospecting",E2303="Engaging"),VLOOKUP(C2303,Products!$A$2:$C$8,3,FALSE),0)</f>
        <v>0</v>
      </c>
    </row>
    <row r="2304" spans="1:10" x14ac:dyDescent="0.25">
      <c r="A2304" t="s">
        <v>2471</v>
      </c>
      <c r="B2304" t="s">
        <v>140</v>
      </c>
      <c r="C2304" t="s">
        <v>122</v>
      </c>
      <c r="D2304" t="s">
        <v>27</v>
      </c>
      <c r="E2304" t="s">
        <v>138</v>
      </c>
      <c r="F2304" s="1">
        <v>42836</v>
      </c>
      <c r="G2304" s="1">
        <v>42843</v>
      </c>
      <c r="H2304">
        <v>4837</v>
      </c>
      <c r="I2304" t="str">
        <f>IF(COUNTIF(Products!$A$2:$A$8,C2304)=0,C2304,"")</f>
        <v/>
      </c>
      <c r="J2304">
        <f>IF(OR(E2304="Prospecting",E2304="Engaging"),VLOOKUP(C2304,Products!$A$2:$C$8,3,FALSE),0)</f>
        <v>0</v>
      </c>
    </row>
    <row r="2305" spans="1:10" x14ac:dyDescent="0.25">
      <c r="A2305" t="s">
        <v>2472</v>
      </c>
      <c r="B2305" t="s">
        <v>224</v>
      </c>
      <c r="C2305" t="s">
        <v>127</v>
      </c>
      <c r="D2305" t="s">
        <v>84</v>
      </c>
      <c r="E2305" t="s">
        <v>159</v>
      </c>
      <c r="F2305" s="1">
        <v>42836</v>
      </c>
      <c r="G2305" s="1">
        <v>42843</v>
      </c>
      <c r="H2305">
        <v>0</v>
      </c>
      <c r="I2305" t="str">
        <f>IF(COUNTIF(Products!$A$2:$A$8,C2305)=0,C2305,"")</f>
        <v/>
      </c>
      <c r="J2305">
        <f>IF(OR(E2305="Prospecting",E2305="Engaging"),VLOOKUP(C2305,Products!$A$2:$C$8,3,FALSE),0)</f>
        <v>0</v>
      </c>
    </row>
    <row r="2306" spans="1:10" x14ac:dyDescent="0.25">
      <c r="A2306" t="s">
        <v>2473</v>
      </c>
      <c r="B2306" t="s">
        <v>173</v>
      </c>
      <c r="C2306" t="s">
        <v>120</v>
      </c>
      <c r="D2306" t="s">
        <v>39</v>
      </c>
      <c r="E2306" t="s">
        <v>159</v>
      </c>
      <c r="F2306" s="1">
        <v>42836</v>
      </c>
      <c r="G2306" s="1">
        <v>42908</v>
      </c>
      <c r="H2306">
        <v>0</v>
      </c>
      <c r="I2306" t="str">
        <f>IF(COUNTIF(Products!$A$2:$A$8,C2306)=0,C2306,"")</f>
        <v/>
      </c>
      <c r="J2306">
        <f>IF(OR(E2306="Prospecting",E2306="Engaging"),VLOOKUP(C2306,Products!$A$2:$C$8,3,FALSE),0)</f>
        <v>0</v>
      </c>
    </row>
    <row r="2307" spans="1:10" x14ac:dyDescent="0.25">
      <c r="A2307" t="s">
        <v>2474</v>
      </c>
      <c r="B2307" t="s">
        <v>173</v>
      </c>
      <c r="C2307" t="s">
        <v>127</v>
      </c>
      <c r="D2307" t="s">
        <v>107</v>
      </c>
      <c r="E2307" t="s">
        <v>138</v>
      </c>
      <c r="F2307" s="1">
        <v>42836</v>
      </c>
      <c r="G2307" s="1">
        <v>42838</v>
      </c>
      <c r="H2307">
        <v>1163</v>
      </c>
      <c r="I2307" t="str">
        <f>IF(COUNTIF(Products!$A$2:$A$8,C2307)=0,C2307,"")</f>
        <v/>
      </c>
      <c r="J2307">
        <f>IF(OR(E2307="Prospecting",E2307="Engaging"),VLOOKUP(C2307,Products!$A$2:$C$8,3,FALSE),0)</f>
        <v>0</v>
      </c>
    </row>
    <row r="2308" spans="1:10" x14ac:dyDescent="0.25">
      <c r="A2308" t="s">
        <v>2475</v>
      </c>
      <c r="B2308" t="s">
        <v>158</v>
      </c>
      <c r="C2308" t="s">
        <v>120</v>
      </c>
      <c r="D2308" t="s">
        <v>89</v>
      </c>
      <c r="E2308" t="s">
        <v>159</v>
      </c>
      <c r="F2308" s="1">
        <v>42836</v>
      </c>
      <c r="G2308" s="1">
        <v>42846</v>
      </c>
      <c r="H2308">
        <v>0</v>
      </c>
      <c r="I2308" t="str">
        <f>IF(COUNTIF(Products!$A$2:$A$8,C2308)=0,C2308,"")</f>
        <v/>
      </c>
      <c r="J2308">
        <f>IF(OR(E2308="Prospecting",E2308="Engaging"),VLOOKUP(C2308,Products!$A$2:$C$8,3,FALSE),0)</f>
        <v>0</v>
      </c>
    </row>
    <row r="2309" spans="1:10" x14ac:dyDescent="0.25">
      <c r="A2309" t="s">
        <v>2476</v>
      </c>
      <c r="B2309" t="s">
        <v>154</v>
      </c>
      <c r="C2309" t="s">
        <v>126</v>
      </c>
      <c r="D2309" t="s">
        <v>87</v>
      </c>
      <c r="E2309" t="s">
        <v>159</v>
      </c>
      <c r="F2309" s="1">
        <v>42836</v>
      </c>
      <c r="G2309" s="1">
        <v>42896</v>
      </c>
      <c r="H2309">
        <v>0</v>
      </c>
      <c r="I2309" t="str">
        <f>IF(COUNTIF(Products!$A$2:$A$8,C2309)=0,C2309,"")</f>
        <v/>
      </c>
      <c r="J2309">
        <f>IF(OR(E2309="Prospecting",E2309="Engaging"),VLOOKUP(C2309,Products!$A$2:$C$8,3,FALSE),0)</f>
        <v>0</v>
      </c>
    </row>
    <row r="2310" spans="1:10" x14ac:dyDescent="0.25">
      <c r="A2310" t="s">
        <v>2477</v>
      </c>
      <c r="B2310" t="s">
        <v>180</v>
      </c>
      <c r="C2310" t="s">
        <v>120</v>
      </c>
      <c r="D2310" t="s">
        <v>69</v>
      </c>
      <c r="E2310" t="s">
        <v>159</v>
      </c>
      <c r="F2310" s="1">
        <v>42836</v>
      </c>
      <c r="G2310" s="1">
        <v>42838</v>
      </c>
      <c r="H2310">
        <v>0</v>
      </c>
      <c r="I2310" t="str">
        <f>IF(COUNTIF(Products!$A$2:$A$8,C2310)=0,C2310,"")</f>
        <v/>
      </c>
      <c r="J2310">
        <f>IF(OR(E2310="Prospecting",E2310="Engaging"),VLOOKUP(C2310,Products!$A$2:$C$8,3,FALSE),0)</f>
        <v>0</v>
      </c>
    </row>
    <row r="2311" spans="1:10" x14ac:dyDescent="0.25">
      <c r="A2311" t="s">
        <v>2478</v>
      </c>
      <c r="B2311" t="s">
        <v>191</v>
      </c>
      <c r="C2311" t="s">
        <v>127</v>
      </c>
      <c r="E2311" t="s">
        <v>155</v>
      </c>
      <c r="F2311" s="1">
        <v>42836</v>
      </c>
      <c r="I2311" t="str">
        <f>IF(COUNTIF(Products!$A$2:$A$8,C2311)=0,C2311,"")</f>
        <v/>
      </c>
      <c r="J2311">
        <f>IF(OR(E2311="Prospecting",E2311="Engaging"),VLOOKUP(C2311,Products!$A$2:$C$8,3,FALSE),0)</f>
        <v>1096</v>
      </c>
    </row>
    <row r="2312" spans="1:10" x14ac:dyDescent="0.25">
      <c r="A2312" t="s">
        <v>2479</v>
      </c>
      <c r="B2312" t="s">
        <v>191</v>
      </c>
      <c r="C2312" t="s">
        <v>120</v>
      </c>
      <c r="D2312" t="s">
        <v>59</v>
      </c>
      <c r="E2312" t="s">
        <v>159</v>
      </c>
      <c r="F2312" s="1">
        <v>42836</v>
      </c>
      <c r="G2312" s="1">
        <v>42838</v>
      </c>
      <c r="H2312">
        <v>0</v>
      </c>
      <c r="I2312" t="str">
        <f>IF(COUNTIF(Products!$A$2:$A$8,C2312)=0,C2312,"")</f>
        <v/>
      </c>
      <c r="J2312">
        <f>IF(OR(E2312="Prospecting",E2312="Engaging"),VLOOKUP(C2312,Products!$A$2:$C$8,3,FALSE),0)</f>
        <v>0</v>
      </c>
    </row>
    <row r="2313" spans="1:10" x14ac:dyDescent="0.25">
      <c r="A2313" t="s">
        <v>2480</v>
      </c>
      <c r="B2313" t="s">
        <v>191</v>
      </c>
      <c r="C2313" t="s">
        <v>120</v>
      </c>
      <c r="D2313" t="s">
        <v>93</v>
      </c>
      <c r="E2313" t="s">
        <v>159</v>
      </c>
      <c r="F2313" s="1">
        <v>42836</v>
      </c>
      <c r="G2313" s="1">
        <v>42843</v>
      </c>
      <c r="H2313">
        <v>0</v>
      </c>
      <c r="I2313" t="str">
        <f>IF(COUNTIF(Products!$A$2:$A$8,C2313)=0,C2313,"")</f>
        <v/>
      </c>
      <c r="J2313">
        <f>IF(OR(E2313="Prospecting",E2313="Engaging"),VLOOKUP(C2313,Products!$A$2:$C$8,3,FALSE),0)</f>
        <v>0</v>
      </c>
    </row>
    <row r="2314" spans="1:10" x14ac:dyDescent="0.25">
      <c r="A2314" t="s">
        <v>2481</v>
      </c>
      <c r="B2314" t="s">
        <v>191</v>
      </c>
      <c r="C2314" t="s">
        <v>120</v>
      </c>
      <c r="D2314" t="s">
        <v>34</v>
      </c>
      <c r="E2314" t="s">
        <v>138</v>
      </c>
      <c r="F2314" s="1">
        <v>42836</v>
      </c>
      <c r="G2314" s="1">
        <v>42843</v>
      </c>
      <c r="H2314">
        <v>568</v>
      </c>
      <c r="I2314" t="str">
        <f>IF(COUNTIF(Products!$A$2:$A$8,C2314)=0,C2314,"")</f>
        <v/>
      </c>
      <c r="J2314">
        <f>IF(OR(E2314="Prospecting",E2314="Engaging"),VLOOKUP(C2314,Products!$A$2:$C$8,3,FALSE),0)</f>
        <v>0</v>
      </c>
    </row>
    <row r="2315" spans="1:10" x14ac:dyDescent="0.25">
      <c r="A2315" t="s">
        <v>2482</v>
      </c>
      <c r="B2315" t="s">
        <v>191</v>
      </c>
      <c r="C2315" t="s">
        <v>122</v>
      </c>
      <c r="D2315" t="s">
        <v>87</v>
      </c>
      <c r="E2315" t="s">
        <v>138</v>
      </c>
      <c r="F2315" s="1">
        <v>42836</v>
      </c>
      <c r="G2315" s="1">
        <v>42905</v>
      </c>
      <c r="H2315">
        <v>5063</v>
      </c>
      <c r="I2315" t="str">
        <f>IF(COUNTIF(Products!$A$2:$A$8,C2315)=0,C2315,"")</f>
        <v/>
      </c>
      <c r="J2315">
        <f>IF(OR(E2315="Prospecting",E2315="Engaging"),VLOOKUP(C2315,Products!$A$2:$C$8,3,FALSE),0)</f>
        <v>0</v>
      </c>
    </row>
    <row r="2316" spans="1:10" x14ac:dyDescent="0.25">
      <c r="A2316" t="s">
        <v>2483</v>
      </c>
      <c r="B2316" t="s">
        <v>137</v>
      </c>
      <c r="C2316" t="s">
        <v>125</v>
      </c>
      <c r="D2316" t="s">
        <v>30</v>
      </c>
      <c r="E2316" t="s">
        <v>159</v>
      </c>
      <c r="F2316" s="1">
        <v>42836</v>
      </c>
      <c r="G2316" s="1">
        <v>42846</v>
      </c>
      <c r="H2316">
        <v>0</v>
      </c>
      <c r="I2316" t="str">
        <f>IF(COUNTIF(Products!$A$2:$A$8,C2316)=0,C2316,"")</f>
        <v/>
      </c>
      <c r="J2316">
        <f>IF(OR(E2316="Prospecting",E2316="Engaging"),VLOOKUP(C2316,Products!$A$2:$C$8,3,FALSE),0)</f>
        <v>0</v>
      </c>
    </row>
    <row r="2317" spans="1:10" x14ac:dyDescent="0.25">
      <c r="A2317" t="s">
        <v>2484</v>
      </c>
      <c r="B2317" t="s">
        <v>137</v>
      </c>
      <c r="C2317" t="s">
        <v>123</v>
      </c>
      <c r="D2317" t="s">
        <v>89</v>
      </c>
      <c r="E2317" t="s">
        <v>138</v>
      </c>
      <c r="F2317" s="1">
        <v>42836</v>
      </c>
      <c r="G2317" s="1">
        <v>42892</v>
      </c>
      <c r="H2317">
        <v>46</v>
      </c>
      <c r="I2317" t="str">
        <f>IF(COUNTIF(Products!$A$2:$A$8,C2317)=0,C2317,"")</f>
        <v/>
      </c>
      <c r="J2317">
        <f>IF(OR(E2317="Prospecting",E2317="Engaging"),VLOOKUP(C2317,Products!$A$2:$C$8,3,FALSE),0)</f>
        <v>0</v>
      </c>
    </row>
    <row r="2318" spans="1:10" x14ac:dyDescent="0.25">
      <c r="A2318" t="s">
        <v>2485</v>
      </c>
      <c r="B2318" t="s">
        <v>152</v>
      </c>
      <c r="C2318" t="s">
        <v>125</v>
      </c>
      <c r="D2318" t="s">
        <v>30</v>
      </c>
      <c r="E2318" t="s">
        <v>159</v>
      </c>
      <c r="F2318" s="1">
        <v>42836</v>
      </c>
      <c r="G2318" s="1">
        <v>42837</v>
      </c>
      <c r="H2318">
        <v>0</v>
      </c>
      <c r="I2318" t="str">
        <f>IF(COUNTIF(Products!$A$2:$A$8,C2318)=0,C2318,"")</f>
        <v/>
      </c>
      <c r="J2318">
        <f>IF(OR(E2318="Prospecting",E2318="Engaging"),VLOOKUP(C2318,Products!$A$2:$C$8,3,FALSE),0)</f>
        <v>0</v>
      </c>
    </row>
    <row r="2319" spans="1:10" x14ac:dyDescent="0.25">
      <c r="A2319" t="s">
        <v>2486</v>
      </c>
      <c r="B2319" t="s">
        <v>152</v>
      </c>
      <c r="C2319" t="s">
        <v>120</v>
      </c>
      <c r="D2319" t="s">
        <v>55</v>
      </c>
      <c r="E2319" t="s">
        <v>138</v>
      </c>
      <c r="F2319" s="1">
        <v>42836</v>
      </c>
      <c r="G2319" s="1">
        <v>42837</v>
      </c>
      <c r="H2319">
        <v>504</v>
      </c>
      <c r="I2319" t="str">
        <f>IF(COUNTIF(Products!$A$2:$A$8,C2319)=0,C2319,"")</f>
        <v/>
      </c>
      <c r="J2319">
        <f>IF(OR(E2319="Prospecting",E2319="Engaging"),VLOOKUP(C2319,Products!$A$2:$C$8,3,FALSE),0)</f>
        <v>0</v>
      </c>
    </row>
    <row r="2320" spans="1:10" x14ac:dyDescent="0.25">
      <c r="A2320" t="s">
        <v>2487</v>
      </c>
      <c r="B2320" t="s">
        <v>152</v>
      </c>
      <c r="C2320" t="s">
        <v>123</v>
      </c>
      <c r="D2320" t="s">
        <v>55</v>
      </c>
      <c r="E2320" t="s">
        <v>138</v>
      </c>
      <c r="F2320" s="1">
        <v>42836</v>
      </c>
      <c r="G2320" s="1">
        <v>42838</v>
      </c>
      <c r="H2320">
        <v>55</v>
      </c>
      <c r="I2320" t="str">
        <f>IF(COUNTIF(Products!$A$2:$A$8,C2320)=0,C2320,"")</f>
        <v/>
      </c>
      <c r="J2320">
        <f>IF(OR(E2320="Prospecting",E2320="Engaging"),VLOOKUP(C2320,Products!$A$2:$C$8,3,FALSE),0)</f>
        <v>0</v>
      </c>
    </row>
    <row r="2321" spans="1:10" x14ac:dyDescent="0.25">
      <c r="A2321" t="s">
        <v>2488</v>
      </c>
      <c r="B2321" t="s">
        <v>166</v>
      </c>
      <c r="C2321" t="s">
        <v>122</v>
      </c>
      <c r="D2321" t="s">
        <v>60</v>
      </c>
      <c r="E2321" t="s">
        <v>138</v>
      </c>
      <c r="F2321" s="1">
        <v>42836</v>
      </c>
      <c r="G2321" s="1">
        <v>42903</v>
      </c>
      <c r="H2321">
        <v>4760</v>
      </c>
      <c r="I2321" t="str">
        <f>IF(COUNTIF(Products!$A$2:$A$8,C2321)=0,C2321,"")</f>
        <v/>
      </c>
      <c r="J2321">
        <f>IF(OR(E2321="Prospecting",E2321="Engaging"),VLOOKUP(C2321,Products!$A$2:$C$8,3,FALSE),0)</f>
        <v>0</v>
      </c>
    </row>
    <row r="2322" spans="1:10" x14ac:dyDescent="0.25">
      <c r="A2322" t="s">
        <v>2489</v>
      </c>
      <c r="B2322" t="s">
        <v>169</v>
      </c>
      <c r="C2322" t="s">
        <v>120</v>
      </c>
      <c r="D2322" t="s">
        <v>22</v>
      </c>
      <c r="E2322" t="s">
        <v>159</v>
      </c>
      <c r="F2322" s="1">
        <v>42836</v>
      </c>
      <c r="G2322" s="1">
        <v>42846</v>
      </c>
      <c r="H2322">
        <v>0</v>
      </c>
      <c r="I2322" t="str">
        <f>IF(COUNTIF(Products!$A$2:$A$8,C2322)=0,C2322,"")</f>
        <v/>
      </c>
      <c r="J2322">
        <f>IF(OR(E2322="Prospecting",E2322="Engaging"),VLOOKUP(C2322,Products!$A$2:$C$8,3,FALSE),0)</f>
        <v>0</v>
      </c>
    </row>
    <row r="2323" spans="1:10" x14ac:dyDescent="0.25">
      <c r="A2323" t="s">
        <v>2490</v>
      </c>
      <c r="B2323" t="s">
        <v>169</v>
      </c>
      <c r="C2323" t="s">
        <v>125</v>
      </c>
      <c r="D2323" t="s">
        <v>46</v>
      </c>
      <c r="E2323" t="s">
        <v>159</v>
      </c>
      <c r="F2323" s="1">
        <v>42836</v>
      </c>
      <c r="G2323" s="1">
        <v>42843</v>
      </c>
      <c r="H2323">
        <v>0</v>
      </c>
      <c r="I2323" t="str">
        <f>IF(COUNTIF(Products!$A$2:$A$8,C2323)=0,C2323,"")</f>
        <v/>
      </c>
      <c r="J2323">
        <f>IF(OR(E2323="Prospecting",E2323="Engaging"),VLOOKUP(C2323,Products!$A$2:$C$8,3,FALSE),0)</f>
        <v>0</v>
      </c>
    </row>
    <row r="2324" spans="1:10" x14ac:dyDescent="0.25">
      <c r="A2324" t="s">
        <v>2491</v>
      </c>
      <c r="B2324" t="s">
        <v>148</v>
      </c>
      <c r="C2324" t="s">
        <v>122</v>
      </c>
      <c r="D2324" t="s">
        <v>38</v>
      </c>
      <c r="E2324" t="s">
        <v>138</v>
      </c>
      <c r="F2324" s="1">
        <v>42836</v>
      </c>
      <c r="G2324" s="1">
        <v>42907</v>
      </c>
      <c r="H2324">
        <v>4653</v>
      </c>
      <c r="I2324" t="str">
        <f>IF(COUNTIF(Products!$A$2:$A$8,C2324)=0,C2324,"")</f>
        <v/>
      </c>
      <c r="J2324">
        <f>IF(OR(E2324="Prospecting",E2324="Engaging"),VLOOKUP(C2324,Products!$A$2:$C$8,3,FALSE),0)</f>
        <v>0</v>
      </c>
    </row>
    <row r="2325" spans="1:10" x14ac:dyDescent="0.25">
      <c r="A2325" t="s">
        <v>2492</v>
      </c>
      <c r="B2325" t="s">
        <v>177</v>
      </c>
      <c r="C2325" t="s">
        <v>123</v>
      </c>
      <c r="E2325" t="s">
        <v>155</v>
      </c>
      <c r="F2325" s="1">
        <v>42836</v>
      </c>
      <c r="I2325" t="str">
        <f>IF(COUNTIF(Products!$A$2:$A$8,C2325)=0,C2325,"")</f>
        <v/>
      </c>
      <c r="J2325">
        <f>IF(OR(E2325="Prospecting",E2325="Engaging"),VLOOKUP(C2325,Products!$A$2:$C$8,3,FALSE),0)</f>
        <v>55</v>
      </c>
    </row>
    <row r="2326" spans="1:10" x14ac:dyDescent="0.25">
      <c r="A2326" t="s">
        <v>2493</v>
      </c>
      <c r="B2326" t="s">
        <v>177</v>
      </c>
      <c r="C2326" t="s">
        <v>123</v>
      </c>
      <c r="D2326" t="s">
        <v>81</v>
      </c>
      <c r="E2326" t="s">
        <v>159</v>
      </c>
      <c r="F2326" s="1">
        <v>42836</v>
      </c>
      <c r="G2326" s="1">
        <v>42847</v>
      </c>
      <c r="H2326">
        <v>0</v>
      </c>
      <c r="I2326" t="str">
        <f>IF(COUNTIF(Products!$A$2:$A$8,C2326)=0,C2326,"")</f>
        <v/>
      </c>
      <c r="J2326">
        <f>IF(OR(E2326="Prospecting",E2326="Engaging"),VLOOKUP(C2326,Products!$A$2:$C$8,3,FALSE),0)</f>
        <v>0</v>
      </c>
    </row>
    <row r="2327" spans="1:10" x14ac:dyDescent="0.25">
      <c r="A2327" t="s">
        <v>2494</v>
      </c>
      <c r="B2327" t="s">
        <v>177</v>
      </c>
      <c r="C2327" t="s">
        <v>123</v>
      </c>
      <c r="D2327" t="s">
        <v>25</v>
      </c>
      <c r="E2327" t="s">
        <v>138</v>
      </c>
      <c r="F2327" s="1">
        <v>42836</v>
      </c>
      <c r="G2327" s="1">
        <v>42837</v>
      </c>
      <c r="H2327">
        <v>55</v>
      </c>
      <c r="I2327" t="str">
        <f>IF(COUNTIF(Products!$A$2:$A$8,C2327)=0,C2327,"")</f>
        <v/>
      </c>
      <c r="J2327">
        <f>IF(OR(E2327="Prospecting",E2327="Engaging"),VLOOKUP(C2327,Products!$A$2:$C$8,3,FALSE),0)</f>
        <v>0</v>
      </c>
    </row>
    <row r="2328" spans="1:10" x14ac:dyDescent="0.25">
      <c r="A2328" t="s">
        <v>2495</v>
      </c>
      <c r="B2328" t="s">
        <v>146</v>
      </c>
      <c r="C2328" t="s">
        <v>120</v>
      </c>
      <c r="D2328" t="s">
        <v>89</v>
      </c>
      <c r="E2328" t="s">
        <v>159</v>
      </c>
      <c r="F2328" s="1">
        <v>42837</v>
      </c>
      <c r="G2328" s="1">
        <v>42843</v>
      </c>
      <c r="H2328">
        <v>0</v>
      </c>
      <c r="I2328" t="str">
        <f>IF(COUNTIF(Products!$A$2:$A$8,C2328)=0,C2328,"")</f>
        <v/>
      </c>
      <c r="J2328">
        <f>IF(OR(E2328="Prospecting",E2328="Engaging"),VLOOKUP(C2328,Products!$A$2:$C$8,3,FALSE),0)</f>
        <v>0</v>
      </c>
    </row>
    <row r="2329" spans="1:10" x14ac:dyDescent="0.25">
      <c r="A2329" t="s">
        <v>2496</v>
      </c>
      <c r="B2329" t="s">
        <v>222</v>
      </c>
      <c r="C2329" t="s">
        <v>127</v>
      </c>
      <c r="D2329" t="s">
        <v>51</v>
      </c>
      <c r="E2329" t="s">
        <v>155</v>
      </c>
      <c r="F2329" s="1">
        <v>42837</v>
      </c>
      <c r="I2329" t="str">
        <f>IF(COUNTIF(Products!$A$2:$A$8,C2329)=0,C2329,"")</f>
        <v/>
      </c>
      <c r="J2329">
        <f>IF(OR(E2329="Prospecting",E2329="Engaging"),VLOOKUP(C2329,Products!$A$2:$C$8,3,FALSE),0)</f>
        <v>1096</v>
      </c>
    </row>
    <row r="2330" spans="1:10" x14ac:dyDescent="0.25">
      <c r="A2330" t="s">
        <v>2497</v>
      </c>
      <c r="B2330" t="s">
        <v>222</v>
      </c>
      <c r="C2330" t="s">
        <v>125</v>
      </c>
      <c r="D2330" t="s">
        <v>69</v>
      </c>
      <c r="E2330" t="s">
        <v>138</v>
      </c>
      <c r="F2330" s="1">
        <v>42837</v>
      </c>
      <c r="G2330" s="1">
        <v>42847</v>
      </c>
      <c r="H2330">
        <v>3223</v>
      </c>
      <c r="I2330" t="str">
        <f>IF(COUNTIF(Products!$A$2:$A$8,C2330)=0,C2330,"")</f>
        <v/>
      </c>
      <c r="J2330">
        <f>IF(OR(E2330="Prospecting",E2330="Engaging"),VLOOKUP(C2330,Products!$A$2:$C$8,3,FALSE),0)</f>
        <v>0</v>
      </c>
    </row>
    <row r="2331" spans="1:10" x14ac:dyDescent="0.25">
      <c r="A2331" t="s">
        <v>2498</v>
      </c>
      <c r="B2331" t="s">
        <v>207</v>
      </c>
      <c r="C2331" t="s">
        <v>126</v>
      </c>
      <c r="D2331" t="s">
        <v>10</v>
      </c>
      <c r="E2331" t="s">
        <v>159</v>
      </c>
      <c r="F2331" s="1">
        <v>42837</v>
      </c>
      <c r="G2331" s="1">
        <v>42842</v>
      </c>
      <c r="H2331">
        <v>0</v>
      </c>
      <c r="I2331" t="str">
        <f>IF(COUNTIF(Products!$A$2:$A$8,C2331)=0,C2331,"")</f>
        <v/>
      </c>
      <c r="J2331">
        <f>IF(OR(E2331="Prospecting",E2331="Engaging"),VLOOKUP(C2331,Products!$A$2:$C$8,3,FALSE),0)</f>
        <v>0</v>
      </c>
    </row>
    <row r="2332" spans="1:10" x14ac:dyDescent="0.25">
      <c r="A2332" t="s">
        <v>2499</v>
      </c>
      <c r="B2332" t="s">
        <v>207</v>
      </c>
      <c r="C2332" t="s">
        <v>120</v>
      </c>
      <c r="D2332" t="s">
        <v>111</v>
      </c>
      <c r="E2332" t="s">
        <v>138</v>
      </c>
      <c r="F2332" s="1">
        <v>42837</v>
      </c>
      <c r="G2332" s="1">
        <v>42844</v>
      </c>
      <c r="H2332">
        <v>553</v>
      </c>
      <c r="I2332" t="str">
        <f>IF(COUNTIF(Products!$A$2:$A$8,C2332)=0,C2332,"")</f>
        <v/>
      </c>
      <c r="J2332">
        <f>IF(OR(E2332="Prospecting",E2332="Engaging"),VLOOKUP(C2332,Products!$A$2:$C$8,3,FALSE),0)</f>
        <v>0</v>
      </c>
    </row>
    <row r="2333" spans="1:10" x14ac:dyDescent="0.25">
      <c r="A2333" t="s">
        <v>2500</v>
      </c>
      <c r="B2333" t="s">
        <v>207</v>
      </c>
      <c r="C2333" t="s">
        <v>127</v>
      </c>
      <c r="D2333" t="s">
        <v>50</v>
      </c>
      <c r="E2333" t="s">
        <v>138</v>
      </c>
      <c r="F2333" s="1">
        <v>42837</v>
      </c>
      <c r="G2333" s="1">
        <v>42839</v>
      </c>
      <c r="H2333">
        <v>1114</v>
      </c>
      <c r="I2333" t="str">
        <f>IF(COUNTIF(Products!$A$2:$A$8,C2333)=0,C2333,"")</f>
        <v/>
      </c>
      <c r="J2333">
        <f>IF(OR(E2333="Prospecting",E2333="Engaging"),VLOOKUP(C2333,Products!$A$2:$C$8,3,FALSE),0)</f>
        <v>0</v>
      </c>
    </row>
    <row r="2334" spans="1:10" x14ac:dyDescent="0.25">
      <c r="A2334" t="s">
        <v>2501</v>
      </c>
      <c r="B2334" t="s">
        <v>264</v>
      </c>
      <c r="C2334" t="s">
        <v>125</v>
      </c>
      <c r="D2334" t="s">
        <v>30</v>
      </c>
      <c r="E2334" t="s">
        <v>138</v>
      </c>
      <c r="F2334" s="1">
        <v>42837</v>
      </c>
      <c r="G2334" s="1">
        <v>42845</v>
      </c>
      <c r="H2334">
        <v>3785</v>
      </c>
      <c r="I2334" t="str">
        <f>IF(COUNTIF(Products!$A$2:$A$8,C2334)=0,C2334,"")</f>
        <v/>
      </c>
      <c r="J2334">
        <f>IF(OR(E2334="Prospecting",E2334="Engaging"),VLOOKUP(C2334,Products!$A$2:$C$8,3,FALSE),0)</f>
        <v>0</v>
      </c>
    </row>
    <row r="2335" spans="1:10" x14ac:dyDescent="0.25">
      <c r="A2335" t="s">
        <v>2502</v>
      </c>
      <c r="B2335" t="s">
        <v>239</v>
      </c>
      <c r="C2335" t="s">
        <v>126</v>
      </c>
      <c r="D2335" t="s">
        <v>85</v>
      </c>
      <c r="E2335" t="s">
        <v>155</v>
      </c>
      <c r="F2335" s="1">
        <v>42837</v>
      </c>
      <c r="I2335" t="str">
        <f>IF(COUNTIF(Products!$A$2:$A$8,C2335)=0,C2335,"")</f>
        <v/>
      </c>
      <c r="J2335">
        <f>IF(OR(E2335="Prospecting",E2335="Engaging"),VLOOKUP(C2335,Products!$A$2:$C$8,3,FALSE),0)</f>
        <v>5482</v>
      </c>
    </row>
    <row r="2336" spans="1:10" x14ac:dyDescent="0.25">
      <c r="A2336" t="s">
        <v>2503</v>
      </c>
      <c r="B2336" t="s">
        <v>140</v>
      </c>
      <c r="C2336" t="s">
        <v>127</v>
      </c>
      <c r="D2336" t="s">
        <v>96</v>
      </c>
      <c r="E2336" t="s">
        <v>159</v>
      </c>
      <c r="F2336" s="1">
        <v>42837</v>
      </c>
      <c r="G2336" s="1">
        <v>42839</v>
      </c>
      <c r="H2336">
        <v>0</v>
      </c>
      <c r="I2336" t="str">
        <f>IF(COUNTIF(Products!$A$2:$A$8,C2336)=0,C2336,"")</f>
        <v/>
      </c>
      <c r="J2336">
        <f>IF(OR(E2336="Prospecting",E2336="Engaging"),VLOOKUP(C2336,Products!$A$2:$C$8,3,FALSE),0)</f>
        <v>0</v>
      </c>
    </row>
    <row r="2337" spans="1:10" x14ac:dyDescent="0.25">
      <c r="A2337" t="s">
        <v>2504</v>
      </c>
      <c r="B2337" t="s">
        <v>140</v>
      </c>
      <c r="C2337" t="s">
        <v>125</v>
      </c>
      <c r="D2337" t="s">
        <v>55</v>
      </c>
      <c r="E2337" t="s">
        <v>159</v>
      </c>
      <c r="F2337" s="1">
        <v>42837</v>
      </c>
      <c r="G2337" s="1">
        <v>42914</v>
      </c>
      <c r="H2337">
        <v>0</v>
      </c>
      <c r="I2337" t="str">
        <f>IF(COUNTIF(Products!$A$2:$A$8,C2337)=0,C2337,"")</f>
        <v/>
      </c>
      <c r="J2337">
        <f>IF(OR(E2337="Prospecting",E2337="Engaging"),VLOOKUP(C2337,Products!$A$2:$C$8,3,FALSE),0)</f>
        <v>0</v>
      </c>
    </row>
    <row r="2338" spans="1:10" x14ac:dyDescent="0.25">
      <c r="A2338" t="s">
        <v>2505</v>
      </c>
      <c r="B2338" t="s">
        <v>224</v>
      </c>
      <c r="C2338" t="s">
        <v>122</v>
      </c>
      <c r="D2338" t="s">
        <v>110</v>
      </c>
      <c r="E2338" t="s">
        <v>138</v>
      </c>
      <c r="F2338" s="1">
        <v>42837</v>
      </c>
      <c r="G2338" s="1">
        <v>42838</v>
      </c>
      <c r="H2338">
        <v>5316</v>
      </c>
      <c r="I2338" t="str">
        <f>IF(COUNTIF(Products!$A$2:$A$8,C2338)=0,C2338,"")</f>
        <v/>
      </c>
      <c r="J2338">
        <f>IF(OR(E2338="Prospecting",E2338="Engaging"),VLOOKUP(C2338,Products!$A$2:$C$8,3,FALSE),0)</f>
        <v>0</v>
      </c>
    </row>
    <row r="2339" spans="1:10" x14ac:dyDescent="0.25">
      <c r="A2339" t="s">
        <v>2506</v>
      </c>
      <c r="B2339" t="s">
        <v>164</v>
      </c>
      <c r="C2339" t="s">
        <v>123</v>
      </c>
      <c r="D2339" t="s">
        <v>56</v>
      </c>
      <c r="E2339" t="s">
        <v>159</v>
      </c>
      <c r="F2339" s="1">
        <v>42837</v>
      </c>
      <c r="G2339" s="1">
        <v>42841</v>
      </c>
      <c r="H2339">
        <v>0</v>
      </c>
      <c r="I2339" t="str">
        <f>IF(COUNTIF(Products!$A$2:$A$8,C2339)=0,C2339,"")</f>
        <v/>
      </c>
      <c r="J2339">
        <f>IF(OR(E2339="Prospecting",E2339="Engaging"),VLOOKUP(C2339,Products!$A$2:$C$8,3,FALSE),0)</f>
        <v>0</v>
      </c>
    </row>
    <row r="2340" spans="1:10" x14ac:dyDescent="0.25">
      <c r="A2340" t="s">
        <v>2507</v>
      </c>
      <c r="B2340" t="s">
        <v>303</v>
      </c>
      <c r="C2340" t="s">
        <v>122</v>
      </c>
      <c r="D2340" t="s">
        <v>22</v>
      </c>
      <c r="E2340" t="s">
        <v>159</v>
      </c>
      <c r="F2340" s="1">
        <v>42837</v>
      </c>
      <c r="G2340" s="1">
        <v>42849</v>
      </c>
      <c r="H2340">
        <v>0</v>
      </c>
      <c r="I2340" t="str">
        <f>IF(COUNTIF(Products!$A$2:$A$8,C2340)=0,C2340,"")</f>
        <v/>
      </c>
      <c r="J2340">
        <f>IF(OR(E2340="Prospecting",E2340="Engaging"),VLOOKUP(C2340,Products!$A$2:$C$8,3,FALSE),0)</f>
        <v>0</v>
      </c>
    </row>
    <row r="2341" spans="1:10" x14ac:dyDescent="0.25">
      <c r="A2341" t="s">
        <v>2508</v>
      </c>
      <c r="B2341" t="s">
        <v>303</v>
      </c>
      <c r="C2341" t="s">
        <v>120</v>
      </c>
      <c r="D2341" t="s">
        <v>36</v>
      </c>
      <c r="E2341" t="s">
        <v>138</v>
      </c>
      <c r="F2341" s="1">
        <v>42837</v>
      </c>
      <c r="G2341" s="1">
        <v>42909</v>
      </c>
      <c r="H2341">
        <v>531</v>
      </c>
      <c r="I2341" t="str">
        <f>IF(COUNTIF(Products!$A$2:$A$8,C2341)=0,C2341,"")</f>
        <v/>
      </c>
      <c r="J2341">
        <f>IF(OR(E2341="Prospecting",E2341="Engaging"),VLOOKUP(C2341,Products!$A$2:$C$8,3,FALSE),0)</f>
        <v>0</v>
      </c>
    </row>
    <row r="2342" spans="1:10" x14ac:dyDescent="0.25">
      <c r="A2342" t="s">
        <v>2509</v>
      </c>
      <c r="B2342" t="s">
        <v>303</v>
      </c>
      <c r="C2342" t="s">
        <v>120</v>
      </c>
      <c r="D2342" t="s">
        <v>85</v>
      </c>
      <c r="E2342" t="s">
        <v>138</v>
      </c>
      <c r="F2342" s="1">
        <v>42837</v>
      </c>
      <c r="G2342" s="1">
        <v>42902</v>
      </c>
      <c r="H2342">
        <v>544</v>
      </c>
      <c r="I2342" t="str">
        <f>IF(COUNTIF(Products!$A$2:$A$8,C2342)=0,C2342,"")</f>
        <v/>
      </c>
      <c r="J2342">
        <f>IF(OR(E2342="Prospecting",E2342="Engaging"),VLOOKUP(C2342,Products!$A$2:$C$8,3,FALSE),0)</f>
        <v>0</v>
      </c>
    </row>
    <row r="2343" spans="1:10" x14ac:dyDescent="0.25">
      <c r="A2343" t="s">
        <v>2510</v>
      </c>
      <c r="B2343" t="s">
        <v>180</v>
      </c>
      <c r="C2343" t="s">
        <v>120</v>
      </c>
      <c r="D2343" t="s">
        <v>109</v>
      </c>
      <c r="E2343" t="s">
        <v>138</v>
      </c>
      <c r="F2343" s="1">
        <v>42837</v>
      </c>
      <c r="G2343" s="1">
        <v>42838</v>
      </c>
      <c r="H2343">
        <v>478</v>
      </c>
      <c r="I2343" t="str">
        <f>IF(COUNTIF(Products!$A$2:$A$8,C2343)=0,C2343,"")</f>
        <v/>
      </c>
      <c r="J2343">
        <f>IF(OR(E2343="Prospecting",E2343="Engaging"),VLOOKUP(C2343,Products!$A$2:$C$8,3,FALSE),0)</f>
        <v>0</v>
      </c>
    </row>
    <row r="2344" spans="1:10" x14ac:dyDescent="0.25">
      <c r="A2344" t="s">
        <v>2511</v>
      </c>
      <c r="B2344" t="s">
        <v>180</v>
      </c>
      <c r="C2344" t="s">
        <v>122</v>
      </c>
      <c r="D2344" t="s">
        <v>44</v>
      </c>
      <c r="E2344" t="s">
        <v>138</v>
      </c>
      <c r="F2344" s="1">
        <v>42837</v>
      </c>
      <c r="G2344" s="1">
        <v>42847</v>
      </c>
      <c r="H2344">
        <v>5672</v>
      </c>
      <c r="I2344" t="str">
        <f>IF(COUNTIF(Products!$A$2:$A$8,C2344)=0,C2344,"")</f>
        <v/>
      </c>
      <c r="J2344">
        <f>IF(OR(E2344="Prospecting",E2344="Engaging"),VLOOKUP(C2344,Products!$A$2:$C$8,3,FALSE),0)</f>
        <v>0</v>
      </c>
    </row>
    <row r="2345" spans="1:10" x14ac:dyDescent="0.25">
      <c r="A2345" t="s">
        <v>2512</v>
      </c>
      <c r="B2345" t="s">
        <v>180</v>
      </c>
      <c r="C2345" t="s">
        <v>123</v>
      </c>
      <c r="D2345" t="s">
        <v>56</v>
      </c>
      <c r="E2345" t="s">
        <v>138</v>
      </c>
      <c r="F2345" s="1">
        <v>42837</v>
      </c>
      <c r="G2345" s="1">
        <v>42844</v>
      </c>
      <c r="H2345">
        <v>51</v>
      </c>
      <c r="I2345" t="str">
        <f>IF(COUNTIF(Products!$A$2:$A$8,C2345)=0,C2345,"")</f>
        <v/>
      </c>
      <c r="J2345">
        <f>IF(OR(E2345="Prospecting",E2345="Engaging"),VLOOKUP(C2345,Products!$A$2:$C$8,3,FALSE),0)</f>
        <v>0</v>
      </c>
    </row>
    <row r="2346" spans="1:10" x14ac:dyDescent="0.25">
      <c r="A2346" t="s">
        <v>2513</v>
      </c>
      <c r="B2346" t="s">
        <v>180</v>
      </c>
      <c r="C2346" t="s">
        <v>125</v>
      </c>
      <c r="D2346" t="s">
        <v>69</v>
      </c>
      <c r="E2346" t="s">
        <v>138</v>
      </c>
      <c r="F2346" s="1">
        <v>42837</v>
      </c>
      <c r="G2346" s="1">
        <v>42844</v>
      </c>
      <c r="H2346">
        <v>3141</v>
      </c>
      <c r="I2346" t="str">
        <f>IF(COUNTIF(Products!$A$2:$A$8,C2346)=0,C2346,"")</f>
        <v/>
      </c>
      <c r="J2346">
        <f>IF(OR(E2346="Prospecting",E2346="Engaging"),VLOOKUP(C2346,Products!$A$2:$C$8,3,FALSE),0)</f>
        <v>0</v>
      </c>
    </row>
    <row r="2347" spans="1:10" x14ac:dyDescent="0.25">
      <c r="A2347" t="s">
        <v>2514</v>
      </c>
      <c r="B2347" t="s">
        <v>191</v>
      </c>
      <c r="C2347" t="s">
        <v>122</v>
      </c>
      <c r="E2347" t="s">
        <v>155</v>
      </c>
      <c r="F2347" s="1">
        <v>42837</v>
      </c>
      <c r="I2347" t="str">
        <f>IF(COUNTIF(Products!$A$2:$A$8,C2347)=0,C2347,"")</f>
        <v/>
      </c>
      <c r="J2347">
        <f>IF(OR(E2347="Prospecting",E2347="Engaging"),VLOOKUP(C2347,Products!$A$2:$C$8,3,FALSE),0)</f>
        <v>4821</v>
      </c>
    </row>
    <row r="2348" spans="1:10" x14ac:dyDescent="0.25">
      <c r="A2348" t="s">
        <v>2515</v>
      </c>
      <c r="B2348" t="s">
        <v>191</v>
      </c>
      <c r="C2348" t="s">
        <v>122</v>
      </c>
      <c r="D2348" t="s">
        <v>34</v>
      </c>
      <c r="E2348" t="s">
        <v>159</v>
      </c>
      <c r="F2348" s="1">
        <v>42837</v>
      </c>
      <c r="G2348" s="1">
        <v>42838</v>
      </c>
      <c r="H2348">
        <v>0</v>
      </c>
      <c r="I2348" t="str">
        <f>IF(COUNTIF(Products!$A$2:$A$8,C2348)=0,C2348,"")</f>
        <v/>
      </c>
      <c r="J2348">
        <f>IF(OR(E2348="Prospecting",E2348="Engaging"),VLOOKUP(C2348,Products!$A$2:$C$8,3,FALSE),0)</f>
        <v>0</v>
      </c>
    </row>
    <row r="2349" spans="1:10" x14ac:dyDescent="0.25">
      <c r="A2349" t="s">
        <v>2516</v>
      </c>
      <c r="B2349" t="s">
        <v>191</v>
      </c>
      <c r="C2349" t="s">
        <v>123</v>
      </c>
      <c r="D2349" t="s">
        <v>59</v>
      </c>
      <c r="E2349" t="s">
        <v>159</v>
      </c>
      <c r="F2349" s="1">
        <v>42837</v>
      </c>
      <c r="G2349" s="1">
        <v>42841</v>
      </c>
      <c r="H2349">
        <v>0</v>
      </c>
      <c r="I2349" t="str">
        <f>IF(COUNTIF(Products!$A$2:$A$8,C2349)=0,C2349,"")</f>
        <v/>
      </c>
      <c r="J2349">
        <f>IF(OR(E2349="Prospecting",E2349="Engaging"),VLOOKUP(C2349,Products!$A$2:$C$8,3,FALSE),0)</f>
        <v>0</v>
      </c>
    </row>
    <row r="2350" spans="1:10" x14ac:dyDescent="0.25">
      <c r="A2350" t="s">
        <v>2517</v>
      </c>
      <c r="B2350" t="s">
        <v>150</v>
      </c>
      <c r="C2350" t="s">
        <v>123</v>
      </c>
      <c r="D2350" t="s">
        <v>47</v>
      </c>
      <c r="E2350" t="s">
        <v>159</v>
      </c>
      <c r="F2350" s="1">
        <v>42837</v>
      </c>
      <c r="G2350" s="1">
        <v>42838</v>
      </c>
      <c r="H2350">
        <v>0</v>
      </c>
      <c r="I2350" t="str">
        <f>IF(COUNTIF(Products!$A$2:$A$8,C2350)=0,C2350,"")</f>
        <v/>
      </c>
      <c r="J2350">
        <f>IF(OR(E2350="Prospecting",E2350="Engaging"),VLOOKUP(C2350,Products!$A$2:$C$8,3,FALSE),0)</f>
        <v>0</v>
      </c>
    </row>
    <row r="2351" spans="1:10" x14ac:dyDescent="0.25">
      <c r="A2351" t="s">
        <v>2518</v>
      </c>
      <c r="B2351" t="s">
        <v>205</v>
      </c>
      <c r="C2351" t="s">
        <v>127</v>
      </c>
      <c r="D2351" t="s">
        <v>26</v>
      </c>
      <c r="E2351" t="s">
        <v>159</v>
      </c>
      <c r="F2351" s="1">
        <v>42837</v>
      </c>
      <c r="G2351" s="1">
        <v>42838</v>
      </c>
      <c r="H2351">
        <v>0</v>
      </c>
      <c r="I2351" t="str">
        <f>IF(COUNTIF(Products!$A$2:$A$8,C2351)=0,C2351,"")</f>
        <v/>
      </c>
      <c r="J2351">
        <f>IF(OR(E2351="Prospecting",E2351="Engaging"),VLOOKUP(C2351,Products!$A$2:$C$8,3,FALSE),0)</f>
        <v>0</v>
      </c>
    </row>
    <row r="2352" spans="1:10" x14ac:dyDescent="0.25">
      <c r="A2352" t="s">
        <v>2519</v>
      </c>
      <c r="B2352" t="s">
        <v>205</v>
      </c>
      <c r="C2352" t="s">
        <v>126</v>
      </c>
      <c r="D2352" t="s">
        <v>61</v>
      </c>
      <c r="E2352" t="s">
        <v>159</v>
      </c>
      <c r="F2352" s="1">
        <v>42837</v>
      </c>
      <c r="G2352" s="1">
        <v>42839</v>
      </c>
      <c r="H2352">
        <v>0</v>
      </c>
      <c r="I2352" t="str">
        <f>IF(COUNTIF(Products!$A$2:$A$8,C2352)=0,C2352,"")</f>
        <v/>
      </c>
      <c r="J2352">
        <f>IF(OR(E2352="Prospecting",E2352="Engaging"),VLOOKUP(C2352,Products!$A$2:$C$8,3,FALSE),0)</f>
        <v>0</v>
      </c>
    </row>
    <row r="2353" spans="1:10" x14ac:dyDescent="0.25">
      <c r="A2353" t="s">
        <v>2520</v>
      </c>
      <c r="B2353" t="s">
        <v>137</v>
      </c>
      <c r="C2353" t="s">
        <v>126</v>
      </c>
      <c r="D2353" t="s">
        <v>28</v>
      </c>
      <c r="E2353" t="s">
        <v>159</v>
      </c>
      <c r="F2353" s="1">
        <v>42837</v>
      </c>
      <c r="G2353" s="1">
        <v>42847</v>
      </c>
      <c r="H2353">
        <v>0</v>
      </c>
      <c r="I2353" t="str">
        <f>IF(COUNTIF(Products!$A$2:$A$8,C2353)=0,C2353,"")</f>
        <v/>
      </c>
      <c r="J2353">
        <f>IF(OR(E2353="Prospecting",E2353="Engaging"),VLOOKUP(C2353,Products!$A$2:$C$8,3,FALSE),0)</f>
        <v>0</v>
      </c>
    </row>
    <row r="2354" spans="1:10" x14ac:dyDescent="0.25">
      <c r="A2354" t="s">
        <v>2521</v>
      </c>
      <c r="B2354" t="s">
        <v>193</v>
      </c>
      <c r="C2354" t="s">
        <v>126</v>
      </c>
      <c r="D2354" t="s">
        <v>67</v>
      </c>
      <c r="E2354" t="s">
        <v>138</v>
      </c>
      <c r="F2354" s="1">
        <v>42837</v>
      </c>
      <c r="G2354" s="1">
        <v>42907</v>
      </c>
      <c r="H2354">
        <v>5393</v>
      </c>
      <c r="I2354" t="str">
        <f>IF(COUNTIF(Products!$A$2:$A$8,C2354)=0,C2354,"")</f>
        <v/>
      </c>
      <c r="J2354">
        <f>IF(OR(E2354="Prospecting",E2354="Engaging"),VLOOKUP(C2354,Products!$A$2:$C$8,3,FALSE),0)</f>
        <v>0</v>
      </c>
    </row>
    <row r="2355" spans="1:10" x14ac:dyDescent="0.25">
      <c r="A2355" t="s">
        <v>2522</v>
      </c>
      <c r="B2355" t="s">
        <v>166</v>
      </c>
      <c r="C2355" t="s">
        <v>123</v>
      </c>
      <c r="D2355" t="s">
        <v>36</v>
      </c>
      <c r="E2355" t="s">
        <v>155</v>
      </c>
      <c r="F2355" s="1">
        <v>42837</v>
      </c>
      <c r="I2355" t="str">
        <f>IF(COUNTIF(Products!$A$2:$A$8,C2355)=0,C2355,"")</f>
        <v/>
      </c>
      <c r="J2355">
        <f>IF(OR(E2355="Prospecting",E2355="Engaging"),VLOOKUP(C2355,Products!$A$2:$C$8,3,FALSE),0)</f>
        <v>55</v>
      </c>
    </row>
    <row r="2356" spans="1:10" x14ac:dyDescent="0.25">
      <c r="A2356" t="s">
        <v>2523</v>
      </c>
      <c r="B2356" t="s">
        <v>169</v>
      </c>
      <c r="C2356" t="s">
        <v>123</v>
      </c>
      <c r="D2356" t="s">
        <v>95</v>
      </c>
      <c r="E2356" t="s">
        <v>159</v>
      </c>
      <c r="F2356" s="1">
        <v>42837</v>
      </c>
      <c r="G2356" s="1">
        <v>42844</v>
      </c>
      <c r="H2356">
        <v>0</v>
      </c>
      <c r="I2356" t="str">
        <f>IF(COUNTIF(Products!$A$2:$A$8,C2356)=0,C2356,"")</f>
        <v/>
      </c>
      <c r="J2356">
        <f>IF(OR(E2356="Prospecting",E2356="Engaging"),VLOOKUP(C2356,Products!$A$2:$C$8,3,FALSE),0)</f>
        <v>0</v>
      </c>
    </row>
    <row r="2357" spans="1:10" x14ac:dyDescent="0.25">
      <c r="A2357" t="s">
        <v>2524</v>
      </c>
      <c r="B2357" t="s">
        <v>148</v>
      </c>
      <c r="C2357" t="s">
        <v>123</v>
      </c>
      <c r="E2357" t="s">
        <v>155</v>
      </c>
      <c r="F2357" s="1">
        <v>42837</v>
      </c>
      <c r="I2357" t="str">
        <f>IF(COUNTIF(Products!$A$2:$A$8,C2357)=0,C2357,"")</f>
        <v/>
      </c>
      <c r="J2357">
        <f>IF(OR(E2357="Prospecting",E2357="Engaging"),VLOOKUP(C2357,Products!$A$2:$C$8,3,FALSE),0)</f>
        <v>55</v>
      </c>
    </row>
    <row r="2358" spans="1:10" x14ac:dyDescent="0.25">
      <c r="A2358" t="s">
        <v>2525</v>
      </c>
      <c r="B2358" t="s">
        <v>148</v>
      </c>
      <c r="C2358" t="s">
        <v>125</v>
      </c>
      <c r="D2358" t="s">
        <v>72</v>
      </c>
      <c r="E2358" t="s">
        <v>155</v>
      </c>
      <c r="F2358" s="1">
        <v>42837</v>
      </c>
      <c r="I2358" t="str">
        <f>IF(COUNTIF(Products!$A$2:$A$8,C2358)=0,C2358,"")</f>
        <v/>
      </c>
      <c r="J2358">
        <f>IF(OR(E2358="Prospecting",E2358="Engaging"),VLOOKUP(C2358,Products!$A$2:$C$8,3,FALSE),0)</f>
        <v>3393</v>
      </c>
    </row>
    <row r="2359" spans="1:10" x14ac:dyDescent="0.25">
      <c r="A2359" t="s">
        <v>2526</v>
      </c>
      <c r="B2359" t="s">
        <v>148</v>
      </c>
      <c r="C2359" t="s">
        <v>126</v>
      </c>
      <c r="D2359" t="s">
        <v>57</v>
      </c>
      <c r="E2359" t="s">
        <v>159</v>
      </c>
      <c r="F2359" s="1">
        <v>42837</v>
      </c>
      <c r="G2359" s="1">
        <v>42844</v>
      </c>
      <c r="H2359">
        <v>0</v>
      </c>
      <c r="I2359" t="str">
        <f>IF(COUNTIF(Products!$A$2:$A$8,C2359)=0,C2359,"")</f>
        <v/>
      </c>
      <c r="J2359">
        <f>IF(OR(E2359="Prospecting",E2359="Engaging"),VLOOKUP(C2359,Products!$A$2:$C$8,3,FALSE),0)</f>
        <v>0</v>
      </c>
    </row>
    <row r="2360" spans="1:10" x14ac:dyDescent="0.25">
      <c r="A2360" t="s">
        <v>2527</v>
      </c>
      <c r="B2360" t="s">
        <v>148</v>
      </c>
      <c r="C2360" t="s">
        <v>120</v>
      </c>
      <c r="D2360" t="s">
        <v>61</v>
      </c>
      <c r="E2360" t="s">
        <v>138</v>
      </c>
      <c r="F2360" s="1">
        <v>42837</v>
      </c>
      <c r="G2360" s="1">
        <v>42892</v>
      </c>
      <c r="H2360">
        <v>638</v>
      </c>
      <c r="I2360" t="str">
        <f>IF(COUNTIF(Products!$A$2:$A$8,C2360)=0,C2360,"")</f>
        <v/>
      </c>
      <c r="J2360">
        <f>IF(OR(E2360="Prospecting",E2360="Engaging"),VLOOKUP(C2360,Products!$A$2:$C$8,3,FALSE),0)</f>
        <v>0</v>
      </c>
    </row>
    <row r="2361" spans="1:10" x14ac:dyDescent="0.25">
      <c r="A2361" t="s">
        <v>2528</v>
      </c>
      <c r="B2361" t="s">
        <v>148</v>
      </c>
      <c r="C2361" t="s">
        <v>123</v>
      </c>
      <c r="D2361" t="s">
        <v>66</v>
      </c>
      <c r="E2361" t="s">
        <v>138</v>
      </c>
      <c r="F2361" s="1">
        <v>42837</v>
      </c>
      <c r="G2361" s="1">
        <v>42848</v>
      </c>
      <c r="H2361">
        <v>50</v>
      </c>
      <c r="I2361" t="str">
        <f>IF(COUNTIF(Products!$A$2:$A$8,C2361)=0,C2361,"")</f>
        <v/>
      </c>
      <c r="J2361">
        <f>IF(OR(E2361="Prospecting",E2361="Engaging"),VLOOKUP(C2361,Products!$A$2:$C$8,3,FALSE),0)</f>
        <v>0</v>
      </c>
    </row>
    <row r="2362" spans="1:10" x14ac:dyDescent="0.25">
      <c r="A2362" t="s">
        <v>2529</v>
      </c>
      <c r="B2362" t="s">
        <v>177</v>
      </c>
      <c r="C2362" t="s">
        <v>125</v>
      </c>
      <c r="D2362" t="s">
        <v>16</v>
      </c>
      <c r="E2362" t="s">
        <v>159</v>
      </c>
      <c r="F2362" s="1">
        <v>42837</v>
      </c>
      <c r="G2362" s="1">
        <v>42843</v>
      </c>
      <c r="H2362">
        <v>0</v>
      </c>
      <c r="I2362" t="str">
        <f>IF(COUNTIF(Products!$A$2:$A$8,C2362)=0,C2362,"")</f>
        <v/>
      </c>
      <c r="J2362">
        <f>IF(OR(E2362="Prospecting",E2362="Engaging"),VLOOKUP(C2362,Products!$A$2:$C$8,3,FALSE),0)</f>
        <v>0</v>
      </c>
    </row>
    <row r="2363" spans="1:10" x14ac:dyDescent="0.25">
      <c r="A2363" t="s">
        <v>2530</v>
      </c>
      <c r="B2363" t="s">
        <v>144</v>
      </c>
      <c r="C2363" t="s">
        <v>122</v>
      </c>
      <c r="D2363" t="s">
        <v>60</v>
      </c>
      <c r="E2363" t="s">
        <v>138</v>
      </c>
      <c r="F2363" s="1">
        <v>42837</v>
      </c>
      <c r="G2363" s="1">
        <v>42847</v>
      </c>
      <c r="H2363">
        <v>4272</v>
      </c>
      <c r="I2363" t="str">
        <f>IF(COUNTIF(Products!$A$2:$A$8,C2363)=0,C2363,"")</f>
        <v/>
      </c>
      <c r="J2363">
        <f>IF(OR(E2363="Prospecting",E2363="Engaging"),VLOOKUP(C2363,Products!$A$2:$C$8,3,FALSE),0)</f>
        <v>0</v>
      </c>
    </row>
    <row r="2364" spans="1:10" x14ac:dyDescent="0.25">
      <c r="A2364" t="s">
        <v>2531</v>
      </c>
      <c r="B2364" t="s">
        <v>146</v>
      </c>
      <c r="C2364" t="s">
        <v>127</v>
      </c>
      <c r="D2364" t="s">
        <v>14</v>
      </c>
      <c r="E2364" t="s">
        <v>159</v>
      </c>
      <c r="F2364" s="1">
        <v>42838</v>
      </c>
      <c r="G2364" s="1">
        <v>42840</v>
      </c>
      <c r="H2364">
        <v>0</v>
      </c>
      <c r="I2364" t="str">
        <f>IF(COUNTIF(Products!$A$2:$A$8,C2364)=0,C2364,"")</f>
        <v/>
      </c>
      <c r="J2364">
        <f>IF(OR(E2364="Prospecting",E2364="Engaging"),VLOOKUP(C2364,Products!$A$2:$C$8,3,FALSE),0)</f>
        <v>0</v>
      </c>
    </row>
    <row r="2365" spans="1:10" x14ac:dyDescent="0.25">
      <c r="A2365" t="s">
        <v>2532</v>
      </c>
      <c r="B2365" t="s">
        <v>146</v>
      </c>
      <c r="C2365" t="s">
        <v>123</v>
      </c>
      <c r="D2365" t="s">
        <v>32</v>
      </c>
      <c r="E2365" t="s">
        <v>138</v>
      </c>
      <c r="F2365" s="1">
        <v>42838</v>
      </c>
      <c r="G2365" s="1">
        <v>42840</v>
      </c>
      <c r="H2365">
        <v>58</v>
      </c>
      <c r="I2365" t="str">
        <f>IF(COUNTIF(Products!$A$2:$A$8,C2365)=0,C2365,"")</f>
        <v/>
      </c>
      <c r="J2365">
        <f>IF(OR(E2365="Prospecting",E2365="Engaging"),VLOOKUP(C2365,Products!$A$2:$C$8,3,FALSE),0)</f>
        <v>0</v>
      </c>
    </row>
    <row r="2366" spans="1:10" x14ac:dyDescent="0.25">
      <c r="A2366" t="s">
        <v>2533</v>
      </c>
      <c r="B2366" t="s">
        <v>222</v>
      </c>
      <c r="C2366" t="s">
        <v>127</v>
      </c>
      <c r="D2366" t="s">
        <v>80</v>
      </c>
      <c r="E2366" t="s">
        <v>138</v>
      </c>
      <c r="F2366" s="1">
        <v>42838</v>
      </c>
      <c r="G2366" s="1">
        <v>42839</v>
      </c>
      <c r="H2366">
        <v>1088</v>
      </c>
      <c r="I2366" t="str">
        <f>IF(COUNTIF(Products!$A$2:$A$8,C2366)=0,C2366,"")</f>
        <v/>
      </c>
      <c r="J2366">
        <f>IF(OR(E2366="Prospecting",E2366="Engaging"),VLOOKUP(C2366,Products!$A$2:$C$8,3,FALSE),0)</f>
        <v>0</v>
      </c>
    </row>
    <row r="2367" spans="1:10" x14ac:dyDescent="0.25">
      <c r="A2367" t="s">
        <v>2534</v>
      </c>
      <c r="B2367" t="s">
        <v>239</v>
      </c>
      <c r="C2367" t="s">
        <v>120</v>
      </c>
      <c r="D2367" t="s">
        <v>35</v>
      </c>
      <c r="E2367" t="s">
        <v>159</v>
      </c>
      <c r="F2367" s="1">
        <v>42838</v>
      </c>
      <c r="G2367" s="1">
        <v>42848</v>
      </c>
      <c r="H2367">
        <v>0</v>
      </c>
      <c r="I2367" t="str">
        <f>IF(COUNTIF(Products!$A$2:$A$8,C2367)=0,C2367,"")</f>
        <v/>
      </c>
      <c r="J2367">
        <f>IF(OR(E2367="Prospecting",E2367="Engaging"),VLOOKUP(C2367,Products!$A$2:$C$8,3,FALSE),0)</f>
        <v>0</v>
      </c>
    </row>
    <row r="2368" spans="1:10" x14ac:dyDescent="0.25">
      <c r="A2368" t="s">
        <v>2535</v>
      </c>
      <c r="B2368" t="s">
        <v>239</v>
      </c>
      <c r="C2368" t="s">
        <v>122</v>
      </c>
      <c r="D2368" t="s">
        <v>92</v>
      </c>
      <c r="E2368" t="s">
        <v>159</v>
      </c>
      <c r="F2368" s="1">
        <v>42838</v>
      </c>
      <c r="G2368" s="1">
        <v>42843</v>
      </c>
      <c r="H2368">
        <v>0</v>
      </c>
      <c r="I2368" t="str">
        <f>IF(COUNTIF(Products!$A$2:$A$8,C2368)=0,C2368,"")</f>
        <v/>
      </c>
      <c r="J2368">
        <f>IF(OR(E2368="Prospecting",E2368="Engaging"),VLOOKUP(C2368,Products!$A$2:$C$8,3,FALSE),0)</f>
        <v>0</v>
      </c>
    </row>
    <row r="2369" spans="1:10" x14ac:dyDescent="0.25">
      <c r="A2369" t="s">
        <v>2536</v>
      </c>
      <c r="B2369" t="s">
        <v>171</v>
      </c>
      <c r="C2369" t="s">
        <v>120</v>
      </c>
      <c r="D2369" t="s">
        <v>84</v>
      </c>
      <c r="E2369" t="s">
        <v>159</v>
      </c>
      <c r="F2369" s="1">
        <v>42838</v>
      </c>
      <c r="G2369" s="1">
        <v>42845</v>
      </c>
      <c r="H2369">
        <v>0</v>
      </c>
      <c r="I2369" t="str">
        <f>IF(COUNTIF(Products!$A$2:$A$8,C2369)=0,C2369,"")</f>
        <v/>
      </c>
      <c r="J2369">
        <f>IF(OR(E2369="Prospecting",E2369="Engaging"),VLOOKUP(C2369,Products!$A$2:$C$8,3,FALSE),0)</f>
        <v>0</v>
      </c>
    </row>
    <row r="2370" spans="1:10" x14ac:dyDescent="0.25">
      <c r="A2370" t="s">
        <v>2537</v>
      </c>
      <c r="B2370" t="s">
        <v>171</v>
      </c>
      <c r="C2370" t="s">
        <v>122</v>
      </c>
      <c r="D2370" t="s">
        <v>67</v>
      </c>
      <c r="E2370" t="s">
        <v>159</v>
      </c>
      <c r="F2370" s="1">
        <v>42838</v>
      </c>
      <c r="G2370" s="1">
        <v>42868</v>
      </c>
      <c r="H2370">
        <v>0</v>
      </c>
      <c r="I2370" t="str">
        <f>IF(COUNTIF(Products!$A$2:$A$8,C2370)=0,C2370,"")</f>
        <v/>
      </c>
      <c r="J2370">
        <f>IF(OR(E2370="Prospecting",E2370="Engaging"),VLOOKUP(C2370,Products!$A$2:$C$8,3,FALSE),0)</f>
        <v>0</v>
      </c>
    </row>
    <row r="2371" spans="1:10" x14ac:dyDescent="0.25">
      <c r="A2371" t="s">
        <v>2538</v>
      </c>
      <c r="B2371" t="s">
        <v>140</v>
      </c>
      <c r="C2371" t="s">
        <v>120</v>
      </c>
      <c r="D2371" t="s">
        <v>12</v>
      </c>
      <c r="E2371" t="s">
        <v>159</v>
      </c>
      <c r="F2371" s="1">
        <v>42838</v>
      </c>
      <c r="G2371" s="1">
        <v>42845</v>
      </c>
      <c r="H2371">
        <v>0</v>
      </c>
      <c r="I2371" t="str">
        <f>IF(COUNTIF(Products!$A$2:$A$8,C2371)=0,C2371,"")</f>
        <v/>
      </c>
      <c r="J2371">
        <f>IF(OR(E2371="Prospecting",E2371="Engaging"),VLOOKUP(C2371,Products!$A$2:$C$8,3,FALSE),0)</f>
        <v>0</v>
      </c>
    </row>
    <row r="2372" spans="1:10" x14ac:dyDescent="0.25">
      <c r="A2372" t="s">
        <v>2539</v>
      </c>
      <c r="B2372" t="s">
        <v>140</v>
      </c>
      <c r="C2372" t="s">
        <v>122</v>
      </c>
      <c r="D2372" t="s">
        <v>53</v>
      </c>
      <c r="E2372" t="s">
        <v>159</v>
      </c>
      <c r="F2372" s="1">
        <v>42838</v>
      </c>
      <c r="G2372" s="1">
        <v>42839</v>
      </c>
      <c r="H2372">
        <v>0</v>
      </c>
      <c r="I2372" t="str">
        <f>IF(COUNTIF(Products!$A$2:$A$8,C2372)=0,C2372,"")</f>
        <v/>
      </c>
      <c r="J2372">
        <f>IF(OR(E2372="Prospecting",E2372="Engaging"),VLOOKUP(C2372,Products!$A$2:$C$8,3,FALSE),0)</f>
        <v>0</v>
      </c>
    </row>
    <row r="2373" spans="1:10" x14ac:dyDescent="0.25">
      <c r="A2373" t="s">
        <v>2540</v>
      </c>
      <c r="B2373" t="s">
        <v>140</v>
      </c>
      <c r="C2373" t="s">
        <v>127</v>
      </c>
      <c r="D2373" t="s">
        <v>33</v>
      </c>
      <c r="E2373" t="s">
        <v>138</v>
      </c>
      <c r="F2373" s="1">
        <v>42838</v>
      </c>
      <c r="G2373" s="1">
        <v>42844</v>
      </c>
      <c r="H2373">
        <v>1327</v>
      </c>
      <c r="I2373" t="str">
        <f>IF(COUNTIF(Products!$A$2:$A$8,C2373)=0,C2373,"")</f>
        <v/>
      </c>
      <c r="J2373">
        <f>IF(OR(E2373="Prospecting",E2373="Engaging"),VLOOKUP(C2373,Products!$A$2:$C$8,3,FALSE),0)</f>
        <v>0</v>
      </c>
    </row>
    <row r="2374" spans="1:10" x14ac:dyDescent="0.25">
      <c r="A2374" t="s">
        <v>2541</v>
      </c>
      <c r="B2374" t="s">
        <v>140</v>
      </c>
      <c r="C2374" t="s">
        <v>127</v>
      </c>
      <c r="D2374" t="s">
        <v>36</v>
      </c>
      <c r="E2374" t="s">
        <v>138</v>
      </c>
      <c r="F2374" s="1">
        <v>42838</v>
      </c>
      <c r="G2374" s="1">
        <v>42913</v>
      </c>
      <c r="H2374">
        <v>923</v>
      </c>
      <c r="I2374" t="str">
        <f>IF(COUNTIF(Products!$A$2:$A$8,C2374)=0,C2374,"")</f>
        <v/>
      </c>
      <c r="J2374">
        <f>IF(OR(E2374="Prospecting",E2374="Engaging"),VLOOKUP(C2374,Products!$A$2:$C$8,3,FALSE),0)</f>
        <v>0</v>
      </c>
    </row>
    <row r="2375" spans="1:10" x14ac:dyDescent="0.25">
      <c r="A2375" t="s">
        <v>2542</v>
      </c>
      <c r="B2375" t="s">
        <v>140</v>
      </c>
      <c r="C2375" t="s">
        <v>127</v>
      </c>
      <c r="D2375" t="s">
        <v>91</v>
      </c>
      <c r="E2375" t="s">
        <v>138</v>
      </c>
      <c r="F2375" s="1">
        <v>42838</v>
      </c>
      <c r="G2375" s="1">
        <v>42848</v>
      </c>
      <c r="H2375">
        <v>1058</v>
      </c>
      <c r="I2375" t="str">
        <f>IF(COUNTIF(Products!$A$2:$A$8,C2375)=0,C2375,"")</f>
        <v/>
      </c>
      <c r="J2375">
        <f>IF(OR(E2375="Prospecting",E2375="Engaging"),VLOOKUP(C2375,Products!$A$2:$C$8,3,FALSE),0)</f>
        <v>0</v>
      </c>
    </row>
    <row r="2376" spans="1:10" x14ac:dyDescent="0.25">
      <c r="A2376" t="s">
        <v>2543</v>
      </c>
      <c r="B2376" t="s">
        <v>140</v>
      </c>
      <c r="C2376" t="s">
        <v>126</v>
      </c>
      <c r="D2376" t="s">
        <v>96</v>
      </c>
      <c r="E2376" t="s">
        <v>138</v>
      </c>
      <c r="F2376" s="1">
        <v>42838</v>
      </c>
      <c r="G2376" s="1">
        <v>42846</v>
      </c>
      <c r="H2376">
        <v>5220</v>
      </c>
      <c r="I2376" t="str">
        <f>IF(COUNTIF(Products!$A$2:$A$8,C2376)=0,C2376,"")</f>
        <v/>
      </c>
      <c r="J2376">
        <f>IF(OR(E2376="Prospecting",E2376="Engaging"),VLOOKUP(C2376,Products!$A$2:$C$8,3,FALSE),0)</f>
        <v>0</v>
      </c>
    </row>
    <row r="2377" spans="1:10" x14ac:dyDescent="0.25">
      <c r="A2377" t="s">
        <v>2544</v>
      </c>
      <c r="B2377" t="s">
        <v>158</v>
      </c>
      <c r="C2377" t="s">
        <v>126</v>
      </c>
      <c r="D2377" t="s">
        <v>27</v>
      </c>
      <c r="E2377" t="s">
        <v>159</v>
      </c>
      <c r="F2377" s="1">
        <v>42838</v>
      </c>
      <c r="G2377" s="1">
        <v>42844</v>
      </c>
      <c r="H2377">
        <v>0</v>
      </c>
      <c r="I2377" t="str">
        <f>IF(COUNTIF(Products!$A$2:$A$8,C2377)=0,C2377,"")</f>
        <v/>
      </c>
      <c r="J2377">
        <f>IF(OR(E2377="Prospecting",E2377="Engaging"),VLOOKUP(C2377,Products!$A$2:$C$8,3,FALSE),0)</f>
        <v>0</v>
      </c>
    </row>
    <row r="2378" spans="1:10" x14ac:dyDescent="0.25">
      <c r="A2378" t="s">
        <v>2545</v>
      </c>
      <c r="B2378" t="s">
        <v>158</v>
      </c>
      <c r="C2378" t="s">
        <v>123</v>
      </c>
      <c r="D2378" t="s">
        <v>88</v>
      </c>
      <c r="E2378" t="s">
        <v>138</v>
      </c>
      <c r="F2378" s="1">
        <v>42838</v>
      </c>
      <c r="G2378" s="1">
        <v>42847</v>
      </c>
      <c r="H2378">
        <v>55</v>
      </c>
      <c r="I2378" t="str">
        <f>IF(COUNTIF(Products!$A$2:$A$8,C2378)=0,C2378,"")</f>
        <v/>
      </c>
      <c r="J2378">
        <f>IF(OR(E2378="Prospecting",E2378="Engaging"),VLOOKUP(C2378,Products!$A$2:$C$8,3,FALSE),0)</f>
        <v>0</v>
      </c>
    </row>
    <row r="2379" spans="1:10" x14ac:dyDescent="0.25">
      <c r="A2379" t="s">
        <v>2546</v>
      </c>
      <c r="B2379" t="s">
        <v>164</v>
      </c>
      <c r="C2379" t="s">
        <v>125</v>
      </c>
      <c r="D2379" t="s">
        <v>29</v>
      </c>
      <c r="E2379" t="s">
        <v>159</v>
      </c>
      <c r="F2379" s="1">
        <v>42838</v>
      </c>
      <c r="G2379" s="1">
        <v>42845</v>
      </c>
      <c r="H2379">
        <v>0</v>
      </c>
      <c r="I2379" t="str">
        <f>IF(COUNTIF(Products!$A$2:$A$8,C2379)=0,C2379,"")</f>
        <v/>
      </c>
      <c r="J2379">
        <f>IF(OR(E2379="Prospecting",E2379="Engaging"),VLOOKUP(C2379,Products!$A$2:$C$8,3,FALSE),0)</f>
        <v>0</v>
      </c>
    </row>
    <row r="2380" spans="1:10" x14ac:dyDescent="0.25">
      <c r="A2380" t="s">
        <v>2547</v>
      </c>
      <c r="B2380" t="s">
        <v>164</v>
      </c>
      <c r="C2380" t="s">
        <v>123</v>
      </c>
      <c r="D2380" t="s">
        <v>60</v>
      </c>
      <c r="E2380" t="s">
        <v>138</v>
      </c>
      <c r="F2380" s="1">
        <v>42838</v>
      </c>
      <c r="G2380" s="1">
        <v>42909</v>
      </c>
      <c r="H2380">
        <v>62</v>
      </c>
      <c r="I2380" t="str">
        <f>IF(COUNTIF(Products!$A$2:$A$8,C2380)=0,C2380,"")</f>
        <v/>
      </c>
      <c r="J2380">
        <f>IF(OR(E2380="Prospecting",E2380="Engaging"),VLOOKUP(C2380,Products!$A$2:$C$8,3,FALSE),0)</f>
        <v>0</v>
      </c>
    </row>
    <row r="2381" spans="1:10" x14ac:dyDescent="0.25">
      <c r="A2381" t="s">
        <v>2548</v>
      </c>
      <c r="B2381" t="s">
        <v>154</v>
      </c>
      <c r="C2381" t="s">
        <v>127</v>
      </c>
      <c r="D2381" t="s">
        <v>47</v>
      </c>
      <c r="E2381" t="s">
        <v>138</v>
      </c>
      <c r="F2381" s="1">
        <v>42838</v>
      </c>
      <c r="G2381" s="1">
        <v>42845</v>
      </c>
      <c r="H2381">
        <v>996</v>
      </c>
      <c r="I2381" t="str">
        <f>IF(COUNTIF(Products!$A$2:$A$8,C2381)=0,C2381,"")</f>
        <v/>
      </c>
      <c r="J2381">
        <f>IF(OR(E2381="Prospecting",E2381="Engaging"),VLOOKUP(C2381,Products!$A$2:$C$8,3,FALSE),0)</f>
        <v>0</v>
      </c>
    </row>
    <row r="2382" spans="1:10" x14ac:dyDescent="0.25">
      <c r="A2382" t="s">
        <v>2549</v>
      </c>
      <c r="B2382" t="s">
        <v>180</v>
      </c>
      <c r="C2382" t="s">
        <v>122</v>
      </c>
      <c r="E2382" t="s">
        <v>155</v>
      </c>
      <c r="F2382" s="1">
        <v>42838</v>
      </c>
      <c r="I2382" t="str">
        <f>IF(COUNTIF(Products!$A$2:$A$8,C2382)=0,C2382,"")</f>
        <v/>
      </c>
      <c r="J2382">
        <f>IF(OR(E2382="Prospecting",E2382="Engaging"),VLOOKUP(C2382,Products!$A$2:$C$8,3,FALSE),0)</f>
        <v>4821</v>
      </c>
    </row>
    <row r="2383" spans="1:10" x14ac:dyDescent="0.25">
      <c r="A2383" t="s">
        <v>2550</v>
      </c>
      <c r="B2383" t="s">
        <v>180</v>
      </c>
      <c r="C2383" t="s">
        <v>120</v>
      </c>
      <c r="D2383" t="s">
        <v>87</v>
      </c>
      <c r="E2383" t="s">
        <v>159</v>
      </c>
      <c r="F2383" s="1">
        <v>42838</v>
      </c>
      <c r="G2383" s="1">
        <v>42895</v>
      </c>
      <c r="H2383">
        <v>0</v>
      </c>
      <c r="I2383" t="str">
        <f>IF(COUNTIF(Products!$A$2:$A$8,C2383)=0,C2383,"")</f>
        <v/>
      </c>
      <c r="J2383">
        <f>IF(OR(E2383="Prospecting",E2383="Engaging"),VLOOKUP(C2383,Products!$A$2:$C$8,3,FALSE),0)</f>
        <v>0</v>
      </c>
    </row>
    <row r="2384" spans="1:10" x14ac:dyDescent="0.25">
      <c r="A2384" t="s">
        <v>2551</v>
      </c>
      <c r="B2384" t="s">
        <v>180</v>
      </c>
      <c r="C2384" t="s">
        <v>120</v>
      </c>
      <c r="D2384" t="s">
        <v>61</v>
      </c>
      <c r="E2384" t="s">
        <v>138</v>
      </c>
      <c r="F2384" s="1">
        <v>42838</v>
      </c>
      <c r="G2384" s="1">
        <v>42847</v>
      </c>
      <c r="H2384">
        <v>543</v>
      </c>
      <c r="I2384" t="str">
        <f>IF(COUNTIF(Products!$A$2:$A$8,C2384)=0,C2384,"")</f>
        <v/>
      </c>
      <c r="J2384">
        <f>IF(OR(E2384="Prospecting",E2384="Engaging"),VLOOKUP(C2384,Products!$A$2:$C$8,3,FALSE),0)</f>
        <v>0</v>
      </c>
    </row>
    <row r="2385" spans="1:10" x14ac:dyDescent="0.25">
      <c r="A2385" t="s">
        <v>2552</v>
      </c>
      <c r="B2385" t="s">
        <v>191</v>
      </c>
      <c r="C2385" t="s">
        <v>122</v>
      </c>
      <c r="D2385" t="s">
        <v>60</v>
      </c>
      <c r="E2385" t="s">
        <v>159</v>
      </c>
      <c r="F2385" s="1">
        <v>42838</v>
      </c>
      <c r="G2385" s="1">
        <v>42844</v>
      </c>
      <c r="H2385">
        <v>0</v>
      </c>
      <c r="I2385" t="str">
        <f>IF(COUNTIF(Products!$A$2:$A$8,C2385)=0,C2385,"")</f>
        <v/>
      </c>
      <c r="J2385">
        <f>IF(OR(E2385="Prospecting",E2385="Engaging"),VLOOKUP(C2385,Products!$A$2:$C$8,3,FALSE),0)</f>
        <v>0</v>
      </c>
    </row>
    <row r="2386" spans="1:10" x14ac:dyDescent="0.25">
      <c r="A2386" t="s">
        <v>2553</v>
      </c>
      <c r="B2386" t="s">
        <v>191</v>
      </c>
      <c r="C2386" t="s">
        <v>122</v>
      </c>
      <c r="D2386" t="s">
        <v>109</v>
      </c>
      <c r="E2386" t="s">
        <v>159</v>
      </c>
      <c r="F2386" s="1">
        <v>42838</v>
      </c>
      <c r="G2386" s="1">
        <v>42846</v>
      </c>
      <c r="H2386">
        <v>0</v>
      </c>
      <c r="I2386" t="str">
        <f>IF(COUNTIF(Products!$A$2:$A$8,C2386)=0,C2386,"")</f>
        <v/>
      </c>
      <c r="J2386">
        <f>IF(OR(E2386="Prospecting",E2386="Engaging"),VLOOKUP(C2386,Products!$A$2:$C$8,3,FALSE),0)</f>
        <v>0</v>
      </c>
    </row>
    <row r="2387" spans="1:10" x14ac:dyDescent="0.25">
      <c r="A2387" t="s">
        <v>2554</v>
      </c>
      <c r="B2387" t="s">
        <v>137</v>
      </c>
      <c r="C2387" t="s">
        <v>123</v>
      </c>
      <c r="D2387" t="s">
        <v>77</v>
      </c>
      <c r="E2387" t="s">
        <v>159</v>
      </c>
      <c r="F2387" s="1">
        <v>42838</v>
      </c>
      <c r="G2387" s="1">
        <v>42963</v>
      </c>
      <c r="H2387">
        <v>0</v>
      </c>
      <c r="I2387" t="str">
        <f>IF(COUNTIF(Products!$A$2:$A$8,C2387)=0,C2387,"")</f>
        <v/>
      </c>
      <c r="J2387">
        <f>IF(OR(E2387="Prospecting",E2387="Engaging"),VLOOKUP(C2387,Products!$A$2:$C$8,3,FALSE),0)</f>
        <v>0</v>
      </c>
    </row>
    <row r="2388" spans="1:10" x14ac:dyDescent="0.25">
      <c r="A2388" t="s">
        <v>2555</v>
      </c>
      <c r="B2388" t="s">
        <v>152</v>
      </c>
      <c r="C2388" t="s">
        <v>127</v>
      </c>
      <c r="D2388" t="s">
        <v>91</v>
      </c>
      <c r="E2388" t="s">
        <v>159</v>
      </c>
      <c r="F2388" s="1">
        <v>42838</v>
      </c>
      <c r="G2388" s="1">
        <v>42902</v>
      </c>
      <c r="H2388">
        <v>0</v>
      </c>
      <c r="I2388" t="str">
        <f>IF(COUNTIF(Products!$A$2:$A$8,C2388)=0,C2388,"")</f>
        <v/>
      </c>
      <c r="J2388">
        <f>IF(OR(E2388="Prospecting",E2388="Engaging"),VLOOKUP(C2388,Products!$A$2:$C$8,3,FALSE),0)</f>
        <v>0</v>
      </c>
    </row>
    <row r="2389" spans="1:10" x14ac:dyDescent="0.25">
      <c r="A2389" t="s">
        <v>2556</v>
      </c>
      <c r="B2389" t="s">
        <v>169</v>
      </c>
      <c r="C2389" t="s">
        <v>123</v>
      </c>
      <c r="D2389" t="s">
        <v>42</v>
      </c>
      <c r="E2389" t="s">
        <v>159</v>
      </c>
      <c r="F2389" s="1">
        <v>42838</v>
      </c>
      <c r="G2389" s="1">
        <v>42881</v>
      </c>
      <c r="H2389">
        <v>0</v>
      </c>
      <c r="I2389" t="str">
        <f>IF(COUNTIF(Products!$A$2:$A$8,C2389)=0,C2389,"")</f>
        <v/>
      </c>
      <c r="J2389">
        <f>IF(OR(E2389="Prospecting",E2389="Engaging"),VLOOKUP(C2389,Products!$A$2:$C$8,3,FALSE),0)</f>
        <v>0</v>
      </c>
    </row>
    <row r="2390" spans="1:10" x14ac:dyDescent="0.25">
      <c r="A2390" t="s">
        <v>2557</v>
      </c>
      <c r="B2390" t="s">
        <v>169</v>
      </c>
      <c r="C2390" t="s">
        <v>123</v>
      </c>
      <c r="D2390" t="s">
        <v>14</v>
      </c>
      <c r="E2390" t="s">
        <v>138</v>
      </c>
      <c r="F2390" s="1">
        <v>42838</v>
      </c>
      <c r="G2390" s="1">
        <v>42847</v>
      </c>
      <c r="H2390">
        <v>56</v>
      </c>
      <c r="I2390" t="str">
        <f>IF(COUNTIF(Products!$A$2:$A$8,C2390)=0,C2390,"")</f>
        <v/>
      </c>
      <c r="J2390">
        <f>IF(OR(E2390="Prospecting",E2390="Engaging"),VLOOKUP(C2390,Products!$A$2:$C$8,3,FALSE),0)</f>
        <v>0</v>
      </c>
    </row>
    <row r="2391" spans="1:10" x14ac:dyDescent="0.25">
      <c r="A2391" t="s">
        <v>2558</v>
      </c>
      <c r="B2391" t="s">
        <v>148</v>
      </c>
      <c r="C2391" t="s">
        <v>126</v>
      </c>
      <c r="D2391" t="s">
        <v>67</v>
      </c>
      <c r="E2391" t="s">
        <v>159</v>
      </c>
      <c r="F2391" s="1">
        <v>42838</v>
      </c>
      <c r="G2391" s="1">
        <v>42845</v>
      </c>
      <c r="H2391">
        <v>0</v>
      </c>
      <c r="I2391" t="str">
        <f>IF(COUNTIF(Products!$A$2:$A$8,C2391)=0,C2391,"")</f>
        <v/>
      </c>
      <c r="J2391">
        <f>IF(OR(E2391="Prospecting",E2391="Engaging"),VLOOKUP(C2391,Products!$A$2:$C$8,3,FALSE),0)</f>
        <v>0</v>
      </c>
    </row>
    <row r="2392" spans="1:10" x14ac:dyDescent="0.25">
      <c r="A2392" t="s">
        <v>2559</v>
      </c>
      <c r="B2392" t="s">
        <v>148</v>
      </c>
      <c r="C2392" t="s">
        <v>125</v>
      </c>
      <c r="D2392" t="s">
        <v>17</v>
      </c>
      <c r="E2392" t="s">
        <v>159</v>
      </c>
      <c r="F2392" s="1">
        <v>42838</v>
      </c>
      <c r="G2392" s="1">
        <v>42848</v>
      </c>
      <c r="H2392">
        <v>0</v>
      </c>
      <c r="I2392" t="str">
        <f>IF(COUNTIF(Products!$A$2:$A$8,C2392)=0,C2392,"")</f>
        <v/>
      </c>
      <c r="J2392">
        <f>IF(OR(E2392="Prospecting",E2392="Engaging"),VLOOKUP(C2392,Products!$A$2:$C$8,3,FALSE),0)</f>
        <v>0</v>
      </c>
    </row>
    <row r="2393" spans="1:10" x14ac:dyDescent="0.25">
      <c r="A2393" t="s">
        <v>2560</v>
      </c>
      <c r="B2393" t="s">
        <v>177</v>
      </c>
      <c r="C2393" t="s">
        <v>127</v>
      </c>
      <c r="D2393" t="s">
        <v>98</v>
      </c>
      <c r="E2393" t="s">
        <v>138</v>
      </c>
      <c r="F2393" s="1">
        <v>42838</v>
      </c>
      <c r="G2393" s="1">
        <v>42896</v>
      </c>
      <c r="H2393">
        <v>1145</v>
      </c>
      <c r="I2393" t="str">
        <f>IF(COUNTIF(Products!$A$2:$A$8,C2393)=0,C2393,"")</f>
        <v/>
      </c>
      <c r="J2393">
        <f>IF(OR(E2393="Prospecting",E2393="Engaging"),VLOOKUP(C2393,Products!$A$2:$C$8,3,FALSE),0)</f>
        <v>0</v>
      </c>
    </row>
    <row r="2394" spans="1:10" x14ac:dyDescent="0.25">
      <c r="A2394" t="s">
        <v>2561</v>
      </c>
      <c r="B2394" t="s">
        <v>196</v>
      </c>
      <c r="C2394" t="s">
        <v>122</v>
      </c>
      <c r="D2394" t="s">
        <v>92</v>
      </c>
      <c r="E2394" t="s">
        <v>159</v>
      </c>
      <c r="F2394" s="1">
        <v>42838</v>
      </c>
      <c r="G2394" s="1">
        <v>42851</v>
      </c>
      <c r="H2394">
        <v>0</v>
      </c>
      <c r="I2394" t="str">
        <f>IF(COUNTIF(Products!$A$2:$A$8,C2394)=0,C2394,"")</f>
        <v/>
      </c>
      <c r="J2394">
        <f>IF(OR(E2394="Prospecting",E2394="Engaging"),VLOOKUP(C2394,Products!$A$2:$C$8,3,FALSE),0)</f>
        <v>0</v>
      </c>
    </row>
    <row r="2395" spans="1:10" x14ac:dyDescent="0.25">
      <c r="A2395" t="s">
        <v>2562</v>
      </c>
      <c r="B2395" t="s">
        <v>144</v>
      </c>
      <c r="C2395" t="s">
        <v>120</v>
      </c>
      <c r="E2395" t="s">
        <v>155</v>
      </c>
      <c r="F2395" s="1">
        <v>42838</v>
      </c>
      <c r="I2395" t="str">
        <f>IF(COUNTIF(Products!$A$2:$A$8,C2395)=0,C2395,"")</f>
        <v/>
      </c>
      <c r="J2395">
        <f>IF(OR(E2395="Prospecting",E2395="Engaging"),VLOOKUP(C2395,Products!$A$2:$C$8,3,FALSE),0)</f>
        <v>550</v>
      </c>
    </row>
    <row r="2396" spans="1:10" x14ac:dyDescent="0.25">
      <c r="A2396" t="s">
        <v>2563</v>
      </c>
      <c r="B2396" t="s">
        <v>144</v>
      </c>
      <c r="C2396" t="s">
        <v>125</v>
      </c>
      <c r="E2396" t="s">
        <v>155</v>
      </c>
      <c r="F2396" s="1">
        <v>42838</v>
      </c>
      <c r="I2396" t="str">
        <f>IF(COUNTIF(Products!$A$2:$A$8,C2396)=0,C2396,"")</f>
        <v/>
      </c>
      <c r="J2396">
        <f>IF(OR(E2396="Prospecting",E2396="Engaging"),VLOOKUP(C2396,Products!$A$2:$C$8,3,FALSE),0)</f>
        <v>3393</v>
      </c>
    </row>
    <row r="2397" spans="1:10" x14ac:dyDescent="0.25">
      <c r="A2397" t="s">
        <v>2564</v>
      </c>
      <c r="B2397" t="s">
        <v>207</v>
      </c>
      <c r="C2397" t="s">
        <v>126</v>
      </c>
      <c r="D2397" t="s">
        <v>112</v>
      </c>
      <c r="E2397" t="s">
        <v>159</v>
      </c>
      <c r="F2397" s="1">
        <v>42839</v>
      </c>
      <c r="G2397" s="1">
        <v>42844</v>
      </c>
      <c r="H2397">
        <v>0</v>
      </c>
      <c r="I2397" t="str">
        <f>IF(COUNTIF(Products!$A$2:$A$8,C2397)=0,C2397,"")</f>
        <v/>
      </c>
      <c r="J2397">
        <f>IF(OR(E2397="Prospecting",E2397="Engaging"),VLOOKUP(C2397,Products!$A$2:$C$8,3,FALSE),0)</f>
        <v>0</v>
      </c>
    </row>
    <row r="2398" spans="1:10" x14ac:dyDescent="0.25">
      <c r="A2398" t="s">
        <v>2565</v>
      </c>
      <c r="B2398" t="s">
        <v>207</v>
      </c>
      <c r="C2398" t="s">
        <v>122</v>
      </c>
      <c r="D2398" t="s">
        <v>19</v>
      </c>
      <c r="E2398" t="s">
        <v>159</v>
      </c>
      <c r="F2398" s="1">
        <v>42839</v>
      </c>
      <c r="G2398" s="1">
        <v>42847</v>
      </c>
      <c r="H2398">
        <v>0</v>
      </c>
      <c r="I2398" t="str">
        <f>IF(COUNTIF(Products!$A$2:$A$8,C2398)=0,C2398,"")</f>
        <v/>
      </c>
      <c r="J2398">
        <f>IF(OR(E2398="Prospecting",E2398="Engaging"),VLOOKUP(C2398,Products!$A$2:$C$8,3,FALSE),0)</f>
        <v>0</v>
      </c>
    </row>
    <row r="2399" spans="1:10" x14ac:dyDescent="0.25">
      <c r="A2399" t="s">
        <v>2566</v>
      </c>
      <c r="B2399" t="s">
        <v>207</v>
      </c>
      <c r="C2399" t="s">
        <v>125</v>
      </c>
      <c r="D2399" t="s">
        <v>105</v>
      </c>
      <c r="E2399" t="s">
        <v>159</v>
      </c>
      <c r="F2399" s="1">
        <v>42839</v>
      </c>
      <c r="G2399" s="1">
        <v>42844</v>
      </c>
      <c r="H2399">
        <v>0</v>
      </c>
      <c r="I2399" t="str">
        <f>IF(COUNTIF(Products!$A$2:$A$8,C2399)=0,C2399,"")</f>
        <v/>
      </c>
      <c r="J2399">
        <f>IF(OR(E2399="Prospecting",E2399="Engaging"),VLOOKUP(C2399,Products!$A$2:$C$8,3,FALSE),0)</f>
        <v>0</v>
      </c>
    </row>
    <row r="2400" spans="1:10" x14ac:dyDescent="0.25">
      <c r="A2400" t="s">
        <v>2567</v>
      </c>
      <c r="B2400" t="s">
        <v>239</v>
      </c>
      <c r="C2400" t="s">
        <v>127</v>
      </c>
      <c r="D2400" t="s">
        <v>25</v>
      </c>
      <c r="E2400" t="s">
        <v>138</v>
      </c>
      <c r="F2400" s="1">
        <v>42839</v>
      </c>
      <c r="G2400" s="1">
        <v>42848</v>
      </c>
      <c r="H2400">
        <v>1033</v>
      </c>
      <c r="I2400" t="str">
        <f>IF(COUNTIF(Products!$A$2:$A$8,C2400)=0,C2400,"")</f>
        <v/>
      </c>
      <c r="J2400">
        <f>IF(OR(E2400="Prospecting",E2400="Engaging"),VLOOKUP(C2400,Products!$A$2:$C$8,3,FALSE),0)</f>
        <v>0</v>
      </c>
    </row>
    <row r="2401" spans="1:10" x14ac:dyDescent="0.25">
      <c r="A2401" t="s">
        <v>2568</v>
      </c>
      <c r="B2401" t="s">
        <v>171</v>
      </c>
      <c r="C2401" t="s">
        <v>125</v>
      </c>
      <c r="D2401" t="s">
        <v>102</v>
      </c>
      <c r="E2401" t="s">
        <v>159</v>
      </c>
      <c r="F2401" s="1">
        <v>42839</v>
      </c>
      <c r="G2401" s="1">
        <v>42845</v>
      </c>
      <c r="H2401">
        <v>0</v>
      </c>
      <c r="I2401" t="str">
        <f>IF(COUNTIF(Products!$A$2:$A$8,C2401)=0,C2401,"")</f>
        <v/>
      </c>
      <c r="J2401">
        <f>IF(OR(E2401="Prospecting",E2401="Engaging"),VLOOKUP(C2401,Products!$A$2:$C$8,3,FALSE),0)</f>
        <v>0</v>
      </c>
    </row>
    <row r="2402" spans="1:10" x14ac:dyDescent="0.25">
      <c r="A2402" t="s">
        <v>2569</v>
      </c>
      <c r="B2402" t="s">
        <v>140</v>
      </c>
      <c r="C2402" t="s">
        <v>127</v>
      </c>
      <c r="D2402" t="s">
        <v>55</v>
      </c>
      <c r="E2402" t="s">
        <v>159</v>
      </c>
      <c r="F2402" s="1">
        <v>42839</v>
      </c>
      <c r="G2402" s="1">
        <v>42840</v>
      </c>
      <c r="H2402">
        <v>0</v>
      </c>
      <c r="I2402" t="str">
        <f>IF(COUNTIF(Products!$A$2:$A$8,C2402)=0,C2402,"")</f>
        <v/>
      </c>
      <c r="J2402">
        <f>IF(OR(E2402="Prospecting",E2402="Engaging"),VLOOKUP(C2402,Products!$A$2:$C$8,3,FALSE),0)</f>
        <v>0</v>
      </c>
    </row>
    <row r="2403" spans="1:10" x14ac:dyDescent="0.25">
      <c r="A2403" t="s">
        <v>2570</v>
      </c>
      <c r="B2403" t="s">
        <v>140</v>
      </c>
      <c r="C2403" t="s">
        <v>122</v>
      </c>
      <c r="D2403" t="s">
        <v>104</v>
      </c>
      <c r="E2403" t="s">
        <v>159</v>
      </c>
      <c r="F2403" s="1">
        <v>42839</v>
      </c>
      <c r="G2403" s="1">
        <v>42841</v>
      </c>
      <c r="H2403">
        <v>0</v>
      </c>
      <c r="I2403" t="str">
        <f>IF(COUNTIF(Products!$A$2:$A$8,C2403)=0,C2403,"")</f>
        <v/>
      </c>
      <c r="J2403">
        <f>IF(OR(E2403="Prospecting",E2403="Engaging"),VLOOKUP(C2403,Products!$A$2:$C$8,3,FALSE),0)</f>
        <v>0</v>
      </c>
    </row>
    <row r="2404" spans="1:10" x14ac:dyDescent="0.25">
      <c r="A2404" t="s">
        <v>2571</v>
      </c>
      <c r="B2404" t="s">
        <v>140</v>
      </c>
      <c r="C2404" t="s">
        <v>122</v>
      </c>
      <c r="D2404" t="s">
        <v>22</v>
      </c>
      <c r="E2404" t="s">
        <v>138</v>
      </c>
      <c r="F2404" s="1">
        <v>42839</v>
      </c>
      <c r="G2404" s="1">
        <v>42961</v>
      </c>
      <c r="H2404">
        <v>4359</v>
      </c>
      <c r="I2404" t="str">
        <f>IF(COUNTIF(Products!$A$2:$A$8,C2404)=0,C2404,"")</f>
        <v/>
      </c>
      <c r="J2404">
        <f>IF(OR(E2404="Prospecting",E2404="Engaging"),VLOOKUP(C2404,Products!$A$2:$C$8,3,FALSE),0)</f>
        <v>0</v>
      </c>
    </row>
    <row r="2405" spans="1:10" x14ac:dyDescent="0.25">
      <c r="A2405" t="s">
        <v>2572</v>
      </c>
      <c r="B2405" t="s">
        <v>140</v>
      </c>
      <c r="C2405" t="s">
        <v>122</v>
      </c>
      <c r="D2405" t="s">
        <v>77</v>
      </c>
      <c r="E2405" t="s">
        <v>138</v>
      </c>
      <c r="F2405" s="1">
        <v>42839</v>
      </c>
      <c r="G2405" s="1">
        <v>42888</v>
      </c>
      <c r="H2405">
        <v>4575</v>
      </c>
      <c r="I2405" t="str">
        <f>IF(COUNTIF(Products!$A$2:$A$8,C2405)=0,C2405,"")</f>
        <v/>
      </c>
      <c r="J2405">
        <f>IF(OR(E2405="Prospecting",E2405="Engaging"),VLOOKUP(C2405,Products!$A$2:$C$8,3,FALSE),0)</f>
        <v>0</v>
      </c>
    </row>
    <row r="2406" spans="1:10" x14ac:dyDescent="0.25">
      <c r="A2406" t="s">
        <v>2573</v>
      </c>
      <c r="B2406" t="s">
        <v>140</v>
      </c>
      <c r="C2406" t="s">
        <v>123</v>
      </c>
      <c r="D2406" t="s">
        <v>42</v>
      </c>
      <c r="E2406" t="s">
        <v>138</v>
      </c>
      <c r="F2406" s="1">
        <v>42839</v>
      </c>
      <c r="G2406" s="1">
        <v>42847</v>
      </c>
      <c r="H2406">
        <v>53</v>
      </c>
      <c r="I2406" t="str">
        <f>IF(COUNTIF(Products!$A$2:$A$8,C2406)=0,C2406,"")</f>
        <v/>
      </c>
      <c r="J2406">
        <f>IF(OR(E2406="Prospecting",E2406="Engaging"),VLOOKUP(C2406,Products!$A$2:$C$8,3,FALSE),0)</f>
        <v>0</v>
      </c>
    </row>
    <row r="2407" spans="1:10" x14ac:dyDescent="0.25">
      <c r="A2407" t="s">
        <v>2574</v>
      </c>
      <c r="B2407" t="s">
        <v>173</v>
      </c>
      <c r="C2407" t="s">
        <v>120</v>
      </c>
      <c r="D2407" t="s">
        <v>66</v>
      </c>
      <c r="E2407" t="s">
        <v>138</v>
      </c>
      <c r="F2407" s="1">
        <v>42839</v>
      </c>
      <c r="G2407" s="1">
        <v>42841</v>
      </c>
      <c r="H2407">
        <v>597</v>
      </c>
      <c r="I2407" t="str">
        <f>IF(COUNTIF(Products!$A$2:$A$8,C2407)=0,C2407,"")</f>
        <v/>
      </c>
      <c r="J2407">
        <f>IF(OR(E2407="Prospecting",E2407="Engaging"),VLOOKUP(C2407,Products!$A$2:$C$8,3,FALSE),0)</f>
        <v>0</v>
      </c>
    </row>
    <row r="2408" spans="1:10" x14ac:dyDescent="0.25">
      <c r="A2408" t="s">
        <v>2575</v>
      </c>
      <c r="B2408" t="s">
        <v>173</v>
      </c>
      <c r="C2408" t="s">
        <v>125</v>
      </c>
      <c r="D2408" t="s">
        <v>114</v>
      </c>
      <c r="E2408" t="s">
        <v>138</v>
      </c>
      <c r="F2408" s="1">
        <v>42839</v>
      </c>
      <c r="G2408" s="1">
        <v>42902</v>
      </c>
      <c r="H2408">
        <v>3179</v>
      </c>
      <c r="I2408" t="str">
        <f>IF(COUNTIF(Products!$A$2:$A$8,C2408)=0,C2408,"")</f>
        <v/>
      </c>
      <c r="J2408">
        <f>IF(OR(E2408="Prospecting",E2408="Engaging"),VLOOKUP(C2408,Products!$A$2:$C$8,3,FALSE),0)</f>
        <v>0</v>
      </c>
    </row>
    <row r="2409" spans="1:10" x14ac:dyDescent="0.25">
      <c r="A2409" t="s">
        <v>2576</v>
      </c>
      <c r="B2409" t="s">
        <v>158</v>
      </c>
      <c r="C2409" t="s">
        <v>120</v>
      </c>
      <c r="D2409" t="s">
        <v>53</v>
      </c>
      <c r="E2409" t="s">
        <v>159</v>
      </c>
      <c r="F2409" s="1">
        <v>42839</v>
      </c>
      <c r="G2409" s="1">
        <v>42902</v>
      </c>
      <c r="H2409">
        <v>0</v>
      </c>
      <c r="I2409" t="str">
        <f>IF(COUNTIF(Products!$A$2:$A$8,C2409)=0,C2409,"")</f>
        <v/>
      </c>
      <c r="J2409">
        <f>IF(OR(E2409="Prospecting",E2409="Engaging"),VLOOKUP(C2409,Products!$A$2:$C$8,3,FALSE),0)</f>
        <v>0</v>
      </c>
    </row>
    <row r="2410" spans="1:10" x14ac:dyDescent="0.25">
      <c r="A2410" t="s">
        <v>2577</v>
      </c>
      <c r="B2410" t="s">
        <v>158</v>
      </c>
      <c r="C2410" t="s">
        <v>123</v>
      </c>
      <c r="D2410" t="s">
        <v>94</v>
      </c>
      <c r="E2410" t="s">
        <v>138</v>
      </c>
      <c r="F2410" s="1">
        <v>42839</v>
      </c>
      <c r="G2410" s="1">
        <v>42840</v>
      </c>
      <c r="H2410">
        <v>57</v>
      </c>
      <c r="I2410" t="str">
        <f>IF(COUNTIF(Products!$A$2:$A$8,C2410)=0,C2410,"")</f>
        <v/>
      </c>
      <c r="J2410">
        <f>IF(OR(E2410="Prospecting",E2410="Engaging"),VLOOKUP(C2410,Products!$A$2:$C$8,3,FALSE),0)</f>
        <v>0</v>
      </c>
    </row>
    <row r="2411" spans="1:10" x14ac:dyDescent="0.25">
      <c r="A2411" t="s">
        <v>2578</v>
      </c>
      <c r="B2411" t="s">
        <v>164</v>
      </c>
      <c r="C2411" t="s">
        <v>125</v>
      </c>
      <c r="D2411" t="s">
        <v>61</v>
      </c>
      <c r="E2411" t="s">
        <v>159</v>
      </c>
      <c r="F2411" s="1">
        <v>42839</v>
      </c>
      <c r="G2411" s="1">
        <v>42840</v>
      </c>
      <c r="H2411">
        <v>0</v>
      </c>
      <c r="I2411" t="str">
        <f>IF(COUNTIF(Products!$A$2:$A$8,C2411)=0,C2411,"")</f>
        <v/>
      </c>
      <c r="J2411">
        <f>IF(OR(E2411="Prospecting",E2411="Engaging"),VLOOKUP(C2411,Products!$A$2:$C$8,3,FALSE),0)</f>
        <v>0</v>
      </c>
    </row>
    <row r="2412" spans="1:10" x14ac:dyDescent="0.25">
      <c r="A2412" t="s">
        <v>2579</v>
      </c>
      <c r="B2412" t="s">
        <v>164</v>
      </c>
      <c r="C2412" t="s">
        <v>125</v>
      </c>
      <c r="D2412" t="s">
        <v>90</v>
      </c>
      <c r="E2412" t="s">
        <v>138</v>
      </c>
      <c r="F2412" s="1">
        <v>42839</v>
      </c>
      <c r="G2412" s="1">
        <v>42849</v>
      </c>
      <c r="H2412">
        <v>2997</v>
      </c>
      <c r="I2412" t="str">
        <f>IF(COUNTIF(Products!$A$2:$A$8,C2412)=0,C2412,"")</f>
        <v/>
      </c>
      <c r="J2412">
        <f>IF(OR(E2412="Prospecting",E2412="Engaging"),VLOOKUP(C2412,Products!$A$2:$C$8,3,FALSE),0)</f>
        <v>0</v>
      </c>
    </row>
    <row r="2413" spans="1:10" x14ac:dyDescent="0.25">
      <c r="A2413" t="s">
        <v>2580</v>
      </c>
      <c r="B2413" t="s">
        <v>154</v>
      </c>
      <c r="C2413" t="s">
        <v>120</v>
      </c>
      <c r="D2413" t="s">
        <v>39</v>
      </c>
      <c r="E2413" t="s">
        <v>138</v>
      </c>
      <c r="F2413" s="1">
        <v>42839</v>
      </c>
      <c r="G2413" s="1">
        <v>42884</v>
      </c>
      <c r="H2413">
        <v>545</v>
      </c>
      <c r="I2413" t="str">
        <f>IF(COUNTIF(Products!$A$2:$A$8,C2413)=0,C2413,"")</f>
        <v/>
      </c>
      <c r="J2413">
        <f>IF(OR(E2413="Prospecting",E2413="Engaging"),VLOOKUP(C2413,Products!$A$2:$C$8,3,FALSE),0)</f>
        <v>0</v>
      </c>
    </row>
    <row r="2414" spans="1:10" x14ac:dyDescent="0.25">
      <c r="A2414" t="s">
        <v>2581</v>
      </c>
      <c r="B2414" t="s">
        <v>303</v>
      </c>
      <c r="C2414" t="s">
        <v>120</v>
      </c>
      <c r="D2414" t="s">
        <v>116</v>
      </c>
      <c r="E2414" t="s">
        <v>138</v>
      </c>
      <c r="F2414" s="1">
        <v>42839</v>
      </c>
      <c r="G2414" s="1">
        <v>42850</v>
      </c>
      <c r="H2414">
        <v>565</v>
      </c>
      <c r="I2414" t="str">
        <f>IF(COUNTIF(Products!$A$2:$A$8,C2414)=0,C2414,"")</f>
        <v/>
      </c>
      <c r="J2414">
        <f>IF(OR(E2414="Prospecting",E2414="Engaging"),VLOOKUP(C2414,Products!$A$2:$C$8,3,FALSE),0)</f>
        <v>0</v>
      </c>
    </row>
    <row r="2415" spans="1:10" x14ac:dyDescent="0.25">
      <c r="A2415" t="s">
        <v>2582</v>
      </c>
      <c r="B2415" t="s">
        <v>303</v>
      </c>
      <c r="C2415" t="s">
        <v>123</v>
      </c>
      <c r="D2415" t="s">
        <v>104</v>
      </c>
      <c r="E2415" t="s">
        <v>138</v>
      </c>
      <c r="F2415" s="1">
        <v>42839</v>
      </c>
      <c r="G2415" s="1">
        <v>42849</v>
      </c>
      <c r="H2415">
        <v>54</v>
      </c>
      <c r="I2415" t="str">
        <f>IF(COUNTIF(Products!$A$2:$A$8,C2415)=0,C2415,"")</f>
        <v/>
      </c>
      <c r="J2415">
        <f>IF(OR(E2415="Prospecting",E2415="Engaging"),VLOOKUP(C2415,Products!$A$2:$C$8,3,FALSE),0)</f>
        <v>0</v>
      </c>
    </row>
    <row r="2416" spans="1:10" x14ac:dyDescent="0.25">
      <c r="A2416" t="s">
        <v>2583</v>
      </c>
      <c r="B2416" t="s">
        <v>180</v>
      </c>
      <c r="C2416" t="s">
        <v>122</v>
      </c>
      <c r="E2416" t="s">
        <v>155</v>
      </c>
      <c r="F2416" s="1">
        <v>42839</v>
      </c>
      <c r="I2416" t="str">
        <f>IF(COUNTIF(Products!$A$2:$A$8,C2416)=0,C2416,"")</f>
        <v/>
      </c>
      <c r="J2416">
        <f>IF(OR(E2416="Prospecting",E2416="Engaging"),VLOOKUP(C2416,Products!$A$2:$C$8,3,FALSE),0)</f>
        <v>4821</v>
      </c>
    </row>
    <row r="2417" spans="1:10" x14ac:dyDescent="0.25">
      <c r="A2417" t="s">
        <v>2584</v>
      </c>
      <c r="B2417" t="s">
        <v>180</v>
      </c>
      <c r="C2417" t="s">
        <v>120</v>
      </c>
      <c r="D2417" t="s">
        <v>66</v>
      </c>
      <c r="E2417" t="s">
        <v>159</v>
      </c>
      <c r="F2417" s="1">
        <v>42839</v>
      </c>
      <c r="G2417" s="1">
        <v>42840</v>
      </c>
      <c r="H2417">
        <v>0</v>
      </c>
      <c r="I2417" t="str">
        <f>IF(COUNTIF(Products!$A$2:$A$8,C2417)=0,C2417,"")</f>
        <v/>
      </c>
      <c r="J2417">
        <f>IF(OR(E2417="Prospecting",E2417="Engaging"),VLOOKUP(C2417,Products!$A$2:$C$8,3,FALSE),0)</f>
        <v>0</v>
      </c>
    </row>
    <row r="2418" spans="1:10" x14ac:dyDescent="0.25">
      <c r="A2418" t="s">
        <v>2585</v>
      </c>
      <c r="B2418" t="s">
        <v>180</v>
      </c>
      <c r="C2418" t="s">
        <v>122</v>
      </c>
      <c r="D2418" t="s">
        <v>100</v>
      </c>
      <c r="E2418" t="s">
        <v>138</v>
      </c>
      <c r="F2418" s="1">
        <v>42839</v>
      </c>
      <c r="G2418" s="1">
        <v>42846</v>
      </c>
      <c r="H2418">
        <v>4991</v>
      </c>
      <c r="I2418" t="str">
        <f>IF(COUNTIF(Products!$A$2:$A$8,C2418)=0,C2418,"")</f>
        <v/>
      </c>
      <c r="J2418">
        <f>IF(OR(E2418="Prospecting",E2418="Engaging"),VLOOKUP(C2418,Products!$A$2:$C$8,3,FALSE),0)</f>
        <v>0</v>
      </c>
    </row>
    <row r="2419" spans="1:10" x14ac:dyDescent="0.25">
      <c r="A2419" t="s">
        <v>2586</v>
      </c>
      <c r="B2419" t="s">
        <v>150</v>
      </c>
      <c r="C2419" t="s">
        <v>120</v>
      </c>
      <c r="E2419" t="s">
        <v>155</v>
      </c>
      <c r="F2419" s="1">
        <v>42839</v>
      </c>
      <c r="I2419" t="str">
        <f>IF(COUNTIF(Products!$A$2:$A$8,C2419)=0,C2419,"")</f>
        <v/>
      </c>
      <c r="J2419">
        <f>IF(OR(E2419="Prospecting",E2419="Engaging"),VLOOKUP(C2419,Products!$A$2:$C$8,3,FALSE),0)</f>
        <v>550</v>
      </c>
    </row>
    <row r="2420" spans="1:10" x14ac:dyDescent="0.25">
      <c r="A2420" t="s">
        <v>2587</v>
      </c>
      <c r="B2420" t="s">
        <v>150</v>
      </c>
      <c r="C2420" t="s">
        <v>123</v>
      </c>
      <c r="E2420" t="s">
        <v>155</v>
      </c>
      <c r="F2420" s="1">
        <v>42839</v>
      </c>
      <c r="I2420" t="str">
        <f>IF(COUNTIF(Products!$A$2:$A$8,C2420)=0,C2420,"")</f>
        <v/>
      </c>
      <c r="J2420">
        <f>IF(OR(E2420="Prospecting",E2420="Engaging"),VLOOKUP(C2420,Products!$A$2:$C$8,3,FALSE),0)</f>
        <v>55</v>
      </c>
    </row>
    <row r="2421" spans="1:10" x14ac:dyDescent="0.25">
      <c r="A2421" t="s">
        <v>2588</v>
      </c>
      <c r="B2421" t="s">
        <v>162</v>
      </c>
      <c r="C2421" t="s">
        <v>126</v>
      </c>
      <c r="D2421" t="s">
        <v>61</v>
      </c>
      <c r="E2421" t="s">
        <v>159</v>
      </c>
      <c r="F2421" s="1">
        <v>42839</v>
      </c>
      <c r="G2421" s="1">
        <v>42844</v>
      </c>
      <c r="H2421">
        <v>0</v>
      </c>
      <c r="I2421" t="str">
        <f>IF(COUNTIF(Products!$A$2:$A$8,C2421)=0,C2421,"")</f>
        <v/>
      </c>
      <c r="J2421">
        <f>IF(OR(E2421="Prospecting",E2421="Engaging"),VLOOKUP(C2421,Products!$A$2:$C$8,3,FALSE),0)</f>
        <v>0</v>
      </c>
    </row>
    <row r="2422" spans="1:10" x14ac:dyDescent="0.25">
      <c r="A2422" t="s">
        <v>2589</v>
      </c>
      <c r="B2422" t="s">
        <v>162</v>
      </c>
      <c r="C2422" t="s">
        <v>125</v>
      </c>
      <c r="D2422" t="s">
        <v>17</v>
      </c>
      <c r="E2422" t="s">
        <v>159</v>
      </c>
      <c r="F2422" s="1">
        <v>42839</v>
      </c>
      <c r="G2422" s="1">
        <v>42841</v>
      </c>
      <c r="H2422">
        <v>0</v>
      </c>
      <c r="I2422" t="str">
        <f>IF(COUNTIF(Products!$A$2:$A$8,C2422)=0,C2422,"")</f>
        <v/>
      </c>
      <c r="J2422">
        <f>IF(OR(E2422="Prospecting",E2422="Engaging"),VLOOKUP(C2422,Products!$A$2:$C$8,3,FALSE),0)</f>
        <v>0</v>
      </c>
    </row>
    <row r="2423" spans="1:10" x14ac:dyDescent="0.25">
      <c r="A2423" t="s">
        <v>2590</v>
      </c>
      <c r="B2423" t="s">
        <v>187</v>
      </c>
      <c r="C2423" t="s">
        <v>122</v>
      </c>
      <c r="D2423" t="s">
        <v>92</v>
      </c>
      <c r="E2423" t="s">
        <v>138</v>
      </c>
      <c r="F2423" s="1">
        <v>42839</v>
      </c>
      <c r="G2423" s="1">
        <v>42902</v>
      </c>
      <c r="H2423">
        <v>5546</v>
      </c>
      <c r="I2423" t="str">
        <f>IF(COUNTIF(Products!$A$2:$A$8,C2423)=0,C2423,"")</f>
        <v/>
      </c>
      <c r="J2423">
        <f>IF(OR(E2423="Prospecting",E2423="Engaging"),VLOOKUP(C2423,Products!$A$2:$C$8,3,FALSE),0)</f>
        <v>0</v>
      </c>
    </row>
    <row r="2424" spans="1:10" x14ac:dyDescent="0.25">
      <c r="A2424" t="s">
        <v>2591</v>
      </c>
      <c r="B2424" t="s">
        <v>148</v>
      </c>
      <c r="C2424" t="s">
        <v>123</v>
      </c>
      <c r="D2424" t="s">
        <v>61</v>
      </c>
      <c r="E2424" t="s">
        <v>138</v>
      </c>
      <c r="F2424" s="1">
        <v>42839</v>
      </c>
      <c r="G2424" s="1">
        <v>42845</v>
      </c>
      <c r="H2424">
        <v>59</v>
      </c>
      <c r="I2424" t="str">
        <f>IF(COUNTIF(Products!$A$2:$A$8,C2424)=0,C2424,"")</f>
        <v/>
      </c>
      <c r="J2424">
        <f>IF(OR(E2424="Prospecting",E2424="Engaging"),VLOOKUP(C2424,Products!$A$2:$C$8,3,FALSE),0)</f>
        <v>0</v>
      </c>
    </row>
    <row r="2425" spans="1:10" x14ac:dyDescent="0.25">
      <c r="A2425" t="s">
        <v>2592</v>
      </c>
      <c r="B2425" t="s">
        <v>146</v>
      </c>
      <c r="C2425" t="s">
        <v>127</v>
      </c>
      <c r="D2425" t="s">
        <v>95</v>
      </c>
      <c r="E2425" t="s">
        <v>159</v>
      </c>
      <c r="F2425" s="1">
        <v>42840</v>
      </c>
      <c r="G2425" s="1">
        <v>42848</v>
      </c>
      <c r="H2425">
        <v>0</v>
      </c>
      <c r="I2425" t="str">
        <f>IF(COUNTIF(Products!$A$2:$A$8,C2425)=0,C2425,"")</f>
        <v/>
      </c>
      <c r="J2425">
        <f>IF(OR(E2425="Prospecting",E2425="Engaging"),VLOOKUP(C2425,Products!$A$2:$C$8,3,FALSE),0)</f>
        <v>0</v>
      </c>
    </row>
    <row r="2426" spans="1:10" x14ac:dyDescent="0.25">
      <c r="A2426" t="s">
        <v>2593</v>
      </c>
      <c r="B2426" t="s">
        <v>146</v>
      </c>
      <c r="C2426" t="s">
        <v>123</v>
      </c>
      <c r="D2426" t="s">
        <v>95</v>
      </c>
      <c r="E2426" t="s">
        <v>159</v>
      </c>
      <c r="F2426" s="1">
        <v>42840</v>
      </c>
      <c r="G2426" s="1">
        <v>42845</v>
      </c>
      <c r="H2426">
        <v>0</v>
      </c>
      <c r="I2426" t="str">
        <f>IF(COUNTIF(Products!$A$2:$A$8,C2426)=0,C2426,"")</f>
        <v/>
      </c>
      <c r="J2426">
        <f>IF(OR(E2426="Prospecting",E2426="Engaging"),VLOOKUP(C2426,Products!$A$2:$C$8,3,FALSE),0)</f>
        <v>0</v>
      </c>
    </row>
    <row r="2427" spans="1:10" x14ac:dyDescent="0.25">
      <c r="A2427" t="s">
        <v>2594</v>
      </c>
      <c r="B2427" t="s">
        <v>146</v>
      </c>
      <c r="C2427" t="s">
        <v>126</v>
      </c>
      <c r="D2427" t="s">
        <v>95</v>
      </c>
      <c r="E2427" t="s">
        <v>138</v>
      </c>
      <c r="F2427" s="1">
        <v>42840</v>
      </c>
      <c r="G2427" s="1">
        <v>42841</v>
      </c>
      <c r="H2427">
        <v>5082</v>
      </c>
      <c r="I2427" t="str">
        <f>IF(COUNTIF(Products!$A$2:$A$8,C2427)=0,C2427,"")</f>
        <v/>
      </c>
      <c r="J2427">
        <f>IF(OR(E2427="Prospecting",E2427="Engaging"),VLOOKUP(C2427,Products!$A$2:$C$8,3,FALSE),0)</f>
        <v>0</v>
      </c>
    </row>
    <row r="2428" spans="1:10" x14ac:dyDescent="0.25">
      <c r="A2428" t="s">
        <v>2595</v>
      </c>
      <c r="B2428" t="s">
        <v>222</v>
      </c>
      <c r="C2428" t="s">
        <v>126</v>
      </c>
      <c r="D2428" t="s">
        <v>65</v>
      </c>
      <c r="E2428" t="s">
        <v>138</v>
      </c>
      <c r="F2428" s="1">
        <v>42840</v>
      </c>
      <c r="G2428" s="1">
        <v>42849</v>
      </c>
      <c r="H2428">
        <v>5293</v>
      </c>
      <c r="I2428" t="str">
        <f>IF(COUNTIF(Products!$A$2:$A$8,C2428)=0,C2428,"")</f>
        <v/>
      </c>
      <c r="J2428">
        <f>IF(OR(E2428="Prospecting",E2428="Engaging"),VLOOKUP(C2428,Products!$A$2:$C$8,3,FALSE),0)</f>
        <v>0</v>
      </c>
    </row>
    <row r="2429" spans="1:10" x14ac:dyDescent="0.25">
      <c r="A2429" t="s">
        <v>2596</v>
      </c>
      <c r="B2429" t="s">
        <v>264</v>
      </c>
      <c r="C2429" t="s">
        <v>127</v>
      </c>
      <c r="D2429" t="s">
        <v>61</v>
      </c>
      <c r="E2429" t="s">
        <v>138</v>
      </c>
      <c r="F2429" s="1">
        <v>42840</v>
      </c>
      <c r="G2429" s="1">
        <v>42913</v>
      </c>
      <c r="H2429">
        <v>1163</v>
      </c>
      <c r="I2429" t="str">
        <f>IF(COUNTIF(Products!$A$2:$A$8,C2429)=0,C2429,"")</f>
        <v/>
      </c>
      <c r="J2429">
        <f>IF(OR(E2429="Prospecting",E2429="Engaging"),VLOOKUP(C2429,Products!$A$2:$C$8,3,FALSE),0)</f>
        <v>0</v>
      </c>
    </row>
    <row r="2430" spans="1:10" x14ac:dyDescent="0.25">
      <c r="A2430" t="s">
        <v>2597</v>
      </c>
      <c r="B2430" t="s">
        <v>224</v>
      </c>
      <c r="C2430" t="s">
        <v>123</v>
      </c>
      <c r="D2430" t="s">
        <v>48</v>
      </c>
      <c r="E2430" t="s">
        <v>138</v>
      </c>
      <c r="F2430" s="1">
        <v>42840</v>
      </c>
      <c r="G2430" s="1">
        <v>42841</v>
      </c>
      <c r="H2430">
        <v>49</v>
      </c>
      <c r="I2430" t="str">
        <f>IF(COUNTIF(Products!$A$2:$A$8,C2430)=0,C2430,"")</f>
        <v/>
      </c>
      <c r="J2430">
        <f>IF(OR(E2430="Prospecting",E2430="Engaging"),VLOOKUP(C2430,Products!$A$2:$C$8,3,FALSE),0)</f>
        <v>0</v>
      </c>
    </row>
    <row r="2431" spans="1:10" x14ac:dyDescent="0.25">
      <c r="A2431" t="s">
        <v>2598</v>
      </c>
      <c r="B2431" t="s">
        <v>198</v>
      </c>
      <c r="C2431" t="s">
        <v>123</v>
      </c>
      <c r="D2431" t="s">
        <v>35</v>
      </c>
      <c r="E2431" t="s">
        <v>138</v>
      </c>
      <c r="F2431" s="1">
        <v>42840</v>
      </c>
      <c r="G2431" s="1">
        <v>42856</v>
      </c>
      <c r="H2431">
        <v>53</v>
      </c>
      <c r="I2431" t="str">
        <f>IF(COUNTIF(Products!$A$2:$A$8,C2431)=0,C2431,"")</f>
        <v/>
      </c>
      <c r="J2431">
        <f>IF(OR(E2431="Prospecting",E2431="Engaging"),VLOOKUP(C2431,Products!$A$2:$C$8,3,FALSE),0)</f>
        <v>0</v>
      </c>
    </row>
    <row r="2432" spans="1:10" x14ac:dyDescent="0.25">
      <c r="A2432" t="s">
        <v>2599</v>
      </c>
      <c r="B2432" t="s">
        <v>158</v>
      </c>
      <c r="C2432" t="s">
        <v>125</v>
      </c>
      <c r="D2432" t="s">
        <v>12</v>
      </c>
      <c r="E2432" t="s">
        <v>159</v>
      </c>
      <c r="F2432" s="1">
        <v>42840</v>
      </c>
      <c r="G2432" s="1">
        <v>42841</v>
      </c>
      <c r="H2432">
        <v>0</v>
      </c>
      <c r="I2432" t="str">
        <f>IF(COUNTIF(Products!$A$2:$A$8,C2432)=0,C2432,"")</f>
        <v/>
      </c>
      <c r="J2432">
        <f>IF(OR(E2432="Prospecting",E2432="Engaging"),VLOOKUP(C2432,Products!$A$2:$C$8,3,FALSE),0)</f>
        <v>0</v>
      </c>
    </row>
    <row r="2433" spans="1:10" x14ac:dyDescent="0.25">
      <c r="A2433" t="s">
        <v>2600</v>
      </c>
      <c r="B2433" t="s">
        <v>158</v>
      </c>
      <c r="C2433" t="s">
        <v>125</v>
      </c>
      <c r="D2433" t="s">
        <v>55</v>
      </c>
      <c r="E2433" t="s">
        <v>159</v>
      </c>
      <c r="F2433" s="1">
        <v>42840</v>
      </c>
      <c r="G2433" s="1">
        <v>42898</v>
      </c>
      <c r="H2433">
        <v>0</v>
      </c>
      <c r="I2433" t="str">
        <f>IF(COUNTIF(Products!$A$2:$A$8,C2433)=0,C2433,"")</f>
        <v/>
      </c>
      <c r="J2433">
        <f>IF(OR(E2433="Prospecting",E2433="Engaging"),VLOOKUP(C2433,Products!$A$2:$C$8,3,FALSE),0)</f>
        <v>0</v>
      </c>
    </row>
    <row r="2434" spans="1:10" x14ac:dyDescent="0.25">
      <c r="A2434" t="s">
        <v>2601</v>
      </c>
      <c r="B2434" t="s">
        <v>164</v>
      </c>
      <c r="C2434" t="s">
        <v>127</v>
      </c>
      <c r="D2434" t="s">
        <v>72</v>
      </c>
      <c r="E2434" t="s">
        <v>159</v>
      </c>
      <c r="F2434" s="1">
        <v>42840</v>
      </c>
      <c r="G2434" s="1">
        <v>42849</v>
      </c>
      <c r="H2434">
        <v>0</v>
      </c>
      <c r="I2434" t="str">
        <f>IF(COUNTIF(Products!$A$2:$A$8,C2434)=0,C2434,"")</f>
        <v/>
      </c>
      <c r="J2434">
        <f>IF(OR(E2434="Prospecting",E2434="Engaging"),VLOOKUP(C2434,Products!$A$2:$C$8,3,FALSE),0)</f>
        <v>0</v>
      </c>
    </row>
    <row r="2435" spans="1:10" x14ac:dyDescent="0.25">
      <c r="A2435" t="s">
        <v>2602</v>
      </c>
      <c r="B2435" t="s">
        <v>180</v>
      </c>
      <c r="C2435" t="s">
        <v>127</v>
      </c>
      <c r="E2435" t="s">
        <v>155</v>
      </c>
      <c r="F2435" s="1">
        <v>42840</v>
      </c>
      <c r="I2435" t="str">
        <f>IF(COUNTIF(Products!$A$2:$A$8,C2435)=0,C2435,"")</f>
        <v/>
      </c>
      <c r="J2435">
        <f>IF(OR(E2435="Prospecting",E2435="Engaging"),VLOOKUP(C2435,Products!$A$2:$C$8,3,FALSE),0)</f>
        <v>1096</v>
      </c>
    </row>
    <row r="2436" spans="1:10" x14ac:dyDescent="0.25">
      <c r="A2436" t="s">
        <v>2603</v>
      </c>
      <c r="B2436" t="s">
        <v>180</v>
      </c>
      <c r="C2436" t="s">
        <v>120</v>
      </c>
      <c r="D2436" t="s">
        <v>38</v>
      </c>
      <c r="E2436" t="s">
        <v>159</v>
      </c>
      <c r="F2436" s="1">
        <v>42840</v>
      </c>
      <c r="G2436" s="1">
        <v>42846</v>
      </c>
      <c r="H2436">
        <v>0</v>
      </c>
      <c r="I2436" t="str">
        <f>IF(COUNTIF(Products!$A$2:$A$8,C2436)=0,C2436,"")</f>
        <v/>
      </c>
      <c r="J2436">
        <f>IF(OR(E2436="Prospecting",E2436="Engaging"),VLOOKUP(C2436,Products!$A$2:$C$8,3,FALSE),0)</f>
        <v>0</v>
      </c>
    </row>
    <row r="2437" spans="1:10" x14ac:dyDescent="0.25">
      <c r="A2437" t="s">
        <v>2604</v>
      </c>
      <c r="B2437" t="s">
        <v>191</v>
      </c>
      <c r="C2437" t="s">
        <v>120</v>
      </c>
      <c r="E2437" t="s">
        <v>155</v>
      </c>
      <c r="F2437" s="1">
        <v>42840</v>
      </c>
      <c r="I2437" t="str">
        <f>IF(COUNTIF(Products!$A$2:$A$8,C2437)=0,C2437,"")</f>
        <v/>
      </c>
      <c r="J2437">
        <f>IF(OR(E2437="Prospecting",E2437="Engaging"),VLOOKUP(C2437,Products!$A$2:$C$8,3,FALSE),0)</f>
        <v>550</v>
      </c>
    </row>
    <row r="2438" spans="1:10" x14ac:dyDescent="0.25">
      <c r="A2438" t="s">
        <v>2605</v>
      </c>
      <c r="B2438" t="s">
        <v>191</v>
      </c>
      <c r="C2438" t="s">
        <v>120</v>
      </c>
      <c r="D2438" t="s">
        <v>100</v>
      </c>
      <c r="E2438" t="s">
        <v>159</v>
      </c>
      <c r="F2438" s="1">
        <v>42840</v>
      </c>
      <c r="G2438" s="1">
        <v>42954</v>
      </c>
      <c r="H2438">
        <v>0</v>
      </c>
      <c r="I2438" t="str">
        <f>IF(COUNTIF(Products!$A$2:$A$8,C2438)=0,C2438,"")</f>
        <v/>
      </c>
      <c r="J2438">
        <f>IF(OR(E2438="Prospecting",E2438="Engaging"),VLOOKUP(C2438,Products!$A$2:$C$8,3,FALSE),0)</f>
        <v>0</v>
      </c>
    </row>
    <row r="2439" spans="1:10" x14ac:dyDescent="0.25">
      <c r="A2439" t="s">
        <v>2606</v>
      </c>
      <c r="B2439" t="s">
        <v>137</v>
      </c>
      <c r="C2439" t="s">
        <v>125</v>
      </c>
      <c r="D2439" t="s">
        <v>26</v>
      </c>
      <c r="E2439" t="s">
        <v>159</v>
      </c>
      <c r="F2439" s="1">
        <v>42840</v>
      </c>
      <c r="G2439" s="1">
        <v>42842</v>
      </c>
      <c r="H2439">
        <v>0</v>
      </c>
      <c r="I2439" t="str">
        <f>IF(COUNTIF(Products!$A$2:$A$8,C2439)=0,C2439,"")</f>
        <v/>
      </c>
      <c r="J2439">
        <f>IF(OR(E2439="Prospecting",E2439="Engaging"),VLOOKUP(C2439,Products!$A$2:$C$8,3,FALSE),0)</f>
        <v>0</v>
      </c>
    </row>
    <row r="2440" spans="1:10" x14ac:dyDescent="0.25">
      <c r="A2440" t="s">
        <v>2607</v>
      </c>
      <c r="B2440" t="s">
        <v>169</v>
      </c>
      <c r="C2440" t="s">
        <v>125</v>
      </c>
      <c r="D2440" t="s">
        <v>42</v>
      </c>
      <c r="E2440" t="s">
        <v>138</v>
      </c>
      <c r="F2440" s="1">
        <v>42840</v>
      </c>
      <c r="G2440" s="1">
        <v>42874</v>
      </c>
      <c r="H2440">
        <v>3641</v>
      </c>
      <c r="I2440" t="str">
        <f>IF(COUNTIF(Products!$A$2:$A$8,C2440)=0,C2440,"")</f>
        <v/>
      </c>
      <c r="J2440">
        <f>IF(OR(E2440="Prospecting",E2440="Engaging"),VLOOKUP(C2440,Products!$A$2:$C$8,3,FALSE),0)</f>
        <v>0</v>
      </c>
    </row>
    <row r="2441" spans="1:10" x14ac:dyDescent="0.25">
      <c r="A2441" t="s">
        <v>2608</v>
      </c>
      <c r="B2441" t="s">
        <v>177</v>
      </c>
      <c r="C2441" t="s">
        <v>123</v>
      </c>
      <c r="D2441" t="s">
        <v>83</v>
      </c>
      <c r="E2441" t="s">
        <v>155</v>
      </c>
      <c r="F2441" s="1">
        <v>42840</v>
      </c>
      <c r="I2441" t="str">
        <f>IF(COUNTIF(Products!$A$2:$A$8,C2441)=0,C2441,"")</f>
        <v/>
      </c>
      <c r="J2441">
        <f>IF(OR(E2441="Prospecting",E2441="Engaging"),VLOOKUP(C2441,Products!$A$2:$C$8,3,FALSE),0)</f>
        <v>55</v>
      </c>
    </row>
    <row r="2442" spans="1:10" x14ac:dyDescent="0.25">
      <c r="A2442" t="s">
        <v>2609</v>
      </c>
      <c r="B2442" t="s">
        <v>177</v>
      </c>
      <c r="C2442" t="s">
        <v>120</v>
      </c>
      <c r="D2442" t="s">
        <v>27</v>
      </c>
      <c r="E2442" t="s">
        <v>159</v>
      </c>
      <c r="F2442" s="1">
        <v>42840</v>
      </c>
      <c r="G2442" s="1">
        <v>42842</v>
      </c>
      <c r="H2442">
        <v>0</v>
      </c>
      <c r="I2442" t="str">
        <f>IF(COUNTIF(Products!$A$2:$A$8,C2442)=0,C2442,"")</f>
        <v/>
      </c>
      <c r="J2442">
        <f>IF(OR(E2442="Prospecting",E2442="Engaging"),VLOOKUP(C2442,Products!$A$2:$C$8,3,FALSE),0)</f>
        <v>0</v>
      </c>
    </row>
    <row r="2443" spans="1:10" x14ac:dyDescent="0.25">
      <c r="A2443" t="s">
        <v>2610</v>
      </c>
      <c r="B2443" t="s">
        <v>144</v>
      </c>
      <c r="C2443" t="s">
        <v>120</v>
      </c>
      <c r="D2443" t="s">
        <v>27</v>
      </c>
      <c r="E2443" t="s">
        <v>138</v>
      </c>
      <c r="F2443" s="1">
        <v>42840</v>
      </c>
      <c r="G2443" s="1">
        <v>42878</v>
      </c>
      <c r="H2443">
        <v>501</v>
      </c>
      <c r="I2443" t="str">
        <f>IF(COUNTIF(Products!$A$2:$A$8,C2443)=0,C2443,"")</f>
        <v/>
      </c>
      <c r="J2443">
        <f>IF(OR(E2443="Prospecting",E2443="Engaging"),VLOOKUP(C2443,Products!$A$2:$C$8,3,FALSE),0)</f>
        <v>0</v>
      </c>
    </row>
    <row r="2444" spans="1:10" x14ac:dyDescent="0.25">
      <c r="A2444" t="s">
        <v>2611</v>
      </c>
      <c r="B2444" t="s">
        <v>144</v>
      </c>
      <c r="C2444" t="s">
        <v>126</v>
      </c>
      <c r="D2444" t="s">
        <v>69</v>
      </c>
      <c r="E2444" t="s">
        <v>138</v>
      </c>
      <c r="F2444" s="1">
        <v>42840</v>
      </c>
      <c r="G2444" s="1">
        <v>42845</v>
      </c>
      <c r="H2444">
        <v>4687</v>
      </c>
      <c r="I2444" t="str">
        <f>IF(COUNTIF(Products!$A$2:$A$8,C2444)=0,C2444,"")</f>
        <v/>
      </c>
      <c r="J2444">
        <f>IF(OR(E2444="Prospecting",E2444="Engaging"),VLOOKUP(C2444,Products!$A$2:$C$8,3,FALSE),0)</f>
        <v>0</v>
      </c>
    </row>
    <row r="2445" spans="1:10" x14ac:dyDescent="0.25">
      <c r="A2445" t="s">
        <v>2612</v>
      </c>
      <c r="B2445" t="s">
        <v>146</v>
      </c>
      <c r="C2445" t="s">
        <v>120</v>
      </c>
      <c r="D2445" t="s">
        <v>30</v>
      </c>
      <c r="E2445" t="s">
        <v>138</v>
      </c>
      <c r="F2445" s="1">
        <v>42841</v>
      </c>
      <c r="G2445" s="1">
        <v>42909</v>
      </c>
      <c r="H2445">
        <v>626</v>
      </c>
      <c r="I2445" t="str">
        <f>IF(COUNTIF(Products!$A$2:$A$8,C2445)=0,C2445,"")</f>
        <v/>
      </c>
      <c r="J2445">
        <f>IF(OR(E2445="Prospecting",E2445="Engaging"),VLOOKUP(C2445,Products!$A$2:$C$8,3,FALSE),0)</f>
        <v>0</v>
      </c>
    </row>
    <row r="2446" spans="1:10" x14ac:dyDescent="0.25">
      <c r="A2446" t="s">
        <v>2613</v>
      </c>
      <c r="B2446" t="s">
        <v>146</v>
      </c>
      <c r="C2446" t="s">
        <v>120</v>
      </c>
      <c r="D2446" t="s">
        <v>42</v>
      </c>
      <c r="E2446" t="s">
        <v>138</v>
      </c>
      <c r="F2446" s="1">
        <v>42841</v>
      </c>
      <c r="G2446" s="1">
        <v>42950</v>
      </c>
      <c r="H2446">
        <v>489</v>
      </c>
      <c r="I2446" t="str">
        <f>IF(COUNTIF(Products!$A$2:$A$8,C2446)=0,C2446,"")</f>
        <v/>
      </c>
      <c r="J2446">
        <f>IF(OR(E2446="Prospecting",E2446="Engaging"),VLOOKUP(C2446,Products!$A$2:$C$8,3,FALSE),0)</f>
        <v>0</v>
      </c>
    </row>
    <row r="2447" spans="1:10" x14ac:dyDescent="0.25">
      <c r="A2447" t="s">
        <v>2614</v>
      </c>
      <c r="B2447" t="s">
        <v>207</v>
      </c>
      <c r="C2447" t="s">
        <v>122</v>
      </c>
      <c r="D2447" t="s">
        <v>112</v>
      </c>
      <c r="E2447" t="s">
        <v>138</v>
      </c>
      <c r="F2447" s="1">
        <v>42841</v>
      </c>
      <c r="G2447" s="1">
        <v>42852</v>
      </c>
      <c r="H2447">
        <v>4852</v>
      </c>
      <c r="I2447" t="str">
        <f>IF(COUNTIF(Products!$A$2:$A$8,C2447)=0,C2447,"")</f>
        <v/>
      </c>
      <c r="J2447">
        <f>IF(OR(E2447="Prospecting",E2447="Engaging"),VLOOKUP(C2447,Products!$A$2:$C$8,3,FALSE),0)</f>
        <v>0</v>
      </c>
    </row>
    <row r="2448" spans="1:10" x14ac:dyDescent="0.25">
      <c r="A2448" t="s">
        <v>2615</v>
      </c>
      <c r="B2448" t="s">
        <v>264</v>
      </c>
      <c r="C2448" t="s">
        <v>125</v>
      </c>
      <c r="D2448" t="s">
        <v>77</v>
      </c>
      <c r="E2448" t="s">
        <v>159</v>
      </c>
      <c r="F2448" s="1">
        <v>42841</v>
      </c>
      <c r="G2448" s="1">
        <v>42914</v>
      </c>
      <c r="H2448">
        <v>0</v>
      </c>
      <c r="I2448" t="str">
        <f>IF(COUNTIF(Products!$A$2:$A$8,C2448)=0,C2448,"")</f>
        <v/>
      </c>
      <c r="J2448">
        <f>IF(OR(E2448="Prospecting",E2448="Engaging"),VLOOKUP(C2448,Products!$A$2:$C$8,3,FALSE),0)</f>
        <v>0</v>
      </c>
    </row>
    <row r="2449" spans="1:10" x14ac:dyDescent="0.25">
      <c r="A2449" t="s">
        <v>2616</v>
      </c>
      <c r="B2449" t="s">
        <v>171</v>
      </c>
      <c r="C2449" t="s">
        <v>127</v>
      </c>
      <c r="D2449" t="s">
        <v>20</v>
      </c>
      <c r="E2449" t="s">
        <v>138</v>
      </c>
      <c r="F2449" s="1">
        <v>42841</v>
      </c>
      <c r="G2449" s="1">
        <v>42892</v>
      </c>
      <c r="H2449">
        <v>1192</v>
      </c>
      <c r="I2449" t="str">
        <f>IF(COUNTIF(Products!$A$2:$A$8,C2449)=0,C2449,"")</f>
        <v/>
      </c>
      <c r="J2449">
        <f>IF(OR(E2449="Prospecting",E2449="Engaging"),VLOOKUP(C2449,Products!$A$2:$C$8,3,FALSE),0)</f>
        <v>0</v>
      </c>
    </row>
    <row r="2450" spans="1:10" x14ac:dyDescent="0.25">
      <c r="A2450" t="s">
        <v>2617</v>
      </c>
      <c r="B2450" t="s">
        <v>171</v>
      </c>
      <c r="C2450" t="s">
        <v>122</v>
      </c>
      <c r="D2450" t="s">
        <v>35</v>
      </c>
      <c r="E2450" t="s">
        <v>138</v>
      </c>
      <c r="F2450" s="1">
        <v>42841</v>
      </c>
      <c r="G2450" s="1">
        <v>42842</v>
      </c>
      <c r="H2450">
        <v>5104</v>
      </c>
      <c r="I2450" t="str">
        <f>IF(COUNTIF(Products!$A$2:$A$8,C2450)=0,C2450,"")</f>
        <v/>
      </c>
      <c r="J2450">
        <f>IF(OR(E2450="Prospecting",E2450="Engaging"),VLOOKUP(C2450,Products!$A$2:$C$8,3,FALSE),0)</f>
        <v>0</v>
      </c>
    </row>
    <row r="2451" spans="1:10" x14ac:dyDescent="0.25">
      <c r="A2451" t="s">
        <v>2618</v>
      </c>
      <c r="B2451" t="s">
        <v>140</v>
      </c>
      <c r="C2451" t="s">
        <v>122</v>
      </c>
      <c r="D2451" t="s">
        <v>26</v>
      </c>
      <c r="E2451" t="s">
        <v>138</v>
      </c>
      <c r="F2451" s="1">
        <v>42841</v>
      </c>
      <c r="G2451" s="1">
        <v>42956</v>
      </c>
      <c r="H2451">
        <v>5820</v>
      </c>
      <c r="I2451" t="str">
        <f>IF(COUNTIF(Products!$A$2:$A$8,C2451)=0,C2451,"")</f>
        <v/>
      </c>
      <c r="J2451">
        <f>IF(OR(E2451="Prospecting",E2451="Engaging"),VLOOKUP(C2451,Products!$A$2:$C$8,3,FALSE),0)</f>
        <v>0</v>
      </c>
    </row>
    <row r="2452" spans="1:10" x14ac:dyDescent="0.25">
      <c r="A2452" t="s">
        <v>2619</v>
      </c>
      <c r="B2452" t="s">
        <v>224</v>
      </c>
      <c r="C2452" t="s">
        <v>125</v>
      </c>
      <c r="D2452" t="s">
        <v>7</v>
      </c>
      <c r="E2452" t="s">
        <v>138</v>
      </c>
      <c r="F2452" s="1">
        <v>42841</v>
      </c>
      <c r="G2452" s="1">
        <v>42952</v>
      </c>
      <c r="H2452">
        <v>3012</v>
      </c>
      <c r="I2452" t="str">
        <f>IF(COUNTIF(Products!$A$2:$A$8,C2452)=0,C2452,"")</f>
        <v/>
      </c>
      <c r="J2452">
        <f>IF(OR(E2452="Prospecting",E2452="Engaging"),VLOOKUP(C2452,Products!$A$2:$C$8,3,FALSE),0)</f>
        <v>0</v>
      </c>
    </row>
    <row r="2453" spans="1:10" x14ac:dyDescent="0.25">
      <c r="A2453" t="s">
        <v>2620</v>
      </c>
      <c r="B2453" t="s">
        <v>198</v>
      </c>
      <c r="C2453" t="s">
        <v>126</v>
      </c>
      <c r="D2453" t="s">
        <v>98</v>
      </c>
      <c r="E2453" t="s">
        <v>159</v>
      </c>
      <c r="F2453" s="1">
        <v>42841</v>
      </c>
      <c r="G2453" s="1">
        <v>42847</v>
      </c>
      <c r="H2453">
        <v>0</v>
      </c>
      <c r="I2453" t="str">
        <f>IF(COUNTIF(Products!$A$2:$A$8,C2453)=0,C2453,"")</f>
        <v/>
      </c>
      <c r="J2453">
        <f>IF(OR(E2453="Prospecting",E2453="Engaging"),VLOOKUP(C2453,Products!$A$2:$C$8,3,FALSE),0)</f>
        <v>0</v>
      </c>
    </row>
    <row r="2454" spans="1:10" x14ac:dyDescent="0.25">
      <c r="A2454" t="s">
        <v>2621</v>
      </c>
      <c r="B2454" t="s">
        <v>198</v>
      </c>
      <c r="C2454" t="s">
        <v>122</v>
      </c>
      <c r="D2454" t="s">
        <v>73</v>
      </c>
      <c r="E2454" t="s">
        <v>159</v>
      </c>
      <c r="F2454" s="1">
        <v>42841</v>
      </c>
      <c r="G2454" s="1">
        <v>42843</v>
      </c>
      <c r="H2454">
        <v>0</v>
      </c>
      <c r="I2454" t="str">
        <f>IF(COUNTIF(Products!$A$2:$A$8,C2454)=0,C2454,"")</f>
        <v/>
      </c>
      <c r="J2454">
        <f>IF(OR(E2454="Prospecting",E2454="Engaging"),VLOOKUP(C2454,Products!$A$2:$C$8,3,FALSE),0)</f>
        <v>0</v>
      </c>
    </row>
    <row r="2455" spans="1:10" x14ac:dyDescent="0.25">
      <c r="A2455" t="s">
        <v>2622</v>
      </c>
      <c r="B2455" t="s">
        <v>198</v>
      </c>
      <c r="C2455" t="s">
        <v>122</v>
      </c>
      <c r="D2455" t="s">
        <v>69</v>
      </c>
      <c r="E2455" t="s">
        <v>138</v>
      </c>
      <c r="F2455" s="1">
        <v>42841</v>
      </c>
      <c r="G2455" s="1">
        <v>42848</v>
      </c>
      <c r="H2455">
        <v>3930</v>
      </c>
      <c r="I2455" t="str">
        <f>IF(COUNTIF(Products!$A$2:$A$8,C2455)=0,C2455,"")</f>
        <v/>
      </c>
      <c r="J2455">
        <f>IF(OR(E2455="Prospecting",E2455="Engaging"),VLOOKUP(C2455,Products!$A$2:$C$8,3,FALSE),0)</f>
        <v>0</v>
      </c>
    </row>
    <row r="2456" spans="1:10" x14ac:dyDescent="0.25">
      <c r="A2456" t="s">
        <v>2623</v>
      </c>
      <c r="B2456" t="s">
        <v>158</v>
      </c>
      <c r="C2456" t="s">
        <v>127</v>
      </c>
      <c r="D2456" t="s">
        <v>33</v>
      </c>
      <c r="E2456" t="s">
        <v>138</v>
      </c>
      <c r="F2456" s="1">
        <v>42841</v>
      </c>
      <c r="G2456" s="1">
        <v>42847</v>
      </c>
      <c r="H2456">
        <v>1055</v>
      </c>
      <c r="I2456" t="str">
        <f>IF(COUNTIF(Products!$A$2:$A$8,C2456)=0,C2456,"")</f>
        <v/>
      </c>
      <c r="J2456">
        <f>IF(OR(E2456="Prospecting",E2456="Engaging"),VLOOKUP(C2456,Products!$A$2:$C$8,3,FALSE),0)</f>
        <v>0</v>
      </c>
    </row>
    <row r="2457" spans="1:10" x14ac:dyDescent="0.25">
      <c r="A2457" t="s">
        <v>2624</v>
      </c>
      <c r="B2457" t="s">
        <v>164</v>
      </c>
      <c r="C2457" t="s">
        <v>125</v>
      </c>
      <c r="D2457" t="s">
        <v>17</v>
      </c>
      <c r="E2457" t="s">
        <v>159</v>
      </c>
      <c r="F2457" s="1">
        <v>42841</v>
      </c>
      <c r="G2457" s="1">
        <v>42847</v>
      </c>
      <c r="H2457">
        <v>0</v>
      </c>
      <c r="I2457" t="str">
        <f>IF(COUNTIF(Products!$A$2:$A$8,C2457)=0,C2457,"")</f>
        <v/>
      </c>
      <c r="J2457">
        <f>IF(OR(E2457="Prospecting",E2457="Engaging"),VLOOKUP(C2457,Products!$A$2:$C$8,3,FALSE),0)</f>
        <v>0</v>
      </c>
    </row>
    <row r="2458" spans="1:10" x14ac:dyDescent="0.25">
      <c r="A2458" t="s">
        <v>2625</v>
      </c>
      <c r="B2458" t="s">
        <v>303</v>
      </c>
      <c r="C2458" t="s">
        <v>120</v>
      </c>
      <c r="D2458" t="s">
        <v>91</v>
      </c>
      <c r="E2458" t="s">
        <v>138</v>
      </c>
      <c r="F2458" s="1">
        <v>42841</v>
      </c>
      <c r="G2458" s="1">
        <v>42849</v>
      </c>
      <c r="H2458">
        <v>538</v>
      </c>
      <c r="I2458" t="str">
        <f>IF(COUNTIF(Products!$A$2:$A$8,C2458)=0,C2458,"")</f>
        <v/>
      </c>
      <c r="J2458">
        <f>IF(OR(E2458="Prospecting",E2458="Engaging"),VLOOKUP(C2458,Products!$A$2:$C$8,3,FALSE),0)</f>
        <v>0</v>
      </c>
    </row>
    <row r="2459" spans="1:10" x14ac:dyDescent="0.25">
      <c r="A2459" t="s">
        <v>2626</v>
      </c>
      <c r="B2459" t="s">
        <v>303</v>
      </c>
      <c r="C2459" t="s">
        <v>123</v>
      </c>
      <c r="D2459" t="s">
        <v>33</v>
      </c>
      <c r="E2459" t="s">
        <v>138</v>
      </c>
      <c r="F2459" s="1">
        <v>42841</v>
      </c>
      <c r="G2459" s="1">
        <v>42848</v>
      </c>
      <c r="H2459">
        <v>68</v>
      </c>
      <c r="I2459" t="str">
        <f>IF(COUNTIF(Products!$A$2:$A$8,C2459)=0,C2459,"")</f>
        <v/>
      </c>
      <c r="J2459">
        <f>IF(OR(E2459="Prospecting",E2459="Engaging"),VLOOKUP(C2459,Products!$A$2:$C$8,3,FALSE),0)</f>
        <v>0</v>
      </c>
    </row>
    <row r="2460" spans="1:10" x14ac:dyDescent="0.25">
      <c r="A2460" t="s">
        <v>2627</v>
      </c>
      <c r="B2460" t="s">
        <v>191</v>
      </c>
      <c r="C2460" t="s">
        <v>122</v>
      </c>
      <c r="E2460" t="s">
        <v>155</v>
      </c>
      <c r="F2460" s="1">
        <v>42841</v>
      </c>
      <c r="I2460" t="str">
        <f>IF(COUNTIF(Products!$A$2:$A$8,C2460)=0,C2460,"")</f>
        <v/>
      </c>
      <c r="J2460">
        <f>IF(OR(E2460="Prospecting",E2460="Engaging"),VLOOKUP(C2460,Products!$A$2:$C$8,3,FALSE),0)</f>
        <v>4821</v>
      </c>
    </row>
    <row r="2461" spans="1:10" x14ac:dyDescent="0.25">
      <c r="A2461" t="s">
        <v>2628</v>
      </c>
      <c r="B2461" t="s">
        <v>191</v>
      </c>
      <c r="C2461" t="s">
        <v>125</v>
      </c>
      <c r="D2461" t="s">
        <v>78</v>
      </c>
      <c r="E2461" t="s">
        <v>159</v>
      </c>
      <c r="F2461" s="1">
        <v>42841</v>
      </c>
      <c r="G2461" s="1">
        <v>42848</v>
      </c>
      <c r="H2461">
        <v>0</v>
      </c>
      <c r="I2461" t="str">
        <f>IF(COUNTIF(Products!$A$2:$A$8,C2461)=0,C2461,"")</f>
        <v/>
      </c>
      <c r="J2461">
        <f>IF(OR(E2461="Prospecting",E2461="Engaging"),VLOOKUP(C2461,Products!$A$2:$C$8,3,FALSE),0)</f>
        <v>0</v>
      </c>
    </row>
    <row r="2462" spans="1:10" x14ac:dyDescent="0.25">
      <c r="A2462" t="s">
        <v>2629</v>
      </c>
      <c r="B2462" t="s">
        <v>162</v>
      </c>
      <c r="C2462" t="s">
        <v>120</v>
      </c>
      <c r="D2462" t="s">
        <v>78</v>
      </c>
      <c r="E2462" t="s">
        <v>138</v>
      </c>
      <c r="F2462" s="1">
        <v>42841</v>
      </c>
      <c r="G2462" s="1">
        <v>42853</v>
      </c>
      <c r="H2462">
        <v>572</v>
      </c>
      <c r="I2462" t="str">
        <f>IF(COUNTIF(Products!$A$2:$A$8,C2462)=0,C2462,"")</f>
        <v/>
      </c>
      <c r="J2462">
        <f>IF(OR(E2462="Prospecting",E2462="Engaging"),VLOOKUP(C2462,Products!$A$2:$C$8,3,FALSE),0)</f>
        <v>0</v>
      </c>
    </row>
    <row r="2463" spans="1:10" x14ac:dyDescent="0.25">
      <c r="A2463" t="s">
        <v>2630</v>
      </c>
      <c r="B2463" t="s">
        <v>162</v>
      </c>
      <c r="C2463" t="s">
        <v>127</v>
      </c>
      <c r="D2463" t="s">
        <v>59</v>
      </c>
      <c r="E2463" t="s">
        <v>138</v>
      </c>
      <c r="F2463" s="1">
        <v>42841</v>
      </c>
      <c r="G2463" s="1">
        <v>42849</v>
      </c>
      <c r="H2463">
        <v>1234</v>
      </c>
      <c r="I2463" t="str">
        <f>IF(COUNTIF(Products!$A$2:$A$8,C2463)=0,C2463,"")</f>
        <v/>
      </c>
      <c r="J2463">
        <f>IF(OR(E2463="Prospecting",E2463="Engaging"),VLOOKUP(C2463,Products!$A$2:$C$8,3,FALSE),0)</f>
        <v>0</v>
      </c>
    </row>
    <row r="2464" spans="1:10" x14ac:dyDescent="0.25">
      <c r="A2464" t="s">
        <v>2631</v>
      </c>
      <c r="B2464" t="s">
        <v>137</v>
      </c>
      <c r="C2464" t="s">
        <v>120</v>
      </c>
      <c r="D2464" t="s">
        <v>88</v>
      </c>
      <c r="E2464" t="s">
        <v>159</v>
      </c>
      <c r="F2464" s="1">
        <v>42841</v>
      </c>
      <c r="G2464" s="1">
        <v>42843</v>
      </c>
      <c r="H2464">
        <v>0</v>
      </c>
      <c r="I2464" t="str">
        <f>IF(COUNTIF(Products!$A$2:$A$8,C2464)=0,C2464,"")</f>
        <v/>
      </c>
      <c r="J2464">
        <f>IF(OR(E2464="Prospecting",E2464="Engaging"),VLOOKUP(C2464,Products!$A$2:$C$8,3,FALSE),0)</f>
        <v>0</v>
      </c>
    </row>
    <row r="2465" spans="1:10" x14ac:dyDescent="0.25">
      <c r="A2465" t="s">
        <v>2632</v>
      </c>
      <c r="B2465" t="s">
        <v>169</v>
      </c>
      <c r="C2465" t="s">
        <v>123</v>
      </c>
      <c r="D2465" t="s">
        <v>64</v>
      </c>
      <c r="E2465" t="s">
        <v>159</v>
      </c>
      <c r="F2465" s="1">
        <v>42841</v>
      </c>
      <c r="G2465" s="1">
        <v>42842</v>
      </c>
      <c r="H2465">
        <v>0</v>
      </c>
      <c r="I2465" t="str">
        <f>IF(COUNTIF(Products!$A$2:$A$8,C2465)=0,C2465,"")</f>
        <v/>
      </c>
      <c r="J2465">
        <f>IF(OR(E2465="Prospecting",E2465="Engaging"),VLOOKUP(C2465,Products!$A$2:$C$8,3,FALSE),0)</f>
        <v>0</v>
      </c>
    </row>
    <row r="2466" spans="1:10" x14ac:dyDescent="0.25">
      <c r="A2466" t="s">
        <v>2633</v>
      </c>
      <c r="B2466" t="s">
        <v>148</v>
      </c>
      <c r="C2466" t="s">
        <v>122</v>
      </c>
      <c r="E2466" t="s">
        <v>155</v>
      </c>
      <c r="F2466" s="1">
        <v>42841</v>
      </c>
      <c r="I2466" t="str">
        <f>IF(COUNTIF(Products!$A$2:$A$8,C2466)=0,C2466,"")</f>
        <v/>
      </c>
      <c r="J2466">
        <f>IF(OR(E2466="Prospecting",E2466="Engaging"),VLOOKUP(C2466,Products!$A$2:$C$8,3,FALSE),0)</f>
        <v>4821</v>
      </c>
    </row>
    <row r="2467" spans="1:10" x14ac:dyDescent="0.25">
      <c r="A2467" t="s">
        <v>2634</v>
      </c>
      <c r="B2467" t="s">
        <v>148</v>
      </c>
      <c r="C2467" t="s">
        <v>123</v>
      </c>
      <c r="D2467" t="s">
        <v>83</v>
      </c>
      <c r="E2467" t="s">
        <v>138</v>
      </c>
      <c r="F2467" s="1">
        <v>42841</v>
      </c>
      <c r="G2467" s="1">
        <v>42859</v>
      </c>
      <c r="H2467">
        <v>56</v>
      </c>
      <c r="I2467" t="str">
        <f>IF(COUNTIF(Products!$A$2:$A$8,C2467)=0,C2467,"")</f>
        <v/>
      </c>
      <c r="J2467">
        <f>IF(OR(E2467="Prospecting",E2467="Engaging"),VLOOKUP(C2467,Products!$A$2:$C$8,3,FALSE),0)</f>
        <v>0</v>
      </c>
    </row>
    <row r="2468" spans="1:10" x14ac:dyDescent="0.25">
      <c r="A2468" t="s">
        <v>2635</v>
      </c>
      <c r="B2468" t="s">
        <v>177</v>
      </c>
      <c r="C2468" t="s">
        <v>123</v>
      </c>
      <c r="D2468" t="s">
        <v>111</v>
      </c>
      <c r="E2468" t="s">
        <v>159</v>
      </c>
      <c r="F2468" s="1">
        <v>42841</v>
      </c>
      <c r="G2468" s="1">
        <v>42858</v>
      </c>
      <c r="H2468">
        <v>0</v>
      </c>
      <c r="I2468" t="str">
        <f>IF(COUNTIF(Products!$A$2:$A$8,C2468)=0,C2468,"")</f>
        <v/>
      </c>
      <c r="J2468">
        <f>IF(OR(E2468="Prospecting",E2468="Engaging"),VLOOKUP(C2468,Products!$A$2:$C$8,3,FALSE),0)</f>
        <v>0</v>
      </c>
    </row>
    <row r="2469" spans="1:10" x14ac:dyDescent="0.25">
      <c r="A2469" t="s">
        <v>2636</v>
      </c>
      <c r="B2469" t="s">
        <v>144</v>
      </c>
      <c r="C2469" t="s">
        <v>123</v>
      </c>
      <c r="D2469" t="s">
        <v>34</v>
      </c>
      <c r="E2469" t="s">
        <v>159</v>
      </c>
      <c r="F2469" s="1">
        <v>42841</v>
      </c>
      <c r="G2469" s="1">
        <v>42850</v>
      </c>
      <c r="H2469">
        <v>0</v>
      </c>
      <c r="I2469" t="str">
        <f>IF(COUNTIF(Products!$A$2:$A$8,C2469)=0,C2469,"")</f>
        <v/>
      </c>
      <c r="J2469">
        <f>IF(OR(E2469="Prospecting",E2469="Engaging"),VLOOKUP(C2469,Products!$A$2:$C$8,3,FALSE),0)</f>
        <v>0</v>
      </c>
    </row>
    <row r="2470" spans="1:10" x14ac:dyDescent="0.25">
      <c r="A2470" t="s">
        <v>2637</v>
      </c>
      <c r="B2470" t="s">
        <v>146</v>
      </c>
      <c r="C2470" t="s">
        <v>123</v>
      </c>
      <c r="D2470" t="s">
        <v>77</v>
      </c>
      <c r="E2470" t="s">
        <v>138</v>
      </c>
      <c r="F2470" s="1">
        <v>42842</v>
      </c>
      <c r="G2470" s="1">
        <v>42851</v>
      </c>
      <c r="H2470">
        <v>52</v>
      </c>
      <c r="I2470" t="str">
        <f>IF(COUNTIF(Products!$A$2:$A$8,C2470)=0,C2470,"")</f>
        <v/>
      </c>
      <c r="J2470">
        <f>IF(OR(E2470="Prospecting",E2470="Engaging"),VLOOKUP(C2470,Products!$A$2:$C$8,3,FALSE),0)</f>
        <v>0</v>
      </c>
    </row>
    <row r="2471" spans="1:10" x14ac:dyDescent="0.25">
      <c r="A2471" t="s">
        <v>2638</v>
      </c>
      <c r="B2471" t="s">
        <v>146</v>
      </c>
      <c r="C2471" t="s">
        <v>125</v>
      </c>
      <c r="D2471" t="s">
        <v>26</v>
      </c>
      <c r="E2471" t="s">
        <v>138</v>
      </c>
      <c r="F2471" s="1">
        <v>42842</v>
      </c>
      <c r="G2471" s="1">
        <v>42849</v>
      </c>
      <c r="H2471">
        <v>3668</v>
      </c>
      <c r="I2471" t="str">
        <f>IF(COUNTIF(Products!$A$2:$A$8,C2471)=0,C2471,"")</f>
        <v/>
      </c>
      <c r="J2471">
        <f>IF(OR(E2471="Prospecting",E2471="Engaging"),VLOOKUP(C2471,Products!$A$2:$C$8,3,FALSE),0)</f>
        <v>0</v>
      </c>
    </row>
    <row r="2472" spans="1:10" x14ac:dyDescent="0.25">
      <c r="A2472" t="s">
        <v>2639</v>
      </c>
      <c r="B2472" t="s">
        <v>222</v>
      </c>
      <c r="C2472" t="s">
        <v>120</v>
      </c>
      <c r="D2472" t="s">
        <v>84</v>
      </c>
      <c r="E2472" t="s">
        <v>159</v>
      </c>
      <c r="F2472" s="1">
        <v>42842</v>
      </c>
      <c r="G2472" s="1">
        <v>42844</v>
      </c>
      <c r="H2472">
        <v>0</v>
      </c>
      <c r="I2472" t="str">
        <f>IF(COUNTIF(Products!$A$2:$A$8,C2472)=0,C2472,"")</f>
        <v/>
      </c>
      <c r="J2472">
        <f>IF(OR(E2472="Prospecting",E2472="Engaging"),VLOOKUP(C2472,Products!$A$2:$C$8,3,FALSE),0)</f>
        <v>0</v>
      </c>
    </row>
    <row r="2473" spans="1:10" x14ac:dyDescent="0.25">
      <c r="A2473" t="s">
        <v>2640</v>
      </c>
      <c r="B2473" t="s">
        <v>222</v>
      </c>
      <c r="C2473" t="s">
        <v>125</v>
      </c>
      <c r="D2473" t="s">
        <v>115</v>
      </c>
      <c r="E2473" t="s">
        <v>138</v>
      </c>
      <c r="F2473" s="1">
        <v>42842</v>
      </c>
      <c r="G2473" s="1">
        <v>42951</v>
      </c>
      <c r="H2473">
        <v>3138</v>
      </c>
      <c r="I2473" t="str">
        <f>IF(COUNTIF(Products!$A$2:$A$8,C2473)=0,C2473,"")</f>
        <v/>
      </c>
      <c r="J2473">
        <f>IF(OR(E2473="Prospecting",E2473="Engaging"),VLOOKUP(C2473,Products!$A$2:$C$8,3,FALSE),0)</f>
        <v>0</v>
      </c>
    </row>
    <row r="2474" spans="1:10" x14ac:dyDescent="0.25">
      <c r="A2474" t="s">
        <v>2641</v>
      </c>
      <c r="B2474" t="s">
        <v>264</v>
      </c>
      <c r="C2474" t="s">
        <v>123</v>
      </c>
      <c r="D2474" t="s">
        <v>28</v>
      </c>
      <c r="E2474" t="s">
        <v>159</v>
      </c>
      <c r="F2474" s="1">
        <v>42842</v>
      </c>
      <c r="G2474" s="1">
        <v>42844</v>
      </c>
      <c r="H2474">
        <v>0</v>
      </c>
      <c r="I2474" t="str">
        <f>IF(COUNTIF(Products!$A$2:$A$8,C2474)=0,C2474,"")</f>
        <v/>
      </c>
      <c r="J2474">
        <f>IF(OR(E2474="Prospecting",E2474="Engaging"),VLOOKUP(C2474,Products!$A$2:$C$8,3,FALSE),0)</f>
        <v>0</v>
      </c>
    </row>
    <row r="2475" spans="1:10" x14ac:dyDescent="0.25">
      <c r="A2475" t="s">
        <v>2642</v>
      </c>
      <c r="B2475" t="s">
        <v>239</v>
      </c>
      <c r="C2475" t="s">
        <v>120</v>
      </c>
      <c r="D2475" t="s">
        <v>80</v>
      </c>
      <c r="E2475" t="s">
        <v>159</v>
      </c>
      <c r="F2475" s="1">
        <v>42842</v>
      </c>
      <c r="G2475" s="1">
        <v>42843</v>
      </c>
      <c r="H2475">
        <v>0</v>
      </c>
      <c r="I2475" t="str">
        <f>IF(COUNTIF(Products!$A$2:$A$8,C2475)=0,C2475,"")</f>
        <v/>
      </c>
      <c r="J2475">
        <f>IF(OR(E2475="Prospecting",E2475="Engaging"),VLOOKUP(C2475,Products!$A$2:$C$8,3,FALSE),0)</f>
        <v>0</v>
      </c>
    </row>
    <row r="2476" spans="1:10" x14ac:dyDescent="0.25">
      <c r="A2476" t="s">
        <v>2643</v>
      </c>
      <c r="B2476" t="s">
        <v>239</v>
      </c>
      <c r="C2476" t="s">
        <v>120</v>
      </c>
      <c r="D2476" t="s">
        <v>112</v>
      </c>
      <c r="E2476" t="s">
        <v>159</v>
      </c>
      <c r="F2476" s="1">
        <v>42842</v>
      </c>
      <c r="G2476" s="1">
        <v>42846</v>
      </c>
      <c r="H2476">
        <v>0</v>
      </c>
      <c r="I2476" t="str">
        <f>IF(COUNTIF(Products!$A$2:$A$8,C2476)=0,C2476,"")</f>
        <v/>
      </c>
      <c r="J2476">
        <f>IF(OR(E2476="Prospecting",E2476="Engaging"),VLOOKUP(C2476,Products!$A$2:$C$8,3,FALSE),0)</f>
        <v>0</v>
      </c>
    </row>
    <row r="2477" spans="1:10" x14ac:dyDescent="0.25">
      <c r="A2477" t="s">
        <v>2644</v>
      </c>
      <c r="B2477" t="s">
        <v>239</v>
      </c>
      <c r="C2477" t="s">
        <v>122</v>
      </c>
      <c r="D2477" t="s">
        <v>65</v>
      </c>
      <c r="E2477" t="s">
        <v>138</v>
      </c>
      <c r="F2477" s="1">
        <v>42842</v>
      </c>
      <c r="G2477" s="1">
        <v>42887</v>
      </c>
      <c r="H2477">
        <v>5032</v>
      </c>
      <c r="I2477" t="str">
        <f>IF(COUNTIF(Products!$A$2:$A$8,C2477)=0,C2477,"")</f>
        <v/>
      </c>
      <c r="J2477">
        <f>IF(OR(E2477="Prospecting",E2477="Engaging"),VLOOKUP(C2477,Products!$A$2:$C$8,3,FALSE),0)</f>
        <v>0</v>
      </c>
    </row>
    <row r="2478" spans="1:10" x14ac:dyDescent="0.25">
      <c r="A2478" t="s">
        <v>2645</v>
      </c>
      <c r="B2478" t="s">
        <v>171</v>
      </c>
      <c r="C2478" t="s">
        <v>127</v>
      </c>
      <c r="D2478" t="s">
        <v>84</v>
      </c>
      <c r="E2478" t="s">
        <v>138</v>
      </c>
      <c r="F2478" s="1">
        <v>42842</v>
      </c>
      <c r="G2478" s="1">
        <v>42845</v>
      </c>
      <c r="H2478">
        <v>1310</v>
      </c>
      <c r="I2478" t="str">
        <f>IF(COUNTIF(Products!$A$2:$A$8,C2478)=0,C2478,"")</f>
        <v/>
      </c>
      <c r="J2478">
        <f>IF(OR(E2478="Prospecting",E2478="Engaging"),VLOOKUP(C2478,Products!$A$2:$C$8,3,FALSE),0)</f>
        <v>0</v>
      </c>
    </row>
    <row r="2479" spans="1:10" x14ac:dyDescent="0.25">
      <c r="A2479" t="s">
        <v>2646</v>
      </c>
      <c r="B2479" t="s">
        <v>171</v>
      </c>
      <c r="C2479" t="s">
        <v>126</v>
      </c>
      <c r="D2479" t="s">
        <v>73</v>
      </c>
      <c r="E2479" t="s">
        <v>138</v>
      </c>
      <c r="F2479" s="1">
        <v>42842</v>
      </c>
      <c r="G2479" s="1">
        <v>42913</v>
      </c>
      <c r="H2479">
        <v>5076</v>
      </c>
      <c r="I2479" t="str">
        <f>IF(COUNTIF(Products!$A$2:$A$8,C2479)=0,C2479,"")</f>
        <v/>
      </c>
      <c r="J2479">
        <f>IF(OR(E2479="Prospecting",E2479="Engaging"),VLOOKUP(C2479,Products!$A$2:$C$8,3,FALSE),0)</f>
        <v>0</v>
      </c>
    </row>
    <row r="2480" spans="1:10" x14ac:dyDescent="0.25">
      <c r="A2480" t="s">
        <v>2647</v>
      </c>
      <c r="B2480" t="s">
        <v>171</v>
      </c>
      <c r="C2480" t="s">
        <v>125</v>
      </c>
      <c r="D2480" t="s">
        <v>106</v>
      </c>
      <c r="E2480" t="s">
        <v>138</v>
      </c>
      <c r="F2480" s="1">
        <v>42842</v>
      </c>
      <c r="G2480" s="1">
        <v>42905</v>
      </c>
      <c r="H2480">
        <v>3641</v>
      </c>
      <c r="I2480" t="str">
        <f>IF(COUNTIF(Products!$A$2:$A$8,C2480)=0,C2480,"")</f>
        <v/>
      </c>
      <c r="J2480">
        <f>IF(OR(E2480="Prospecting",E2480="Engaging"),VLOOKUP(C2480,Products!$A$2:$C$8,3,FALSE),0)</f>
        <v>0</v>
      </c>
    </row>
    <row r="2481" spans="1:10" x14ac:dyDescent="0.25">
      <c r="A2481" t="s">
        <v>2648</v>
      </c>
      <c r="B2481" t="s">
        <v>140</v>
      </c>
      <c r="C2481" t="s">
        <v>122</v>
      </c>
      <c r="D2481" t="s">
        <v>28</v>
      </c>
      <c r="E2481" t="s">
        <v>159</v>
      </c>
      <c r="F2481" s="1">
        <v>42842</v>
      </c>
      <c r="G2481" s="1">
        <v>42843</v>
      </c>
      <c r="H2481">
        <v>0</v>
      </c>
      <c r="I2481" t="str">
        <f>IF(COUNTIF(Products!$A$2:$A$8,C2481)=0,C2481,"")</f>
        <v/>
      </c>
      <c r="J2481">
        <f>IF(OR(E2481="Prospecting",E2481="Engaging"),VLOOKUP(C2481,Products!$A$2:$C$8,3,FALSE),0)</f>
        <v>0</v>
      </c>
    </row>
    <row r="2482" spans="1:10" x14ac:dyDescent="0.25">
      <c r="A2482" t="s">
        <v>2649</v>
      </c>
      <c r="B2482" t="s">
        <v>140</v>
      </c>
      <c r="C2482" t="s">
        <v>127</v>
      </c>
      <c r="D2482" t="s">
        <v>77</v>
      </c>
      <c r="E2482" t="s">
        <v>138</v>
      </c>
      <c r="F2482" s="1">
        <v>42842</v>
      </c>
      <c r="G2482" s="1">
        <v>42850</v>
      </c>
      <c r="H2482">
        <v>1170</v>
      </c>
      <c r="I2482" t="str">
        <f>IF(COUNTIF(Products!$A$2:$A$8,C2482)=0,C2482,"")</f>
        <v/>
      </c>
      <c r="J2482">
        <f>IF(OR(E2482="Prospecting",E2482="Engaging"),VLOOKUP(C2482,Products!$A$2:$C$8,3,FALSE),0)</f>
        <v>0</v>
      </c>
    </row>
    <row r="2483" spans="1:10" x14ac:dyDescent="0.25">
      <c r="A2483" t="s">
        <v>2650</v>
      </c>
      <c r="B2483" t="s">
        <v>140</v>
      </c>
      <c r="C2483" t="s">
        <v>122</v>
      </c>
      <c r="D2483" t="s">
        <v>33</v>
      </c>
      <c r="E2483" t="s">
        <v>138</v>
      </c>
      <c r="F2483" s="1">
        <v>42842</v>
      </c>
      <c r="G2483" s="1">
        <v>42856</v>
      </c>
      <c r="H2483">
        <v>4226</v>
      </c>
      <c r="I2483" t="str">
        <f>IF(COUNTIF(Products!$A$2:$A$8,C2483)=0,C2483,"")</f>
        <v/>
      </c>
      <c r="J2483">
        <f>IF(OR(E2483="Prospecting",E2483="Engaging"),VLOOKUP(C2483,Products!$A$2:$C$8,3,FALSE),0)</f>
        <v>0</v>
      </c>
    </row>
    <row r="2484" spans="1:10" x14ac:dyDescent="0.25">
      <c r="A2484" t="s">
        <v>2651</v>
      </c>
      <c r="B2484" t="s">
        <v>173</v>
      </c>
      <c r="C2484" t="s">
        <v>123</v>
      </c>
      <c r="E2484" t="s">
        <v>155</v>
      </c>
      <c r="F2484" s="1">
        <v>42842</v>
      </c>
      <c r="I2484" t="str">
        <f>IF(COUNTIF(Products!$A$2:$A$8,C2484)=0,C2484,"")</f>
        <v/>
      </c>
      <c r="J2484">
        <f>IF(OR(E2484="Prospecting",E2484="Engaging"),VLOOKUP(C2484,Products!$A$2:$C$8,3,FALSE),0)</f>
        <v>55</v>
      </c>
    </row>
    <row r="2485" spans="1:10" x14ac:dyDescent="0.25">
      <c r="A2485" t="s">
        <v>2652</v>
      </c>
      <c r="B2485" t="s">
        <v>173</v>
      </c>
      <c r="C2485" t="s">
        <v>125</v>
      </c>
      <c r="D2485" t="s">
        <v>57</v>
      </c>
      <c r="E2485" t="s">
        <v>159</v>
      </c>
      <c r="F2485" s="1">
        <v>42842</v>
      </c>
      <c r="G2485" s="1">
        <v>42843</v>
      </c>
      <c r="H2485">
        <v>0</v>
      </c>
      <c r="I2485" t="str">
        <f>IF(COUNTIF(Products!$A$2:$A$8,C2485)=0,C2485,"")</f>
        <v/>
      </c>
      <c r="J2485">
        <f>IF(OR(E2485="Prospecting",E2485="Engaging"),VLOOKUP(C2485,Products!$A$2:$C$8,3,FALSE),0)</f>
        <v>0</v>
      </c>
    </row>
    <row r="2486" spans="1:10" x14ac:dyDescent="0.25">
      <c r="A2486" t="s">
        <v>2653</v>
      </c>
      <c r="B2486" t="s">
        <v>158</v>
      </c>
      <c r="C2486" t="s">
        <v>122</v>
      </c>
      <c r="D2486" t="s">
        <v>51</v>
      </c>
      <c r="E2486" t="s">
        <v>138</v>
      </c>
      <c r="F2486" s="1">
        <v>42842</v>
      </c>
      <c r="G2486" s="1">
        <v>42849</v>
      </c>
      <c r="H2486">
        <v>4784</v>
      </c>
      <c r="I2486" t="str">
        <f>IF(COUNTIF(Products!$A$2:$A$8,C2486)=0,C2486,"")</f>
        <v/>
      </c>
      <c r="J2486">
        <f>IF(OR(E2486="Prospecting",E2486="Engaging"),VLOOKUP(C2486,Products!$A$2:$C$8,3,FALSE),0)</f>
        <v>0</v>
      </c>
    </row>
    <row r="2487" spans="1:10" x14ac:dyDescent="0.25">
      <c r="A2487" t="s">
        <v>2654</v>
      </c>
      <c r="B2487" t="s">
        <v>164</v>
      </c>
      <c r="C2487" t="s">
        <v>127</v>
      </c>
      <c r="D2487" t="s">
        <v>39</v>
      </c>
      <c r="E2487" t="s">
        <v>159</v>
      </c>
      <c r="F2487" s="1">
        <v>42842</v>
      </c>
      <c r="G2487" s="1">
        <v>42850</v>
      </c>
      <c r="H2487">
        <v>0</v>
      </c>
      <c r="I2487" t="str">
        <f>IF(COUNTIF(Products!$A$2:$A$8,C2487)=0,C2487,"")</f>
        <v/>
      </c>
      <c r="J2487">
        <f>IF(OR(E2487="Prospecting",E2487="Engaging"),VLOOKUP(C2487,Products!$A$2:$C$8,3,FALSE),0)</f>
        <v>0</v>
      </c>
    </row>
    <row r="2488" spans="1:10" x14ac:dyDescent="0.25">
      <c r="A2488" t="s">
        <v>2655</v>
      </c>
      <c r="B2488" t="s">
        <v>164</v>
      </c>
      <c r="C2488" t="s">
        <v>125</v>
      </c>
      <c r="D2488" t="s">
        <v>17</v>
      </c>
      <c r="E2488" t="s">
        <v>159</v>
      </c>
      <c r="F2488" s="1">
        <v>42842</v>
      </c>
      <c r="G2488" s="1">
        <v>42844</v>
      </c>
      <c r="H2488">
        <v>0</v>
      </c>
      <c r="I2488" t="str">
        <f>IF(COUNTIF(Products!$A$2:$A$8,C2488)=0,C2488,"")</f>
        <v/>
      </c>
      <c r="J2488">
        <f>IF(OR(E2488="Prospecting",E2488="Engaging"),VLOOKUP(C2488,Products!$A$2:$C$8,3,FALSE),0)</f>
        <v>0</v>
      </c>
    </row>
    <row r="2489" spans="1:10" x14ac:dyDescent="0.25">
      <c r="A2489" t="s">
        <v>2656</v>
      </c>
      <c r="B2489" t="s">
        <v>154</v>
      </c>
      <c r="C2489" t="s">
        <v>120</v>
      </c>
      <c r="E2489" t="s">
        <v>155</v>
      </c>
      <c r="F2489" s="1">
        <v>42842</v>
      </c>
      <c r="I2489" t="str">
        <f>IF(COUNTIF(Products!$A$2:$A$8,C2489)=0,C2489,"")</f>
        <v/>
      </c>
      <c r="J2489">
        <f>IF(OR(E2489="Prospecting",E2489="Engaging"),VLOOKUP(C2489,Products!$A$2:$C$8,3,FALSE),0)</f>
        <v>550</v>
      </c>
    </row>
    <row r="2490" spans="1:10" x14ac:dyDescent="0.25">
      <c r="A2490" t="s">
        <v>2657</v>
      </c>
      <c r="B2490" t="s">
        <v>154</v>
      </c>
      <c r="C2490" t="s">
        <v>125</v>
      </c>
      <c r="D2490" t="s">
        <v>47</v>
      </c>
      <c r="E2490" t="s">
        <v>159</v>
      </c>
      <c r="F2490" s="1">
        <v>42842</v>
      </c>
      <c r="G2490" s="1">
        <v>42959</v>
      </c>
      <c r="H2490">
        <v>0</v>
      </c>
      <c r="I2490" t="str">
        <f>IF(COUNTIF(Products!$A$2:$A$8,C2490)=0,C2490,"")</f>
        <v/>
      </c>
      <c r="J2490">
        <f>IF(OR(E2490="Prospecting",E2490="Engaging"),VLOOKUP(C2490,Products!$A$2:$C$8,3,FALSE),0)</f>
        <v>0</v>
      </c>
    </row>
    <row r="2491" spans="1:10" x14ac:dyDescent="0.25">
      <c r="A2491" t="s">
        <v>2658</v>
      </c>
      <c r="B2491" t="s">
        <v>154</v>
      </c>
      <c r="C2491" t="s">
        <v>122</v>
      </c>
      <c r="D2491" t="s">
        <v>56</v>
      </c>
      <c r="E2491" t="s">
        <v>138</v>
      </c>
      <c r="F2491" s="1">
        <v>42842</v>
      </c>
      <c r="G2491" s="1">
        <v>42849</v>
      </c>
      <c r="H2491">
        <v>5451</v>
      </c>
      <c r="I2491" t="str">
        <f>IF(COUNTIF(Products!$A$2:$A$8,C2491)=0,C2491,"")</f>
        <v/>
      </c>
      <c r="J2491">
        <f>IF(OR(E2491="Prospecting",E2491="Engaging"),VLOOKUP(C2491,Products!$A$2:$C$8,3,FALSE),0)</f>
        <v>0</v>
      </c>
    </row>
    <row r="2492" spans="1:10" x14ac:dyDescent="0.25">
      <c r="A2492" t="s">
        <v>2659</v>
      </c>
      <c r="B2492" t="s">
        <v>180</v>
      </c>
      <c r="C2492" t="s">
        <v>120</v>
      </c>
      <c r="D2492" t="s">
        <v>39</v>
      </c>
      <c r="E2492" t="s">
        <v>138</v>
      </c>
      <c r="F2492" s="1">
        <v>42842</v>
      </c>
      <c r="G2492" s="1">
        <v>42844</v>
      </c>
      <c r="H2492">
        <v>527</v>
      </c>
      <c r="I2492" t="str">
        <f>IF(COUNTIF(Products!$A$2:$A$8,C2492)=0,C2492,"")</f>
        <v/>
      </c>
      <c r="J2492">
        <f>IF(OR(E2492="Prospecting",E2492="Engaging"),VLOOKUP(C2492,Products!$A$2:$C$8,3,FALSE),0)</f>
        <v>0</v>
      </c>
    </row>
    <row r="2493" spans="1:10" x14ac:dyDescent="0.25">
      <c r="A2493" t="s">
        <v>2660</v>
      </c>
      <c r="B2493" t="s">
        <v>191</v>
      </c>
      <c r="C2493" t="s">
        <v>126</v>
      </c>
      <c r="E2493" t="s">
        <v>155</v>
      </c>
      <c r="F2493" s="1">
        <v>42842</v>
      </c>
      <c r="I2493" t="str">
        <f>IF(COUNTIF(Products!$A$2:$A$8,C2493)=0,C2493,"")</f>
        <v/>
      </c>
      <c r="J2493">
        <f>IF(OR(E2493="Prospecting",E2493="Engaging"),VLOOKUP(C2493,Products!$A$2:$C$8,3,FALSE),0)</f>
        <v>5482</v>
      </c>
    </row>
    <row r="2494" spans="1:10" x14ac:dyDescent="0.25">
      <c r="A2494" t="s">
        <v>2661</v>
      </c>
      <c r="B2494" t="s">
        <v>191</v>
      </c>
      <c r="C2494" t="s">
        <v>122</v>
      </c>
      <c r="E2494" t="s">
        <v>155</v>
      </c>
      <c r="F2494" s="1">
        <v>42842</v>
      </c>
      <c r="I2494" t="str">
        <f>IF(COUNTIF(Products!$A$2:$A$8,C2494)=0,C2494,"")</f>
        <v/>
      </c>
      <c r="J2494">
        <f>IF(OR(E2494="Prospecting",E2494="Engaging"),VLOOKUP(C2494,Products!$A$2:$C$8,3,FALSE),0)</f>
        <v>4821</v>
      </c>
    </row>
    <row r="2495" spans="1:10" x14ac:dyDescent="0.25">
      <c r="A2495" t="s">
        <v>2662</v>
      </c>
      <c r="B2495" t="s">
        <v>191</v>
      </c>
      <c r="C2495" t="s">
        <v>126</v>
      </c>
      <c r="D2495" t="s">
        <v>109</v>
      </c>
      <c r="E2495" t="s">
        <v>159</v>
      </c>
      <c r="F2495" s="1">
        <v>42842</v>
      </c>
      <c r="G2495" s="1">
        <v>42850</v>
      </c>
      <c r="H2495">
        <v>0</v>
      </c>
      <c r="I2495" t="str">
        <f>IF(COUNTIF(Products!$A$2:$A$8,C2495)=0,C2495,"")</f>
        <v/>
      </c>
      <c r="J2495">
        <f>IF(OR(E2495="Prospecting",E2495="Engaging"),VLOOKUP(C2495,Products!$A$2:$C$8,3,FALSE),0)</f>
        <v>0</v>
      </c>
    </row>
    <row r="2496" spans="1:10" x14ac:dyDescent="0.25">
      <c r="A2496" t="s">
        <v>2663</v>
      </c>
      <c r="B2496" t="s">
        <v>191</v>
      </c>
      <c r="C2496" t="s">
        <v>126</v>
      </c>
      <c r="D2496" t="s">
        <v>109</v>
      </c>
      <c r="E2496" t="s">
        <v>159</v>
      </c>
      <c r="F2496" s="1">
        <v>42842</v>
      </c>
      <c r="G2496" s="1">
        <v>42844</v>
      </c>
      <c r="H2496">
        <v>0</v>
      </c>
      <c r="I2496" t="str">
        <f>IF(COUNTIF(Products!$A$2:$A$8,C2496)=0,C2496,"")</f>
        <v/>
      </c>
      <c r="J2496">
        <f>IF(OR(E2496="Prospecting",E2496="Engaging"),VLOOKUP(C2496,Products!$A$2:$C$8,3,FALSE),0)</f>
        <v>0</v>
      </c>
    </row>
    <row r="2497" spans="1:10" x14ac:dyDescent="0.25">
      <c r="A2497" t="s">
        <v>2664</v>
      </c>
      <c r="B2497" t="s">
        <v>191</v>
      </c>
      <c r="C2497" t="s">
        <v>122</v>
      </c>
      <c r="D2497" t="s">
        <v>90</v>
      </c>
      <c r="E2497" t="s">
        <v>159</v>
      </c>
      <c r="F2497" s="1">
        <v>42842</v>
      </c>
      <c r="G2497" s="1">
        <v>42843</v>
      </c>
      <c r="H2497">
        <v>0</v>
      </c>
      <c r="I2497" t="str">
        <f>IF(COUNTIF(Products!$A$2:$A$8,C2497)=0,C2497,"")</f>
        <v/>
      </c>
      <c r="J2497">
        <f>IF(OR(E2497="Prospecting",E2497="Engaging"),VLOOKUP(C2497,Products!$A$2:$C$8,3,FALSE),0)</f>
        <v>0</v>
      </c>
    </row>
    <row r="2498" spans="1:10" x14ac:dyDescent="0.25">
      <c r="A2498" t="s">
        <v>2665</v>
      </c>
      <c r="B2498" t="s">
        <v>191</v>
      </c>
      <c r="C2498" t="s">
        <v>126</v>
      </c>
      <c r="D2498" t="s">
        <v>38</v>
      </c>
      <c r="E2498" t="s">
        <v>138</v>
      </c>
      <c r="F2498" s="1">
        <v>42842</v>
      </c>
      <c r="G2498" s="1">
        <v>42844</v>
      </c>
      <c r="H2498">
        <v>5408</v>
      </c>
      <c r="I2498" t="str">
        <f>IF(COUNTIF(Products!$A$2:$A$8,C2498)=0,C2498,"")</f>
        <v/>
      </c>
      <c r="J2498">
        <f>IF(OR(E2498="Prospecting",E2498="Engaging"),VLOOKUP(C2498,Products!$A$2:$C$8,3,FALSE),0)</f>
        <v>0</v>
      </c>
    </row>
    <row r="2499" spans="1:10" x14ac:dyDescent="0.25">
      <c r="A2499" t="s">
        <v>2666</v>
      </c>
      <c r="B2499" t="s">
        <v>217</v>
      </c>
      <c r="C2499" t="s">
        <v>127</v>
      </c>
      <c r="D2499" t="s">
        <v>28</v>
      </c>
      <c r="E2499" t="s">
        <v>159</v>
      </c>
      <c r="F2499" s="1">
        <v>42842</v>
      </c>
      <c r="G2499" s="1">
        <v>42857</v>
      </c>
      <c r="H2499">
        <v>0</v>
      </c>
      <c r="I2499" t="str">
        <f>IF(COUNTIF(Products!$A$2:$A$8,C2499)=0,C2499,"")</f>
        <v/>
      </c>
      <c r="J2499">
        <f>IF(OR(E2499="Prospecting",E2499="Engaging"),VLOOKUP(C2499,Products!$A$2:$C$8,3,FALSE),0)</f>
        <v>0</v>
      </c>
    </row>
    <row r="2500" spans="1:10" x14ac:dyDescent="0.25">
      <c r="A2500" t="s">
        <v>2667</v>
      </c>
      <c r="B2500" t="s">
        <v>217</v>
      </c>
      <c r="C2500" t="s">
        <v>126</v>
      </c>
      <c r="D2500" t="s">
        <v>64</v>
      </c>
      <c r="E2500" t="s">
        <v>159</v>
      </c>
      <c r="F2500" s="1">
        <v>42842</v>
      </c>
      <c r="G2500" s="1">
        <v>42849</v>
      </c>
      <c r="H2500">
        <v>0</v>
      </c>
      <c r="I2500" t="str">
        <f>IF(COUNTIF(Products!$A$2:$A$8,C2500)=0,C2500,"")</f>
        <v/>
      </c>
      <c r="J2500">
        <f>IF(OR(E2500="Prospecting",E2500="Engaging"),VLOOKUP(C2500,Products!$A$2:$C$8,3,FALSE),0)</f>
        <v>0</v>
      </c>
    </row>
    <row r="2501" spans="1:10" x14ac:dyDescent="0.25">
      <c r="A2501" t="s">
        <v>2668</v>
      </c>
      <c r="B2501" t="s">
        <v>217</v>
      </c>
      <c r="C2501" t="s">
        <v>123</v>
      </c>
      <c r="D2501" t="s">
        <v>70</v>
      </c>
      <c r="E2501" t="s">
        <v>138</v>
      </c>
      <c r="F2501" s="1">
        <v>42842</v>
      </c>
      <c r="G2501" s="1">
        <v>42909</v>
      </c>
      <c r="H2501">
        <v>48</v>
      </c>
      <c r="I2501" t="str">
        <f>IF(COUNTIF(Products!$A$2:$A$8,C2501)=0,C2501,"")</f>
        <v/>
      </c>
      <c r="J2501">
        <f>IF(OR(E2501="Prospecting",E2501="Engaging"),VLOOKUP(C2501,Products!$A$2:$C$8,3,FALSE),0)</f>
        <v>0</v>
      </c>
    </row>
    <row r="2502" spans="1:10" x14ac:dyDescent="0.25">
      <c r="A2502" t="s">
        <v>2669</v>
      </c>
      <c r="B2502" t="s">
        <v>150</v>
      </c>
      <c r="C2502" t="s">
        <v>120</v>
      </c>
      <c r="D2502" t="s">
        <v>17</v>
      </c>
      <c r="E2502" t="s">
        <v>155</v>
      </c>
      <c r="F2502" s="1">
        <v>42842</v>
      </c>
      <c r="I2502" t="str">
        <f>IF(COUNTIF(Products!$A$2:$A$8,C2502)=0,C2502,"")</f>
        <v/>
      </c>
      <c r="J2502">
        <f>IF(OR(E2502="Prospecting",E2502="Engaging"),VLOOKUP(C2502,Products!$A$2:$C$8,3,FALSE),0)</f>
        <v>550</v>
      </c>
    </row>
    <row r="2503" spans="1:10" x14ac:dyDescent="0.25">
      <c r="A2503" t="s">
        <v>2670</v>
      </c>
      <c r="B2503" t="s">
        <v>150</v>
      </c>
      <c r="C2503" t="s">
        <v>120</v>
      </c>
      <c r="D2503" t="s">
        <v>82</v>
      </c>
      <c r="E2503" t="s">
        <v>138</v>
      </c>
      <c r="F2503" s="1">
        <v>42842</v>
      </c>
      <c r="G2503" s="1">
        <v>42849</v>
      </c>
      <c r="H2503">
        <v>527</v>
      </c>
      <c r="I2503" t="str">
        <f>IF(COUNTIF(Products!$A$2:$A$8,C2503)=0,C2503,"")</f>
        <v/>
      </c>
      <c r="J2503">
        <f>IF(OR(E2503="Prospecting",E2503="Engaging"),VLOOKUP(C2503,Products!$A$2:$C$8,3,FALSE),0)</f>
        <v>0</v>
      </c>
    </row>
    <row r="2504" spans="1:10" x14ac:dyDescent="0.25">
      <c r="A2504" t="s">
        <v>2671</v>
      </c>
      <c r="B2504" t="s">
        <v>205</v>
      </c>
      <c r="C2504" t="s">
        <v>127</v>
      </c>
      <c r="D2504" t="s">
        <v>30</v>
      </c>
      <c r="E2504" t="s">
        <v>138</v>
      </c>
      <c r="F2504" s="1">
        <v>42842</v>
      </c>
      <c r="G2504" s="1">
        <v>42848</v>
      </c>
      <c r="H2504">
        <v>1160</v>
      </c>
      <c r="I2504" t="str">
        <f>IF(COUNTIF(Products!$A$2:$A$8,C2504)=0,C2504,"")</f>
        <v/>
      </c>
      <c r="J2504">
        <f>IF(OR(E2504="Prospecting",E2504="Engaging"),VLOOKUP(C2504,Products!$A$2:$C$8,3,FALSE),0)</f>
        <v>0</v>
      </c>
    </row>
    <row r="2505" spans="1:10" x14ac:dyDescent="0.25">
      <c r="A2505" t="s">
        <v>2672</v>
      </c>
      <c r="B2505" t="s">
        <v>152</v>
      </c>
      <c r="C2505" t="s">
        <v>120</v>
      </c>
      <c r="D2505" t="s">
        <v>32</v>
      </c>
      <c r="E2505" t="s">
        <v>138</v>
      </c>
      <c r="F2505" s="1">
        <v>42842</v>
      </c>
      <c r="G2505" s="1">
        <v>42892</v>
      </c>
      <c r="H2505">
        <v>491</v>
      </c>
      <c r="I2505" t="str">
        <f>IF(COUNTIF(Products!$A$2:$A$8,C2505)=0,C2505,"")</f>
        <v/>
      </c>
      <c r="J2505">
        <f>IF(OR(E2505="Prospecting",E2505="Engaging"),VLOOKUP(C2505,Products!$A$2:$C$8,3,FALSE),0)</f>
        <v>0</v>
      </c>
    </row>
    <row r="2506" spans="1:10" x14ac:dyDescent="0.25">
      <c r="A2506" t="s">
        <v>2673</v>
      </c>
      <c r="B2506" t="s">
        <v>193</v>
      </c>
      <c r="C2506" t="s">
        <v>120</v>
      </c>
      <c r="D2506" t="s">
        <v>105</v>
      </c>
      <c r="E2506" t="s">
        <v>138</v>
      </c>
      <c r="F2506" s="1">
        <v>42842</v>
      </c>
      <c r="G2506" s="1">
        <v>42844</v>
      </c>
      <c r="H2506">
        <v>555</v>
      </c>
      <c r="I2506" t="str">
        <f>IF(COUNTIF(Products!$A$2:$A$8,C2506)=0,C2506,"")</f>
        <v/>
      </c>
      <c r="J2506">
        <f>IF(OR(E2506="Prospecting",E2506="Engaging"),VLOOKUP(C2506,Products!$A$2:$C$8,3,FALSE),0)</f>
        <v>0</v>
      </c>
    </row>
    <row r="2507" spans="1:10" x14ac:dyDescent="0.25">
      <c r="A2507" t="s">
        <v>2674</v>
      </c>
      <c r="B2507" t="s">
        <v>166</v>
      </c>
      <c r="C2507" t="s">
        <v>120</v>
      </c>
      <c r="E2507" t="s">
        <v>155</v>
      </c>
      <c r="F2507" s="1">
        <v>42842</v>
      </c>
      <c r="I2507" t="str">
        <f>IF(COUNTIF(Products!$A$2:$A$8,C2507)=0,C2507,"")</f>
        <v/>
      </c>
      <c r="J2507">
        <f>IF(OR(E2507="Prospecting",E2507="Engaging"),VLOOKUP(C2507,Products!$A$2:$C$8,3,FALSE),0)</f>
        <v>550</v>
      </c>
    </row>
    <row r="2508" spans="1:10" x14ac:dyDescent="0.25">
      <c r="A2508" t="s">
        <v>2675</v>
      </c>
      <c r="B2508" t="s">
        <v>166</v>
      </c>
      <c r="C2508" t="s">
        <v>122</v>
      </c>
      <c r="E2508" t="s">
        <v>155</v>
      </c>
      <c r="F2508" s="1">
        <v>42842</v>
      </c>
      <c r="I2508" t="str">
        <f>IF(COUNTIF(Products!$A$2:$A$8,C2508)=0,C2508,"")</f>
        <v/>
      </c>
      <c r="J2508">
        <f>IF(OR(E2508="Prospecting",E2508="Engaging"),VLOOKUP(C2508,Products!$A$2:$C$8,3,FALSE),0)</f>
        <v>4821</v>
      </c>
    </row>
    <row r="2509" spans="1:10" x14ac:dyDescent="0.25">
      <c r="A2509" t="s">
        <v>2676</v>
      </c>
      <c r="B2509" t="s">
        <v>166</v>
      </c>
      <c r="C2509" t="s">
        <v>123</v>
      </c>
      <c r="D2509" t="s">
        <v>72</v>
      </c>
      <c r="E2509" t="s">
        <v>159</v>
      </c>
      <c r="F2509" s="1">
        <v>42842</v>
      </c>
      <c r="G2509" s="1">
        <v>42852</v>
      </c>
      <c r="H2509">
        <v>0</v>
      </c>
      <c r="I2509" t="str">
        <f>IF(COUNTIF(Products!$A$2:$A$8,C2509)=0,C2509,"")</f>
        <v/>
      </c>
      <c r="J2509">
        <f>IF(OR(E2509="Prospecting",E2509="Engaging"),VLOOKUP(C2509,Products!$A$2:$C$8,3,FALSE),0)</f>
        <v>0</v>
      </c>
    </row>
    <row r="2510" spans="1:10" x14ac:dyDescent="0.25">
      <c r="A2510" t="s">
        <v>2677</v>
      </c>
      <c r="B2510" t="s">
        <v>169</v>
      </c>
      <c r="C2510" t="s">
        <v>123</v>
      </c>
      <c r="D2510" t="s">
        <v>64</v>
      </c>
      <c r="E2510" t="s">
        <v>138</v>
      </c>
      <c r="F2510" s="1">
        <v>42842</v>
      </c>
      <c r="G2510" s="1">
        <v>42848</v>
      </c>
      <c r="H2510">
        <v>62</v>
      </c>
      <c r="I2510" t="str">
        <f>IF(COUNTIF(Products!$A$2:$A$8,C2510)=0,C2510,"")</f>
        <v/>
      </c>
      <c r="J2510">
        <f>IF(OR(E2510="Prospecting",E2510="Engaging"),VLOOKUP(C2510,Products!$A$2:$C$8,3,FALSE),0)</f>
        <v>0</v>
      </c>
    </row>
    <row r="2511" spans="1:10" x14ac:dyDescent="0.25">
      <c r="A2511" t="s">
        <v>2678</v>
      </c>
      <c r="B2511" t="s">
        <v>177</v>
      </c>
      <c r="C2511" t="s">
        <v>123</v>
      </c>
      <c r="D2511" t="s">
        <v>48</v>
      </c>
      <c r="E2511" t="s">
        <v>159</v>
      </c>
      <c r="F2511" s="1">
        <v>42842</v>
      </c>
      <c r="G2511" s="1">
        <v>42851</v>
      </c>
      <c r="H2511">
        <v>0</v>
      </c>
      <c r="I2511" t="str">
        <f>IF(COUNTIF(Products!$A$2:$A$8,C2511)=0,C2511,"")</f>
        <v/>
      </c>
      <c r="J2511">
        <f>IF(OR(E2511="Prospecting",E2511="Engaging"),VLOOKUP(C2511,Products!$A$2:$C$8,3,FALSE),0)</f>
        <v>0</v>
      </c>
    </row>
    <row r="2512" spans="1:10" x14ac:dyDescent="0.25">
      <c r="A2512" t="s">
        <v>2679</v>
      </c>
      <c r="B2512" t="s">
        <v>177</v>
      </c>
      <c r="C2512" t="s">
        <v>123</v>
      </c>
      <c r="D2512" t="s">
        <v>69</v>
      </c>
      <c r="E2512" t="s">
        <v>138</v>
      </c>
      <c r="F2512" s="1">
        <v>42842</v>
      </c>
      <c r="G2512" s="1">
        <v>42850</v>
      </c>
      <c r="H2512">
        <v>56</v>
      </c>
      <c r="I2512" t="str">
        <f>IF(COUNTIF(Products!$A$2:$A$8,C2512)=0,C2512,"")</f>
        <v/>
      </c>
      <c r="J2512">
        <f>IF(OR(E2512="Prospecting",E2512="Engaging"),VLOOKUP(C2512,Products!$A$2:$C$8,3,FALSE),0)</f>
        <v>0</v>
      </c>
    </row>
    <row r="2513" spans="1:10" x14ac:dyDescent="0.25">
      <c r="A2513" t="s">
        <v>2680</v>
      </c>
      <c r="B2513" t="s">
        <v>196</v>
      </c>
      <c r="C2513" t="s">
        <v>125</v>
      </c>
      <c r="D2513" t="s">
        <v>102</v>
      </c>
      <c r="E2513" t="s">
        <v>138</v>
      </c>
      <c r="F2513" s="1">
        <v>42842</v>
      </c>
      <c r="G2513" s="1">
        <v>42848</v>
      </c>
      <c r="H2513">
        <v>3490</v>
      </c>
      <c r="I2513" t="str">
        <f>IF(COUNTIF(Products!$A$2:$A$8,C2513)=0,C2513,"")</f>
        <v/>
      </c>
      <c r="J2513">
        <f>IF(OR(E2513="Prospecting",E2513="Engaging"),VLOOKUP(C2513,Products!$A$2:$C$8,3,FALSE),0)</f>
        <v>0</v>
      </c>
    </row>
    <row r="2514" spans="1:10" x14ac:dyDescent="0.25">
      <c r="A2514" t="s">
        <v>2681</v>
      </c>
      <c r="B2514" t="s">
        <v>144</v>
      </c>
      <c r="C2514" t="s">
        <v>122</v>
      </c>
      <c r="D2514" t="s">
        <v>109</v>
      </c>
      <c r="E2514" t="s">
        <v>159</v>
      </c>
      <c r="F2514" s="1">
        <v>42842</v>
      </c>
      <c r="G2514" s="1">
        <v>42910</v>
      </c>
      <c r="H2514">
        <v>0</v>
      </c>
      <c r="I2514" t="str">
        <f>IF(COUNTIF(Products!$A$2:$A$8,C2514)=0,C2514,"")</f>
        <v/>
      </c>
      <c r="J2514">
        <f>IF(OR(E2514="Prospecting",E2514="Engaging"),VLOOKUP(C2514,Products!$A$2:$C$8,3,FALSE),0)</f>
        <v>0</v>
      </c>
    </row>
    <row r="2515" spans="1:10" x14ac:dyDescent="0.25">
      <c r="A2515" t="s">
        <v>2682</v>
      </c>
      <c r="B2515" t="s">
        <v>146</v>
      </c>
      <c r="C2515" t="s">
        <v>123</v>
      </c>
      <c r="D2515" t="s">
        <v>12</v>
      </c>
      <c r="E2515" t="s">
        <v>159</v>
      </c>
      <c r="F2515" s="1">
        <v>42843</v>
      </c>
      <c r="G2515" s="1">
        <v>42849</v>
      </c>
      <c r="H2515">
        <v>0</v>
      </c>
      <c r="I2515" t="str">
        <f>IF(COUNTIF(Products!$A$2:$A$8,C2515)=0,C2515,"")</f>
        <v/>
      </c>
      <c r="J2515">
        <f>IF(OR(E2515="Prospecting",E2515="Engaging"),VLOOKUP(C2515,Products!$A$2:$C$8,3,FALSE),0)</f>
        <v>0</v>
      </c>
    </row>
    <row r="2516" spans="1:10" x14ac:dyDescent="0.25">
      <c r="A2516" t="s">
        <v>2683</v>
      </c>
      <c r="B2516" t="s">
        <v>146</v>
      </c>
      <c r="C2516" t="s">
        <v>123</v>
      </c>
      <c r="D2516" t="s">
        <v>12</v>
      </c>
      <c r="E2516" t="s">
        <v>138</v>
      </c>
      <c r="F2516" s="1">
        <v>42843</v>
      </c>
      <c r="G2516" s="1">
        <v>42850</v>
      </c>
      <c r="H2516">
        <v>51</v>
      </c>
      <c r="I2516" t="str">
        <f>IF(COUNTIF(Products!$A$2:$A$8,C2516)=0,C2516,"")</f>
        <v/>
      </c>
      <c r="J2516">
        <f>IF(OR(E2516="Prospecting",E2516="Engaging"),VLOOKUP(C2516,Products!$A$2:$C$8,3,FALSE),0)</f>
        <v>0</v>
      </c>
    </row>
    <row r="2517" spans="1:10" x14ac:dyDescent="0.25">
      <c r="A2517" t="s">
        <v>2684</v>
      </c>
      <c r="B2517" t="s">
        <v>146</v>
      </c>
      <c r="C2517" t="s">
        <v>123</v>
      </c>
      <c r="D2517" t="s">
        <v>27</v>
      </c>
      <c r="E2517" t="s">
        <v>138</v>
      </c>
      <c r="F2517" s="1">
        <v>42843</v>
      </c>
      <c r="G2517" s="1">
        <v>42906</v>
      </c>
      <c r="H2517">
        <v>54</v>
      </c>
      <c r="I2517" t="str">
        <f>IF(COUNTIF(Products!$A$2:$A$8,C2517)=0,C2517,"")</f>
        <v/>
      </c>
      <c r="J2517">
        <f>IF(OR(E2517="Prospecting",E2517="Engaging"),VLOOKUP(C2517,Products!$A$2:$C$8,3,FALSE),0)</f>
        <v>0</v>
      </c>
    </row>
    <row r="2518" spans="1:10" x14ac:dyDescent="0.25">
      <c r="A2518" t="s">
        <v>2685</v>
      </c>
      <c r="B2518" t="s">
        <v>146</v>
      </c>
      <c r="C2518" t="s">
        <v>123</v>
      </c>
      <c r="D2518" t="s">
        <v>28</v>
      </c>
      <c r="E2518" t="s">
        <v>138</v>
      </c>
      <c r="F2518" s="1">
        <v>42843</v>
      </c>
      <c r="G2518" s="1">
        <v>42852</v>
      </c>
      <c r="H2518">
        <v>56</v>
      </c>
      <c r="I2518" t="str">
        <f>IF(COUNTIF(Products!$A$2:$A$8,C2518)=0,C2518,"")</f>
        <v/>
      </c>
      <c r="J2518">
        <f>IF(OR(E2518="Prospecting",E2518="Engaging"),VLOOKUP(C2518,Products!$A$2:$C$8,3,FALSE),0)</f>
        <v>0</v>
      </c>
    </row>
    <row r="2519" spans="1:10" x14ac:dyDescent="0.25">
      <c r="A2519" t="s">
        <v>2686</v>
      </c>
      <c r="B2519" t="s">
        <v>222</v>
      </c>
      <c r="C2519" t="s">
        <v>122</v>
      </c>
      <c r="D2519" t="s">
        <v>67</v>
      </c>
      <c r="E2519" t="s">
        <v>159</v>
      </c>
      <c r="F2519" s="1">
        <v>42843</v>
      </c>
      <c r="G2519" s="1">
        <v>42882</v>
      </c>
      <c r="H2519">
        <v>0</v>
      </c>
      <c r="I2519" t="str">
        <f>IF(COUNTIF(Products!$A$2:$A$8,C2519)=0,C2519,"")</f>
        <v/>
      </c>
      <c r="J2519">
        <f>IF(OR(E2519="Prospecting",E2519="Engaging"),VLOOKUP(C2519,Products!$A$2:$C$8,3,FALSE),0)</f>
        <v>0</v>
      </c>
    </row>
    <row r="2520" spans="1:10" x14ac:dyDescent="0.25">
      <c r="A2520" t="s">
        <v>2687</v>
      </c>
      <c r="B2520" t="s">
        <v>207</v>
      </c>
      <c r="C2520" t="s">
        <v>125</v>
      </c>
      <c r="D2520" t="s">
        <v>50</v>
      </c>
      <c r="E2520" t="s">
        <v>138</v>
      </c>
      <c r="F2520" s="1">
        <v>42843</v>
      </c>
      <c r="G2520" s="1">
        <v>42951</v>
      </c>
      <c r="H2520">
        <v>3808</v>
      </c>
      <c r="I2520" t="str">
        <f>IF(COUNTIF(Products!$A$2:$A$8,C2520)=0,C2520,"")</f>
        <v/>
      </c>
      <c r="J2520">
        <f>IF(OR(E2520="Prospecting",E2520="Engaging"),VLOOKUP(C2520,Products!$A$2:$C$8,3,FALSE),0)</f>
        <v>0</v>
      </c>
    </row>
    <row r="2521" spans="1:10" x14ac:dyDescent="0.25">
      <c r="A2521" t="s">
        <v>2688</v>
      </c>
      <c r="B2521" t="s">
        <v>239</v>
      </c>
      <c r="C2521" t="s">
        <v>126</v>
      </c>
      <c r="D2521" t="s">
        <v>110</v>
      </c>
      <c r="E2521" t="s">
        <v>159</v>
      </c>
      <c r="F2521" s="1">
        <v>42843</v>
      </c>
      <c r="G2521" s="1">
        <v>42859</v>
      </c>
      <c r="H2521">
        <v>0</v>
      </c>
      <c r="I2521" t="str">
        <f>IF(COUNTIF(Products!$A$2:$A$8,C2521)=0,C2521,"")</f>
        <v/>
      </c>
      <c r="J2521">
        <f>IF(OR(E2521="Prospecting",E2521="Engaging"),VLOOKUP(C2521,Products!$A$2:$C$8,3,FALSE),0)</f>
        <v>0</v>
      </c>
    </row>
    <row r="2522" spans="1:10" x14ac:dyDescent="0.25">
      <c r="A2522" t="s">
        <v>2689</v>
      </c>
      <c r="B2522" t="s">
        <v>239</v>
      </c>
      <c r="C2522" t="s">
        <v>125</v>
      </c>
      <c r="D2522" t="s">
        <v>69</v>
      </c>
      <c r="E2522" t="s">
        <v>138</v>
      </c>
      <c r="F2522" s="1">
        <v>42843</v>
      </c>
      <c r="G2522" s="1">
        <v>42858</v>
      </c>
      <c r="H2522">
        <v>3041</v>
      </c>
      <c r="I2522" t="str">
        <f>IF(COUNTIF(Products!$A$2:$A$8,C2522)=0,C2522,"")</f>
        <v/>
      </c>
      <c r="J2522">
        <f>IF(OR(E2522="Prospecting",E2522="Engaging"),VLOOKUP(C2522,Products!$A$2:$C$8,3,FALSE),0)</f>
        <v>0</v>
      </c>
    </row>
    <row r="2523" spans="1:10" x14ac:dyDescent="0.25">
      <c r="A2523" t="s">
        <v>2690</v>
      </c>
      <c r="B2523" t="s">
        <v>224</v>
      </c>
      <c r="C2523" t="s">
        <v>120</v>
      </c>
      <c r="D2523" t="s">
        <v>108</v>
      </c>
      <c r="E2523" t="s">
        <v>159</v>
      </c>
      <c r="F2523" s="1">
        <v>42843</v>
      </c>
      <c r="G2523" s="1">
        <v>42850</v>
      </c>
      <c r="H2523">
        <v>0</v>
      </c>
      <c r="I2523" t="str">
        <f>IF(COUNTIF(Products!$A$2:$A$8,C2523)=0,C2523,"")</f>
        <v/>
      </c>
      <c r="J2523">
        <f>IF(OR(E2523="Prospecting",E2523="Engaging"),VLOOKUP(C2523,Products!$A$2:$C$8,3,FALSE),0)</f>
        <v>0</v>
      </c>
    </row>
    <row r="2524" spans="1:10" x14ac:dyDescent="0.25">
      <c r="A2524" t="s">
        <v>2691</v>
      </c>
      <c r="B2524" t="s">
        <v>173</v>
      </c>
      <c r="C2524" t="s">
        <v>128</v>
      </c>
      <c r="D2524" t="s">
        <v>108</v>
      </c>
      <c r="E2524" t="s">
        <v>155</v>
      </c>
      <c r="F2524" s="1">
        <v>42843</v>
      </c>
      <c r="I2524" t="str">
        <f>IF(COUNTIF(Products!$A$2:$A$8,C2524)=0,C2524,"")</f>
        <v/>
      </c>
      <c r="J2524">
        <f>IF(OR(E2524="Prospecting",E2524="Engaging"),VLOOKUP(C2524,Products!$A$2:$C$8,3,FALSE),0)</f>
        <v>26768</v>
      </c>
    </row>
    <row r="2525" spans="1:10" x14ac:dyDescent="0.25">
      <c r="A2525" t="s">
        <v>2692</v>
      </c>
      <c r="B2525" t="s">
        <v>198</v>
      </c>
      <c r="C2525" t="s">
        <v>125</v>
      </c>
      <c r="D2525" t="s">
        <v>27</v>
      </c>
      <c r="E2525" t="s">
        <v>159</v>
      </c>
      <c r="F2525" s="1">
        <v>42843</v>
      </c>
      <c r="G2525" s="1">
        <v>42855</v>
      </c>
      <c r="H2525">
        <v>0</v>
      </c>
      <c r="I2525" t="str">
        <f>IF(COUNTIF(Products!$A$2:$A$8,C2525)=0,C2525,"")</f>
        <v/>
      </c>
      <c r="J2525">
        <f>IF(OR(E2525="Prospecting",E2525="Engaging"),VLOOKUP(C2525,Products!$A$2:$C$8,3,FALSE),0)</f>
        <v>0</v>
      </c>
    </row>
    <row r="2526" spans="1:10" x14ac:dyDescent="0.25">
      <c r="A2526" t="s">
        <v>2693</v>
      </c>
      <c r="B2526" t="s">
        <v>158</v>
      </c>
      <c r="C2526" t="s">
        <v>122</v>
      </c>
      <c r="D2526" t="s">
        <v>64</v>
      </c>
      <c r="E2526" t="s">
        <v>159</v>
      </c>
      <c r="F2526" s="1">
        <v>42843</v>
      </c>
      <c r="G2526" s="1">
        <v>42859</v>
      </c>
      <c r="H2526">
        <v>0</v>
      </c>
      <c r="I2526" t="str">
        <f>IF(COUNTIF(Products!$A$2:$A$8,C2526)=0,C2526,"")</f>
        <v/>
      </c>
      <c r="J2526">
        <f>IF(OR(E2526="Prospecting",E2526="Engaging"),VLOOKUP(C2526,Products!$A$2:$C$8,3,FALSE),0)</f>
        <v>0</v>
      </c>
    </row>
    <row r="2527" spans="1:10" x14ac:dyDescent="0.25">
      <c r="A2527" t="s">
        <v>2694</v>
      </c>
      <c r="B2527" t="s">
        <v>164</v>
      </c>
      <c r="C2527" t="s">
        <v>126</v>
      </c>
      <c r="D2527" t="s">
        <v>56</v>
      </c>
      <c r="E2527" t="s">
        <v>159</v>
      </c>
      <c r="F2527" s="1">
        <v>42843</v>
      </c>
      <c r="G2527" s="1">
        <v>42848</v>
      </c>
      <c r="H2527">
        <v>0</v>
      </c>
      <c r="I2527" t="str">
        <f>IF(COUNTIF(Products!$A$2:$A$8,C2527)=0,C2527,"")</f>
        <v/>
      </c>
      <c r="J2527">
        <f>IF(OR(E2527="Prospecting",E2527="Engaging"),VLOOKUP(C2527,Products!$A$2:$C$8,3,FALSE),0)</f>
        <v>0</v>
      </c>
    </row>
    <row r="2528" spans="1:10" x14ac:dyDescent="0.25">
      <c r="A2528" t="s">
        <v>2695</v>
      </c>
      <c r="B2528" t="s">
        <v>154</v>
      </c>
      <c r="C2528" t="s">
        <v>125</v>
      </c>
      <c r="E2528" t="s">
        <v>155</v>
      </c>
      <c r="F2528" s="1">
        <v>42843</v>
      </c>
      <c r="I2528" t="str">
        <f>IF(COUNTIF(Products!$A$2:$A$8,C2528)=0,C2528,"")</f>
        <v/>
      </c>
      <c r="J2528">
        <f>IF(OR(E2528="Prospecting",E2528="Engaging"),VLOOKUP(C2528,Products!$A$2:$C$8,3,FALSE),0)</f>
        <v>3393</v>
      </c>
    </row>
    <row r="2529" spans="1:10" x14ac:dyDescent="0.25">
      <c r="A2529" t="s">
        <v>2696</v>
      </c>
      <c r="B2529" t="s">
        <v>154</v>
      </c>
      <c r="C2529" t="s">
        <v>127</v>
      </c>
      <c r="D2529" t="s">
        <v>47</v>
      </c>
      <c r="E2529" t="s">
        <v>159</v>
      </c>
      <c r="F2529" s="1">
        <v>42843</v>
      </c>
      <c r="G2529" s="1">
        <v>42845</v>
      </c>
      <c r="H2529">
        <v>0</v>
      </c>
      <c r="I2529" t="str">
        <f>IF(COUNTIF(Products!$A$2:$A$8,C2529)=0,C2529,"")</f>
        <v/>
      </c>
      <c r="J2529">
        <f>IF(OR(E2529="Prospecting",E2529="Engaging"),VLOOKUP(C2529,Products!$A$2:$C$8,3,FALSE),0)</f>
        <v>0</v>
      </c>
    </row>
    <row r="2530" spans="1:10" x14ac:dyDescent="0.25">
      <c r="A2530" t="s">
        <v>2697</v>
      </c>
      <c r="B2530" t="s">
        <v>154</v>
      </c>
      <c r="C2530" t="s">
        <v>123</v>
      </c>
      <c r="D2530" t="s">
        <v>67</v>
      </c>
      <c r="E2530" t="s">
        <v>138</v>
      </c>
      <c r="F2530" s="1">
        <v>42843</v>
      </c>
      <c r="G2530" s="1">
        <v>42854</v>
      </c>
      <c r="H2530">
        <v>44</v>
      </c>
      <c r="I2530" t="str">
        <f>IF(COUNTIF(Products!$A$2:$A$8,C2530)=0,C2530,"")</f>
        <v/>
      </c>
      <c r="J2530">
        <f>IF(OR(E2530="Prospecting",E2530="Engaging"),VLOOKUP(C2530,Products!$A$2:$C$8,3,FALSE),0)</f>
        <v>0</v>
      </c>
    </row>
    <row r="2531" spans="1:10" x14ac:dyDescent="0.25">
      <c r="A2531" t="s">
        <v>2698</v>
      </c>
      <c r="B2531" t="s">
        <v>180</v>
      </c>
      <c r="C2531" t="s">
        <v>126</v>
      </c>
      <c r="D2531" t="s">
        <v>107</v>
      </c>
      <c r="E2531" t="s">
        <v>159</v>
      </c>
      <c r="F2531" s="1">
        <v>42843</v>
      </c>
      <c r="G2531" s="1">
        <v>42849</v>
      </c>
      <c r="H2531">
        <v>0</v>
      </c>
      <c r="I2531" t="str">
        <f>IF(COUNTIF(Products!$A$2:$A$8,C2531)=0,C2531,"")</f>
        <v/>
      </c>
      <c r="J2531">
        <f>IF(OR(E2531="Prospecting",E2531="Engaging"),VLOOKUP(C2531,Products!$A$2:$C$8,3,FALSE),0)</f>
        <v>0</v>
      </c>
    </row>
    <row r="2532" spans="1:10" x14ac:dyDescent="0.25">
      <c r="A2532" t="s">
        <v>2699</v>
      </c>
      <c r="B2532" t="s">
        <v>180</v>
      </c>
      <c r="C2532" t="s">
        <v>120</v>
      </c>
      <c r="D2532" t="s">
        <v>34</v>
      </c>
      <c r="E2532" t="s">
        <v>138</v>
      </c>
      <c r="F2532" s="1">
        <v>42843</v>
      </c>
      <c r="G2532" s="1">
        <v>42849</v>
      </c>
      <c r="H2532">
        <v>552</v>
      </c>
      <c r="I2532" t="str">
        <f>IF(COUNTIF(Products!$A$2:$A$8,C2532)=0,C2532,"")</f>
        <v/>
      </c>
      <c r="J2532">
        <f>IF(OR(E2532="Prospecting",E2532="Engaging"),VLOOKUP(C2532,Products!$A$2:$C$8,3,FALSE),0)</f>
        <v>0</v>
      </c>
    </row>
    <row r="2533" spans="1:10" x14ac:dyDescent="0.25">
      <c r="A2533" t="s">
        <v>2700</v>
      </c>
      <c r="B2533" t="s">
        <v>191</v>
      </c>
      <c r="C2533" t="s">
        <v>126</v>
      </c>
      <c r="D2533" t="s">
        <v>81</v>
      </c>
      <c r="E2533" t="s">
        <v>155</v>
      </c>
      <c r="F2533" s="1">
        <v>42843</v>
      </c>
      <c r="I2533" t="str">
        <f>IF(COUNTIF(Products!$A$2:$A$8,C2533)=0,C2533,"")</f>
        <v/>
      </c>
      <c r="J2533">
        <f>IF(OR(E2533="Prospecting",E2533="Engaging"),VLOOKUP(C2533,Products!$A$2:$C$8,3,FALSE),0)</f>
        <v>5482</v>
      </c>
    </row>
    <row r="2534" spans="1:10" x14ac:dyDescent="0.25">
      <c r="A2534" t="s">
        <v>2701</v>
      </c>
      <c r="B2534" t="s">
        <v>191</v>
      </c>
      <c r="C2534" t="s">
        <v>120</v>
      </c>
      <c r="D2534" t="s">
        <v>78</v>
      </c>
      <c r="E2534" t="s">
        <v>138</v>
      </c>
      <c r="F2534" s="1">
        <v>42843</v>
      </c>
      <c r="G2534" s="1">
        <v>42851</v>
      </c>
      <c r="H2534">
        <v>474</v>
      </c>
      <c r="I2534" t="str">
        <f>IF(COUNTIF(Products!$A$2:$A$8,C2534)=0,C2534,"")</f>
        <v/>
      </c>
      <c r="J2534">
        <f>IF(OR(E2534="Prospecting",E2534="Engaging"),VLOOKUP(C2534,Products!$A$2:$C$8,3,FALSE),0)</f>
        <v>0</v>
      </c>
    </row>
    <row r="2535" spans="1:10" x14ac:dyDescent="0.25">
      <c r="A2535" t="s">
        <v>2702</v>
      </c>
      <c r="B2535" t="s">
        <v>191</v>
      </c>
      <c r="C2535" t="s">
        <v>127</v>
      </c>
      <c r="D2535" t="s">
        <v>107</v>
      </c>
      <c r="E2535" t="s">
        <v>138</v>
      </c>
      <c r="F2535" s="1">
        <v>42843</v>
      </c>
      <c r="G2535" s="1">
        <v>42847</v>
      </c>
      <c r="H2535">
        <v>1158</v>
      </c>
      <c r="I2535" t="str">
        <f>IF(COUNTIF(Products!$A$2:$A$8,C2535)=0,C2535,"")</f>
        <v/>
      </c>
      <c r="J2535">
        <f>IF(OR(E2535="Prospecting",E2535="Engaging"),VLOOKUP(C2535,Products!$A$2:$C$8,3,FALSE),0)</f>
        <v>0</v>
      </c>
    </row>
    <row r="2536" spans="1:10" x14ac:dyDescent="0.25">
      <c r="A2536" t="s">
        <v>2703</v>
      </c>
      <c r="B2536" t="s">
        <v>191</v>
      </c>
      <c r="C2536" t="s">
        <v>126</v>
      </c>
      <c r="D2536" t="s">
        <v>39</v>
      </c>
      <c r="E2536" t="s">
        <v>138</v>
      </c>
      <c r="F2536" s="1">
        <v>42843</v>
      </c>
      <c r="G2536" s="1">
        <v>42844</v>
      </c>
      <c r="H2536">
        <v>5839</v>
      </c>
      <c r="I2536" t="str">
        <f>IF(COUNTIF(Products!$A$2:$A$8,C2536)=0,C2536,"")</f>
        <v/>
      </c>
      <c r="J2536">
        <f>IF(OR(E2536="Prospecting",E2536="Engaging"),VLOOKUP(C2536,Products!$A$2:$C$8,3,FALSE),0)</f>
        <v>0</v>
      </c>
    </row>
    <row r="2537" spans="1:10" x14ac:dyDescent="0.25">
      <c r="A2537" t="s">
        <v>2704</v>
      </c>
      <c r="B2537" t="s">
        <v>191</v>
      </c>
      <c r="C2537" t="s">
        <v>122</v>
      </c>
      <c r="D2537" t="s">
        <v>93</v>
      </c>
      <c r="E2537" t="s">
        <v>138</v>
      </c>
      <c r="F2537" s="1">
        <v>42843</v>
      </c>
      <c r="G2537" s="1">
        <v>42953</v>
      </c>
      <c r="H2537">
        <v>4554</v>
      </c>
      <c r="I2537" t="str">
        <f>IF(COUNTIF(Products!$A$2:$A$8,C2537)=0,C2537,"")</f>
        <v/>
      </c>
      <c r="J2537">
        <f>IF(OR(E2537="Prospecting",E2537="Engaging"),VLOOKUP(C2537,Products!$A$2:$C$8,3,FALSE),0)</f>
        <v>0</v>
      </c>
    </row>
    <row r="2538" spans="1:10" x14ac:dyDescent="0.25">
      <c r="A2538" t="s">
        <v>2705</v>
      </c>
      <c r="B2538" t="s">
        <v>191</v>
      </c>
      <c r="C2538" t="s">
        <v>122</v>
      </c>
      <c r="D2538" t="s">
        <v>107</v>
      </c>
      <c r="E2538" t="s">
        <v>138</v>
      </c>
      <c r="F2538" s="1">
        <v>42843</v>
      </c>
      <c r="G2538" s="1">
        <v>42849</v>
      </c>
      <c r="H2538">
        <v>5078</v>
      </c>
      <c r="I2538" t="str">
        <f>IF(COUNTIF(Products!$A$2:$A$8,C2538)=0,C2538,"")</f>
        <v/>
      </c>
      <c r="J2538">
        <f>IF(OR(E2538="Prospecting",E2538="Engaging"),VLOOKUP(C2538,Products!$A$2:$C$8,3,FALSE),0)</f>
        <v>0</v>
      </c>
    </row>
    <row r="2539" spans="1:10" x14ac:dyDescent="0.25">
      <c r="A2539" t="s">
        <v>2706</v>
      </c>
      <c r="B2539" t="s">
        <v>217</v>
      </c>
      <c r="C2539" t="s">
        <v>127</v>
      </c>
      <c r="D2539" t="s">
        <v>51</v>
      </c>
      <c r="E2539" t="s">
        <v>159</v>
      </c>
      <c r="F2539" s="1">
        <v>42843</v>
      </c>
      <c r="G2539" s="1">
        <v>42851</v>
      </c>
      <c r="H2539">
        <v>0</v>
      </c>
      <c r="I2539" t="str">
        <f>IF(COUNTIF(Products!$A$2:$A$8,C2539)=0,C2539,"")</f>
        <v/>
      </c>
      <c r="J2539">
        <f>IF(OR(E2539="Prospecting",E2539="Engaging"),VLOOKUP(C2539,Products!$A$2:$C$8,3,FALSE),0)</f>
        <v>0</v>
      </c>
    </row>
    <row r="2540" spans="1:10" x14ac:dyDescent="0.25">
      <c r="A2540" t="s">
        <v>2707</v>
      </c>
      <c r="B2540" t="s">
        <v>150</v>
      </c>
      <c r="C2540" t="s">
        <v>120</v>
      </c>
      <c r="D2540" t="s">
        <v>23</v>
      </c>
      <c r="E2540" t="s">
        <v>138</v>
      </c>
      <c r="F2540" s="1">
        <v>42843</v>
      </c>
      <c r="G2540" s="1">
        <v>42890</v>
      </c>
      <c r="H2540">
        <v>561</v>
      </c>
      <c r="I2540" t="str">
        <f>IF(COUNTIF(Products!$A$2:$A$8,C2540)=0,C2540,"")</f>
        <v/>
      </c>
      <c r="J2540">
        <f>IF(OR(E2540="Prospecting",E2540="Engaging"),VLOOKUP(C2540,Products!$A$2:$C$8,3,FALSE),0)</f>
        <v>0</v>
      </c>
    </row>
    <row r="2541" spans="1:10" x14ac:dyDescent="0.25">
      <c r="A2541" t="s">
        <v>2708</v>
      </c>
      <c r="B2541" t="s">
        <v>162</v>
      </c>
      <c r="C2541" t="s">
        <v>127</v>
      </c>
      <c r="E2541" t="s">
        <v>155</v>
      </c>
      <c r="F2541" s="1">
        <v>42843</v>
      </c>
      <c r="I2541" t="str">
        <f>IF(COUNTIF(Products!$A$2:$A$8,C2541)=0,C2541,"")</f>
        <v/>
      </c>
      <c r="J2541">
        <f>IF(OR(E2541="Prospecting",E2541="Engaging"),VLOOKUP(C2541,Products!$A$2:$C$8,3,FALSE),0)</f>
        <v>1096</v>
      </c>
    </row>
    <row r="2542" spans="1:10" x14ac:dyDescent="0.25">
      <c r="A2542" t="s">
        <v>2709</v>
      </c>
      <c r="B2542" t="s">
        <v>162</v>
      </c>
      <c r="C2542" t="s">
        <v>127</v>
      </c>
      <c r="D2542" t="s">
        <v>44</v>
      </c>
      <c r="E2542" t="s">
        <v>159</v>
      </c>
      <c r="F2542" s="1">
        <v>42843</v>
      </c>
      <c r="G2542" s="1">
        <v>42847</v>
      </c>
      <c r="H2542">
        <v>0</v>
      </c>
      <c r="I2542" t="str">
        <f>IF(COUNTIF(Products!$A$2:$A$8,C2542)=0,C2542,"")</f>
        <v/>
      </c>
      <c r="J2542">
        <f>IF(OR(E2542="Prospecting",E2542="Engaging"),VLOOKUP(C2542,Products!$A$2:$C$8,3,FALSE),0)</f>
        <v>0</v>
      </c>
    </row>
    <row r="2543" spans="1:10" x14ac:dyDescent="0.25">
      <c r="A2543" t="s">
        <v>2710</v>
      </c>
      <c r="B2543" t="s">
        <v>152</v>
      </c>
      <c r="C2543" t="s">
        <v>125</v>
      </c>
      <c r="D2543" t="s">
        <v>88</v>
      </c>
      <c r="E2543" t="s">
        <v>159</v>
      </c>
      <c r="F2543" s="1">
        <v>42843</v>
      </c>
      <c r="G2543" s="1">
        <v>42877</v>
      </c>
      <c r="H2543">
        <v>0</v>
      </c>
      <c r="I2543" t="str">
        <f>IF(COUNTIF(Products!$A$2:$A$8,C2543)=0,C2543,"")</f>
        <v/>
      </c>
      <c r="J2543">
        <f>IF(OR(E2543="Prospecting",E2543="Engaging"),VLOOKUP(C2543,Products!$A$2:$C$8,3,FALSE),0)</f>
        <v>0</v>
      </c>
    </row>
    <row r="2544" spans="1:10" x14ac:dyDescent="0.25">
      <c r="A2544" t="s">
        <v>2711</v>
      </c>
      <c r="B2544" t="s">
        <v>152</v>
      </c>
      <c r="C2544" t="s">
        <v>125</v>
      </c>
      <c r="D2544" t="s">
        <v>32</v>
      </c>
      <c r="E2544" t="s">
        <v>138</v>
      </c>
      <c r="F2544" s="1">
        <v>42843</v>
      </c>
      <c r="G2544" s="1">
        <v>42844</v>
      </c>
      <c r="H2544">
        <v>3392</v>
      </c>
      <c r="I2544" t="str">
        <f>IF(COUNTIF(Products!$A$2:$A$8,C2544)=0,C2544,"")</f>
        <v/>
      </c>
      <c r="J2544">
        <f>IF(OR(E2544="Prospecting",E2544="Engaging"),VLOOKUP(C2544,Products!$A$2:$C$8,3,FALSE),0)</f>
        <v>0</v>
      </c>
    </row>
    <row r="2545" spans="1:10" x14ac:dyDescent="0.25">
      <c r="A2545" t="s">
        <v>2712</v>
      </c>
      <c r="B2545" t="s">
        <v>187</v>
      </c>
      <c r="C2545" t="s">
        <v>126</v>
      </c>
      <c r="E2545" t="s">
        <v>155</v>
      </c>
      <c r="F2545" s="1">
        <v>42843</v>
      </c>
      <c r="I2545" t="str">
        <f>IF(COUNTIF(Products!$A$2:$A$8,C2545)=0,C2545,"")</f>
        <v/>
      </c>
      <c r="J2545">
        <f>IF(OR(E2545="Prospecting",E2545="Engaging"),VLOOKUP(C2545,Products!$A$2:$C$8,3,FALSE),0)</f>
        <v>5482</v>
      </c>
    </row>
    <row r="2546" spans="1:10" x14ac:dyDescent="0.25">
      <c r="A2546" t="s">
        <v>2713</v>
      </c>
      <c r="B2546" t="s">
        <v>148</v>
      </c>
      <c r="C2546" t="s">
        <v>123</v>
      </c>
      <c r="E2546" t="s">
        <v>155</v>
      </c>
      <c r="F2546" s="1">
        <v>42843</v>
      </c>
      <c r="I2546" t="str">
        <f>IF(COUNTIF(Products!$A$2:$A$8,C2546)=0,C2546,"")</f>
        <v/>
      </c>
      <c r="J2546">
        <f>IF(OR(E2546="Prospecting",E2546="Engaging"),VLOOKUP(C2546,Products!$A$2:$C$8,3,FALSE),0)</f>
        <v>55</v>
      </c>
    </row>
    <row r="2547" spans="1:10" x14ac:dyDescent="0.25">
      <c r="A2547" t="s">
        <v>2714</v>
      </c>
      <c r="B2547" t="s">
        <v>148</v>
      </c>
      <c r="C2547" t="s">
        <v>125</v>
      </c>
      <c r="E2547" t="s">
        <v>155</v>
      </c>
      <c r="F2547" s="1">
        <v>42843</v>
      </c>
      <c r="I2547" t="str">
        <f>IF(COUNTIF(Products!$A$2:$A$8,C2547)=0,C2547,"")</f>
        <v/>
      </c>
      <c r="J2547">
        <f>IF(OR(E2547="Prospecting",E2547="Engaging"),VLOOKUP(C2547,Products!$A$2:$C$8,3,FALSE),0)</f>
        <v>3393</v>
      </c>
    </row>
    <row r="2548" spans="1:10" x14ac:dyDescent="0.25">
      <c r="A2548" t="s">
        <v>2715</v>
      </c>
      <c r="B2548" t="s">
        <v>148</v>
      </c>
      <c r="C2548" t="s">
        <v>122</v>
      </c>
      <c r="D2548" t="s">
        <v>38</v>
      </c>
      <c r="E2548" t="s">
        <v>138</v>
      </c>
      <c r="F2548" s="1">
        <v>42843</v>
      </c>
      <c r="G2548" s="1">
        <v>42845</v>
      </c>
      <c r="H2548">
        <v>5040</v>
      </c>
      <c r="I2548" t="str">
        <f>IF(COUNTIF(Products!$A$2:$A$8,C2548)=0,C2548,"")</f>
        <v/>
      </c>
      <c r="J2548">
        <f>IF(OR(E2548="Prospecting",E2548="Engaging"),VLOOKUP(C2548,Products!$A$2:$C$8,3,FALSE),0)</f>
        <v>0</v>
      </c>
    </row>
    <row r="2549" spans="1:10" x14ac:dyDescent="0.25">
      <c r="A2549" t="s">
        <v>2716</v>
      </c>
      <c r="B2549" t="s">
        <v>177</v>
      </c>
      <c r="C2549" t="s">
        <v>123</v>
      </c>
      <c r="E2549" t="s">
        <v>155</v>
      </c>
      <c r="F2549" s="1">
        <v>42843</v>
      </c>
      <c r="I2549" t="str">
        <f>IF(COUNTIF(Products!$A$2:$A$8,C2549)=0,C2549,"")</f>
        <v/>
      </c>
      <c r="J2549">
        <f>IF(OR(E2549="Prospecting",E2549="Engaging"),VLOOKUP(C2549,Products!$A$2:$C$8,3,FALSE),0)</f>
        <v>55</v>
      </c>
    </row>
    <row r="2550" spans="1:10" x14ac:dyDescent="0.25">
      <c r="A2550" t="s">
        <v>2717</v>
      </c>
      <c r="B2550" t="s">
        <v>177</v>
      </c>
      <c r="C2550" t="s">
        <v>123</v>
      </c>
      <c r="E2550" t="s">
        <v>155</v>
      </c>
      <c r="F2550" s="1">
        <v>42843</v>
      </c>
      <c r="I2550" t="str">
        <f>IF(COUNTIF(Products!$A$2:$A$8,C2550)=0,C2550,"")</f>
        <v/>
      </c>
      <c r="J2550">
        <f>IF(OR(E2550="Prospecting",E2550="Engaging"),VLOOKUP(C2550,Products!$A$2:$C$8,3,FALSE),0)</f>
        <v>55</v>
      </c>
    </row>
    <row r="2551" spans="1:10" x14ac:dyDescent="0.25">
      <c r="A2551" t="s">
        <v>2718</v>
      </c>
      <c r="B2551" t="s">
        <v>144</v>
      </c>
      <c r="C2551" t="s">
        <v>122</v>
      </c>
      <c r="D2551" t="s">
        <v>56</v>
      </c>
      <c r="E2551" t="s">
        <v>159</v>
      </c>
      <c r="F2551" s="1">
        <v>42843</v>
      </c>
      <c r="G2551" s="1">
        <v>42849</v>
      </c>
      <c r="H2551">
        <v>0</v>
      </c>
      <c r="I2551" t="str">
        <f>IF(COUNTIF(Products!$A$2:$A$8,C2551)=0,C2551,"")</f>
        <v/>
      </c>
      <c r="J2551">
        <f>IF(OR(E2551="Prospecting",E2551="Engaging"),VLOOKUP(C2551,Products!$A$2:$C$8,3,FALSE),0)</f>
        <v>0</v>
      </c>
    </row>
    <row r="2552" spans="1:10" x14ac:dyDescent="0.25">
      <c r="A2552" t="s">
        <v>2719</v>
      </c>
      <c r="B2552" t="s">
        <v>144</v>
      </c>
      <c r="C2552" t="s">
        <v>125</v>
      </c>
      <c r="D2552" t="s">
        <v>87</v>
      </c>
      <c r="E2552" t="s">
        <v>159</v>
      </c>
      <c r="F2552" s="1">
        <v>42843</v>
      </c>
      <c r="G2552" s="1">
        <v>42850</v>
      </c>
      <c r="H2552">
        <v>0</v>
      </c>
      <c r="I2552" t="str">
        <f>IF(COUNTIF(Products!$A$2:$A$8,C2552)=0,C2552,"")</f>
        <v/>
      </c>
      <c r="J2552">
        <f>IF(OR(E2552="Prospecting",E2552="Engaging"),VLOOKUP(C2552,Products!$A$2:$C$8,3,FALSE),0)</f>
        <v>0</v>
      </c>
    </row>
    <row r="2553" spans="1:10" x14ac:dyDescent="0.25">
      <c r="A2553" t="s">
        <v>2720</v>
      </c>
      <c r="B2553" t="s">
        <v>144</v>
      </c>
      <c r="C2553" t="s">
        <v>126</v>
      </c>
      <c r="D2553" t="s">
        <v>41</v>
      </c>
      <c r="E2553" t="s">
        <v>138</v>
      </c>
      <c r="F2553" s="1">
        <v>42843</v>
      </c>
      <c r="G2553" s="1">
        <v>42850</v>
      </c>
      <c r="H2553">
        <v>5853</v>
      </c>
      <c r="I2553" t="str">
        <f>IF(COUNTIF(Products!$A$2:$A$8,C2553)=0,C2553,"")</f>
        <v/>
      </c>
      <c r="J2553">
        <f>IF(OR(E2553="Prospecting",E2553="Engaging"),VLOOKUP(C2553,Products!$A$2:$C$8,3,FALSE),0)</f>
        <v>0</v>
      </c>
    </row>
    <row r="2554" spans="1:10" x14ac:dyDescent="0.25">
      <c r="A2554" t="s">
        <v>2721</v>
      </c>
      <c r="B2554" t="s">
        <v>146</v>
      </c>
      <c r="C2554" t="s">
        <v>123</v>
      </c>
      <c r="D2554" t="s">
        <v>91</v>
      </c>
      <c r="E2554" t="s">
        <v>138</v>
      </c>
      <c r="F2554" s="1">
        <v>42844</v>
      </c>
      <c r="G2554" s="1">
        <v>42850</v>
      </c>
      <c r="H2554">
        <v>49</v>
      </c>
      <c r="I2554" t="str">
        <f>IF(COUNTIF(Products!$A$2:$A$8,C2554)=0,C2554,"")</f>
        <v/>
      </c>
      <c r="J2554">
        <f>IF(OR(E2554="Prospecting",E2554="Engaging"),VLOOKUP(C2554,Products!$A$2:$C$8,3,FALSE),0)</f>
        <v>0</v>
      </c>
    </row>
    <row r="2555" spans="1:10" x14ac:dyDescent="0.25">
      <c r="A2555" t="s">
        <v>2722</v>
      </c>
      <c r="B2555" t="s">
        <v>222</v>
      </c>
      <c r="C2555" t="s">
        <v>120</v>
      </c>
      <c r="E2555" t="s">
        <v>155</v>
      </c>
      <c r="F2555" s="1">
        <v>42844</v>
      </c>
      <c r="I2555" t="str">
        <f>IF(COUNTIF(Products!$A$2:$A$8,C2555)=0,C2555,"")</f>
        <v/>
      </c>
      <c r="J2555">
        <f>IF(OR(E2555="Prospecting",E2555="Engaging"),VLOOKUP(C2555,Products!$A$2:$C$8,3,FALSE),0)</f>
        <v>550</v>
      </c>
    </row>
    <row r="2556" spans="1:10" x14ac:dyDescent="0.25">
      <c r="A2556" t="s">
        <v>2723</v>
      </c>
      <c r="B2556" t="s">
        <v>222</v>
      </c>
      <c r="C2556" t="s">
        <v>127</v>
      </c>
      <c r="D2556" t="s">
        <v>50</v>
      </c>
      <c r="E2556" t="s">
        <v>138</v>
      </c>
      <c r="F2556" s="1">
        <v>42844</v>
      </c>
      <c r="G2556" s="1">
        <v>42854</v>
      </c>
      <c r="H2556">
        <v>1080</v>
      </c>
      <c r="I2556" t="str">
        <f>IF(COUNTIF(Products!$A$2:$A$8,C2556)=0,C2556,"")</f>
        <v/>
      </c>
      <c r="J2556">
        <f>IF(OR(E2556="Prospecting",E2556="Engaging"),VLOOKUP(C2556,Products!$A$2:$C$8,3,FALSE),0)</f>
        <v>0</v>
      </c>
    </row>
    <row r="2557" spans="1:10" x14ac:dyDescent="0.25">
      <c r="A2557" t="s">
        <v>2724</v>
      </c>
      <c r="B2557" t="s">
        <v>264</v>
      </c>
      <c r="C2557" t="s">
        <v>120</v>
      </c>
      <c r="D2557" t="s">
        <v>51</v>
      </c>
      <c r="E2557" t="s">
        <v>159</v>
      </c>
      <c r="F2557" s="1">
        <v>42844</v>
      </c>
      <c r="G2557" s="1">
        <v>42853</v>
      </c>
      <c r="H2557">
        <v>0</v>
      </c>
      <c r="I2557" t="str">
        <f>IF(COUNTIF(Products!$A$2:$A$8,C2557)=0,C2557,"")</f>
        <v/>
      </c>
      <c r="J2557">
        <f>IF(OR(E2557="Prospecting",E2557="Engaging"),VLOOKUP(C2557,Products!$A$2:$C$8,3,FALSE),0)</f>
        <v>0</v>
      </c>
    </row>
    <row r="2558" spans="1:10" x14ac:dyDescent="0.25">
      <c r="A2558" t="s">
        <v>2725</v>
      </c>
      <c r="B2558" t="s">
        <v>264</v>
      </c>
      <c r="C2558" t="s">
        <v>123</v>
      </c>
      <c r="D2558" t="s">
        <v>70</v>
      </c>
      <c r="E2558" t="s">
        <v>138</v>
      </c>
      <c r="F2558" s="1">
        <v>42844</v>
      </c>
      <c r="G2558" s="1">
        <v>42845</v>
      </c>
      <c r="H2558">
        <v>55</v>
      </c>
      <c r="I2558" t="str">
        <f>IF(COUNTIF(Products!$A$2:$A$8,C2558)=0,C2558,"")</f>
        <v/>
      </c>
      <c r="J2558">
        <f>IF(OR(E2558="Prospecting",E2558="Engaging"),VLOOKUP(C2558,Products!$A$2:$C$8,3,FALSE),0)</f>
        <v>0</v>
      </c>
    </row>
    <row r="2559" spans="1:10" x14ac:dyDescent="0.25">
      <c r="A2559" t="s">
        <v>2726</v>
      </c>
      <c r="B2559" t="s">
        <v>239</v>
      </c>
      <c r="C2559" t="s">
        <v>120</v>
      </c>
      <c r="E2559" t="s">
        <v>155</v>
      </c>
      <c r="F2559" s="1">
        <v>42844</v>
      </c>
      <c r="I2559" t="str">
        <f>IF(COUNTIF(Products!$A$2:$A$8,C2559)=0,C2559,"")</f>
        <v/>
      </c>
      <c r="J2559">
        <f>IF(OR(E2559="Prospecting",E2559="Engaging"),VLOOKUP(C2559,Products!$A$2:$C$8,3,FALSE),0)</f>
        <v>550</v>
      </c>
    </row>
    <row r="2560" spans="1:10" x14ac:dyDescent="0.25">
      <c r="A2560" t="s">
        <v>2727</v>
      </c>
      <c r="B2560" t="s">
        <v>171</v>
      </c>
      <c r="C2560" t="s">
        <v>127</v>
      </c>
      <c r="D2560" t="s">
        <v>7</v>
      </c>
      <c r="E2560" t="s">
        <v>138</v>
      </c>
      <c r="F2560" s="1">
        <v>42844</v>
      </c>
      <c r="G2560" s="1">
        <v>42877</v>
      </c>
      <c r="H2560">
        <v>1282</v>
      </c>
      <c r="I2560" t="str">
        <f>IF(COUNTIF(Products!$A$2:$A$8,C2560)=0,C2560,"")</f>
        <v/>
      </c>
      <c r="J2560">
        <f>IF(OR(E2560="Prospecting",E2560="Engaging"),VLOOKUP(C2560,Products!$A$2:$C$8,3,FALSE),0)</f>
        <v>0</v>
      </c>
    </row>
    <row r="2561" spans="1:10" x14ac:dyDescent="0.25">
      <c r="A2561" t="s">
        <v>2728</v>
      </c>
      <c r="B2561" t="s">
        <v>173</v>
      </c>
      <c r="C2561" t="s">
        <v>128</v>
      </c>
      <c r="D2561" t="s">
        <v>72</v>
      </c>
      <c r="E2561" t="s">
        <v>138</v>
      </c>
      <c r="F2561" s="1">
        <v>42844</v>
      </c>
      <c r="G2561" s="1">
        <v>42845</v>
      </c>
      <c r="H2561">
        <v>23746</v>
      </c>
      <c r="I2561" t="str">
        <f>IF(COUNTIF(Products!$A$2:$A$8,C2561)=0,C2561,"")</f>
        <v/>
      </c>
      <c r="J2561">
        <f>IF(OR(E2561="Prospecting",E2561="Engaging"),VLOOKUP(C2561,Products!$A$2:$C$8,3,FALSE),0)</f>
        <v>0</v>
      </c>
    </row>
    <row r="2562" spans="1:10" x14ac:dyDescent="0.25">
      <c r="A2562" t="s">
        <v>2729</v>
      </c>
      <c r="B2562" t="s">
        <v>198</v>
      </c>
      <c r="C2562" t="s">
        <v>120</v>
      </c>
      <c r="D2562" t="s">
        <v>25</v>
      </c>
      <c r="E2562" t="s">
        <v>159</v>
      </c>
      <c r="F2562" s="1">
        <v>42844</v>
      </c>
      <c r="G2562" s="1">
        <v>42853</v>
      </c>
      <c r="H2562">
        <v>0</v>
      </c>
      <c r="I2562" t="str">
        <f>IF(COUNTIF(Products!$A$2:$A$8,C2562)=0,C2562,"")</f>
        <v/>
      </c>
      <c r="J2562">
        <f>IF(OR(E2562="Prospecting",E2562="Engaging"),VLOOKUP(C2562,Products!$A$2:$C$8,3,FALSE),0)</f>
        <v>0</v>
      </c>
    </row>
    <row r="2563" spans="1:10" x14ac:dyDescent="0.25">
      <c r="A2563" t="s">
        <v>2730</v>
      </c>
      <c r="B2563" t="s">
        <v>164</v>
      </c>
      <c r="C2563" t="s">
        <v>125</v>
      </c>
      <c r="E2563" t="s">
        <v>155</v>
      </c>
      <c r="F2563" s="1">
        <v>42844</v>
      </c>
      <c r="I2563" t="str">
        <f>IF(COUNTIF(Products!$A$2:$A$8,C2563)=0,C2563,"")</f>
        <v/>
      </c>
      <c r="J2563">
        <f>IF(OR(E2563="Prospecting",E2563="Engaging"),VLOOKUP(C2563,Products!$A$2:$C$8,3,FALSE),0)</f>
        <v>3393</v>
      </c>
    </row>
    <row r="2564" spans="1:10" x14ac:dyDescent="0.25">
      <c r="A2564" t="s">
        <v>2731</v>
      </c>
      <c r="B2564" t="s">
        <v>154</v>
      </c>
      <c r="C2564" t="s">
        <v>120</v>
      </c>
      <c r="D2564" t="s">
        <v>34</v>
      </c>
      <c r="E2564" t="s">
        <v>159</v>
      </c>
      <c r="F2564" s="1">
        <v>42844</v>
      </c>
      <c r="G2564" s="1">
        <v>42856</v>
      </c>
      <c r="H2564">
        <v>0</v>
      </c>
      <c r="I2564" t="str">
        <f>IF(COUNTIF(Products!$A$2:$A$8,C2564)=0,C2564,"")</f>
        <v/>
      </c>
      <c r="J2564">
        <f>IF(OR(E2564="Prospecting",E2564="Engaging"),VLOOKUP(C2564,Products!$A$2:$C$8,3,FALSE),0)</f>
        <v>0</v>
      </c>
    </row>
    <row r="2565" spans="1:10" x14ac:dyDescent="0.25">
      <c r="A2565" t="s">
        <v>2732</v>
      </c>
      <c r="B2565" t="s">
        <v>180</v>
      </c>
      <c r="C2565" t="s">
        <v>120</v>
      </c>
      <c r="D2565" t="s">
        <v>47</v>
      </c>
      <c r="E2565" t="s">
        <v>159</v>
      </c>
      <c r="F2565" s="1">
        <v>42844</v>
      </c>
      <c r="G2565" s="1">
        <v>42963</v>
      </c>
      <c r="H2565">
        <v>0</v>
      </c>
      <c r="I2565" t="str">
        <f>IF(COUNTIF(Products!$A$2:$A$8,C2565)=0,C2565,"")</f>
        <v/>
      </c>
      <c r="J2565">
        <f>IF(OR(E2565="Prospecting",E2565="Engaging"),VLOOKUP(C2565,Products!$A$2:$C$8,3,FALSE),0)</f>
        <v>0</v>
      </c>
    </row>
    <row r="2566" spans="1:10" x14ac:dyDescent="0.25">
      <c r="A2566" t="s">
        <v>2733</v>
      </c>
      <c r="B2566" t="s">
        <v>217</v>
      </c>
      <c r="C2566" t="s">
        <v>125</v>
      </c>
      <c r="D2566" t="s">
        <v>96</v>
      </c>
      <c r="E2566" t="s">
        <v>159</v>
      </c>
      <c r="F2566" s="1">
        <v>42844</v>
      </c>
      <c r="G2566" s="1">
        <v>42846</v>
      </c>
      <c r="H2566">
        <v>0</v>
      </c>
      <c r="I2566" t="str">
        <f>IF(COUNTIF(Products!$A$2:$A$8,C2566)=0,C2566,"")</f>
        <v/>
      </c>
      <c r="J2566">
        <f>IF(OR(E2566="Prospecting",E2566="Engaging"),VLOOKUP(C2566,Products!$A$2:$C$8,3,FALSE),0)</f>
        <v>0</v>
      </c>
    </row>
    <row r="2567" spans="1:10" x14ac:dyDescent="0.25">
      <c r="A2567" t="s">
        <v>2734</v>
      </c>
      <c r="B2567" t="s">
        <v>162</v>
      </c>
      <c r="C2567" t="s">
        <v>127</v>
      </c>
      <c r="D2567" t="s">
        <v>23</v>
      </c>
      <c r="E2567" t="s">
        <v>159</v>
      </c>
      <c r="F2567" s="1">
        <v>42844</v>
      </c>
      <c r="G2567" s="1">
        <v>42852</v>
      </c>
      <c r="H2567">
        <v>0</v>
      </c>
      <c r="I2567" t="str">
        <f>IF(COUNTIF(Products!$A$2:$A$8,C2567)=0,C2567,"")</f>
        <v/>
      </c>
      <c r="J2567">
        <f>IF(OR(E2567="Prospecting",E2567="Engaging"),VLOOKUP(C2567,Products!$A$2:$C$8,3,FALSE),0)</f>
        <v>0</v>
      </c>
    </row>
    <row r="2568" spans="1:10" x14ac:dyDescent="0.25">
      <c r="A2568" t="s">
        <v>2735</v>
      </c>
      <c r="B2568" t="s">
        <v>152</v>
      </c>
      <c r="C2568" t="s">
        <v>120</v>
      </c>
      <c r="D2568" t="s">
        <v>22</v>
      </c>
      <c r="E2568" t="s">
        <v>159</v>
      </c>
      <c r="F2568" s="1">
        <v>42844</v>
      </c>
      <c r="G2568" s="1">
        <v>42846</v>
      </c>
      <c r="H2568">
        <v>0</v>
      </c>
      <c r="I2568" t="str">
        <f>IF(COUNTIF(Products!$A$2:$A$8,C2568)=0,C2568,"")</f>
        <v/>
      </c>
      <c r="J2568">
        <f>IF(OR(E2568="Prospecting",E2568="Engaging"),VLOOKUP(C2568,Products!$A$2:$C$8,3,FALSE),0)</f>
        <v>0</v>
      </c>
    </row>
    <row r="2569" spans="1:10" x14ac:dyDescent="0.25">
      <c r="A2569" t="s">
        <v>2736</v>
      </c>
      <c r="B2569" t="s">
        <v>193</v>
      </c>
      <c r="C2569" t="s">
        <v>123</v>
      </c>
      <c r="D2569" t="s">
        <v>81</v>
      </c>
      <c r="E2569" t="s">
        <v>159</v>
      </c>
      <c r="F2569" s="1">
        <v>42844</v>
      </c>
      <c r="G2569" s="1">
        <v>42845</v>
      </c>
      <c r="H2569">
        <v>0</v>
      </c>
      <c r="I2569" t="str">
        <f>IF(COUNTIF(Products!$A$2:$A$8,C2569)=0,C2569,"")</f>
        <v/>
      </c>
      <c r="J2569">
        <f>IF(OR(E2569="Prospecting",E2569="Engaging"),VLOOKUP(C2569,Products!$A$2:$C$8,3,FALSE),0)</f>
        <v>0</v>
      </c>
    </row>
    <row r="2570" spans="1:10" x14ac:dyDescent="0.25">
      <c r="A2570" t="s">
        <v>2737</v>
      </c>
      <c r="B2570" t="s">
        <v>193</v>
      </c>
      <c r="C2570" t="s">
        <v>123</v>
      </c>
      <c r="D2570" t="s">
        <v>81</v>
      </c>
      <c r="E2570" t="s">
        <v>138</v>
      </c>
      <c r="F2570" s="1">
        <v>42844</v>
      </c>
      <c r="G2570" s="1">
        <v>42852</v>
      </c>
      <c r="H2570">
        <v>61</v>
      </c>
      <c r="I2570" t="str">
        <f>IF(COUNTIF(Products!$A$2:$A$8,C2570)=0,C2570,"")</f>
        <v/>
      </c>
      <c r="J2570">
        <f>IF(OR(E2570="Prospecting",E2570="Engaging"),VLOOKUP(C2570,Products!$A$2:$C$8,3,FALSE),0)</f>
        <v>0</v>
      </c>
    </row>
    <row r="2571" spans="1:10" x14ac:dyDescent="0.25">
      <c r="A2571" t="s">
        <v>2738</v>
      </c>
      <c r="B2571" t="s">
        <v>166</v>
      </c>
      <c r="C2571" t="s">
        <v>123</v>
      </c>
      <c r="D2571" t="s">
        <v>66</v>
      </c>
      <c r="E2571" t="s">
        <v>159</v>
      </c>
      <c r="F2571" s="1">
        <v>42844</v>
      </c>
      <c r="G2571" s="1">
        <v>42855</v>
      </c>
      <c r="H2571">
        <v>0</v>
      </c>
      <c r="I2571" t="str">
        <f>IF(COUNTIF(Products!$A$2:$A$8,C2571)=0,C2571,"")</f>
        <v/>
      </c>
      <c r="J2571">
        <f>IF(OR(E2571="Prospecting",E2571="Engaging"),VLOOKUP(C2571,Products!$A$2:$C$8,3,FALSE),0)</f>
        <v>0</v>
      </c>
    </row>
    <row r="2572" spans="1:10" x14ac:dyDescent="0.25">
      <c r="A2572" t="s">
        <v>2739</v>
      </c>
      <c r="B2572" t="s">
        <v>166</v>
      </c>
      <c r="C2572" t="s">
        <v>120</v>
      </c>
      <c r="D2572" t="s">
        <v>56</v>
      </c>
      <c r="E2572" t="s">
        <v>138</v>
      </c>
      <c r="F2572" s="1">
        <v>42844</v>
      </c>
      <c r="G2572" s="1">
        <v>42853</v>
      </c>
      <c r="H2572">
        <v>600</v>
      </c>
      <c r="I2572" t="str">
        <f>IF(COUNTIF(Products!$A$2:$A$8,C2572)=0,C2572,"")</f>
        <v/>
      </c>
      <c r="J2572">
        <f>IF(OR(E2572="Prospecting",E2572="Engaging"),VLOOKUP(C2572,Products!$A$2:$C$8,3,FALSE),0)</f>
        <v>0</v>
      </c>
    </row>
    <row r="2573" spans="1:10" x14ac:dyDescent="0.25">
      <c r="A2573" t="s">
        <v>2740</v>
      </c>
      <c r="B2573" t="s">
        <v>187</v>
      </c>
      <c r="C2573" t="s">
        <v>122</v>
      </c>
      <c r="D2573" t="s">
        <v>10</v>
      </c>
      <c r="E2573" t="s">
        <v>155</v>
      </c>
      <c r="F2573" s="1">
        <v>42844</v>
      </c>
      <c r="I2573" t="str">
        <f>IF(COUNTIF(Products!$A$2:$A$8,C2573)=0,C2573,"")</f>
        <v/>
      </c>
      <c r="J2573">
        <f>IF(OR(E2573="Prospecting",E2573="Engaging"),VLOOKUP(C2573,Products!$A$2:$C$8,3,FALSE),0)</f>
        <v>4821</v>
      </c>
    </row>
    <row r="2574" spans="1:10" x14ac:dyDescent="0.25">
      <c r="A2574" t="s">
        <v>2741</v>
      </c>
      <c r="B2574" t="s">
        <v>187</v>
      </c>
      <c r="C2574" t="s">
        <v>126</v>
      </c>
      <c r="D2574" t="s">
        <v>81</v>
      </c>
      <c r="E2574" t="s">
        <v>138</v>
      </c>
      <c r="F2574" s="1">
        <v>42844</v>
      </c>
      <c r="G2574" s="1">
        <v>42845</v>
      </c>
      <c r="H2574">
        <v>5805</v>
      </c>
      <c r="I2574" t="str">
        <f>IF(COUNTIF(Products!$A$2:$A$8,C2574)=0,C2574,"")</f>
        <v/>
      </c>
      <c r="J2574">
        <f>IF(OR(E2574="Prospecting",E2574="Engaging"),VLOOKUP(C2574,Products!$A$2:$C$8,3,FALSE),0)</f>
        <v>0</v>
      </c>
    </row>
    <row r="2575" spans="1:10" x14ac:dyDescent="0.25">
      <c r="A2575" t="s">
        <v>2742</v>
      </c>
      <c r="B2575" t="s">
        <v>169</v>
      </c>
      <c r="C2575" t="s">
        <v>123</v>
      </c>
      <c r="D2575" t="s">
        <v>61</v>
      </c>
      <c r="E2575" t="s">
        <v>138</v>
      </c>
      <c r="F2575" s="1">
        <v>42844</v>
      </c>
      <c r="G2575" s="1">
        <v>42913</v>
      </c>
      <c r="H2575">
        <v>58</v>
      </c>
      <c r="I2575" t="str">
        <f>IF(COUNTIF(Products!$A$2:$A$8,C2575)=0,C2575,"")</f>
        <v/>
      </c>
      <c r="J2575">
        <f>IF(OR(E2575="Prospecting",E2575="Engaging"),VLOOKUP(C2575,Products!$A$2:$C$8,3,FALSE),0)</f>
        <v>0</v>
      </c>
    </row>
    <row r="2576" spans="1:10" x14ac:dyDescent="0.25">
      <c r="A2576" t="s">
        <v>2743</v>
      </c>
      <c r="B2576" t="s">
        <v>169</v>
      </c>
      <c r="C2576" t="s">
        <v>123</v>
      </c>
      <c r="D2576" t="s">
        <v>91</v>
      </c>
      <c r="E2576" t="s">
        <v>138</v>
      </c>
      <c r="F2576" s="1">
        <v>42844</v>
      </c>
      <c r="G2576" s="1">
        <v>42950</v>
      </c>
      <c r="H2576">
        <v>52</v>
      </c>
      <c r="I2576" t="str">
        <f>IF(COUNTIF(Products!$A$2:$A$8,C2576)=0,C2576,"")</f>
        <v/>
      </c>
      <c r="J2576">
        <f>IF(OR(E2576="Prospecting",E2576="Engaging"),VLOOKUP(C2576,Products!$A$2:$C$8,3,FALSE),0)</f>
        <v>0</v>
      </c>
    </row>
    <row r="2577" spans="1:10" x14ac:dyDescent="0.25">
      <c r="A2577" t="s">
        <v>2744</v>
      </c>
      <c r="B2577" t="s">
        <v>177</v>
      </c>
      <c r="C2577" t="s">
        <v>123</v>
      </c>
      <c r="D2577" t="s">
        <v>50</v>
      </c>
      <c r="E2577" t="s">
        <v>159</v>
      </c>
      <c r="F2577" s="1">
        <v>42844</v>
      </c>
      <c r="G2577" s="1">
        <v>42846</v>
      </c>
      <c r="H2577">
        <v>0</v>
      </c>
      <c r="I2577" t="str">
        <f>IF(COUNTIF(Products!$A$2:$A$8,C2577)=0,C2577,"")</f>
        <v/>
      </c>
      <c r="J2577">
        <f>IF(OR(E2577="Prospecting",E2577="Engaging"),VLOOKUP(C2577,Products!$A$2:$C$8,3,FALSE),0)</f>
        <v>0</v>
      </c>
    </row>
    <row r="2578" spans="1:10" x14ac:dyDescent="0.25">
      <c r="A2578" t="s">
        <v>2745</v>
      </c>
      <c r="B2578" t="s">
        <v>144</v>
      </c>
      <c r="C2578" t="s">
        <v>120</v>
      </c>
      <c r="D2578" t="s">
        <v>61</v>
      </c>
      <c r="E2578" t="s">
        <v>155</v>
      </c>
      <c r="F2578" s="1">
        <v>42844</v>
      </c>
      <c r="I2578" t="str">
        <f>IF(COUNTIF(Products!$A$2:$A$8,C2578)=0,C2578,"")</f>
        <v/>
      </c>
      <c r="J2578">
        <f>IF(OR(E2578="Prospecting",E2578="Engaging"),VLOOKUP(C2578,Products!$A$2:$C$8,3,FALSE),0)</f>
        <v>550</v>
      </c>
    </row>
    <row r="2579" spans="1:10" x14ac:dyDescent="0.25">
      <c r="A2579" t="s">
        <v>2746</v>
      </c>
      <c r="B2579" t="s">
        <v>222</v>
      </c>
      <c r="C2579" t="s">
        <v>123</v>
      </c>
      <c r="D2579" t="s">
        <v>92</v>
      </c>
      <c r="E2579" t="s">
        <v>138</v>
      </c>
      <c r="F2579" s="1">
        <v>42845</v>
      </c>
      <c r="G2579" s="1">
        <v>42902</v>
      </c>
      <c r="H2579">
        <v>55</v>
      </c>
      <c r="I2579" t="str">
        <f>IF(COUNTIF(Products!$A$2:$A$8,C2579)=0,C2579,"")</f>
        <v/>
      </c>
      <c r="J2579">
        <f>IF(OR(E2579="Prospecting",E2579="Engaging"),VLOOKUP(C2579,Products!$A$2:$C$8,3,FALSE),0)</f>
        <v>0</v>
      </c>
    </row>
    <row r="2580" spans="1:10" x14ac:dyDescent="0.25">
      <c r="A2580" t="s">
        <v>2747</v>
      </c>
      <c r="B2580" t="s">
        <v>207</v>
      </c>
      <c r="C2580" t="s">
        <v>127</v>
      </c>
      <c r="D2580" t="s">
        <v>7</v>
      </c>
      <c r="E2580" t="s">
        <v>138</v>
      </c>
      <c r="F2580" s="1">
        <v>42845</v>
      </c>
      <c r="G2580" s="1">
        <v>42957</v>
      </c>
      <c r="H2580">
        <v>1161</v>
      </c>
      <c r="I2580" t="str">
        <f>IF(COUNTIF(Products!$A$2:$A$8,C2580)=0,C2580,"")</f>
        <v/>
      </c>
      <c r="J2580">
        <f>IF(OR(E2580="Prospecting",E2580="Engaging"),VLOOKUP(C2580,Products!$A$2:$C$8,3,FALSE),0)</f>
        <v>0</v>
      </c>
    </row>
    <row r="2581" spans="1:10" x14ac:dyDescent="0.25">
      <c r="A2581" t="s">
        <v>2748</v>
      </c>
      <c r="B2581" t="s">
        <v>207</v>
      </c>
      <c r="C2581" t="s">
        <v>122</v>
      </c>
      <c r="D2581" t="s">
        <v>84</v>
      </c>
      <c r="E2581" t="s">
        <v>138</v>
      </c>
      <c r="F2581" s="1">
        <v>42845</v>
      </c>
      <c r="G2581" s="1">
        <v>42850</v>
      </c>
      <c r="H2581">
        <v>5091</v>
      </c>
      <c r="I2581" t="str">
        <f>IF(COUNTIF(Products!$A$2:$A$8,C2581)=0,C2581,"")</f>
        <v/>
      </c>
      <c r="J2581">
        <f>IF(OR(E2581="Prospecting",E2581="Engaging"),VLOOKUP(C2581,Products!$A$2:$C$8,3,FALSE),0)</f>
        <v>0</v>
      </c>
    </row>
    <row r="2582" spans="1:10" x14ac:dyDescent="0.25">
      <c r="A2582" t="s">
        <v>2749</v>
      </c>
      <c r="B2582" t="s">
        <v>207</v>
      </c>
      <c r="C2582" t="s">
        <v>123</v>
      </c>
      <c r="D2582" t="s">
        <v>35</v>
      </c>
      <c r="E2582" t="s">
        <v>138</v>
      </c>
      <c r="F2582" s="1">
        <v>42845</v>
      </c>
      <c r="G2582" s="1">
        <v>42847</v>
      </c>
      <c r="H2582">
        <v>59</v>
      </c>
      <c r="I2582" t="str">
        <f>IF(COUNTIF(Products!$A$2:$A$8,C2582)=0,C2582,"")</f>
        <v/>
      </c>
      <c r="J2582">
        <f>IF(OR(E2582="Prospecting",E2582="Engaging"),VLOOKUP(C2582,Products!$A$2:$C$8,3,FALSE),0)</f>
        <v>0</v>
      </c>
    </row>
    <row r="2583" spans="1:10" x14ac:dyDescent="0.25">
      <c r="A2583" t="s">
        <v>2750</v>
      </c>
      <c r="B2583" t="s">
        <v>239</v>
      </c>
      <c r="C2583" t="s">
        <v>126</v>
      </c>
      <c r="D2583" t="s">
        <v>84</v>
      </c>
      <c r="E2583" t="s">
        <v>159</v>
      </c>
      <c r="F2583" s="1">
        <v>42845</v>
      </c>
      <c r="G2583" s="1">
        <v>42856</v>
      </c>
      <c r="H2583">
        <v>0</v>
      </c>
      <c r="I2583" t="str">
        <f>IF(COUNTIF(Products!$A$2:$A$8,C2583)=0,C2583,"")</f>
        <v/>
      </c>
      <c r="J2583">
        <f>IF(OR(E2583="Prospecting",E2583="Engaging"),VLOOKUP(C2583,Products!$A$2:$C$8,3,FALSE),0)</f>
        <v>0</v>
      </c>
    </row>
    <row r="2584" spans="1:10" x14ac:dyDescent="0.25">
      <c r="A2584" t="s">
        <v>2751</v>
      </c>
      <c r="B2584" t="s">
        <v>171</v>
      </c>
      <c r="C2584" t="s">
        <v>120</v>
      </c>
      <c r="D2584" t="s">
        <v>80</v>
      </c>
      <c r="E2584" t="s">
        <v>159</v>
      </c>
      <c r="F2584" s="1">
        <v>42845</v>
      </c>
      <c r="G2584" s="1">
        <v>42847</v>
      </c>
      <c r="H2584">
        <v>0</v>
      </c>
      <c r="I2584" t="str">
        <f>IF(COUNTIF(Products!$A$2:$A$8,C2584)=0,C2584,"")</f>
        <v/>
      </c>
      <c r="J2584">
        <f>IF(OR(E2584="Prospecting",E2584="Engaging"),VLOOKUP(C2584,Products!$A$2:$C$8,3,FALSE),0)</f>
        <v>0</v>
      </c>
    </row>
    <row r="2585" spans="1:10" x14ac:dyDescent="0.25">
      <c r="A2585" t="s">
        <v>2752</v>
      </c>
      <c r="B2585" t="s">
        <v>140</v>
      </c>
      <c r="C2585" t="s">
        <v>122</v>
      </c>
      <c r="D2585" t="s">
        <v>55</v>
      </c>
      <c r="E2585" t="s">
        <v>159</v>
      </c>
      <c r="F2585" s="1">
        <v>42845</v>
      </c>
      <c r="G2585" s="1">
        <v>42855</v>
      </c>
      <c r="H2585">
        <v>0</v>
      </c>
      <c r="I2585" t="str">
        <f>IF(COUNTIF(Products!$A$2:$A$8,C2585)=0,C2585,"")</f>
        <v/>
      </c>
      <c r="J2585">
        <f>IF(OR(E2585="Prospecting",E2585="Engaging"),VLOOKUP(C2585,Products!$A$2:$C$8,3,FALSE),0)</f>
        <v>0</v>
      </c>
    </row>
    <row r="2586" spans="1:10" x14ac:dyDescent="0.25">
      <c r="A2586" t="s">
        <v>2753</v>
      </c>
      <c r="B2586" t="s">
        <v>140</v>
      </c>
      <c r="C2586" t="s">
        <v>120</v>
      </c>
      <c r="D2586" t="s">
        <v>89</v>
      </c>
      <c r="E2586" t="s">
        <v>138</v>
      </c>
      <c r="F2586" s="1">
        <v>42845</v>
      </c>
      <c r="G2586" s="1">
        <v>42853</v>
      </c>
      <c r="H2586">
        <v>549</v>
      </c>
      <c r="I2586" t="str">
        <f>IF(COUNTIF(Products!$A$2:$A$8,C2586)=0,C2586,"")</f>
        <v/>
      </c>
      <c r="J2586">
        <f>IF(OR(E2586="Prospecting",E2586="Engaging"),VLOOKUP(C2586,Products!$A$2:$C$8,3,FALSE),0)</f>
        <v>0</v>
      </c>
    </row>
    <row r="2587" spans="1:10" x14ac:dyDescent="0.25">
      <c r="A2587" t="s">
        <v>2754</v>
      </c>
      <c r="B2587" t="s">
        <v>224</v>
      </c>
      <c r="C2587" t="s">
        <v>127</v>
      </c>
      <c r="D2587" t="s">
        <v>111</v>
      </c>
      <c r="E2587" t="s">
        <v>159</v>
      </c>
      <c r="F2587" s="1">
        <v>42845</v>
      </c>
      <c r="G2587" s="1">
        <v>42849</v>
      </c>
      <c r="H2587">
        <v>0</v>
      </c>
      <c r="I2587" t="str">
        <f>IF(COUNTIF(Products!$A$2:$A$8,C2587)=0,C2587,"")</f>
        <v/>
      </c>
      <c r="J2587">
        <f>IF(OR(E2587="Prospecting",E2587="Engaging"),VLOOKUP(C2587,Products!$A$2:$C$8,3,FALSE),0)</f>
        <v>0</v>
      </c>
    </row>
    <row r="2588" spans="1:10" x14ac:dyDescent="0.25">
      <c r="A2588" t="s">
        <v>2755</v>
      </c>
      <c r="B2588" t="s">
        <v>173</v>
      </c>
      <c r="C2588" t="s">
        <v>128</v>
      </c>
      <c r="D2588" t="s">
        <v>82</v>
      </c>
      <c r="E2588" t="s">
        <v>138</v>
      </c>
      <c r="F2588" s="1">
        <v>42845</v>
      </c>
      <c r="G2588" s="1">
        <v>42914</v>
      </c>
      <c r="H2588">
        <v>24949</v>
      </c>
      <c r="I2588" t="str">
        <f>IF(COUNTIF(Products!$A$2:$A$8,C2588)=0,C2588,"")</f>
        <v/>
      </c>
      <c r="J2588">
        <f>IF(OR(E2588="Prospecting",E2588="Engaging"),VLOOKUP(C2588,Products!$A$2:$C$8,3,FALSE),0)</f>
        <v>0</v>
      </c>
    </row>
    <row r="2589" spans="1:10" x14ac:dyDescent="0.25">
      <c r="A2589" t="s">
        <v>2756</v>
      </c>
      <c r="B2589" t="s">
        <v>158</v>
      </c>
      <c r="C2589" t="s">
        <v>127</v>
      </c>
      <c r="D2589" t="s">
        <v>51</v>
      </c>
      <c r="E2589" t="s">
        <v>159</v>
      </c>
      <c r="F2589" s="1">
        <v>42845</v>
      </c>
      <c r="G2589" s="1">
        <v>42857</v>
      </c>
      <c r="H2589">
        <v>0</v>
      </c>
      <c r="I2589" t="str">
        <f>IF(COUNTIF(Products!$A$2:$A$8,C2589)=0,C2589,"")</f>
        <v/>
      </c>
      <c r="J2589">
        <f>IF(OR(E2589="Prospecting",E2589="Engaging"),VLOOKUP(C2589,Products!$A$2:$C$8,3,FALSE),0)</f>
        <v>0</v>
      </c>
    </row>
    <row r="2590" spans="1:10" x14ac:dyDescent="0.25">
      <c r="A2590" t="s">
        <v>2757</v>
      </c>
      <c r="B2590" t="s">
        <v>154</v>
      </c>
      <c r="C2590" t="s">
        <v>122</v>
      </c>
      <c r="D2590" t="s">
        <v>78</v>
      </c>
      <c r="E2590" t="s">
        <v>159</v>
      </c>
      <c r="F2590" s="1">
        <v>42845</v>
      </c>
      <c r="G2590" s="1">
        <v>42864</v>
      </c>
      <c r="H2590">
        <v>0</v>
      </c>
      <c r="I2590" t="str">
        <f>IF(COUNTIF(Products!$A$2:$A$8,C2590)=0,C2590,"")</f>
        <v/>
      </c>
      <c r="J2590">
        <f>IF(OR(E2590="Prospecting",E2590="Engaging"),VLOOKUP(C2590,Products!$A$2:$C$8,3,FALSE),0)</f>
        <v>0</v>
      </c>
    </row>
    <row r="2591" spans="1:10" x14ac:dyDescent="0.25">
      <c r="A2591" t="s">
        <v>2758</v>
      </c>
      <c r="B2591" t="s">
        <v>154</v>
      </c>
      <c r="C2591" t="s">
        <v>126</v>
      </c>
      <c r="D2591" t="s">
        <v>38</v>
      </c>
      <c r="E2591" t="s">
        <v>138</v>
      </c>
      <c r="F2591" s="1">
        <v>42845</v>
      </c>
      <c r="G2591" s="1">
        <v>42857</v>
      </c>
      <c r="H2591">
        <v>4985</v>
      </c>
      <c r="I2591" t="str">
        <f>IF(COUNTIF(Products!$A$2:$A$8,C2591)=0,C2591,"")</f>
        <v/>
      </c>
      <c r="J2591">
        <f>IF(OR(E2591="Prospecting",E2591="Engaging"),VLOOKUP(C2591,Products!$A$2:$C$8,3,FALSE),0)</f>
        <v>0</v>
      </c>
    </row>
    <row r="2592" spans="1:10" x14ac:dyDescent="0.25">
      <c r="A2592" t="s">
        <v>2759</v>
      </c>
      <c r="B2592" t="s">
        <v>303</v>
      </c>
      <c r="C2592" t="s">
        <v>120</v>
      </c>
      <c r="D2592" t="s">
        <v>103</v>
      </c>
      <c r="E2592" t="s">
        <v>159</v>
      </c>
      <c r="F2592" s="1">
        <v>42845</v>
      </c>
      <c r="G2592" s="1">
        <v>42847</v>
      </c>
      <c r="H2592">
        <v>0</v>
      </c>
      <c r="I2592" t="str">
        <f>IF(COUNTIF(Products!$A$2:$A$8,C2592)=0,C2592,"")</f>
        <v/>
      </c>
      <c r="J2592">
        <f>IF(OR(E2592="Prospecting",E2592="Engaging"),VLOOKUP(C2592,Products!$A$2:$C$8,3,FALSE),0)</f>
        <v>0</v>
      </c>
    </row>
    <row r="2593" spans="1:10" x14ac:dyDescent="0.25">
      <c r="A2593" t="s">
        <v>2760</v>
      </c>
      <c r="B2593" t="s">
        <v>303</v>
      </c>
      <c r="C2593" t="s">
        <v>120</v>
      </c>
      <c r="D2593" t="s">
        <v>28</v>
      </c>
      <c r="E2593" t="s">
        <v>138</v>
      </c>
      <c r="F2593" s="1">
        <v>42845</v>
      </c>
      <c r="G2593" s="1">
        <v>42854</v>
      </c>
      <c r="H2593">
        <v>657</v>
      </c>
      <c r="I2593" t="str">
        <f>IF(COUNTIF(Products!$A$2:$A$8,C2593)=0,C2593,"")</f>
        <v/>
      </c>
      <c r="J2593">
        <f>IF(OR(E2593="Prospecting",E2593="Engaging"),VLOOKUP(C2593,Products!$A$2:$C$8,3,FALSE),0)</f>
        <v>0</v>
      </c>
    </row>
    <row r="2594" spans="1:10" x14ac:dyDescent="0.25">
      <c r="A2594" t="s">
        <v>2761</v>
      </c>
      <c r="B2594" t="s">
        <v>303</v>
      </c>
      <c r="C2594" t="s">
        <v>120</v>
      </c>
      <c r="D2594" t="s">
        <v>96</v>
      </c>
      <c r="E2594" t="s">
        <v>138</v>
      </c>
      <c r="F2594" s="1">
        <v>42845</v>
      </c>
      <c r="G2594" s="1">
        <v>42916</v>
      </c>
      <c r="H2594">
        <v>628</v>
      </c>
      <c r="I2594" t="str">
        <f>IF(COUNTIF(Products!$A$2:$A$8,C2594)=0,C2594,"")</f>
        <v/>
      </c>
      <c r="J2594">
        <f>IF(OR(E2594="Prospecting",E2594="Engaging"),VLOOKUP(C2594,Products!$A$2:$C$8,3,FALSE),0)</f>
        <v>0</v>
      </c>
    </row>
    <row r="2595" spans="1:10" x14ac:dyDescent="0.25">
      <c r="A2595" t="s">
        <v>2762</v>
      </c>
      <c r="B2595" t="s">
        <v>303</v>
      </c>
      <c r="C2595" t="s">
        <v>127</v>
      </c>
      <c r="D2595" t="s">
        <v>28</v>
      </c>
      <c r="E2595" t="s">
        <v>138</v>
      </c>
      <c r="F2595" s="1">
        <v>42845</v>
      </c>
      <c r="G2595" s="1">
        <v>42901</v>
      </c>
      <c r="H2595">
        <v>1183</v>
      </c>
      <c r="I2595" t="str">
        <f>IF(COUNTIF(Products!$A$2:$A$8,C2595)=0,C2595,"")</f>
        <v/>
      </c>
      <c r="J2595">
        <f>IF(OR(E2595="Prospecting",E2595="Engaging"),VLOOKUP(C2595,Products!$A$2:$C$8,3,FALSE),0)</f>
        <v>0</v>
      </c>
    </row>
    <row r="2596" spans="1:10" x14ac:dyDescent="0.25">
      <c r="A2596" t="s">
        <v>2763</v>
      </c>
      <c r="B2596" t="s">
        <v>303</v>
      </c>
      <c r="C2596" t="s">
        <v>126</v>
      </c>
      <c r="D2596" t="s">
        <v>33</v>
      </c>
      <c r="E2596" t="s">
        <v>138</v>
      </c>
      <c r="F2596" s="1">
        <v>42845</v>
      </c>
      <c r="G2596" s="1">
        <v>42950</v>
      </c>
      <c r="H2596">
        <v>5203</v>
      </c>
      <c r="I2596" t="str">
        <f>IF(COUNTIF(Products!$A$2:$A$8,C2596)=0,C2596,"")</f>
        <v/>
      </c>
      <c r="J2596">
        <f>IF(OR(E2596="Prospecting",E2596="Engaging"),VLOOKUP(C2596,Products!$A$2:$C$8,3,FALSE),0)</f>
        <v>0</v>
      </c>
    </row>
    <row r="2597" spans="1:10" x14ac:dyDescent="0.25">
      <c r="A2597" t="s">
        <v>2764</v>
      </c>
      <c r="B2597" t="s">
        <v>303</v>
      </c>
      <c r="C2597" t="s">
        <v>123</v>
      </c>
      <c r="D2597" t="s">
        <v>55</v>
      </c>
      <c r="E2597" t="s">
        <v>138</v>
      </c>
      <c r="F2597" s="1">
        <v>42845</v>
      </c>
      <c r="G2597" s="1">
        <v>42852</v>
      </c>
      <c r="H2597">
        <v>56</v>
      </c>
      <c r="I2597" t="str">
        <f>IF(COUNTIF(Products!$A$2:$A$8,C2597)=0,C2597,"")</f>
        <v/>
      </c>
      <c r="J2597">
        <f>IF(OR(E2597="Prospecting",E2597="Engaging"),VLOOKUP(C2597,Products!$A$2:$C$8,3,FALSE),0)</f>
        <v>0</v>
      </c>
    </row>
    <row r="2598" spans="1:10" x14ac:dyDescent="0.25">
      <c r="A2598" t="s">
        <v>2765</v>
      </c>
      <c r="B2598" t="s">
        <v>180</v>
      </c>
      <c r="C2598" t="s">
        <v>123</v>
      </c>
      <c r="E2598" t="s">
        <v>155</v>
      </c>
      <c r="F2598" s="1">
        <v>42845</v>
      </c>
      <c r="I2598" t="str">
        <f>IF(COUNTIF(Products!$A$2:$A$8,C2598)=0,C2598,"")</f>
        <v/>
      </c>
      <c r="J2598">
        <f>IF(OR(E2598="Prospecting",E2598="Engaging"),VLOOKUP(C2598,Products!$A$2:$C$8,3,FALSE),0)</f>
        <v>55</v>
      </c>
    </row>
    <row r="2599" spans="1:10" x14ac:dyDescent="0.25">
      <c r="A2599" t="s">
        <v>2766</v>
      </c>
      <c r="B2599" t="s">
        <v>180</v>
      </c>
      <c r="C2599" t="s">
        <v>120</v>
      </c>
      <c r="D2599" t="s">
        <v>17</v>
      </c>
      <c r="E2599" t="s">
        <v>138</v>
      </c>
      <c r="F2599" s="1">
        <v>42845</v>
      </c>
      <c r="G2599" s="1">
        <v>42853</v>
      </c>
      <c r="H2599">
        <v>502</v>
      </c>
      <c r="I2599" t="str">
        <f>IF(COUNTIF(Products!$A$2:$A$8,C2599)=0,C2599,"")</f>
        <v/>
      </c>
      <c r="J2599">
        <f>IF(OR(E2599="Prospecting",E2599="Engaging"),VLOOKUP(C2599,Products!$A$2:$C$8,3,FALSE),0)</f>
        <v>0</v>
      </c>
    </row>
    <row r="2600" spans="1:10" x14ac:dyDescent="0.25">
      <c r="A2600" t="s">
        <v>2767</v>
      </c>
      <c r="B2600" t="s">
        <v>191</v>
      </c>
      <c r="C2600" t="s">
        <v>120</v>
      </c>
      <c r="E2600" t="s">
        <v>155</v>
      </c>
      <c r="F2600" s="1">
        <v>42845</v>
      </c>
      <c r="I2600" t="str">
        <f>IF(COUNTIF(Products!$A$2:$A$8,C2600)=0,C2600,"")</f>
        <v/>
      </c>
      <c r="J2600">
        <f>IF(OR(E2600="Prospecting",E2600="Engaging"),VLOOKUP(C2600,Products!$A$2:$C$8,3,FALSE),0)</f>
        <v>550</v>
      </c>
    </row>
    <row r="2601" spans="1:10" x14ac:dyDescent="0.25">
      <c r="A2601" t="s">
        <v>2768</v>
      </c>
      <c r="B2601" t="s">
        <v>191</v>
      </c>
      <c r="C2601" t="s">
        <v>120</v>
      </c>
      <c r="D2601" t="s">
        <v>107</v>
      </c>
      <c r="E2601" t="s">
        <v>138</v>
      </c>
      <c r="F2601" s="1">
        <v>42845</v>
      </c>
      <c r="G2601" s="1">
        <v>42911</v>
      </c>
      <c r="H2601">
        <v>527</v>
      </c>
      <c r="I2601" t="str">
        <f>IF(COUNTIF(Products!$A$2:$A$8,C2601)=0,C2601,"")</f>
        <v/>
      </c>
      <c r="J2601">
        <f>IF(OR(E2601="Prospecting",E2601="Engaging"),VLOOKUP(C2601,Products!$A$2:$C$8,3,FALSE),0)</f>
        <v>0</v>
      </c>
    </row>
    <row r="2602" spans="1:10" x14ac:dyDescent="0.25">
      <c r="A2602" t="s">
        <v>2769</v>
      </c>
      <c r="B2602" t="s">
        <v>150</v>
      </c>
      <c r="C2602" t="s">
        <v>123</v>
      </c>
      <c r="D2602" t="s">
        <v>107</v>
      </c>
      <c r="E2602" t="s">
        <v>159</v>
      </c>
      <c r="F2602" s="1">
        <v>42845</v>
      </c>
      <c r="G2602" s="1">
        <v>42846</v>
      </c>
      <c r="H2602">
        <v>0</v>
      </c>
      <c r="I2602" t="str">
        <f>IF(COUNTIF(Products!$A$2:$A$8,C2602)=0,C2602,"")</f>
        <v/>
      </c>
      <c r="J2602">
        <f>IF(OR(E2602="Prospecting",E2602="Engaging"),VLOOKUP(C2602,Products!$A$2:$C$8,3,FALSE),0)</f>
        <v>0</v>
      </c>
    </row>
    <row r="2603" spans="1:10" x14ac:dyDescent="0.25">
      <c r="A2603" t="s">
        <v>2770</v>
      </c>
      <c r="B2603" t="s">
        <v>205</v>
      </c>
      <c r="C2603" t="s">
        <v>123</v>
      </c>
      <c r="D2603" t="s">
        <v>42</v>
      </c>
      <c r="E2603" t="s">
        <v>138</v>
      </c>
      <c r="F2603" s="1">
        <v>42845</v>
      </c>
      <c r="G2603" s="1">
        <v>42853</v>
      </c>
      <c r="H2603">
        <v>64</v>
      </c>
      <c r="I2603" t="str">
        <f>IF(COUNTIF(Products!$A$2:$A$8,C2603)=0,C2603,"")</f>
        <v/>
      </c>
      <c r="J2603">
        <f>IF(OR(E2603="Prospecting",E2603="Engaging"),VLOOKUP(C2603,Products!$A$2:$C$8,3,FALSE),0)</f>
        <v>0</v>
      </c>
    </row>
    <row r="2604" spans="1:10" x14ac:dyDescent="0.25">
      <c r="A2604" t="s">
        <v>2771</v>
      </c>
      <c r="B2604" t="s">
        <v>162</v>
      </c>
      <c r="C2604" t="s">
        <v>120</v>
      </c>
      <c r="D2604" t="s">
        <v>90</v>
      </c>
      <c r="E2604" t="s">
        <v>138</v>
      </c>
      <c r="F2604" s="1">
        <v>42845</v>
      </c>
      <c r="G2604" s="1">
        <v>42852</v>
      </c>
      <c r="H2604">
        <v>579</v>
      </c>
      <c r="I2604" t="str">
        <f>IF(COUNTIF(Products!$A$2:$A$8,C2604)=0,C2604,"")</f>
        <v/>
      </c>
      <c r="J2604">
        <f>IF(OR(E2604="Prospecting",E2604="Engaging"),VLOOKUP(C2604,Products!$A$2:$C$8,3,FALSE),0)</f>
        <v>0</v>
      </c>
    </row>
    <row r="2605" spans="1:10" x14ac:dyDescent="0.25">
      <c r="A2605" t="s">
        <v>2772</v>
      </c>
      <c r="B2605" t="s">
        <v>162</v>
      </c>
      <c r="C2605" t="s">
        <v>126</v>
      </c>
      <c r="D2605" t="s">
        <v>72</v>
      </c>
      <c r="E2605" t="s">
        <v>138</v>
      </c>
      <c r="F2605" s="1">
        <v>42845</v>
      </c>
      <c r="G2605" s="1">
        <v>42855</v>
      </c>
      <c r="H2605">
        <v>5958</v>
      </c>
      <c r="I2605" t="str">
        <f>IF(COUNTIF(Products!$A$2:$A$8,C2605)=0,C2605,"")</f>
        <v/>
      </c>
      <c r="J2605">
        <f>IF(OR(E2605="Prospecting",E2605="Engaging"),VLOOKUP(C2605,Products!$A$2:$C$8,3,FALSE),0)</f>
        <v>0</v>
      </c>
    </row>
    <row r="2606" spans="1:10" x14ac:dyDescent="0.25">
      <c r="A2606" t="s">
        <v>2773</v>
      </c>
      <c r="B2606" t="s">
        <v>162</v>
      </c>
      <c r="C2606" t="s">
        <v>122</v>
      </c>
      <c r="D2606" t="s">
        <v>90</v>
      </c>
      <c r="E2606" t="s">
        <v>138</v>
      </c>
      <c r="F2606" s="1">
        <v>42845</v>
      </c>
      <c r="G2606" s="1">
        <v>42882</v>
      </c>
      <c r="H2606">
        <v>4543</v>
      </c>
      <c r="I2606" t="str">
        <f>IF(COUNTIF(Products!$A$2:$A$8,C2606)=0,C2606,"")</f>
        <v/>
      </c>
      <c r="J2606">
        <f>IF(OR(E2606="Prospecting",E2606="Engaging"),VLOOKUP(C2606,Products!$A$2:$C$8,3,FALSE),0)</f>
        <v>0</v>
      </c>
    </row>
    <row r="2607" spans="1:10" x14ac:dyDescent="0.25">
      <c r="A2607" t="s">
        <v>2774</v>
      </c>
      <c r="B2607" t="s">
        <v>137</v>
      </c>
      <c r="C2607" t="s">
        <v>120</v>
      </c>
      <c r="D2607" t="s">
        <v>32</v>
      </c>
      <c r="E2607" t="s">
        <v>159</v>
      </c>
      <c r="F2607" s="1">
        <v>42845</v>
      </c>
      <c r="G2607" s="1">
        <v>42847</v>
      </c>
      <c r="H2607">
        <v>0</v>
      </c>
      <c r="I2607" t="str">
        <f>IF(COUNTIF(Products!$A$2:$A$8,C2607)=0,C2607,"")</f>
        <v/>
      </c>
      <c r="J2607">
        <f>IF(OR(E2607="Prospecting",E2607="Engaging"),VLOOKUP(C2607,Products!$A$2:$C$8,3,FALSE),0)</f>
        <v>0</v>
      </c>
    </row>
    <row r="2608" spans="1:10" x14ac:dyDescent="0.25">
      <c r="A2608" t="s">
        <v>2775</v>
      </c>
      <c r="B2608" t="s">
        <v>137</v>
      </c>
      <c r="C2608" t="s">
        <v>123</v>
      </c>
      <c r="D2608" t="s">
        <v>104</v>
      </c>
      <c r="E2608" t="s">
        <v>138</v>
      </c>
      <c r="F2608" s="1">
        <v>42845</v>
      </c>
      <c r="G2608" s="1">
        <v>42857</v>
      </c>
      <c r="H2608">
        <v>58</v>
      </c>
      <c r="I2608" t="str">
        <f>IF(COUNTIF(Products!$A$2:$A$8,C2608)=0,C2608,"")</f>
        <v/>
      </c>
      <c r="J2608">
        <f>IF(OR(E2608="Prospecting",E2608="Engaging"),VLOOKUP(C2608,Products!$A$2:$C$8,3,FALSE),0)</f>
        <v>0</v>
      </c>
    </row>
    <row r="2609" spans="1:10" x14ac:dyDescent="0.25">
      <c r="A2609" t="s">
        <v>2776</v>
      </c>
      <c r="B2609" t="s">
        <v>193</v>
      </c>
      <c r="C2609" t="s">
        <v>127</v>
      </c>
      <c r="D2609" t="s">
        <v>84</v>
      </c>
      <c r="E2609" t="s">
        <v>159</v>
      </c>
      <c r="F2609" s="1">
        <v>42845</v>
      </c>
      <c r="G2609" s="1">
        <v>42846</v>
      </c>
      <c r="H2609">
        <v>0</v>
      </c>
      <c r="I2609" t="str">
        <f>IF(COUNTIF(Products!$A$2:$A$8,C2609)=0,C2609,"")</f>
        <v/>
      </c>
      <c r="J2609">
        <f>IF(OR(E2609="Prospecting",E2609="Engaging"),VLOOKUP(C2609,Products!$A$2:$C$8,3,FALSE),0)</f>
        <v>0</v>
      </c>
    </row>
    <row r="2610" spans="1:10" x14ac:dyDescent="0.25">
      <c r="A2610" t="s">
        <v>2777</v>
      </c>
      <c r="B2610" t="s">
        <v>193</v>
      </c>
      <c r="C2610" t="s">
        <v>126</v>
      </c>
      <c r="D2610" t="s">
        <v>106</v>
      </c>
      <c r="E2610" t="s">
        <v>159</v>
      </c>
      <c r="F2610" s="1">
        <v>42845</v>
      </c>
      <c r="G2610" s="1">
        <v>42852</v>
      </c>
      <c r="H2610">
        <v>0</v>
      </c>
      <c r="I2610" t="str">
        <f>IF(COUNTIF(Products!$A$2:$A$8,C2610)=0,C2610,"")</f>
        <v/>
      </c>
      <c r="J2610">
        <f>IF(OR(E2610="Prospecting",E2610="Engaging"),VLOOKUP(C2610,Products!$A$2:$C$8,3,FALSE),0)</f>
        <v>0</v>
      </c>
    </row>
    <row r="2611" spans="1:10" x14ac:dyDescent="0.25">
      <c r="A2611" t="s">
        <v>2778</v>
      </c>
      <c r="B2611" t="s">
        <v>187</v>
      </c>
      <c r="C2611" t="s">
        <v>127</v>
      </c>
      <c r="D2611" t="s">
        <v>10</v>
      </c>
      <c r="E2611" t="s">
        <v>138</v>
      </c>
      <c r="F2611" s="1">
        <v>42845</v>
      </c>
      <c r="G2611" s="1">
        <v>42910</v>
      </c>
      <c r="H2611">
        <v>1036</v>
      </c>
      <c r="I2611" t="str">
        <f>IF(COUNTIF(Products!$A$2:$A$8,C2611)=0,C2611,"")</f>
        <v/>
      </c>
      <c r="J2611">
        <f>IF(OR(E2611="Prospecting",E2611="Engaging"),VLOOKUP(C2611,Products!$A$2:$C$8,3,FALSE),0)</f>
        <v>0</v>
      </c>
    </row>
    <row r="2612" spans="1:10" x14ac:dyDescent="0.25">
      <c r="A2612" t="s">
        <v>2779</v>
      </c>
      <c r="B2612" t="s">
        <v>169</v>
      </c>
      <c r="C2612" t="s">
        <v>126</v>
      </c>
      <c r="D2612" t="s">
        <v>51</v>
      </c>
      <c r="E2612" t="s">
        <v>138</v>
      </c>
      <c r="F2612" s="1">
        <v>42845</v>
      </c>
      <c r="G2612" s="1">
        <v>42852</v>
      </c>
      <c r="H2612">
        <v>4878</v>
      </c>
      <c r="I2612" t="str">
        <f>IF(COUNTIF(Products!$A$2:$A$8,C2612)=0,C2612,"")</f>
        <v/>
      </c>
      <c r="J2612">
        <f>IF(OR(E2612="Prospecting",E2612="Engaging"),VLOOKUP(C2612,Products!$A$2:$C$8,3,FALSE),0)</f>
        <v>0</v>
      </c>
    </row>
    <row r="2613" spans="1:10" x14ac:dyDescent="0.25">
      <c r="A2613" t="s">
        <v>2780</v>
      </c>
      <c r="B2613" t="s">
        <v>148</v>
      </c>
      <c r="C2613" t="s">
        <v>120</v>
      </c>
      <c r="D2613" t="s">
        <v>39</v>
      </c>
      <c r="E2613" t="s">
        <v>159</v>
      </c>
      <c r="F2613" s="1">
        <v>42845</v>
      </c>
      <c r="G2613" s="1">
        <v>42853</v>
      </c>
      <c r="H2613">
        <v>0</v>
      </c>
      <c r="I2613" t="str">
        <f>IF(COUNTIF(Products!$A$2:$A$8,C2613)=0,C2613,"")</f>
        <v/>
      </c>
      <c r="J2613">
        <f>IF(OR(E2613="Prospecting",E2613="Engaging"),VLOOKUP(C2613,Products!$A$2:$C$8,3,FALSE),0)</f>
        <v>0</v>
      </c>
    </row>
    <row r="2614" spans="1:10" x14ac:dyDescent="0.25">
      <c r="A2614" t="s">
        <v>2781</v>
      </c>
      <c r="B2614" t="s">
        <v>146</v>
      </c>
      <c r="C2614" t="s">
        <v>127</v>
      </c>
      <c r="D2614" t="s">
        <v>96</v>
      </c>
      <c r="E2614" t="s">
        <v>159</v>
      </c>
      <c r="F2614" s="1">
        <v>42846</v>
      </c>
      <c r="G2614" s="1">
        <v>42860</v>
      </c>
      <c r="H2614">
        <v>0</v>
      </c>
      <c r="I2614" t="str">
        <f>IF(COUNTIF(Products!$A$2:$A$8,C2614)=0,C2614,"")</f>
        <v/>
      </c>
      <c r="J2614">
        <f>IF(OR(E2614="Prospecting",E2614="Engaging"),VLOOKUP(C2614,Products!$A$2:$C$8,3,FALSE),0)</f>
        <v>0</v>
      </c>
    </row>
    <row r="2615" spans="1:10" x14ac:dyDescent="0.25">
      <c r="A2615" t="s">
        <v>2782</v>
      </c>
      <c r="B2615" t="s">
        <v>207</v>
      </c>
      <c r="C2615" t="s">
        <v>127</v>
      </c>
      <c r="E2615" t="s">
        <v>155</v>
      </c>
      <c r="F2615" s="1">
        <v>42846</v>
      </c>
      <c r="I2615" t="str">
        <f>IF(COUNTIF(Products!$A$2:$A$8,C2615)=0,C2615,"")</f>
        <v/>
      </c>
      <c r="J2615">
        <f>IF(OR(E2615="Prospecting",E2615="Engaging"),VLOOKUP(C2615,Products!$A$2:$C$8,3,FALSE),0)</f>
        <v>1096</v>
      </c>
    </row>
    <row r="2616" spans="1:10" x14ac:dyDescent="0.25">
      <c r="A2616" t="s">
        <v>2783</v>
      </c>
      <c r="B2616" t="s">
        <v>207</v>
      </c>
      <c r="C2616" t="s">
        <v>127</v>
      </c>
      <c r="D2616" t="s">
        <v>20</v>
      </c>
      <c r="E2616" t="s">
        <v>138</v>
      </c>
      <c r="F2616" s="1">
        <v>42846</v>
      </c>
      <c r="G2616" s="1">
        <v>42968</v>
      </c>
      <c r="H2616">
        <v>1033</v>
      </c>
      <c r="I2616" t="str">
        <f>IF(COUNTIF(Products!$A$2:$A$8,C2616)=0,C2616,"")</f>
        <v/>
      </c>
      <c r="J2616">
        <f>IF(OR(E2616="Prospecting",E2616="Engaging"),VLOOKUP(C2616,Products!$A$2:$C$8,3,FALSE),0)</f>
        <v>0</v>
      </c>
    </row>
    <row r="2617" spans="1:10" x14ac:dyDescent="0.25">
      <c r="A2617" t="s">
        <v>2784</v>
      </c>
      <c r="B2617" t="s">
        <v>171</v>
      </c>
      <c r="C2617" t="s">
        <v>126</v>
      </c>
      <c r="D2617" t="s">
        <v>111</v>
      </c>
      <c r="E2617" t="s">
        <v>138</v>
      </c>
      <c r="F2617" s="1">
        <v>42846</v>
      </c>
      <c r="G2617" s="1">
        <v>42898</v>
      </c>
      <c r="H2617">
        <v>5343</v>
      </c>
      <c r="I2617" t="str">
        <f>IF(COUNTIF(Products!$A$2:$A$8,C2617)=0,C2617,"")</f>
        <v/>
      </c>
      <c r="J2617">
        <f>IF(OR(E2617="Prospecting",E2617="Engaging"),VLOOKUP(C2617,Products!$A$2:$C$8,3,FALSE),0)</f>
        <v>0</v>
      </c>
    </row>
    <row r="2618" spans="1:10" x14ac:dyDescent="0.25">
      <c r="A2618" t="s">
        <v>2785</v>
      </c>
      <c r="B2618" t="s">
        <v>140</v>
      </c>
      <c r="C2618" t="s">
        <v>127</v>
      </c>
      <c r="D2618" t="s">
        <v>28</v>
      </c>
      <c r="E2618" t="s">
        <v>159</v>
      </c>
      <c r="F2618" s="1">
        <v>42846</v>
      </c>
      <c r="G2618" s="1">
        <v>42855</v>
      </c>
      <c r="H2618">
        <v>0</v>
      </c>
      <c r="I2618" t="str">
        <f>IF(COUNTIF(Products!$A$2:$A$8,C2618)=0,C2618,"")</f>
        <v/>
      </c>
      <c r="J2618">
        <f>IF(OR(E2618="Prospecting",E2618="Engaging"),VLOOKUP(C2618,Products!$A$2:$C$8,3,FALSE),0)</f>
        <v>0</v>
      </c>
    </row>
    <row r="2619" spans="1:10" x14ac:dyDescent="0.25">
      <c r="A2619" t="s">
        <v>2786</v>
      </c>
      <c r="B2619" t="s">
        <v>140</v>
      </c>
      <c r="C2619" t="s">
        <v>122</v>
      </c>
      <c r="D2619" t="s">
        <v>94</v>
      </c>
      <c r="E2619" t="s">
        <v>159</v>
      </c>
      <c r="F2619" s="1">
        <v>42846</v>
      </c>
      <c r="G2619" s="1">
        <v>42852</v>
      </c>
      <c r="H2619">
        <v>0</v>
      </c>
      <c r="I2619" t="str">
        <f>IF(COUNTIF(Products!$A$2:$A$8,C2619)=0,C2619,"")</f>
        <v/>
      </c>
      <c r="J2619">
        <f>IF(OR(E2619="Prospecting",E2619="Engaging"),VLOOKUP(C2619,Products!$A$2:$C$8,3,FALSE),0)</f>
        <v>0</v>
      </c>
    </row>
    <row r="2620" spans="1:10" x14ac:dyDescent="0.25">
      <c r="A2620" t="s">
        <v>2787</v>
      </c>
      <c r="B2620" t="s">
        <v>140</v>
      </c>
      <c r="C2620" t="s">
        <v>122</v>
      </c>
      <c r="D2620" t="s">
        <v>94</v>
      </c>
      <c r="E2620" t="s">
        <v>159</v>
      </c>
      <c r="F2620" s="1">
        <v>42846</v>
      </c>
      <c r="G2620" s="1">
        <v>42957</v>
      </c>
      <c r="H2620">
        <v>0</v>
      </c>
      <c r="I2620" t="str">
        <f>IF(COUNTIF(Products!$A$2:$A$8,C2620)=0,C2620,"")</f>
        <v/>
      </c>
      <c r="J2620">
        <f>IF(OR(E2620="Prospecting",E2620="Engaging"),VLOOKUP(C2620,Products!$A$2:$C$8,3,FALSE),0)</f>
        <v>0</v>
      </c>
    </row>
    <row r="2621" spans="1:10" x14ac:dyDescent="0.25">
      <c r="A2621" t="s">
        <v>2788</v>
      </c>
      <c r="B2621" t="s">
        <v>140</v>
      </c>
      <c r="C2621" t="s">
        <v>125</v>
      </c>
      <c r="D2621" t="s">
        <v>42</v>
      </c>
      <c r="E2621" t="s">
        <v>138</v>
      </c>
      <c r="F2621" s="1">
        <v>42846</v>
      </c>
      <c r="G2621" s="1">
        <v>42851</v>
      </c>
      <c r="H2621">
        <v>3269</v>
      </c>
      <c r="I2621" t="str">
        <f>IF(COUNTIF(Products!$A$2:$A$8,C2621)=0,C2621,"")</f>
        <v/>
      </c>
      <c r="J2621">
        <f>IF(OR(E2621="Prospecting",E2621="Engaging"),VLOOKUP(C2621,Products!$A$2:$C$8,3,FALSE),0)</f>
        <v>0</v>
      </c>
    </row>
    <row r="2622" spans="1:10" x14ac:dyDescent="0.25">
      <c r="A2622" t="s">
        <v>2789</v>
      </c>
      <c r="B2622" t="s">
        <v>224</v>
      </c>
      <c r="C2622" t="s">
        <v>120</v>
      </c>
      <c r="D2622" t="s">
        <v>92</v>
      </c>
      <c r="E2622" t="s">
        <v>159</v>
      </c>
      <c r="F2622" s="1">
        <v>42846</v>
      </c>
      <c r="G2622" s="1">
        <v>42862</v>
      </c>
      <c r="H2622">
        <v>0</v>
      </c>
      <c r="I2622" t="str">
        <f>IF(COUNTIF(Products!$A$2:$A$8,C2622)=0,C2622,"")</f>
        <v/>
      </c>
      <c r="J2622">
        <f>IF(OR(E2622="Prospecting",E2622="Engaging"),VLOOKUP(C2622,Products!$A$2:$C$8,3,FALSE),0)</f>
        <v>0</v>
      </c>
    </row>
    <row r="2623" spans="1:10" x14ac:dyDescent="0.25">
      <c r="A2623" t="s">
        <v>2790</v>
      </c>
      <c r="B2623" t="s">
        <v>224</v>
      </c>
      <c r="C2623" t="s">
        <v>122</v>
      </c>
      <c r="D2623" t="s">
        <v>7</v>
      </c>
      <c r="E2623" t="s">
        <v>138</v>
      </c>
      <c r="F2623" s="1">
        <v>42846</v>
      </c>
      <c r="G2623" s="1">
        <v>42852</v>
      </c>
      <c r="H2623">
        <v>4605</v>
      </c>
      <c r="I2623" t="str">
        <f>IF(COUNTIF(Products!$A$2:$A$8,C2623)=0,C2623,"")</f>
        <v/>
      </c>
      <c r="J2623">
        <f>IF(OR(E2623="Prospecting",E2623="Engaging"),VLOOKUP(C2623,Products!$A$2:$C$8,3,FALSE),0)</f>
        <v>0</v>
      </c>
    </row>
    <row r="2624" spans="1:10" x14ac:dyDescent="0.25">
      <c r="A2624" t="s">
        <v>2791</v>
      </c>
      <c r="B2624" t="s">
        <v>198</v>
      </c>
      <c r="C2624" t="s">
        <v>126</v>
      </c>
      <c r="D2624" t="s">
        <v>73</v>
      </c>
      <c r="E2624" t="s">
        <v>138</v>
      </c>
      <c r="F2624" s="1">
        <v>42846</v>
      </c>
      <c r="G2624" s="1">
        <v>42898</v>
      </c>
      <c r="H2624">
        <v>4908</v>
      </c>
      <c r="I2624" t="str">
        <f>IF(COUNTIF(Products!$A$2:$A$8,C2624)=0,C2624,"")</f>
        <v/>
      </c>
      <c r="J2624">
        <f>IF(OR(E2624="Prospecting",E2624="Engaging"),VLOOKUP(C2624,Products!$A$2:$C$8,3,FALSE),0)</f>
        <v>0</v>
      </c>
    </row>
    <row r="2625" spans="1:10" x14ac:dyDescent="0.25">
      <c r="A2625" t="s">
        <v>2792</v>
      </c>
      <c r="B2625" t="s">
        <v>164</v>
      </c>
      <c r="C2625" t="s">
        <v>125</v>
      </c>
      <c r="D2625" t="s">
        <v>71</v>
      </c>
      <c r="E2625" t="s">
        <v>138</v>
      </c>
      <c r="F2625" s="1">
        <v>42846</v>
      </c>
      <c r="G2625" s="1">
        <v>42855</v>
      </c>
      <c r="H2625">
        <v>3303</v>
      </c>
      <c r="I2625" t="str">
        <f>IF(COUNTIF(Products!$A$2:$A$8,C2625)=0,C2625,"")</f>
        <v/>
      </c>
      <c r="J2625">
        <f>IF(OR(E2625="Prospecting",E2625="Engaging"),VLOOKUP(C2625,Products!$A$2:$C$8,3,FALSE),0)</f>
        <v>0</v>
      </c>
    </row>
    <row r="2626" spans="1:10" x14ac:dyDescent="0.25">
      <c r="A2626" t="s">
        <v>2793</v>
      </c>
      <c r="B2626" t="s">
        <v>303</v>
      </c>
      <c r="C2626" t="s">
        <v>125</v>
      </c>
      <c r="D2626" t="s">
        <v>30</v>
      </c>
      <c r="E2626" t="s">
        <v>159</v>
      </c>
      <c r="F2626" s="1">
        <v>42846</v>
      </c>
      <c r="G2626" s="1">
        <v>42847</v>
      </c>
      <c r="H2626">
        <v>0</v>
      </c>
      <c r="I2626" t="str">
        <f>IF(COUNTIF(Products!$A$2:$A$8,C2626)=0,C2626,"")</f>
        <v/>
      </c>
      <c r="J2626">
        <f>IF(OR(E2626="Prospecting",E2626="Engaging"),VLOOKUP(C2626,Products!$A$2:$C$8,3,FALSE),0)</f>
        <v>0</v>
      </c>
    </row>
    <row r="2627" spans="1:10" x14ac:dyDescent="0.25">
      <c r="A2627" t="s">
        <v>2794</v>
      </c>
      <c r="B2627" t="s">
        <v>303</v>
      </c>
      <c r="C2627" t="s">
        <v>125</v>
      </c>
      <c r="D2627" t="s">
        <v>88</v>
      </c>
      <c r="E2627" t="s">
        <v>159</v>
      </c>
      <c r="F2627" s="1">
        <v>42846</v>
      </c>
      <c r="G2627" s="1">
        <v>42857</v>
      </c>
      <c r="H2627">
        <v>0</v>
      </c>
      <c r="I2627" t="str">
        <f>IF(COUNTIF(Products!$A$2:$A$8,C2627)=0,C2627,"")</f>
        <v/>
      </c>
      <c r="J2627">
        <f>IF(OR(E2627="Prospecting",E2627="Engaging"),VLOOKUP(C2627,Products!$A$2:$C$8,3,FALSE),0)</f>
        <v>0</v>
      </c>
    </row>
    <row r="2628" spans="1:10" x14ac:dyDescent="0.25">
      <c r="A2628" t="s">
        <v>2795</v>
      </c>
      <c r="B2628" t="s">
        <v>303</v>
      </c>
      <c r="C2628" t="s">
        <v>123</v>
      </c>
      <c r="D2628" t="s">
        <v>96</v>
      </c>
      <c r="E2628" t="s">
        <v>138</v>
      </c>
      <c r="F2628" s="1">
        <v>42846</v>
      </c>
      <c r="G2628" s="1">
        <v>42847</v>
      </c>
      <c r="H2628">
        <v>55</v>
      </c>
      <c r="I2628" t="str">
        <f>IF(COUNTIF(Products!$A$2:$A$8,C2628)=0,C2628,"")</f>
        <v/>
      </c>
      <c r="J2628">
        <f>IF(OR(E2628="Prospecting",E2628="Engaging"),VLOOKUP(C2628,Products!$A$2:$C$8,3,FALSE),0)</f>
        <v>0</v>
      </c>
    </row>
    <row r="2629" spans="1:10" x14ac:dyDescent="0.25">
      <c r="A2629" t="s">
        <v>2796</v>
      </c>
      <c r="B2629" t="s">
        <v>180</v>
      </c>
      <c r="C2629" t="s">
        <v>120</v>
      </c>
      <c r="D2629" t="s">
        <v>72</v>
      </c>
      <c r="E2629" t="s">
        <v>138</v>
      </c>
      <c r="F2629" s="1">
        <v>42846</v>
      </c>
      <c r="G2629" s="1">
        <v>42915</v>
      </c>
      <c r="H2629">
        <v>531</v>
      </c>
      <c r="I2629" t="str">
        <f>IF(COUNTIF(Products!$A$2:$A$8,C2629)=0,C2629,"")</f>
        <v/>
      </c>
      <c r="J2629">
        <f>IF(OR(E2629="Prospecting",E2629="Engaging"),VLOOKUP(C2629,Products!$A$2:$C$8,3,FALSE),0)</f>
        <v>0</v>
      </c>
    </row>
    <row r="2630" spans="1:10" x14ac:dyDescent="0.25">
      <c r="A2630" t="s">
        <v>2797</v>
      </c>
      <c r="B2630" t="s">
        <v>180</v>
      </c>
      <c r="C2630" t="s">
        <v>120</v>
      </c>
      <c r="D2630" t="s">
        <v>78</v>
      </c>
      <c r="E2630" t="s">
        <v>138</v>
      </c>
      <c r="F2630" s="1">
        <v>42846</v>
      </c>
      <c r="G2630" s="1">
        <v>42859</v>
      </c>
      <c r="H2630">
        <v>557</v>
      </c>
      <c r="I2630" t="str">
        <f>IF(COUNTIF(Products!$A$2:$A$8,C2630)=0,C2630,"")</f>
        <v/>
      </c>
      <c r="J2630">
        <f>IF(OR(E2630="Prospecting",E2630="Engaging"),VLOOKUP(C2630,Products!$A$2:$C$8,3,FALSE),0)</f>
        <v>0</v>
      </c>
    </row>
    <row r="2631" spans="1:10" x14ac:dyDescent="0.25">
      <c r="A2631" t="s">
        <v>2798</v>
      </c>
      <c r="B2631" t="s">
        <v>217</v>
      </c>
      <c r="C2631" t="s">
        <v>120</v>
      </c>
      <c r="D2631" t="s">
        <v>61</v>
      </c>
      <c r="E2631" t="s">
        <v>138</v>
      </c>
      <c r="F2631" s="1">
        <v>42846</v>
      </c>
      <c r="G2631" s="1">
        <v>42898</v>
      </c>
      <c r="H2631">
        <v>489</v>
      </c>
      <c r="I2631" t="str">
        <f>IF(COUNTIF(Products!$A$2:$A$8,C2631)=0,C2631,"")</f>
        <v/>
      </c>
      <c r="J2631">
        <f>IF(OR(E2631="Prospecting",E2631="Engaging"),VLOOKUP(C2631,Products!$A$2:$C$8,3,FALSE),0)</f>
        <v>0</v>
      </c>
    </row>
    <row r="2632" spans="1:10" x14ac:dyDescent="0.25">
      <c r="A2632" t="s">
        <v>2799</v>
      </c>
      <c r="B2632" t="s">
        <v>205</v>
      </c>
      <c r="C2632" t="s">
        <v>125</v>
      </c>
      <c r="D2632" t="s">
        <v>91</v>
      </c>
      <c r="E2632" t="s">
        <v>159</v>
      </c>
      <c r="F2632" s="1">
        <v>42846</v>
      </c>
      <c r="G2632" s="1">
        <v>42884</v>
      </c>
      <c r="H2632">
        <v>0</v>
      </c>
      <c r="I2632" t="str">
        <f>IF(COUNTIF(Products!$A$2:$A$8,C2632)=0,C2632,"")</f>
        <v/>
      </c>
      <c r="J2632">
        <f>IF(OR(E2632="Prospecting",E2632="Engaging"),VLOOKUP(C2632,Products!$A$2:$C$8,3,FALSE),0)</f>
        <v>0</v>
      </c>
    </row>
    <row r="2633" spans="1:10" x14ac:dyDescent="0.25">
      <c r="A2633" t="s">
        <v>2800</v>
      </c>
      <c r="B2633" t="s">
        <v>137</v>
      </c>
      <c r="C2633" t="s">
        <v>123</v>
      </c>
      <c r="D2633" t="s">
        <v>96</v>
      </c>
      <c r="E2633" t="s">
        <v>138</v>
      </c>
      <c r="F2633" s="1">
        <v>42846</v>
      </c>
      <c r="G2633" s="1">
        <v>42861</v>
      </c>
      <c r="H2633">
        <v>60</v>
      </c>
      <c r="I2633" t="str">
        <f>IF(COUNTIF(Products!$A$2:$A$8,C2633)=0,C2633,"")</f>
        <v/>
      </c>
      <c r="J2633">
        <f>IF(OR(E2633="Prospecting",E2633="Engaging"),VLOOKUP(C2633,Products!$A$2:$C$8,3,FALSE),0)</f>
        <v>0</v>
      </c>
    </row>
    <row r="2634" spans="1:10" x14ac:dyDescent="0.25">
      <c r="A2634" t="s">
        <v>2801</v>
      </c>
      <c r="B2634" t="s">
        <v>193</v>
      </c>
      <c r="C2634" t="s">
        <v>125</v>
      </c>
      <c r="D2634" t="s">
        <v>10</v>
      </c>
      <c r="E2634" t="s">
        <v>138</v>
      </c>
      <c r="F2634" s="1">
        <v>42846</v>
      </c>
      <c r="G2634" s="1">
        <v>42890</v>
      </c>
      <c r="H2634">
        <v>2887</v>
      </c>
      <c r="I2634" t="str">
        <f>IF(COUNTIF(Products!$A$2:$A$8,C2634)=0,C2634,"")</f>
        <v/>
      </c>
      <c r="J2634">
        <f>IF(OR(E2634="Prospecting",E2634="Engaging"),VLOOKUP(C2634,Products!$A$2:$C$8,3,FALSE),0)</f>
        <v>0</v>
      </c>
    </row>
    <row r="2635" spans="1:10" x14ac:dyDescent="0.25">
      <c r="A2635" t="s">
        <v>2802</v>
      </c>
      <c r="B2635" t="s">
        <v>193</v>
      </c>
      <c r="C2635" t="s">
        <v>125</v>
      </c>
      <c r="D2635" t="s">
        <v>37</v>
      </c>
      <c r="E2635" t="s">
        <v>138</v>
      </c>
      <c r="F2635" s="1">
        <v>42846</v>
      </c>
      <c r="G2635" s="1">
        <v>42857</v>
      </c>
      <c r="H2635">
        <v>3214</v>
      </c>
      <c r="I2635" t="str">
        <f>IF(COUNTIF(Products!$A$2:$A$8,C2635)=0,C2635,"")</f>
        <v/>
      </c>
      <c r="J2635">
        <f>IF(OR(E2635="Prospecting",E2635="Engaging"),VLOOKUP(C2635,Products!$A$2:$C$8,3,FALSE),0)</f>
        <v>0</v>
      </c>
    </row>
    <row r="2636" spans="1:10" x14ac:dyDescent="0.25">
      <c r="A2636" t="s">
        <v>2803</v>
      </c>
      <c r="B2636" t="s">
        <v>187</v>
      </c>
      <c r="C2636" t="s">
        <v>125</v>
      </c>
      <c r="D2636" t="s">
        <v>12</v>
      </c>
      <c r="E2636" t="s">
        <v>155</v>
      </c>
      <c r="F2636" s="1">
        <v>42846</v>
      </c>
      <c r="I2636" t="str">
        <f>IF(COUNTIF(Products!$A$2:$A$8,C2636)=0,C2636,"")</f>
        <v/>
      </c>
      <c r="J2636">
        <f>IF(OR(E2636="Prospecting",E2636="Engaging"),VLOOKUP(C2636,Products!$A$2:$C$8,3,FALSE),0)</f>
        <v>3393</v>
      </c>
    </row>
    <row r="2637" spans="1:10" x14ac:dyDescent="0.25">
      <c r="A2637" t="s">
        <v>2804</v>
      </c>
      <c r="B2637" t="s">
        <v>187</v>
      </c>
      <c r="C2637" t="s">
        <v>125</v>
      </c>
      <c r="D2637" t="s">
        <v>7</v>
      </c>
      <c r="E2637" t="s">
        <v>138</v>
      </c>
      <c r="F2637" s="1">
        <v>42846</v>
      </c>
      <c r="G2637" s="1">
        <v>42848</v>
      </c>
      <c r="H2637">
        <v>3850</v>
      </c>
      <c r="I2637" t="str">
        <f>IF(COUNTIF(Products!$A$2:$A$8,C2637)=0,C2637,"")</f>
        <v/>
      </c>
      <c r="J2637">
        <f>IF(OR(E2637="Prospecting",E2637="Engaging"),VLOOKUP(C2637,Products!$A$2:$C$8,3,FALSE),0)</f>
        <v>0</v>
      </c>
    </row>
    <row r="2638" spans="1:10" x14ac:dyDescent="0.25">
      <c r="A2638" t="s">
        <v>2805</v>
      </c>
      <c r="B2638" t="s">
        <v>169</v>
      </c>
      <c r="C2638" t="s">
        <v>123</v>
      </c>
      <c r="D2638" t="s">
        <v>55</v>
      </c>
      <c r="E2638" t="s">
        <v>138</v>
      </c>
      <c r="F2638" s="1">
        <v>42846</v>
      </c>
      <c r="G2638" s="1">
        <v>42895</v>
      </c>
      <c r="H2638">
        <v>54</v>
      </c>
      <c r="I2638" t="str">
        <f>IF(COUNTIF(Products!$A$2:$A$8,C2638)=0,C2638,"")</f>
        <v/>
      </c>
      <c r="J2638">
        <f>IF(OR(E2638="Prospecting",E2638="Engaging"),VLOOKUP(C2638,Products!$A$2:$C$8,3,FALSE),0)</f>
        <v>0</v>
      </c>
    </row>
    <row r="2639" spans="1:10" x14ac:dyDescent="0.25">
      <c r="A2639" t="s">
        <v>2806</v>
      </c>
      <c r="B2639" t="s">
        <v>148</v>
      </c>
      <c r="C2639" t="s">
        <v>122</v>
      </c>
      <c r="E2639" t="s">
        <v>155</v>
      </c>
      <c r="F2639" s="1">
        <v>42846</v>
      </c>
      <c r="I2639" t="str">
        <f>IF(COUNTIF(Products!$A$2:$A$8,C2639)=0,C2639,"")</f>
        <v/>
      </c>
      <c r="J2639">
        <f>IF(OR(E2639="Prospecting",E2639="Engaging"),VLOOKUP(C2639,Products!$A$2:$C$8,3,FALSE),0)</f>
        <v>4821</v>
      </c>
    </row>
    <row r="2640" spans="1:10" x14ac:dyDescent="0.25">
      <c r="A2640" t="s">
        <v>2807</v>
      </c>
      <c r="B2640" t="s">
        <v>148</v>
      </c>
      <c r="C2640" t="s">
        <v>123</v>
      </c>
      <c r="D2640" t="s">
        <v>59</v>
      </c>
      <c r="E2640" t="s">
        <v>159</v>
      </c>
      <c r="F2640" s="1">
        <v>42846</v>
      </c>
      <c r="G2640" s="1">
        <v>42854</v>
      </c>
      <c r="H2640">
        <v>0</v>
      </c>
      <c r="I2640" t="str">
        <f>IF(COUNTIF(Products!$A$2:$A$8,C2640)=0,C2640,"")</f>
        <v/>
      </c>
      <c r="J2640">
        <f>IF(OR(E2640="Prospecting",E2640="Engaging"),VLOOKUP(C2640,Products!$A$2:$C$8,3,FALSE),0)</f>
        <v>0</v>
      </c>
    </row>
    <row r="2641" spans="1:10" x14ac:dyDescent="0.25">
      <c r="A2641" t="s">
        <v>2808</v>
      </c>
      <c r="B2641" t="s">
        <v>148</v>
      </c>
      <c r="C2641" t="s">
        <v>122</v>
      </c>
      <c r="D2641" t="s">
        <v>82</v>
      </c>
      <c r="E2641" t="s">
        <v>138</v>
      </c>
      <c r="F2641" s="1">
        <v>42846</v>
      </c>
      <c r="G2641" s="1">
        <v>42959</v>
      </c>
      <c r="H2641">
        <v>5040</v>
      </c>
      <c r="I2641" t="str">
        <f>IF(COUNTIF(Products!$A$2:$A$8,C2641)=0,C2641,"")</f>
        <v/>
      </c>
      <c r="J2641">
        <f>IF(OR(E2641="Prospecting",E2641="Engaging"),VLOOKUP(C2641,Products!$A$2:$C$8,3,FALSE),0)</f>
        <v>0</v>
      </c>
    </row>
    <row r="2642" spans="1:10" x14ac:dyDescent="0.25">
      <c r="A2642" t="s">
        <v>2809</v>
      </c>
      <c r="B2642" t="s">
        <v>196</v>
      </c>
      <c r="C2642" t="s">
        <v>126</v>
      </c>
      <c r="D2642" t="s">
        <v>65</v>
      </c>
      <c r="E2642" t="s">
        <v>138</v>
      </c>
      <c r="F2642" s="1">
        <v>42846</v>
      </c>
      <c r="G2642" s="1">
        <v>42847</v>
      </c>
      <c r="H2642">
        <v>6263</v>
      </c>
      <c r="I2642" t="str">
        <f>IF(COUNTIF(Products!$A$2:$A$8,C2642)=0,C2642,"")</f>
        <v/>
      </c>
      <c r="J2642">
        <f>IF(OR(E2642="Prospecting",E2642="Engaging"),VLOOKUP(C2642,Products!$A$2:$C$8,3,FALSE),0)</f>
        <v>0</v>
      </c>
    </row>
    <row r="2643" spans="1:10" x14ac:dyDescent="0.25">
      <c r="A2643" t="s">
        <v>2810</v>
      </c>
      <c r="B2643" t="s">
        <v>144</v>
      </c>
      <c r="C2643" t="s">
        <v>122</v>
      </c>
      <c r="D2643" t="s">
        <v>90</v>
      </c>
      <c r="E2643" t="s">
        <v>159</v>
      </c>
      <c r="F2643" s="1">
        <v>42846</v>
      </c>
      <c r="G2643" s="1">
        <v>42857</v>
      </c>
      <c r="H2643">
        <v>0</v>
      </c>
      <c r="I2643" t="str">
        <f>IF(COUNTIF(Products!$A$2:$A$8,C2643)=0,C2643,"")</f>
        <v/>
      </c>
      <c r="J2643">
        <f>IF(OR(E2643="Prospecting",E2643="Engaging"),VLOOKUP(C2643,Products!$A$2:$C$8,3,FALSE),0)</f>
        <v>0</v>
      </c>
    </row>
    <row r="2644" spans="1:10" x14ac:dyDescent="0.25">
      <c r="A2644" t="s">
        <v>2811</v>
      </c>
      <c r="B2644" t="s">
        <v>144</v>
      </c>
      <c r="C2644" t="s">
        <v>120</v>
      </c>
      <c r="D2644" t="s">
        <v>17</v>
      </c>
      <c r="E2644" t="s">
        <v>138</v>
      </c>
      <c r="F2644" s="1">
        <v>42846</v>
      </c>
      <c r="G2644" s="1">
        <v>42848</v>
      </c>
      <c r="H2644">
        <v>570</v>
      </c>
      <c r="I2644" t="str">
        <f>IF(COUNTIF(Products!$A$2:$A$8,C2644)=0,C2644,"")</f>
        <v/>
      </c>
      <c r="J2644">
        <f>IF(OR(E2644="Prospecting",E2644="Engaging"),VLOOKUP(C2644,Products!$A$2:$C$8,3,FALSE),0)</f>
        <v>0</v>
      </c>
    </row>
    <row r="2645" spans="1:10" x14ac:dyDescent="0.25">
      <c r="A2645" t="s">
        <v>2812</v>
      </c>
      <c r="B2645" t="s">
        <v>144</v>
      </c>
      <c r="C2645" t="s">
        <v>122</v>
      </c>
      <c r="D2645" t="s">
        <v>29</v>
      </c>
      <c r="E2645" t="s">
        <v>138</v>
      </c>
      <c r="F2645" s="1">
        <v>42846</v>
      </c>
      <c r="G2645" s="1">
        <v>42854</v>
      </c>
      <c r="H2645">
        <v>4633</v>
      </c>
      <c r="I2645" t="str">
        <f>IF(COUNTIF(Products!$A$2:$A$8,C2645)=0,C2645,"")</f>
        <v/>
      </c>
      <c r="J2645">
        <f>IF(OR(E2645="Prospecting",E2645="Engaging"),VLOOKUP(C2645,Products!$A$2:$C$8,3,FALSE),0)</f>
        <v>0</v>
      </c>
    </row>
    <row r="2646" spans="1:10" x14ac:dyDescent="0.25">
      <c r="A2646" t="s">
        <v>2813</v>
      </c>
      <c r="B2646" t="s">
        <v>222</v>
      </c>
      <c r="C2646" t="s">
        <v>126</v>
      </c>
      <c r="D2646" t="s">
        <v>35</v>
      </c>
      <c r="E2646" t="s">
        <v>159</v>
      </c>
      <c r="F2646" s="1">
        <v>42847</v>
      </c>
      <c r="G2646" s="1">
        <v>42854</v>
      </c>
      <c r="H2646">
        <v>0</v>
      </c>
      <c r="I2646" t="str">
        <f>IF(COUNTIF(Products!$A$2:$A$8,C2646)=0,C2646,"")</f>
        <v/>
      </c>
      <c r="J2646">
        <f>IF(OR(E2646="Prospecting",E2646="Engaging"),VLOOKUP(C2646,Products!$A$2:$C$8,3,FALSE),0)</f>
        <v>0</v>
      </c>
    </row>
    <row r="2647" spans="1:10" x14ac:dyDescent="0.25">
      <c r="A2647" t="s">
        <v>2814</v>
      </c>
      <c r="B2647" t="s">
        <v>207</v>
      </c>
      <c r="C2647" t="s">
        <v>122</v>
      </c>
      <c r="D2647" t="s">
        <v>68</v>
      </c>
      <c r="E2647" t="s">
        <v>159</v>
      </c>
      <c r="F2647" s="1">
        <v>42847</v>
      </c>
      <c r="G2647" s="1">
        <v>42863</v>
      </c>
      <c r="H2647">
        <v>0</v>
      </c>
      <c r="I2647" t="str">
        <f>IF(COUNTIF(Products!$A$2:$A$8,C2647)=0,C2647,"")</f>
        <v/>
      </c>
      <c r="J2647">
        <f>IF(OR(E2647="Prospecting",E2647="Engaging"),VLOOKUP(C2647,Products!$A$2:$C$8,3,FALSE),0)</f>
        <v>0</v>
      </c>
    </row>
    <row r="2648" spans="1:10" x14ac:dyDescent="0.25">
      <c r="A2648" t="s">
        <v>2815</v>
      </c>
      <c r="B2648" t="s">
        <v>207</v>
      </c>
      <c r="C2648" t="s">
        <v>122</v>
      </c>
      <c r="D2648" t="s">
        <v>102</v>
      </c>
      <c r="E2648" t="s">
        <v>138</v>
      </c>
      <c r="F2648" s="1">
        <v>42847</v>
      </c>
      <c r="G2648" s="1">
        <v>42853</v>
      </c>
      <c r="H2648">
        <v>4891</v>
      </c>
      <c r="I2648" t="str">
        <f>IF(COUNTIF(Products!$A$2:$A$8,C2648)=0,C2648,"")</f>
        <v/>
      </c>
      <c r="J2648">
        <f>IF(OR(E2648="Prospecting",E2648="Engaging"),VLOOKUP(C2648,Products!$A$2:$C$8,3,FALSE),0)</f>
        <v>0</v>
      </c>
    </row>
    <row r="2649" spans="1:10" x14ac:dyDescent="0.25">
      <c r="A2649" t="s">
        <v>2816</v>
      </c>
      <c r="B2649" t="s">
        <v>140</v>
      </c>
      <c r="C2649" t="s">
        <v>126</v>
      </c>
      <c r="D2649" t="s">
        <v>96</v>
      </c>
      <c r="E2649" t="s">
        <v>138</v>
      </c>
      <c r="F2649" s="1">
        <v>42847</v>
      </c>
      <c r="G2649" s="1">
        <v>42854</v>
      </c>
      <c r="H2649">
        <v>5858</v>
      </c>
      <c r="I2649" t="str">
        <f>IF(COUNTIF(Products!$A$2:$A$8,C2649)=0,C2649,"")</f>
        <v/>
      </c>
      <c r="J2649">
        <f>IF(OR(E2649="Prospecting",E2649="Engaging"),VLOOKUP(C2649,Products!$A$2:$C$8,3,FALSE),0)</f>
        <v>0</v>
      </c>
    </row>
    <row r="2650" spans="1:10" x14ac:dyDescent="0.25">
      <c r="A2650" t="s">
        <v>2817</v>
      </c>
      <c r="B2650" t="s">
        <v>140</v>
      </c>
      <c r="C2650" t="s">
        <v>122</v>
      </c>
      <c r="D2650" t="s">
        <v>89</v>
      </c>
      <c r="E2650" t="s">
        <v>138</v>
      </c>
      <c r="F2650" s="1">
        <v>42847</v>
      </c>
      <c r="G2650" s="1">
        <v>42879</v>
      </c>
      <c r="H2650">
        <v>4939</v>
      </c>
      <c r="I2650" t="str">
        <f>IF(COUNTIF(Products!$A$2:$A$8,C2650)=0,C2650,"")</f>
        <v/>
      </c>
      <c r="J2650">
        <f>IF(OR(E2650="Prospecting",E2650="Engaging"),VLOOKUP(C2650,Products!$A$2:$C$8,3,FALSE),0)</f>
        <v>0</v>
      </c>
    </row>
    <row r="2651" spans="1:10" x14ac:dyDescent="0.25">
      <c r="A2651" t="s">
        <v>2818</v>
      </c>
      <c r="B2651" t="s">
        <v>303</v>
      </c>
      <c r="C2651" t="s">
        <v>120</v>
      </c>
      <c r="D2651" t="s">
        <v>32</v>
      </c>
      <c r="E2651" t="s">
        <v>138</v>
      </c>
      <c r="F2651" s="1">
        <v>42847</v>
      </c>
      <c r="G2651" s="1">
        <v>42959</v>
      </c>
      <c r="H2651">
        <v>570</v>
      </c>
      <c r="I2651" t="str">
        <f>IF(COUNTIF(Products!$A$2:$A$8,C2651)=0,C2651,"")</f>
        <v/>
      </c>
      <c r="J2651">
        <f>IF(OR(E2651="Prospecting",E2651="Engaging"),VLOOKUP(C2651,Products!$A$2:$C$8,3,FALSE),0)</f>
        <v>0</v>
      </c>
    </row>
    <row r="2652" spans="1:10" x14ac:dyDescent="0.25">
      <c r="A2652" t="s">
        <v>2819</v>
      </c>
      <c r="B2652" t="s">
        <v>191</v>
      </c>
      <c r="C2652" t="s">
        <v>125</v>
      </c>
      <c r="D2652" t="s">
        <v>38</v>
      </c>
      <c r="E2652" t="s">
        <v>159</v>
      </c>
      <c r="F2652" s="1">
        <v>42847</v>
      </c>
      <c r="G2652" s="1">
        <v>42854</v>
      </c>
      <c r="H2652">
        <v>0</v>
      </c>
      <c r="I2652" t="str">
        <f>IF(COUNTIF(Products!$A$2:$A$8,C2652)=0,C2652,"")</f>
        <v/>
      </c>
      <c r="J2652">
        <f>IF(OR(E2652="Prospecting",E2652="Engaging"),VLOOKUP(C2652,Products!$A$2:$C$8,3,FALSE),0)</f>
        <v>0</v>
      </c>
    </row>
    <row r="2653" spans="1:10" x14ac:dyDescent="0.25">
      <c r="A2653" t="s">
        <v>2820</v>
      </c>
      <c r="B2653" t="s">
        <v>191</v>
      </c>
      <c r="C2653" t="s">
        <v>120</v>
      </c>
      <c r="D2653" t="s">
        <v>109</v>
      </c>
      <c r="E2653" t="s">
        <v>138</v>
      </c>
      <c r="F2653" s="1">
        <v>42847</v>
      </c>
      <c r="G2653" s="1">
        <v>42855</v>
      </c>
      <c r="H2653">
        <v>500</v>
      </c>
      <c r="I2653" t="str">
        <f>IF(COUNTIF(Products!$A$2:$A$8,C2653)=0,C2653,"")</f>
        <v/>
      </c>
      <c r="J2653">
        <f>IF(OR(E2653="Prospecting",E2653="Engaging"),VLOOKUP(C2653,Products!$A$2:$C$8,3,FALSE),0)</f>
        <v>0</v>
      </c>
    </row>
    <row r="2654" spans="1:10" x14ac:dyDescent="0.25">
      <c r="A2654" t="s">
        <v>2821</v>
      </c>
      <c r="B2654" t="s">
        <v>191</v>
      </c>
      <c r="C2654" t="s">
        <v>125</v>
      </c>
      <c r="D2654" t="s">
        <v>67</v>
      </c>
      <c r="E2654" t="s">
        <v>138</v>
      </c>
      <c r="F2654" s="1">
        <v>42847</v>
      </c>
      <c r="G2654" s="1">
        <v>42848</v>
      </c>
      <c r="H2654">
        <v>3546</v>
      </c>
      <c r="I2654" t="str">
        <f>IF(COUNTIF(Products!$A$2:$A$8,C2654)=0,C2654,"")</f>
        <v/>
      </c>
      <c r="J2654">
        <f>IF(OR(E2654="Prospecting",E2654="Engaging"),VLOOKUP(C2654,Products!$A$2:$C$8,3,FALSE),0)</f>
        <v>0</v>
      </c>
    </row>
    <row r="2655" spans="1:10" x14ac:dyDescent="0.25">
      <c r="A2655" t="s">
        <v>2822</v>
      </c>
      <c r="B2655" t="s">
        <v>150</v>
      </c>
      <c r="C2655" t="s">
        <v>120</v>
      </c>
      <c r="D2655" t="s">
        <v>29</v>
      </c>
      <c r="E2655" t="s">
        <v>138</v>
      </c>
      <c r="F2655" s="1">
        <v>42847</v>
      </c>
      <c r="G2655" s="1">
        <v>42855</v>
      </c>
      <c r="H2655">
        <v>525</v>
      </c>
      <c r="I2655" t="str">
        <f>IF(COUNTIF(Products!$A$2:$A$8,C2655)=0,C2655,"")</f>
        <v/>
      </c>
      <c r="J2655">
        <f>IF(OR(E2655="Prospecting",E2655="Engaging"),VLOOKUP(C2655,Products!$A$2:$C$8,3,FALSE),0)</f>
        <v>0</v>
      </c>
    </row>
    <row r="2656" spans="1:10" x14ac:dyDescent="0.25">
      <c r="A2656" t="s">
        <v>2823</v>
      </c>
      <c r="B2656" t="s">
        <v>162</v>
      </c>
      <c r="C2656" t="s">
        <v>123</v>
      </c>
      <c r="E2656" t="s">
        <v>155</v>
      </c>
      <c r="F2656" s="1">
        <v>42847</v>
      </c>
      <c r="I2656" t="str">
        <f>IF(COUNTIF(Products!$A$2:$A$8,C2656)=0,C2656,"")</f>
        <v/>
      </c>
      <c r="J2656">
        <f>IF(OR(E2656="Prospecting",E2656="Engaging"),VLOOKUP(C2656,Products!$A$2:$C$8,3,FALSE),0)</f>
        <v>55</v>
      </c>
    </row>
    <row r="2657" spans="1:10" x14ac:dyDescent="0.25">
      <c r="A2657" t="s">
        <v>2824</v>
      </c>
      <c r="B2657" t="s">
        <v>137</v>
      </c>
      <c r="C2657" t="s">
        <v>127</v>
      </c>
      <c r="D2657" t="s">
        <v>28</v>
      </c>
      <c r="E2657" t="s">
        <v>138</v>
      </c>
      <c r="F2657" s="1">
        <v>42847</v>
      </c>
      <c r="G2657" s="1">
        <v>42852</v>
      </c>
      <c r="H2657">
        <v>1024</v>
      </c>
      <c r="I2657" t="str">
        <f>IF(COUNTIF(Products!$A$2:$A$8,C2657)=0,C2657,"")</f>
        <v/>
      </c>
      <c r="J2657">
        <f>IF(OR(E2657="Prospecting",E2657="Engaging"),VLOOKUP(C2657,Products!$A$2:$C$8,3,FALSE),0)</f>
        <v>0</v>
      </c>
    </row>
    <row r="2658" spans="1:10" x14ac:dyDescent="0.25">
      <c r="A2658" t="s">
        <v>2825</v>
      </c>
      <c r="B2658" t="s">
        <v>152</v>
      </c>
      <c r="C2658" t="s">
        <v>126</v>
      </c>
      <c r="D2658" t="s">
        <v>96</v>
      </c>
      <c r="E2658" t="s">
        <v>138</v>
      </c>
      <c r="F2658" s="1">
        <v>42847</v>
      </c>
      <c r="G2658" s="1">
        <v>42855</v>
      </c>
      <c r="H2658">
        <v>6384</v>
      </c>
      <c r="I2658" t="str">
        <f>IF(COUNTIF(Products!$A$2:$A$8,C2658)=0,C2658,"")</f>
        <v/>
      </c>
      <c r="J2658">
        <f>IF(OR(E2658="Prospecting",E2658="Engaging"),VLOOKUP(C2658,Products!$A$2:$C$8,3,FALSE),0)</f>
        <v>0</v>
      </c>
    </row>
    <row r="2659" spans="1:10" x14ac:dyDescent="0.25">
      <c r="A2659" t="s">
        <v>2826</v>
      </c>
      <c r="B2659" t="s">
        <v>193</v>
      </c>
      <c r="C2659" t="s">
        <v>120</v>
      </c>
      <c r="D2659" t="s">
        <v>7</v>
      </c>
      <c r="E2659" t="s">
        <v>159</v>
      </c>
      <c r="F2659" s="1">
        <v>42847</v>
      </c>
      <c r="G2659" s="1">
        <v>42863</v>
      </c>
      <c r="H2659">
        <v>0</v>
      </c>
      <c r="I2659" t="str">
        <f>IF(COUNTIF(Products!$A$2:$A$8,C2659)=0,C2659,"")</f>
        <v/>
      </c>
      <c r="J2659">
        <f>IF(OR(E2659="Prospecting",E2659="Engaging"),VLOOKUP(C2659,Products!$A$2:$C$8,3,FALSE),0)</f>
        <v>0</v>
      </c>
    </row>
    <row r="2660" spans="1:10" x14ac:dyDescent="0.25">
      <c r="A2660" t="s">
        <v>2827</v>
      </c>
      <c r="B2660" t="s">
        <v>193</v>
      </c>
      <c r="C2660" t="s">
        <v>120</v>
      </c>
      <c r="D2660" t="s">
        <v>37</v>
      </c>
      <c r="E2660" t="s">
        <v>138</v>
      </c>
      <c r="F2660" s="1">
        <v>42847</v>
      </c>
      <c r="G2660" s="1">
        <v>42910</v>
      </c>
      <c r="H2660">
        <v>587</v>
      </c>
      <c r="I2660" t="str">
        <f>IF(COUNTIF(Products!$A$2:$A$8,C2660)=0,C2660,"")</f>
        <v/>
      </c>
      <c r="J2660">
        <f>IF(OR(E2660="Prospecting",E2660="Engaging"),VLOOKUP(C2660,Products!$A$2:$C$8,3,FALSE),0)</f>
        <v>0</v>
      </c>
    </row>
    <row r="2661" spans="1:10" x14ac:dyDescent="0.25">
      <c r="A2661" t="s">
        <v>2828</v>
      </c>
      <c r="B2661" t="s">
        <v>166</v>
      </c>
      <c r="C2661" t="s">
        <v>123</v>
      </c>
      <c r="D2661" t="s">
        <v>71</v>
      </c>
      <c r="E2661" t="s">
        <v>138</v>
      </c>
      <c r="F2661" s="1">
        <v>42847</v>
      </c>
      <c r="G2661" s="1">
        <v>42853</v>
      </c>
      <c r="H2661">
        <v>55</v>
      </c>
      <c r="I2661" t="str">
        <f>IF(COUNTIF(Products!$A$2:$A$8,C2661)=0,C2661,"")</f>
        <v/>
      </c>
      <c r="J2661">
        <f>IF(OR(E2661="Prospecting",E2661="Engaging"),VLOOKUP(C2661,Products!$A$2:$C$8,3,FALSE),0)</f>
        <v>0</v>
      </c>
    </row>
    <row r="2662" spans="1:10" x14ac:dyDescent="0.25">
      <c r="A2662" t="s">
        <v>2829</v>
      </c>
      <c r="B2662" t="s">
        <v>166</v>
      </c>
      <c r="C2662" t="s">
        <v>125</v>
      </c>
      <c r="D2662" t="s">
        <v>109</v>
      </c>
      <c r="E2662" t="s">
        <v>138</v>
      </c>
      <c r="F2662" s="1">
        <v>42847</v>
      </c>
      <c r="G2662" s="1">
        <v>42855</v>
      </c>
      <c r="H2662">
        <v>3242</v>
      </c>
      <c r="I2662" t="str">
        <f>IF(COUNTIF(Products!$A$2:$A$8,C2662)=0,C2662,"")</f>
        <v/>
      </c>
      <c r="J2662">
        <f>IF(OR(E2662="Prospecting",E2662="Engaging"),VLOOKUP(C2662,Products!$A$2:$C$8,3,FALSE),0)</f>
        <v>0</v>
      </c>
    </row>
    <row r="2663" spans="1:10" x14ac:dyDescent="0.25">
      <c r="A2663" t="s">
        <v>2830</v>
      </c>
      <c r="B2663" t="s">
        <v>169</v>
      </c>
      <c r="C2663" t="s">
        <v>126</v>
      </c>
      <c r="D2663" t="s">
        <v>116</v>
      </c>
      <c r="E2663" t="s">
        <v>138</v>
      </c>
      <c r="F2663" s="1">
        <v>42847</v>
      </c>
      <c r="G2663" s="1">
        <v>42881</v>
      </c>
      <c r="H2663">
        <v>5558</v>
      </c>
      <c r="I2663" t="str">
        <f>IF(COUNTIF(Products!$A$2:$A$8,C2663)=0,C2663,"")</f>
        <v/>
      </c>
      <c r="J2663">
        <f>IF(OR(E2663="Prospecting",E2663="Engaging"),VLOOKUP(C2663,Products!$A$2:$C$8,3,FALSE),0)</f>
        <v>0</v>
      </c>
    </row>
    <row r="2664" spans="1:10" x14ac:dyDescent="0.25">
      <c r="A2664" t="s">
        <v>2831</v>
      </c>
      <c r="B2664" t="s">
        <v>148</v>
      </c>
      <c r="C2664" t="s">
        <v>122</v>
      </c>
      <c r="D2664" t="s">
        <v>93</v>
      </c>
      <c r="E2664" t="s">
        <v>138</v>
      </c>
      <c r="F2664" s="1">
        <v>42847</v>
      </c>
      <c r="G2664" s="1">
        <v>42853</v>
      </c>
      <c r="H2664">
        <v>4869</v>
      </c>
      <c r="I2664" t="str">
        <f>IF(COUNTIF(Products!$A$2:$A$8,C2664)=0,C2664,"")</f>
        <v/>
      </c>
      <c r="J2664">
        <f>IF(OR(E2664="Prospecting",E2664="Engaging"),VLOOKUP(C2664,Products!$A$2:$C$8,3,FALSE),0)</f>
        <v>0</v>
      </c>
    </row>
    <row r="2665" spans="1:10" x14ac:dyDescent="0.25">
      <c r="A2665" t="s">
        <v>2832</v>
      </c>
      <c r="B2665" t="s">
        <v>148</v>
      </c>
      <c r="C2665" t="s">
        <v>125</v>
      </c>
      <c r="D2665" t="s">
        <v>61</v>
      </c>
      <c r="E2665" t="s">
        <v>138</v>
      </c>
      <c r="F2665" s="1">
        <v>42847</v>
      </c>
      <c r="G2665" s="1">
        <v>42854</v>
      </c>
      <c r="H2665">
        <v>3661</v>
      </c>
      <c r="I2665" t="str">
        <f>IF(COUNTIF(Products!$A$2:$A$8,C2665)=0,C2665,"")</f>
        <v/>
      </c>
      <c r="J2665">
        <f>IF(OR(E2665="Prospecting",E2665="Engaging"),VLOOKUP(C2665,Products!$A$2:$C$8,3,FALSE),0)</f>
        <v>0</v>
      </c>
    </row>
    <row r="2666" spans="1:10" x14ac:dyDescent="0.25">
      <c r="A2666" t="s">
        <v>2833</v>
      </c>
      <c r="B2666" t="s">
        <v>177</v>
      </c>
      <c r="C2666" t="s">
        <v>120</v>
      </c>
      <c r="E2666" t="s">
        <v>155</v>
      </c>
      <c r="F2666" s="1">
        <v>42847</v>
      </c>
      <c r="I2666" t="str">
        <f>IF(COUNTIF(Products!$A$2:$A$8,C2666)=0,C2666,"")</f>
        <v/>
      </c>
      <c r="J2666">
        <f>IF(OR(E2666="Prospecting",E2666="Engaging"),VLOOKUP(C2666,Products!$A$2:$C$8,3,FALSE),0)</f>
        <v>550</v>
      </c>
    </row>
    <row r="2667" spans="1:10" x14ac:dyDescent="0.25">
      <c r="A2667" t="s">
        <v>2834</v>
      </c>
      <c r="B2667" t="s">
        <v>177</v>
      </c>
      <c r="C2667" t="s">
        <v>123</v>
      </c>
      <c r="E2667" t="s">
        <v>155</v>
      </c>
      <c r="F2667" s="1">
        <v>42847</v>
      </c>
      <c r="I2667" t="str">
        <f>IF(COUNTIF(Products!$A$2:$A$8,C2667)=0,C2667,"")</f>
        <v/>
      </c>
      <c r="J2667">
        <f>IF(OR(E2667="Prospecting",E2667="Engaging"),VLOOKUP(C2667,Products!$A$2:$C$8,3,FALSE),0)</f>
        <v>55</v>
      </c>
    </row>
    <row r="2668" spans="1:10" x14ac:dyDescent="0.25">
      <c r="A2668" t="s">
        <v>2835</v>
      </c>
      <c r="B2668" t="s">
        <v>144</v>
      </c>
      <c r="C2668" t="s">
        <v>122</v>
      </c>
      <c r="D2668" t="s">
        <v>67</v>
      </c>
      <c r="E2668" t="s">
        <v>138</v>
      </c>
      <c r="F2668" s="1">
        <v>42847</v>
      </c>
      <c r="G2668" s="1">
        <v>42854</v>
      </c>
      <c r="H2668">
        <v>5456</v>
      </c>
      <c r="I2668" t="str">
        <f>IF(COUNTIF(Products!$A$2:$A$8,C2668)=0,C2668,"")</f>
        <v/>
      </c>
      <c r="J2668">
        <f>IF(OR(E2668="Prospecting",E2668="Engaging"),VLOOKUP(C2668,Products!$A$2:$C$8,3,FALSE),0)</f>
        <v>0</v>
      </c>
    </row>
    <row r="2669" spans="1:10" x14ac:dyDescent="0.25">
      <c r="A2669" t="s">
        <v>2836</v>
      </c>
      <c r="B2669" t="s">
        <v>146</v>
      </c>
      <c r="C2669" t="s">
        <v>123</v>
      </c>
      <c r="D2669" t="s">
        <v>53</v>
      </c>
      <c r="E2669" t="s">
        <v>159</v>
      </c>
      <c r="F2669" s="1">
        <v>42848</v>
      </c>
      <c r="G2669" s="1">
        <v>42973</v>
      </c>
      <c r="H2669">
        <v>0</v>
      </c>
      <c r="I2669" t="str">
        <f>IF(COUNTIF(Products!$A$2:$A$8,C2669)=0,C2669,"")</f>
        <v/>
      </c>
      <c r="J2669">
        <f>IF(OR(E2669="Prospecting",E2669="Engaging"),VLOOKUP(C2669,Products!$A$2:$C$8,3,FALSE),0)</f>
        <v>0</v>
      </c>
    </row>
    <row r="2670" spans="1:10" x14ac:dyDescent="0.25">
      <c r="A2670" t="s">
        <v>2837</v>
      </c>
      <c r="B2670" t="s">
        <v>222</v>
      </c>
      <c r="C2670" t="s">
        <v>122</v>
      </c>
      <c r="D2670" t="s">
        <v>84</v>
      </c>
      <c r="E2670" t="s">
        <v>159</v>
      </c>
      <c r="F2670" s="1">
        <v>42848</v>
      </c>
      <c r="G2670" s="1">
        <v>42849</v>
      </c>
      <c r="H2670">
        <v>0</v>
      </c>
      <c r="I2670" t="str">
        <f>IF(COUNTIF(Products!$A$2:$A$8,C2670)=0,C2670,"")</f>
        <v/>
      </c>
      <c r="J2670">
        <f>IF(OR(E2670="Prospecting",E2670="Engaging"),VLOOKUP(C2670,Products!$A$2:$C$8,3,FALSE),0)</f>
        <v>0</v>
      </c>
    </row>
    <row r="2671" spans="1:10" x14ac:dyDescent="0.25">
      <c r="A2671" t="s">
        <v>2838</v>
      </c>
      <c r="B2671" t="s">
        <v>207</v>
      </c>
      <c r="C2671" t="s">
        <v>120</v>
      </c>
      <c r="D2671" t="s">
        <v>48</v>
      </c>
      <c r="E2671" t="s">
        <v>159</v>
      </c>
      <c r="F2671" s="1">
        <v>42848</v>
      </c>
      <c r="G2671" s="1">
        <v>42855</v>
      </c>
      <c r="H2671">
        <v>0</v>
      </c>
      <c r="I2671" t="str">
        <f>IF(COUNTIF(Products!$A$2:$A$8,C2671)=0,C2671,"")</f>
        <v/>
      </c>
      <c r="J2671">
        <f>IF(OR(E2671="Prospecting",E2671="Engaging"),VLOOKUP(C2671,Products!$A$2:$C$8,3,FALSE),0)</f>
        <v>0</v>
      </c>
    </row>
    <row r="2672" spans="1:10" x14ac:dyDescent="0.25">
      <c r="A2672" t="s">
        <v>2839</v>
      </c>
      <c r="B2672" t="s">
        <v>207</v>
      </c>
      <c r="C2672" t="s">
        <v>125</v>
      </c>
      <c r="D2672" t="s">
        <v>105</v>
      </c>
      <c r="E2672" t="s">
        <v>159</v>
      </c>
      <c r="F2672" s="1">
        <v>42848</v>
      </c>
      <c r="G2672" s="1">
        <v>42967</v>
      </c>
      <c r="H2672">
        <v>0</v>
      </c>
      <c r="I2672" t="str">
        <f>IF(COUNTIF(Products!$A$2:$A$8,C2672)=0,C2672,"")</f>
        <v/>
      </c>
      <c r="J2672">
        <f>IF(OR(E2672="Prospecting",E2672="Engaging"),VLOOKUP(C2672,Products!$A$2:$C$8,3,FALSE),0)</f>
        <v>0</v>
      </c>
    </row>
    <row r="2673" spans="1:10" x14ac:dyDescent="0.25">
      <c r="A2673" t="s">
        <v>2840</v>
      </c>
      <c r="B2673" t="s">
        <v>239</v>
      </c>
      <c r="C2673" t="s">
        <v>122</v>
      </c>
      <c r="D2673" t="s">
        <v>73</v>
      </c>
      <c r="E2673" t="s">
        <v>159</v>
      </c>
      <c r="F2673" s="1">
        <v>42848</v>
      </c>
      <c r="G2673" s="1">
        <v>42855</v>
      </c>
      <c r="H2673">
        <v>0</v>
      </c>
      <c r="I2673" t="str">
        <f>IF(COUNTIF(Products!$A$2:$A$8,C2673)=0,C2673,"")</f>
        <v/>
      </c>
      <c r="J2673">
        <f>IF(OR(E2673="Prospecting",E2673="Engaging"),VLOOKUP(C2673,Products!$A$2:$C$8,3,FALSE),0)</f>
        <v>0</v>
      </c>
    </row>
    <row r="2674" spans="1:10" x14ac:dyDescent="0.25">
      <c r="A2674" t="s">
        <v>2841</v>
      </c>
      <c r="B2674" t="s">
        <v>239</v>
      </c>
      <c r="C2674" t="s">
        <v>126</v>
      </c>
      <c r="D2674" t="s">
        <v>115</v>
      </c>
      <c r="E2674" t="s">
        <v>138</v>
      </c>
      <c r="F2674" s="1">
        <v>42848</v>
      </c>
      <c r="G2674" s="1">
        <v>42849</v>
      </c>
      <c r="H2674">
        <v>5780</v>
      </c>
      <c r="I2674" t="str">
        <f>IF(COUNTIF(Products!$A$2:$A$8,C2674)=0,C2674,"")</f>
        <v/>
      </c>
      <c r="J2674">
        <f>IF(OR(E2674="Prospecting",E2674="Engaging"),VLOOKUP(C2674,Products!$A$2:$C$8,3,FALSE),0)</f>
        <v>0</v>
      </c>
    </row>
    <row r="2675" spans="1:10" x14ac:dyDescent="0.25">
      <c r="A2675" t="s">
        <v>2842</v>
      </c>
      <c r="B2675" t="s">
        <v>239</v>
      </c>
      <c r="C2675" t="s">
        <v>122</v>
      </c>
      <c r="D2675" t="s">
        <v>112</v>
      </c>
      <c r="E2675" t="s">
        <v>138</v>
      </c>
      <c r="F2675" s="1">
        <v>42848</v>
      </c>
      <c r="G2675" s="1">
        <v>42855</v>
      </c>
      <c r="H2675">
        <v>5787</v>
      </c>
      <c r="I2675" t="str">
        <f>IF(COUNTIF(Products!$A$2:$A$8,C2675)=0,C2675,"")</f>
        <v/>
      </c>
      <c r="J2675">
        <f>IF(OR(E2675="Prospecting",E2675="Engaging"),VLOOKUP(C2675,Products!$A$2:$C$8,3,FALSE),0)</f>
        <v>0</v>
      </c>
    </row>
    <row r="2676" spans="1:10" x14ac:dyDescent="0.25">
      <c r="A2676" t="s">
        <v>2843</v>
      </c>
      <c r="B2676" t="s">
        <v>171</v>
      </c>
      <c r="C2676" t="s">
        <v>122</v>
      </c>
      <c r="D2676" t="s">
        <v>16</v>
      </c>
      <c r="E2676" t="s">
        <v>138</v>
      </c>
      <c r="F2676" s="1">
        <v>42848</v>
      </c>
      <c r="G2676" s="1">
        <v>42850</v>
      </c>
      <c r="H2676">
        <v>5149</v>
      </c>
      <c r="I2676" t="str">
        <f>IF(COUNTIF(Products!$A$2:$A$8,C2676)=0,C2676,"")</f>
        <v/>
      </c>
      <c r="J2676">
        <f>IF(OR(E2676="Prospecting",E2676="Engaging"),VLOOKUP(C2676,Products!$A$2:$C$8,3,FALSE),0)</f>
        <v>0</v>
      </c>
    </row>
    <row r="2677" spans="1:10" x14ac:dyDescent="0.25">
      <c r="A2677" t="s">
        <v>2844</v>
      </c>
      <c r="B2677" t="s">
        <v>224</v>
      </c>
      <c r="C2677" t="s">
        <v>127</v>
      </c>
      <c r="D2677" t="s">
        <v>48</v>
      </c>
      <c r="E2677" t="s">
        <v>159</v>
      </c>
      <c r="F2677" s="1">
        <v>42848</v>
      </c>
      <c r="G2677" s="1">
        <v>42973</v>
      </c>
      <c r="H2677">
        <v>0</v>
      </c>
      <c r="I2677" t="str">
        <f>IF(COUNTIF(Products!$A$2:$A$8,C2677)=0,C2677,"")</f>
        <v/>
      </c>
      <c r="J2677">
        <f>IF(OR(E2677="Prospecting",E2677="Engaging"),VLOOKUP(C2677,Products!$A$2:$C$8,3,FALSE),0)</f>
        <v>0</v>
      </c>
    </row>
    <row r="2678" spans="1:10" x14ac:dyDescent="0.25">
      <c r="A2678" t="s">
        <v>2845</v>
      </c>
      <c r="B2678" t="s">
        <v>224</v>
      </c>
      <c r="C2678" t="s">
        <v>122</v>
      </c>
      <c r="D2678" t="s">
        <v>10</v>
      </c>
      <c r="E2678" t="s">
        <v>138</v>
      </c>
      <c r="F2678" s="1">
        <v>42848</v>
      </c>
      <c r="G2678" s="1">
        <v>42889</v>
      </c>
      <c r="H2678">
        <v>5100</v>
      </c>
      <c r="I2678" t="str">
        <f>IF(COUNTIF(Products!$A$2:$A$8,C2678)=0,C2678,"")</f>
        <v/>
      </c>
      <c r="J2678">
        <f>IF(OR(E2678="Prospecting",E2678="Engaging"),VLOOKUP(C2678,Products!$A$2:$C$8,3,FALSE),0)</f>
        <v>0</v>
      </c>
    </row>
    <row r="2679" spans="1:10" x14ac:dyDescent="0.25">
      <c r="A2679" t="s">
        <v>2846</v>
      </c>
      <c r="B2679" t="s">
        <v>224</v>
      </c>
      <c r="C2679" t="s">
        <v>122</v>
      </c>
      <c r="D2679" t="s">
        <v>106</v>
      </c>
      <c r="E2679" t="s">
        <v>138</v>
      </c>
      <c r="F2679" s="1">
        <v>42848</v>
      </c>
      <c r="G2679" s="1">
        <v>42855</v>
      </c>
      <c r="H2679">
        <v>4810</v>
      </c>
      <c r="I2679" t="str">
        <f>IF(COUNTIF(Products!$A$2:$A$8,C2679)=0,C2679,"")</f>
        <v/>
      </c>
      <c r="J2679">
        <f>IF(OR(E2679="Prospecting",E2679="Engaging"),VLOOKUP(C2679,Products!$A$2:$C$8,3,FALSE),0)</f>
        <v>0</v>
      </c>
    </row>
    <row r="2680" spans="1:10" x14ac:dyDescent="0.25">
      <c r="A2680" t="s">
        <v>2847</v>
      </c>
      <c r="B2680" t="s">
        <v>173</v>
      </c>
      <c r="C2680" t="s">
        <v>123</v>
      </c>
      <c r="D2680" t="s">
        <v>56</v>
      </c>
      <c r="E2680" t="s">
        <v>159</v>
      </c>
      <c r="F2680" s="1">
        <v>42848</v>
      </c>
      <c r="G2680" s="1">
        <v>42859</v>
      </c>
      <c r="H2680">
        <v>0</v>
      </c>
      <c r="I2680" t="str">
        <f>IF(COUNTIF(Products!$A$2:$A$8,C2680)=0,C2680,"")</f>
        <v/>
      </c>
      <c r="J2680">
        <f>IF(OR(E2680="Prospecting",E2680="Engaging"),VLOOKUP(C2680,Products!$A$2:$C$8,3,FALSE),0)</f>
        <v>0</v>
      </c>
    </row>
    <row r="2681" spans="1:10" x14ac:dyDescent="0.25">
      <c r="A2681" t="s">
        <v>2848</v>
      </c>
      <c r="B2681" t="s">
        <v>173</v>
      </c>
      <c r="C2681" t="s">
        <v>125</v>
      </c>
      <c r="D2681" t="s">
        <v>17</v>
      </c>
      <c r="E2681" t="s">
        <v>159</v>
      </c>
      <c r="F2681" s="1">
        <v>42848</v>
      </c>
      <c r="G2681" s="1">
        <v>42948</v>
      </c>
      <c r="H2681">
        <v>0</v>
      </c>
      <c r="I2681" t="str">
        <f>IF(COUNTIF(Products!$A$2:$A$8,C2681)=0,C2681,"")</f>
        <v/>
      </c>
      <c r="J2681">
        <f>IF(OR(E2681="Prospecting",E2681="Engaging"),VLOOKUP(C2681,Products!$A$2:$C$8,3,FALSE),0)</f>
        <v>0</v>
      </c>
    </row>
    <row r="2682" spans="1:10" x14ac:dyDescent="0.25">
      <c r="A2682" t="s">
        <v>2849</v>
      </c>
      <c r="B2682" t="s">
        <v>158</v>
      </c>
      <c r="C2682" t="s">
        <v>120</v>
      </c>
      <c r="D2682" t="s">
        <v>12</v>
      </c>
      <c r="E2682" t="s">
        <v>138</v>
      </c>
      <c r="F2682" s="1">
        <v>42848</v>
      </c>
      <c r="G2682" s="1">
        <v>42849</v>
      </c>
      <c r="H2682">
        <v>560</v>
      </c>
      <c r="I2682" t="str">
        <f>IF(COUNTIF(Products!$A$2:$A$8,C2682)=0,C2682,"")</f>
        <v/>
      </c>
      <c r="J2682">
        <f>IF(OR(E2682="Prospecting",E2682="Engaging"),VLOOKUP(C2682,Products!$A$2:$C$8,3,FALSE),0)</f>
        <v>0</v>
      </c>
    </row>
    <row r="2683" spans="1:10" x14ac:dyDescent="0.25">
      <c r="A2683" t="s">
        <v>2850</v>
      </c>
      <c r="B2683" t="s">
        <v>158</v>
      </c>
      <c r="C2683" t="s">
        <v>122</v>
      </c>
      <c r="D2683" t="s">
        <v>32</v>
      </c>
      <c r="E2683" t="s">
        <v>138</v>
      </c>
      <c r="F2683" s="1">
        <v>42848</v>
      </c>
      <c r="G2683" s="1">
        <v>42857</v>
      </c>
      <c r="H2683">
        <v>4916</v>
      </c>
      <c r="I2683" t="str">
        <f>IF(COUNTIF(Products!$A$2:$A$8,C2683)=0,C2683,"")</f>
        <v/>
      </c>
      <c r="J2683">
        <f>IF(OR(E2683="Prospecting",E2683="Engaging"),VLOOKUP(C2683,Products!$A$2:$C$8,3,FALSE),0)</f>
        <v>0</v>
      </c>
    </row>
    <row r="2684" spans="1:10" x14ac:dyDescent="0.25">
      <c r="A2684" t="s">
        <v>2851</v>
      </c>
      <c r="B2684" t="s">
        <v>154</v>
      </c>
      <c r="C2684" t="s">
        <v>123</v>
      </c>
      <c r="E2684" t="s">
        <v>155</v>
      </c>
      <c r="F2684" s="1">
        <v>42848</v>
      </c>
      <c r="I2684" t="str">
        <f>IF(COUNTIF(Products!$A$2:$A$8,C2684)=0,C2684,"")</f>
        <v/>
      </c>
      <c r="J2684">
        <f>IF(OR(E2684="Prospecting",E2684="Engaging"),VLOOKUP(C2684,Products!$A$2:$C$8,3,FALSE),0)</f>
        <v>55</v>
      </c>
    </row>
    <row r="2685" spans="1:10" x14ac:dyDescent="0.25">
      <c r="A2685" t="s">
        <v>2852</v>
      </c>
      <c r="B2685" t="s">
        <v>154</v>
      </c>
      <c r="C2685" t="s">
        <v>123</v>
      </c>
      <c r="D2685" t="s">
        <v>78</v>
      </c>
      <c r="E2685" t="s">
        <v>138</v>
      </c>
      <c r="F2685" s="1">
        <v>42848</v>
      </c>
      <c r="G2685" s="1">
        <v>42897</v>
      </c>
      <c r="H2685">
        <v>45</v>
      </c>
      <c r="I2685" t="str">
        <f>IF(COUNTIF(Products!$A$2:$A$8,C2685)=0,C2685,"")</f>
        <v/>
      </c>
      <c r="J2685">
        <f>IF(OR(E2685="Prospecting",E2685="Engaging"),VLOOKUP(C2685,Products!$A$2:$C$8,3,FALSE),0)</f>
        <v>0</v>
      </c>
    </row>
    <row r="2686" spans="1:10" x14ac:dyDescent="0.25">
      <c r="A2686" t="s">
        <v>2853</v>
      </c>
      <c r="B2686" t="s">
        <v>180</v>
      </c>
      <c r="C2686" t="s">
        <v>127</v>
      </c>
      <c r="D2686" t="s">
        <v>69</v>
      </c>
      <c r="E2686" t="s">
        <v>159</v>
      </c>
      <c r="F2686" s="1">
        <v>42848</v>
      </c>
      <c r="G2686" s="1">
        <v>42850</v>
      </c>
      <c r="H2686">
        <v>0</v>
      </c>
      <c r="I2686" t="str">
        <f>IF(COUNTIF(Products!$A$2:$A$8,C2686)=0,C2686,"")</f>
        <v/>
      </c>
      <c r="J2686">
        <f>IF(OR(E2686="Prospecting",E2686="Engaging"),VLOOKUP(C2686,Products!$A$2:$C$8,3,FALSE),0)</f>
        <v>0</v>
      </c>
    </row>
    <row r="2687" spans="1:10" x14ac:dyDescent="0.25">
      <c r="A2687" t="s">
        <v>2854</v>
      </c>
      <c r="B2687" t="s">
        <v>180</v>
      </c>
      <c r="C2687" t="s">
        <v>120</v>
      </c>
      <c r="D2687" t="s">
        <v>47</v>
      </c>
      <c r="E2687" t="s">
        <v>138</v>
      </c>
      <c r="F2687" s="1">
        <v>42848</v>
      </c>
      <c r="G2687" s="1">
        <v>42849</v>
      </c>
      <c r="H2687">
        <v>592</v>
      </c>
      <c r="I2687" t="str">
        <f>IF(COUNTIF(Products!$A$2:$A$8,C2687)=0,C2687,"")</f>
        <v/>
      </c>
      <c r="J2687">
        <f>IF(OR(E2687="Prospecting",E2687="Engaging"),VLOOKUP(C2687,Products!$A$2:$C$8,3,FALSE),0)</f>
        <v>0</v>
      </c>
    </row>
    <row r="2688" spans="1:10" x14ac:dyDescent="0.25">
      <c r="A2688" t="s">
        <v>2855</v>
      </c>
      <c r="B2688" t="s">
        <v>191</v>
      </c>
      <c r="C2688" t="s">
        <v>120</v>
      </c>
      <c r="D2688" t="s">
        <v>34</v>
      </c>
      <c r="E2688" t="s">
        <v>138</v>
      </c>
      <c r="F2688" s="1">
        <v>42848</v>
      </c>
      <c r="G2688" s="1">
        <v>42854</v>
      </c>
      <c r="H2688">
        <v>529</v>
      </c>
      <c r="I2688" t="str">
        <f>IF(COUNTIF(Products!$A$2:$A$8,C2688)=0,C2688,"")</f>
        <v/>
      </c>
      <c r="J2688">
        <f>IF(OR(E2688="Prospecting",E2688="Engaging"),VLOOKUP(C2688,Products!$A$2:$C$8,3,FALSE),0)</f>
        <v>0</v>
      </c>
    </row>
    <row r="2689" spans="1:10" x14ac:dyDescent="0.25">
      <c r="A2689" t="s">
        <v>2856</v>
      </c>
      <c r="B2689" t="s">
        <v>191</v>
      </c>
      <c r="C2689" t="s">
        <v>122</v>
      </c>
      <c r="D2689" t="s">
        <v>66</v>
      </c>
      <c r="E2689" t="s">
        <v>138</v>
      </c>
      <c r="F2689" s="1">
        <v>42848</v>
      </c>
      <c r="G2689" s="1">
        <v>42851</v>
      </c>
      <c r="H2689">
        <v>5415</v>
      </c>
      <c r="I2689" t="str">
        <f>IF(COUNTIF(Products!$A$2:$A$8,C2689)=0,C2689,"")</f>
        <v/>
      </c>
      <c r="J2689">
        <f>IF(OR(E2689="Prospecting",E2689="Engaging"),VLOOKUP(C2689,Products!$A$2:$C$8,3,FALSE),0)</f>
        <v>0</v>
      </c>
    </row>
    <row r="2690" spans="1:10" x14ac:dyDescent="0.25">
      <c r="A2690" t="s">
        <v>2857</v>
      </c>
      <c r="B2690" t="s">
        <v>217</v>
      </c>
      <c r="C2690" t="s">
        <v>126</v>
      </c>
      <c r="D2690" t="s">
        <v>96</v>
      </c>
      <c r="E2690" t="s">
        <v>159</v>
      </c>
      <c r="F2690" s="1">
        <v>42848</v>
      </c>
      <c r="G2690" s="1">
        <v>42857</v>
      </c>
      <c r="H2690">
        <v>0</v>
      </c>
      <c r="I2690" t="str">
        <f>IF(COUNTIF(Products!$A$2:$A$8,C2690)=0,C2690,"")</f>
        <v/>
      </c>
      <c r="J2690">
        <f>IF(OR(E2690="Prospecting",E2690="Engaging"),VLOOKUP(C2690,Products!$A$2:$C$8,3,FALSE),0)</f>
        <v>0</v>
      </c>
    </row>
    <row r="2691" spans="1:10" x14ac:dyDescent="0.25">
      <c r="A2691" t="s">
        <v>2858</v>
      </c>
      <c r="B2691" t="s">
        <v>217</v>
      </c>
      <c r="C2691" t="s">
        <v>120</v>
      </c>
      <c r="D2691" t="s">
        <v>14</v>
      </c>
      <c r="E2691" t="s">
        <v>138</v>
      </c>
      <c r="F2691" s="1">
        <v>42848</v>
      </c>
      <c r="G2691" s="1">
        <v>42901</v>
      </c>
      <c r="H2691">
        <v>518</v>
      </c>
      <c r="I2691" t="str">
        <f>IF(COUNTIF(Products!$A$2:$A$8,C2691)=0,C2691,"")</f>
        <v/>
      </c>
      <c r="J2691">
        <f>IF(OR(E2691="Prospecting",E2691="Engaging"),VLOOKUP(C2691,Products!$A$2:$C$8,3,FALSE),0)</f>
        <v>0</v>
      </c>
    </row>
    <row r="2692" spans="1:10" x14ac:dyDescent="0.25">
      <c r="A2692" t="s">
        <v>2859</v>
      </c>
      <c r="B2692" t="s">
        <v>217</v>
      </c>
      <c r="C2692" t="s">
        <v>123</v>
      </c>
      <c r="D2692" t="s">
        <v>77</v>
      </c>
      <c r="E2692" t="s">
        <v>138</v>
      </c>
      <c r="F2692" s="1">
        <v>42848</v>
      </c>
      <c r="G2692" s="1">
        <v>42958</v>
      </c>
      <c r="H2692">
        <v>52</v>
      </c>
      <c r="I2692" t="str">
        <f>IF(COUNTIF(Products!$A$2:$A$8,C2692)=0,C2692,"")</f>
        <v/>
      </c>
      <c r="J2692">
        <f>IF(OR(E2692="Prospecting",E2692="Engaging"),VLOOKUP(C2692,Products!$A$2:$C$8,3,FALSE),0)</f>
        <v>0</v>
      </c>
    </row>
    <row r="2693" spans="1:10" x14ac:dyDescent="0.25">
      <c r="A2693" t="s">
        <v>2860</v>
      </c>
      <c r="B2693" t="s">
        <v>150</v>
      </c>
      <c r="C2693" t="s">
        <v>125</v>
      </c>
      <c r="E2693" t="s">
        <v>155</v>
      </c>
      <c r="F2693" s="1">
        <v>42848</v>
      </c>
      <c r="I2693" t="str">
        <f>IF(COUNTIF(Products!$A$2:$A$8,C2693)=0,C2693,"")</f>
        <v/>
      </c>
      <c r="J2693">
        <f>IF(OR(E2693="Prospecting",E2693="Engaging"),VLOOKUP(C2693,Products!$A$2:$C$8,3,FALSE),0)</f>
        <v>3393</v>
      </c>
    </row>
    <row r="2694" spans="1:10" x14ac:dyDescent="0.25">
      <c r="A2694" t="s">
        <v>2861</v>
      </c>
      <c r="B2694" t="s">
        <v>150</v>
      </c>
      <c r="C2694" t="s">
        <v>123</v>
      </c>
      <c r="D2694" t="s">
        <v>71</v>
      </c>
      <c r="E2694" t="s">
        <v>159</v>
      </c>
      <c r="F2694" s="1">
        <v>42848</v>
      </c>
      <c r="G2694" s="1">
        <v>42849</v>
      </c>
      <c r="H2694">
        <v>0</v>
      </c>
      <c r="I2694" t="str">
        <f>IF(COUNTIF(Products!$A$2:$A$8,C2694)=0,C2694,"")</f>
        <v/>
      </c>
      <c r="J2694">
        <f>IF(OR(E2694="Prospecting",E2694="Engaging"),VLOOKUP(C2694,Products!$A$2:$C$8,3,FALSE),0)</f>
        <v>0</v>
      </c>
    </row>
    <row r="2695" spans="1:10" x14ac:dyDescent="0.25">
      <c r="A2695" t="s">
        <v>2862</v>
      </c>
      <c r="B2695" t="s">
        <v>137</v>
      </c>
      <c r="C2695" t="s">
        <v>123</v>
      </c>
      <c r="D2695" t="s">
        <v>46</v>
      </c>
      <c r="E2695" t="s">
        <v>138</v>
      </c>
      <c r="F2695" s="1">
        <v>42848</v>
      </c>
      <c r="G2695" s="1">
        <v>42911</v>
      </c>
      <c r="H2695">
        <v>51</v>
      </c>
      <c r="I2695" t="str">
        <f>IF(COUNTIF(Products!$A$2:$A$8,C2695)=0,C2695,"")</f>
        <v/>
      </c>
      <c r="J2695">
        <f>IF(OR(E2695="Prospecting",E2695="Engaging"),VLOOKUP(C2695,Products!$A$2:$C$8,3,FALSE),0)</f>
        <v>0</v>
      </c>
    </row>
    <row r="2696" spans="1:10" x14ac:dyDescent="0.25">
      <c r="A2696" t="s">
        <v>2863</v>
      </c>
      <c r="B2696" t="s">
        <v>152</v>
      </c>
      <c r="C2696" t="s">
        <v>120</v>
      </c>
      <c r="D2696" t="s">
        <v>51</v>
      </c>
      <c r="E2696" t="s">
        <v>138</v>
      </c>
      <c r="F2696" s="1">
        <v>42848</v>
      </c>
      <c r="G2696" s="1">
        <v>42849</v>
      </c>
      <c r="H2696">
        <v>554</v>
      </c>
      <c r="I2696" t="str">
        <f>IF(COUNTIF(Products!$A$2:$A$8,C2696)=0,C2696,"")</f>
        <v/>
      </c>
      <c r="J2696">
        <f>IF(OR(E2696="Prospecting",E2696="Engaging"),VLOOKUP(C2696,Products!$A$2:$C$8,3,FALSE),0)</f>
        <v>0</v>
      </c>
    </row>
    <row r="2697" spans="1:10" x14ac:dyDescent="0.25">
      <c r="A2697" t="s">
        <v>2864</v>
      </c>
      <c r="B2697" t="s">
        <v>152</v>
      </c>
      <c r="C2697" t="s">
        <v>122</v>
      </c>
      <c r="D2697" t="s">
        <v>89</v>
      </c>
      <c r="E2697" t="s">
        <v>138</v>
      </c>
      <c r="F2697" s="1">
        <v>42848</v>
      </c>
      <c r="G2697" s="1">
        <v>42979</v>
      </c>
      <c r="H2697">
        <v>4835</v>
      </c>
      <c r="I2697" t="str">
        <f>IF(COUNTIF(Products!$A$2:$A$8,C2697)=0,C2697,"")</f>
        <v/>
      </c>
      <c r="J2697">
        <f>IF(OR(E2697="Prospecting",E2697="Engaging"),VLOOKUP(C2697,Products!$A$2:$C$8,3,FALSE),0)</f>
        <v>0</v>
      </c>
    </row>
    <row r="2698" spans="1:10" x14ac:dyDescent="0.25">
      <c r="A2698" t="s">
        <v>2865</v>
      </c>
      <c r="B2698" t="s">
        <v>193</v>
      </c>
      <c r="C2698" t="s">
        <v>125</v>
      </c>
      <c r="D2698" t="s">
        <v>80</v>
      </c>
      <c r="E2698" t="s">
        <v>159</v>
      </c>
      <c r="F2698" s="1">
        <v>42848</v>
      </c>
      <c r="G2698" s="1">
        <v>42849</v>
      </c>
      <c r="H2698">
        <v>0</v>
      </c>
      <c r="I2698" t="str">
        <f>IF(COUNTIF(Products!$A$2:$A$8,C2698)=0,C2698,"")</f>
        <v/>
      </c>
      <c r="J2698">
        <f>IF(OR(E2698="Prospecting",E2698="Engaging"),VLOOKUP(C2698,Products!$A$2:$C$8,3,FALSE),0)</f>
        <v>0</v>
      </c>
    </row>
    <row r="2699" spans="1:10" x14ac:dyDescent="0.25">
      <c r="A2699" t="s">
        <v>2866</v>
      </c>
      <c r="B2699" t="s">
        <v>166</v>
      </c>
      <c r="C2699" t="s">
        <v>123</v>
      </c>
      <c r="E2699" t="s">
        <v>155</v>
      </c>
      <c r="F2699" s="1">
        <v>42848</v>
      </c>
      <c r="I2699" t="str">
        <f>IF(COUNTIF(Products!$A$2:$A$8,C2699)=0,C2699,"")</f>
        <v/>
      </c>
      <c r="J2699">
        <f>IF(OR(E2699="Prospecting",E2699="Engaging"),VLOOKUP(C2699,Products!$A$2:$C$8,3,FALSE),0)</f>
        <v>55</v>
      </c>
    </row>
    <row r="2700" spans="1:10" x14ac:dyDescent="0.25">
      <c r="A2700" t="s">
        <v>2867</v>
      </c>
      <c r="B2700" t="s">
        <v>166</v>
      </c>
      <c r="C2700" t="s">
        <v>123</v>
      </c>
      <c r="D2700" t="s">
        <v>17</v>
      </c>
      <c r="E2700" t="s">
        <v>138</v>
      </c>
      <c r="F2700" s="1">
        <v>42848</v>
      </c>
      <c r="G2700" s="1">
        <v>42855</v>
      </c>
      <c r="H2700">
        <v>59</v>
      </c>
      <c r="I2700" t="str">
        <f>IF(COUNTIF(Products!$A$2:$A$8,C2700)=0,C2700,"")</f>
        <v/>
      </c>
      <c r="J2700">
        <f>IF(OR(E2700="Prospecting",E2700="Engaging"),VLOOKUP(C2700,Products!$A$2:$C$8,3,FALSE),0)</f>
        <v>0</v>
      </c>
    </row>
    <row r="2701" spans="1:10" x14ac:dyDescent="0.25">
      <c r="A2701" t="s">
        <v>2868</v>
      </c>
      <c r="B2701" t="s">
        <v>187</v>
      </c>
      <c r="C2701" t="s">
        <v>125</v>
      </c>
      <c r="D2701" t="s">
        <v>63</v>
      </c>
      <c r="E2701" t="s">
        <v>159</v>
      </c>
      <c r="F2701" s="1">
        <v>42848</v>
      </c>
      <c r="G2701" s="1">
        <v>42861</v>
      </c>
      <c r="H2701">
        <v>0</v>
      </c>
      <c r="I2701" t="str">
        <f>IF(COUNTIF(Products!$A$2:$A$8,C2701)=0,C2701,"")</f>
        <v/>
      </c>
      <c r="J2701">
        <f>IF(OR(E2701="Prospecting",E2701="Engaging"),VLOOKUP(C2701,Products!$A$2:$C$8,3,FALSE),0)</f>
        <v>0</v>
      </c>
    </row>
    <row r="2702" spans="1:10" x14ac:dyDescent="0.25">
      <c r="A2702" t="s">
        <v>2869</v>
      </c>
      <c r="B2702" t="s">
        <v>169</v>
      </c>
      <c r="C2702" t="s">
        <v>123</v>
      </c>
      <c r="D2702" t="s">
        <v>116</v>
      </c>
      <c r="E2702" t="s">
        <v>159</v>
      </c>
      <c r="F2702" s="1">
        <v>42848</v>
      </c>
      <c r="G2702" s="1">
        <v>42860</v>
      </c>
      <c r="H2702">
        <v>0</v>
      </c>
      <c r="I2702" t="str">
        <f>IF(COUNTIF(Products!$A$2:$A$8,C2702)=0,C2702,"")</f>
        <v/>
      </c>
      <c r="J2702">
        <f>IF(OR(E2702="Prospecting",E2702="Engaging"),VLOOKUP(C2702,Products!$A$2:$C$8,3,FALSE),0)</f>
        <v>0</v>
      </c>
    </row>
    <row r="2703" spans="1:10" x14ac:dyDescent="0.25">
      <c r="A2703" t="s">
        <v>2870</v>
      </c>
      <c r="B2703" t="s">
        <v>169</v>
      </c>
      <c r="C2703" t="s">
        <v>125</v>
      </c>
      <c r="D2703" t="s">
        <v>36</v>
      </c>
      <c r="E2703" t="s">
        <v>159</v>
      </c>
      <c r="F2703" s="1">
        <v>42848</v>
      </c>
      <c r="G2703" s="1">
        <v>42953</v>
      </c>
      <c r="H2703">
        <v>0</v>
      </c>
      <c r="I2703" t="str">
        <f>IF(COUNTIF(Products!$A$2:$A$8,C2703)=0,C2703,"")</f>
        <v/>
      </c>
      <c r="J2703">
        <f>IF(OR(E2703="Prospecting",E2703="Engaging"),VLOOKUP(C2703,Products!$A$2:$C$8,3,FALSE),0)</f>
        <v>0</v>
      </c>
    </row>
    <row r="2704" spans="1:10" x14ac:dyDescent="0.25">
      <c r="A2704" t="s">
        <v>2871</v>
      </c>
      <c r="B2704" t="s">
        <v>148</v>
      </c>
      <c r="C2704" t="s">
        <v>122</v>
      </c>
      <c r="D2704" t="s">
        <v>82</v>
      </c>
      <c r="E2704" t="s">
        <v>159</v>
      </c>
      <c r="F2704" s="1">
        <v>42848</v>
      </c>
      <c r="G2704" s="1">
        <v>42960</v>
      </c>
      <c r="H2704">
        <v>0</v>
      </c>
      <c r="I2704" t="str">
        <f>IF(COUNTIF(Products!$A$2:$A$8,C2704)=0,C2704,"")</f>
        <v/>
      </c>
      <c r="J2704">
        <f>IF(OR(E2704="Prospecting",E2704="Engaging"),VLOOKUP(C2704,Products!$A$2:$C$8,3,FALSE),0)</f>
        <v>0</v>
      </c>
    </row>
    <row r="2705" spans="1:10" x14ac:dyDescent="0.25">
      <c r="A2705" t="s">
        <v>2872</v>
      </c>
      <c r="B2705" t="s">
        <v>148</v>
      </c>
      <c r="C2705" t="s">
        <v>123</v>
      </c>
      <c r="D2705" t="s">
        <v>78</v>
      </c>
      <c r="E2705" t="s">
        <v>159</v>
      </c>
      <c r="F2705" s="1">
        <v>42848</v>
      </c>
      <c r="G2705" s="1">
        <v>42855</v>
      </c>
      <c r="H2705">
        <v>0</v>
      </c>
      <c r="I2705" t="str">
        <f>IF(COUNTIF(Products!$A$2:$A$8,C2705)=0,C2705,"")</f>
        <v/>
      </c>
      <c r="J2705">
        <f>IF(OR(E2705="Prospecting",E2705="Engaging"),VLOOKUP(C2705,Products!$A$2:$C$8,3,FALSE),0)</f>
        <v>0</v>
      </c>
    </row>
    <row r="2706" spans="1:10" x14ac:dyDescent="0.25">
      <c r="A2706" t="s">
        <v>2873</v>
      </c>
      <c r="B2706" t="s">
        <v>177</v>
      </c>
      <c r="C2706" t="s">
        <v>126</v>
      </c>
      <c r="D2706" t="s">
        <v>108</v>
      </c>
      <c r="E2706" t="s">
        <v>138</v>
      </c>
      <c r="F2706" s="1">
        <v>42848</v>
      </c>
      <c r="G2706" s="1">
        <v>42863</v>
      </c>
      <c r="H2706">
        <v>5813</v>
      </c>
      <c r="I2706" t="str">
        <f>IF(COUNTIF(Products!$A$2:$A$8,C2706)=0,C2706,"")</f>
        <v/>
      </c>
      <c r="J2706">
        <f>IF(OR(E2706="Prospecting",E2706="Engaging"),VLOOKUP(C2706,Products!$A$2:$C$8,3,FALSE),0)</f>
        <v>0</v>
      </c>
    </row>
    <row r="2707" spans="1:10" x14ac:dyDescent="0.25">
      <c r="A2707" t="s">
        <v>2874</v>
      </c>
      <c r="B2707" t="s">
        <v>196</v>
      </c>
      <c r="C2707" t="s">
        <v>122</v>
      </c>
      <c r="D2707" t="s">
        <v>81</v>
      </c>
      <c r="E2707" t="s">
        <v>138</v>
      </c>
      <c r="F2707" s="1">
        <v>42848</v>
      </c>
      <c r="G2707" s="1">
        <v>42856</v>
      </c>
      <c r="H2707">
        <v>5414</v>
      </c>
      <c r="I2707" t="str">
        <f>IF(COUNTIF(Products!$A$2:$A$8,C2707)=0,C2707,"")</f>
        <v/>
      </c>
      <c r="J2707">
        <f>IF(OR(E2707="Prospecting",E2707="Engaging"),VLOOKUP(C2707,Products!$A$2:$C$8,3,FALSE),0)</f>
        <v>0</v>
      </c>
    </row>
    <row r="2708" spans="1:10" x14ac:dyDescent="0.25">
      <c r="A2708" t="s">
        <v>2875</v>
      </c>
      <c r="B2708" t="s">
        <v>144</v>
      </c>
      <c r="C2708" t="s">
        <v>126</v>
      </c>
      <c r="D2708" t="s">
        <v>107</v>
      </c>
      <c r="E2708" t="s">
        <v>159</v>
      </c>
      <c r="F2708" s="1">
        <v>42848</v>
      </c>
      <c r="G2708" s="1">
        <v>42853</v>
      </c>
      <c r="H2708">
        <v>0</v>
      </c>
      <c r="I2708" t="str">
        <f>IF(COUNTIF(Products!$A$2:$A$8,C2708)=0,C2708,"")</f>
        <v/>
      </c>
      <c r="J2708">
        <f>IF(OR(E2708="Prospecting",E2708="Engaging"),VLOOKUP(C2708,Products!$A$2:$C$8,3,FALSE),0)</f>
        <v>0</v>
      </c>
    </row>
    <row r="2709" spans="1:10" x14ac:dyDescent="0.25">
      <c r="A2709" t="s">
        <v>2876</v>
      </c>
      <c r="B2709" t="s">
        <v>146</v>
      </c>
      <c r="C2709" t="s">
        <v>123</v>
      </c>
      <c r="D2709" t="s">
        <v>88</v>
      </c>
      <c r="E2709" t="s">
        <v>138</v>
      </c>
      <c r="F2709" s="1">
        <v>42849</v>
      </c>
      <c r="G2709" s="1">
        <v>42850</v>
      </c>
      <c r="H2709">
        <v>62</v>
      </c>
      <c r="I2709" t="str">
        <f>IF(COUNTIF(Products!$A$2:$A$8,C2709)=0,C2709,"")</f>
        <v/>
      </c>
      <c r="J2709">
        <f>IF(OR(E2709="Prospecting",E2709="Engaging"),VLOOKUP(C2709,Products!$A$2:$C$8,3,FALSE),0)</f>
        <v>0</v>
      </c>
    </row>
    <row r="2710" spans="1:10" x14ac:dyDescent="0.25">
      <c r="A2710" t="s">
        <v>2877</v>
      </c>
      <c r="B2710" t="s">
        <v>239</v>
      </c>
      <c r="C2710" t="s">
        <v>125</v>
      </c>
      <c r="E2710" t="s">
        <v>155</v>
      </c>
      <c r="F2710" s="1">
        <v>42849</v>
      </c>
      <c r="I2710" t="str">
        <f>IF(COUNTIF(Products!$A$2:$A$8,C2710)=0,C2710,"")</f>
        <v/>
      </c>
      <c r="J2710">
        <f>IF(OR(E2710="Prospecting",E2710="Engaging"),VLOOKUP(C2710,Products!$A$2:$C$8,3,FALSE),0)</f>
        <v>3393</v>
      </c>
    </row>
    <row r="2711" spans="1:10" x14ac:dyDescent="0.25">
      <c r="A2711" t="s">
        <v>2878</v>
      </c>
      <c r="B2711" t="s">
        <v>239</v>
      </c>
      <c r="C2711" t="s">
        <v>122</v>
      </c>
      <c r="D2711" t="s">
        <v>84</v>
      </c>
      <c r="E2711" t="s">
        <v>138</v>
      </c>
      <c r="F2711" s="1">
        <v>42849</v>
      </c>
      <c r="G2711" s="1">
        <v>42951</v>
      </c>
      <c r="H2711">
        <v>4505</v>
      </c>
      <c r="I2711" t="str">
        <f>IF(COUNTIF(Products!$A$2:$A$8,C2711)=0,C2711,"")</f>
        <v/>
      </c>
      <c r="J2711">
        <f>IF(OR(E2711="Prospecting",E2711="Engaging"),VLOOKUP(C2711,Products!$A$2:$C$8,3,FALSE),0)</f>
        <v>0</v>
      </c>
    </row>
    <row r="2712" spans="1:10" x14ac:dyDescent="0.25">
      <c r="A2712" t="s">
        <v>2879</v>
      </c>
      <c r="B2712" t="s">
        <v>140</v>
      </c>
      <c r="C2712" t="s">
        <v>122</v>
      </c>
      <c r="D2712" t="s">
        <v>64</v>
      </c>
      <c r="E2712" t="s">
        <v>159</v>
      </c>
      <c r="F2712" s="1">
        <v>42849</v>
      </c>
      <c r="G2712" s="1">
        <v>42855</v>
      </c>
      <c r="H2712">
        <v>0</v>
      </c>
      <c r="I2712" t="str">
        <f>IF(COUNTIF(Products!$A$2:$A$8,C2712)=0,C2712,"")</f>
        <v/>
      </c>
      <c r="J2712">
        <f>IF(OR(E2712="Prospecting",E2712="Engaging"),VLOOKUP(C2712,Products!$A$2:$C$8,3,FALSE),0)</f>
        <v>0</v>
      </c>
    </row>
    <row r="2713" spans="1:10" x14ac:dyDescent="0.25">
      <c r="A2713" t="s">
        <v>2880</v>
      </c>
      <c r="B2713" t="s">
        <v>140</v>
      </c>
      <c r="C2713" t="s">
        <v>127</v>
      </c>
      <c r="D2713" t="s">
        <v>70</v>
      </c>
      <c r="E2713" t="s">
        <v>138</v>
      </c>
      <c r="F2713" s="1">
        <v>42849</v>
      </c>
      <c r="G2713" s="1">
        <v>42861</v>
      </c>
      <c r="H2713">
        <v>1020</v>
      </c>
      <c r="I2713" t="str">
        <f>IF(COUNTIF(Products!$A$2:$A$8,C2713)=0,C2713,"")</f>
        <v/>
      </c>
      <c r="J2713">
        <f>IF(OR(E2713="Prospecting",E2713="Engaging"),VLOOKUP(C2713,Products!$A$2:$C$8,3,FALSE),0)</f>
        <v>0</v>
      </c>
    </row>
    <row r="2714" spans="1:10" x14ac:dyDescent="0.25">
      <c r="A2714" t="s">
        <v>2881</v>
      </c>
      <c r="B2714" t="s">
        <v>140</v>
      </c>
      <c r="C2714" t="s">
        <v>126</v>
      </c>
      <c r="D2714" t="s">
        <v>33</v>
      </c>
      <c r="E2714" t="s">
        <v>138</v>
      </c>
      <c r="F2714" s="1">
        <v>42849</v>
      </c>
      <c r="G2714" s="1">
        <v>42854</v>
      </c>
      <c r="H2714">
        <v>5029</v>
      </c>
      <c r="I2714" t="str">
        <f>IF(COUNTIF(Products!$A$2:$A$8,C2714)=0,C2714,"")</f>
        <v/>
      </c>
      <c r="J2714">
        <f>IF(OR(E2714="Prospecting",E2714="Engaging"),VLOOKUP(C2714,Products!$A$2:$C$8,3,FALSE),0)</f>
        <v>0</v>
      </c>
    </row>
    <row r="2715" spans="1:10" x14ac:dyDescent="0.25">
      <c r="A2715" t="s">
        <v>2882</v>
      </c>
      <c r="B2715" t="s">
        <v>140</v>
      </c>
      <c r="C2715" t="s">
        <v>122</v>
      </c>
      <c r="D2715" t="s">
        <v>91</v>
      </c>
      <c r="E2715" t="s">
        <v>138</v>
      </c>
      <c r="F2715" s="1">
        <v>42849</v>
      </c>
      <c r="G2715" s="1">
        <v>42962</v>
      </c>
      <c r="H2715">
        <v>5191</v>
      </c>
      <c r="I2715" t="str">
        <f>IF(COUNTIF(Products!$A$2:$A$8,C2715)=0,C2715,"")</f>
        <v/>
      </c>
      <c r="J2715">
        <f>IF(OR(E2715="Prospecting",E2715="Engaging"),VLOOKUP(C2715,Products!$A$2:$C$8,3,FALSE),0)</f>
        <v>0</v>
      </c>
    </row>
    <row r="2716" spans="1:10" x14ac:dyDescent="0.25">
      <c r="A2716" t="s">
        <v>2883</v>
      </c>
      <c r="B2716" t="s">
        <v>198</v>
      </c>
      <c r="C2716" t="s">
        <v>120</v>
      </c>
      <c r="D2716" t="s">
        <v>115</v>
      </c>
      <c r="E2716" t="s">
        <v>159</v>
      </c>
      <c r="F2716" s="1">
        <v>42849</v>
      </c>
      <c r="G2716" s="1">
        <v>42861</v>
      </c>
      <c r="H2716">
        <v>0</v>
      </c>
      <c r="I2716" t="str">
        <f>IF(COUNTIF(Products!$A$2:$A$8,C2716)=0,C2716,"")</f>
        <v/>
      </c>
      <c r="J2716">
        <f>IF(OR(E2716="Prospecting",E2716="Engaging"),VLOOKUP(C2716,Products!$A$2:$C$8,3,FALSE),0)</f>
        <v>0</v>
      </c>
    </row>
    <row r="2717" spans="1:10" x14ac:dyDescent="0.25">
      <c r="A2717" t="s">
        <v>2884</v>
      </c>
      <c r="B2717" t="s">
        <v>158</v>
      </c>
      <c r="C2717" t="s">
        <v>122</v>
      </c>
      <c r="D2717" t="s">
        <v>36</v>
      </c>
      <c r="E2717" t="s">
        <v>159</v>
      </c>
      <c r="F2717" s="1">
        <v>42849</v>
      </c>
      <c r="G2717" s="1">
        <v>42858</v>
      </c>
      <c r="H2717">
        <v>0</v>
      </c>
      <c r="I2717" t="str">
        <f>IF(COUNTIF(Products!$A$2:$A$8,C2717)=0,C2717,"")</f>
        <v/>
      </c>
      <c r="J2717">
        <f>IF(OR(E2717="Prospecting",E2717="Engaging"),VLOOKUP(C2717,Products!$A$2:$C$8,3,FALSE),0)</f>
        <v>0</v>
      </c>
    </row>
    <row r="2718" spans="1:10" x14ac:dyDescent="0.25">
      <c r="A2718" t="s">
        <v>2885</v>
      </c>
      <c r="B2718" t="s">
        <v>164</v>
      </c>
      <c r="C2718" t="s">
        <v>125</v>
      </c>
      <c r="E2718" t="s">
        <v>155</v>
      </c>
      <c r="F2718" s="1">
        <v>42849</v>
      </c>
      <c r="I2718" t="str">
        <f>IF(COUNTIF(Products!$A$2:$A$8,C2718)=0,C2718,"")</f>
        <v/>
      </c>
      <c r="J2718">
        <f>IF(OR(E2718="Prospecting",E2718="Engaging"),VLOOKUP(C2718,Products!$A$2:$C$8,3,FALSE),0)</f>
        <v>3393</v>
      </c>
    </row>
    <row r="2719" spans="1:10" x14ac:dyDescent="0.25">
      <c r="A2719" t="s">
        <v>2886</v>
      </c>
      <c r="B2719" t="s">
        <v>154</v>
      </c>
      <c r="C2719" t="s">
        <v>125</v>
      </c>
      <c r="D2719" t="s">
        <v>90</v>
      </c>
      <c r="E2719" t="s">
        <v>138</v>
      </c>
      <c r="F2719" s="1">
        <v>42849</v>
      </c>
      <c r="G2719" s="1">
        <v>42860</v>
      </c>
      <c r="H2719">
        <v>3042</v>
      </c>
      <c r="I2719" t="str">
        <f>IF(COUNTIF(Products!$A$2:$A$8,C2719)=0,C2719,"")</f>
        <v/>
      </c>
      <c r="J2719">
        <f>IF(OR(E2719="Prospecting",E2719="Engaging"),VLOOKUP(C2719,Products!$A$2:$C$8,3,FALSE),0)</f>
        <v>0</v>
      </c>
    </row>
    <row r="2720" spans="1:10" x14ac:dyDescent="0.25">
      <c r="A2720" t="s">
        <v>2887</v>
      </c>
      <c r="B2720" t="s">
        <v>303</v>
      </c>
      <c r="C2720" t="s">
        <v>120</v>
      </c>
      <c r="D2720" t="s">
        <v>53</v>
      </c>
      <c r="E2720" t="s">
        <v>138</v>
      </c>
      <c r="F2720" s="1">
        <v>42849</v>
      </c>
      <c r="G2720" s="1">
        <v>42851</v>
      </c>
      <c r="H2720">
        <v>580</v>
      </c>
      <c r="I2720" t="str">
        <f>IF(COUNTIF(Products!$A$2:$A$8,C2720)=0,C2720,"")</f>
        <v/>
      </c>
      <c r="J2720">
        <f>IF(OR(E2720="Prospecting",E2720="Engaging"),VLOOKUP(C2720,Products!$A$2:$C$8,3,FALSE),0)</f>
        <v>0</v>
      </c>
    </row>
    <row r="2721" spans="1:10" x14ac:dyDescent="0.25">
      <c r="A2721" t="s">
        <v>2888</v>
      </c>
      <c r="B2721" t="s">
        <v>180</v>
      </c>
      <c r="C2721" t="s">
        <v>127</v>
      </c>
      <c r="E2721" t="s">
        <v>155</v>
      </c>
      <c r="F2721" s="1">
        <v>42849</v>
      </c>
      <c r="I2721" t="str">
        <f>IF(COUNTIF(Products!$A$2:$A$8,C2721)=0,C2721,"")</f>
        <v/>
      </c>
      <c r="J2721">
        <f>IF(OR(E2721="Prospecting",E2721="Engaging"),VLOOKUP(C2721,Products!$A$2:$C$8,3,FALSE),0)</f>
        <v>1096</v>
      </c>
    </row>
    <row r="2722" spans="1:10" x14ac:dyDescent="0.25">
      <c r="A2722" t="s">
        <v>2889</v>
      </c>
      <c r="B2722" t="s">
        <v>191</v>
      </c>
      <c r="C2722" t="s">
        <v>120</v>
      </c>
      <c r="D2722" t="s">
        <v>75</v>
      </c>
      <c r="E2722" t="s">
        <v>138</v>
      </c>
      <c r="F2722" s="1">
        <v>42849</v>
      </c>
      <c r="G2722" s="1">
        <v>42981</v>
      </c>
      <c r="H2722">
        <v>616</v>
      </c>
      <c r="I2722" t="str">
        <f>IF(COUNTIF(Products!$A$2:$A$8,C2722)=0,C2722,"")</f>
        <v/>
      </c>
      <c r="J2722">
        <f>IF(OR(E2722="Prospecting",E2722="Engaging"),VLOOKUP(C2722,Products!$A$2:$C$8,3,FALSE),0)</f>
        <v>0</v>
      </c>
    </row>
    <row r="2723" spans="1:10" x14ac:dyDescent="0.25">
      <c r="A2723" t="s">
        <v>2890</v>
      </c>
      <c r="B2723" t="s">
        <v>150</v>
      </c>
      <c r="C2723" t="s">
        <v>127</v>
      </c>
      <c r="D2723" t="s">
        <v>66</v>
      </c>
      <c r="E2723" t="s">
        <v>138</v>
      </c>
      <c r="F2723" s="1">
        <v>42849</v>
      </c>
      <c r="G2723" s="1">
        <v>42854</v>
      </c>
      <c r="H2723">
        <v>788</v>
      </c>
      <c r="I2723" t="str">
        <f>IF(COUNTIF(Products!$A$2:$A$8,C2723)=0,C2723,"")</f>
        <v/>
      </c>
      <c r="J2723">
        <f>IF(OR(E2723="Prospecting",E2723="Engaging"),VLOOKUP(C2723,Products!$A$2:$C$8,3,FALSE),0)</f>
        <v>0</v>
      </c>
    </row>
    <row r="2724" spans="1:10" x14ac:dyDescent="0.25">
      <c r="A2724" t="s">
        <v>2891</v>
      </c>
      <c r="B2724" t="s">
        <v>162</v>
      </c>
      <c r="C2724" t="s">
        <v>120</v>
      </c>
      <c r="D2724" t="s">
        <v>67</v>
      </c>
      <c r="E2724" t="s">
        <v>159</v>
      </c>
      <c r="F2724" s="1">
        <v>42849</v>
      </c>
      <c r="G2724" s="1">
        <v>42851</v>
      </c>
      <c r="H2724">
        <v>0</v>
      </c>
      <c r="I2724" t="str">
        <f>IF(COUNTIF(Products!$A$2:$A$8,C2724)=0,C2724,"")</f>
        <v/>
      </c>
      <c r="J2724">
        <f>IF(OR(E2724="Prospecting",E2724="Engaging"),VLOOKUP(C2724,Products!$A$2:$C$8,3,FALSE),0)</f>
        <v>0</v>
      </c>
    </row>
    <row r="2725" spans="1:10" x14ac:dyDescent="0.25">
      <c r="A2725" t="s">
        <v>2892</v>
      </c>
      <c r="B2725" t="s">
        <v>193</v>
      </c>
      <c r="C2725" t="s">
        <v>122</v>
      </c>
      <c r="D2725" t="s">
        <v>106</v>
      </c>
      <c r="E2725" t="s">
        <v>138</v>
      </c>
      <c r="F2725" s="1">
        <v>42849</v>
      </c>
      <c r="G2725" s="1">
        <v>42850</v>
      </c>
      <c r="H2725">
        <v>4980</v>
      </c>
      <c r="I2725" t="str">
        <f>IF(COUNTIF(Products!$A$2:$A$8,C2725)=0,C2725,"")</f>
        <v/>
      </c>
      <c r="J2725">
        <f>IF(OR(E2725="Prospecting",E2725="Engaging"),VLOOKUP(C2725,Products!$A$2:$C$8,3,FALSE),0)</f>
        <v>0</v>
      </c>
    </row>
    <row r="2726" spans="1:10" x14ac:dyDescent="0.25">
      <c r="A2726" t="s">
        <v>2893</v>
      </c>
      <c r="B2726" t="s">
        <v>148</v>
      </c>
      <c r="C2726" t="s">
        <v>123</v>
      </c>
      <c r="E2726" t="s">
        <v>155</v>
      </c>
      <c r="F2726" s="1">
        <v>42849</v>
      </c>
      <c r="I2726" t="str">
        <f>IF(COUNTIF(Products!$A$2:$A$8,C2726)=0,C2726,"")</f>
        <v/>
      </c>
      <c r="J2726">
        <f>IF(OR(E2726="Prospecting",E2726="Engaging"),VLOOKUP(C2726,Products!$A$2:$C$8,3,FALSE),0)</f>
        <v>55</v>
      </c>
    </row>
    <row r="2727" spans="1:10" x14ac:dyDescent="0.25">
      <c r="A2727" t="s">
        <v>2894</v>
      </c>
      <c r="B2727" t="s">
        <v>148</v>
      </c>
      <c r="C2727" t="s">
        <v>123</v>
      </c>
      <c r="E2727" t="s">
        <v>155</v>
      </c>
      <c r="F2727" s="1">
        <v>42849</v>
      </c>
      <c r="I2727" t="str">
        <f>IF(COUNTIF(Products!$A$2:$A$8,C2727)=0,C2727,"")</f>
        <v/>
      </c>
      <c r="J2727">
        <f>IF(OR(E2727="Prospecting",E2727="Engaging"),VLOOKUP(C2727,Products!$A$2:$C$8,3,FALSE),0)</f>
        <v>55</v>
      </c>
    </row>
    <row r="2728" spans="1:10" x14ac:dyDescent="0.25">
      <c r="A2728" t="s">
        <v>2895</v>
      </c>
      <c r="B2728" t="s">
        <v>148</v>
      </c>
      <c r="C2728" t="s">
        <v>120</v>
      </c>
      <c r="D2728" t="s">
        <v>57</v>
      </c>
      <c r="E2728" t="s">
        <v>159</v>
      </c>
      <c r="F2728" s="1">
        <v>42849</v>
      </c>
      <c r="G2728" s="1">
        <v>42957</v>
      </c>
      <c r="H2728">
        <v>0</v>
      </c>
      <c r="I2728" t="str">
        <f>IF(COUNTIF(Products!$A$2:$A$8,C2728)=0,C2728,"")</f>
        <v/>
      </c>
      <c r="J2728">
        <f>IF(OR(E2728="Prospecting",E2728="Engaging"),VLOOKUP(C2728,Products!$A$2:$C$8,3,FALSE),0)</f>
        <v>0</v>
      </c>
    </row>
    <row r="2729" spans="1:10" x14ac:dyDescent="0.25">
      <c r="A2729" t="s">
        <v>2896</v>
      </c>
      <c r="B2729" t="s">
        <v>177</v>
      </c>
      <c r="C2729" t="s">
        <v>125</v>
      </c>
      <c r="D2729" t="s">
        <v>16</v>
      </c>
      <c r="E2729" t="s">
        <v>138</v>
      </c>
      <c r="F2729" s="1">
        <v>42849</v>
      </c>
      <c r="G2729" s="1">
        <v>42951</v>
      </c>
      <c r="H2729">
        <v>2981</v>
      </c>
      <c r="I2729" t="str">
        <f>IF(COUNTIF(Products!$A$2:$A$8,C2729)=0,C2729,"")</f>
        <v/>
      </c>
      <c r="J2729">
        <f>IF(OR(E2729="Prospecting",E2729="Engaging"),VLOOKUP(C2729,Products!$A$2:$C$8,3,FALSE),0)</f>
        <v>0</v>
      </c>
    </row>
    <row r="2730" spans="1:10" x14ac:dyDescent="0.25">
      <c r="A2730" t="s">
        <v>2897</v>
      </c>
      <c r="B2730" t="s">
        <v>144</v>
      </c>
      <c r="C2730" t="s">
        <v>120</v>
      </c>
      <c r="D2730" t="s">
        <v>44</v>
      </c>
      <c r="E2730" t="s">
        <v>159</v>
      </c>
      <c r="F2730" s="1">
        <v>42849</v>
      </c>
      <c r="G2730" s="1">
        <v>42855</v>
      </c>
      <c r="H2730">
        <v>0</v>
      </c>
      <c r="I2730" t="str">
        <f>IF(COUNTIF(Products!$A$2:$A$8,C2730)=0,C2730,"")</f>
        <v/>
      </c>
      <c r="J2730">
        <f>IF(OR(E2730="Prospecting",E2730="Engaging"),VLOOKUP(C2730,Products!$A$2:$C$8,3,FALSE),0)</f>
        <v>0</v>
      </c>
    </row>
    <row r="2731" spans="1:10" x14ac:dyDescent="0.25">
      <c r="A2731" t="s">
        <v>2898</v>
      </c>
      <c r="B2731" t="s">
        <v>144</v>
      </c>
      <c r="C2731" t="s">
        <v>126</v>
      </c>
      <c r="D2731" t="s">
        <v>57</v>
      </c>
      <c r="E2731" t="s">
        <v>159</v>
      </c>
      <c r="F2731" s="1">
        <v>42849</v>
      </c>
      <c r="G2731" s="1">
        <v>42852</v>
      </c>
      <c r="H2731">
        <v>0</v>
      </c>
      <c r="I2731" t="str">
        <f>IF(COUNTIF(Products!$A$2:$A$8,C2731)=0,C2731,"")</f>
        <v/>
      </c>
      <c r="J2731">
        <f>IF(OR(E2731="Prospecting",E2731="Engaging"),VLOOKUP(C2731,Products!$A$2:$C$8,3,FALSE),0)</f>
        <v>0</v>
      </c>
    </row>
    <row r="2732" spans="1:10" x14ac:dyDescent="0.25">
      <c r="A2732" t="s">
        <v>2899</v>
      </c>
      <c r="B2732" t="s">
        <v>222</v>
      </c>
      <c r="C2732" t="s">
        <v>127</v>
      </c>
      <c r="E2732" t="s">
        <v>155</v>
      </c>
      <c r="F2732" s="1">
        <v>42850</v>
      </c>
      <c r="I2732" t="str">
        <f>IF(COUNTIF(Products!$A$2:$A$8,C2732)=0,C2732,"")</f>
        <v/>
      </c>
      <c r="J2732">
        <f>IF(OR(E2732="Prospecting",E2732="Engaging"),VLOOKUP(C2732,Products!$A$2:$C$8,3,FALSE),0)</f>
        <v>1096</v>
      </c>
    </row>
    <row r="2733" spans="1:10" x14ac:dyDescent="0.25">
      <c r="A2733" t="s">
        <v>2900</v>
      </c>
      <c r="B2733" t="s">
        <v>222</v>
      </c>
      <c r="C2733" t="s">
        <v>120</v>
      </c>
      <c r="D2733" t="s">
        <v>112</v>
      </c>
      <c r="E2733" t="s">
        <v>138</v>
      </c>
      <c r="F2733" s="1">
        <v>42850</v>
      </c>
      <c r="G2733" s="1">
        <v>42852</v>
      </c>
      <c r="H2733">
        <v>560</v>
      </c>
      <c r="I2733" t="str">
        <f>IF(COUNTIF(Products!$A$2:$A$8,C2733)=0,C2733,"")</f>
        <v/>
      </c>
      <c r="J2733">
        <f>IF(OR(E2733="Prospecting",E2733="Engaging"),VLOOKUP(C2733,Products!$A$2:$C$8,3,FALSE),0)</f>
        <v>0</v>
      </c>
    </row>
    <row r="2734" spans="1:10" x14ac:dyDescent="0.25">
      <c r="A2734" t="s">
        <v>2901</v>
      </c>
      <c r="B2734" t="s">
        <v>207</v>
      </c>
      <c r="C2734" t="s">
        <v>122</v>
      </c>
      <c r="E2734" t="s">
        <v>155</v>
      </c>
      <c r="F2734" s="1">
        <v>42850</v>
      </c>
      <c r="I2734" t="str">
        <f>IF(COUNTIF(Products!$A$2:$A$8,C2734)=0,C2734,"")</f>
        <v/>
      </c>
      <c r="J2734">
        <f>IF(OR(E2734="Prospecting",E2734="Engaging"),VLOOKUP(C2734,Products!$A$2:$C$8,3,FALSE),0)</f>
        <v>4821</v>
      </c>
    </row>
    <row r="2735" spans="1:10" x14ac:dyDescent="0.25">
      <c r="A2735" t="s">
        <v>2902</v>
      </c>
      <c r="B2735" t="s">
        <v>207</v>
      </c>
      <c r="C2735" t="s">
        <v>125</v>
      </c>
      <c r="D2735" t="s">
        <v>35</v>
      </c>
      <c r="E2735" t="s">
        <v>138</v>
      </c>
      <c r="F2735" s="1">
        <v>42850</v>
      </c>
      <c r="G2735" s="1">
        <v>42865</v>
      </c>
      <c r="H2735">
        <v>3844</v>
      </c>
      <c r="I2735" t="str">
        <f>IF(COUNTIF(Products!$A$2:$A$8,C2735)=0,C2735,"")</f>
        <v/>
      </c>
      <c r="J2735">
        <f>IF(OR(E2735="Prospecting",E2735="Engaging"),VLOOKUP(C2735,Products!$A$2:$C$8,3,FALSE),0)</f>
        <v>0</v>
      </c>
    </row>
    <row r="2736" spans="1:10" x14ac:dyDescent="0.25">
      <c r="A2736" t="s">
        <v>2903</v>
      </c>
      <c r="B2736" t="s">
        <v>239</v>
      </c>
      <c r="C2736" t="s">
        <v>120</v>
      </c>
      <c r="D2736" t="s">
        <v>19</v>
      </c>
      <c r="E2736" t="s">
        <v>138</v>
      </c>
      <c r="F2736" s="1">
        <v>42850</v>
      </c>
      <c r="G2736" s="1">
        <v>42861</v>
      </c>
      <c r="H2736">
        <v>562</v>
      </c>
      <c r="I2736" t="str">
        <f>IF(COUNTIF(Products!$A$2:$A$8,C2736)=0,C2736,"")</f>
        <v/>
      </c>
      <c r="J2736">
        <f>IF(OR(E2736="Prospecting",E2736="Engaging"),VLOOKUP(C2736,Products!$A$2:$C$8,3,FALSE),0)</f>
        <v>0</v>
      </c>
    </row>
    <row r="2737" spans="1:10" x14ac:dyDescent="0.25">
      <c r="A2737" t="s">
        <v>2904</v>
      </c>
      <c r="B2737" t="s">
        <v>171</v>
      </c>
      <c r="C2737" t="s">
        <v>123</v>
      </c>
      <c r="D2737" t="s">
        <v>102</v>
      </c>
      <c r="E2737" t="s">
        <v>138</v>
      </c>
      <c r="F2737" s="1">
        <v>42850</v>
      </c>
      <c r="G2737" s="1">
        <v>42856</v>
      </c>
      <c r="H2737">
        <v>51</v>
      </c>
      <c r="I2737" t="str">
        <f>IF(COUNTIF(Products!$A$2:$A$8,C2737)=0,C2737,"")</f>
        <v/>
      </c>
      <c r="J2737">
        <f>IF(OR(E2737="Prospecting",E2737="Engaging"),VLOOKUP(C2737,Products!$A$2:$C$8,3,FALSE),0)</f>
        <v>0</v>
      </c>
    </row>
    <row r="2738" spans="1:10" x14ac:dyDescent="0.25">
      <c r="A2738" t="s">
        <v>2905</v>
      </c>
      <c r="B2738" t="s">
        <v>140</v>
      </c>
      <c r="C2738" t="s">
        <v>127</v>
      </c>
      <c r="D2738" t="s">
        <v>42</v>
      </c>
      <c r="E2738" t="s">
        <v>138</v>
      </c>
      <c r="F2738" s="1">
        <v>42850</v>
      </c>
      <c r="G2738" s="1">
        <v>42906</v>
      </c>
      <c r="H2738">
        <v>984</v>
      </c>
      <c r="I2738" t="str">
        <f>IF(COUNTIF(Products!$A$2:$A$8,C2738)=0,C2738,"")</f>
        <v/>
      </c>
      <c r="J2738">
        <f>IF(OR(E2738="Prospecting",E2738="Engaging"),VLOOKUP(C2738,Products!$A$2:$C$8,3,FALSE),0)</f>
        <v>0</v>
      </c>
    </row>
    <row r="2739" spans="1:10" x14ac:dyDescent="0.25">
      <c r="A2739" t="s">
        <v>2906</v>
      </c>
      <c r="B2739" t="s">
        <v>140</v>
      </c>
      <c r="C2739" t="s">
        <v>122</v>
      </c>
      <c r="D2739" t="s">
        <v>55</v>
      </c>
      <c r="E2739" t="s">
        <v>138</v>
      </c>
      <c r="F2739" s="1">
        <v>42850</v>
      </c>
      <c r="G2739" s="1">
        <v>42893</v>
      </c>
      <c r="H2739">
        <v>4923</v>
      </c>
      <c r="I2739" t="str">
        <f>IF(COUNTIF(Products!$A$2:$A$8,C2739)=0,C2739,"")</f>
        <v/>
      </c>
      <c r="J2739">
        <f>IF(OR(E2739="Prospecting",E2739="Engaging"),VLOOKUP(C2739,Products!$A$2:$C$8,3,FALSE),0)</f>
        <v>0</v>
      </c>
    </row>
    <row r="2740" spans="1:10" x14ac:dyDescent="0.25">
      <c r="A2740" t="s">
        <v>2907</v>
      </c>
      <c r="B2740" t="s">
        <v>164</v>
      </c>
      <c r="C2740" t="s">
        <v>127</v>
      </c>
      <c r="E2740" t="s">
        <v>155</v>
      </c>
      <c r="F2740" s="1">
        <v>42850</v>
      </c>
      <c r="I2740" t="str">
        <f>IF(COUNTIF(Products!$A$2:$A$8,C2740)=0,C2740,"")</f>
        <v/>
      </c>
      <c r="J2740">
        <f>IF(OR(E2740="Prospecting",E2740="Engaging"),VLOOKUP(C2740,Products!$A$2:$C$8,3,FALSE),0)</f>
        <v>1096</v>
      </c>
    </row>
    <row r="2741" spans="1:10" x14ac:dyDescent="0.25">
      <c r="A2741" t="s">
        <v>2908</v>
      </c>
      <c r="B2741" t="s">
        <v>154</v>
      </c>
      <c r="C2741" t="s">
        <v>120</v>
      </c>
      <c r="D2741" t="s">
        <v>39</v>
      </c>
      <c r="E2741" t="s">
        <v>159</v>
      </c>
      <c r="F2741" s="1">
        <v>42850</v>
      </c>
      <c r="G2741" s="1">
        <v>42950</v>
      </c>
      <c r="H2741">
        <v>0</v>
      </c>
      <c r="I2741" t="str">
        <f>IF(COUNTIF(Products!$A$2:$A$8,C2741)=0,C2741,"")</f>
        <v/>
      </c>
      <c r="J2741">
        <f>IF(OR(E2741="Prospecting",E2741="Engaging"),VLOOKUP(C2741,Products!$A$2:$C$8,3,FALSE),0)</f>
        <v>0</v>
      </c>
    </row>
    <row r="2742" spans="1:10" x14ac:dyDescent="0.25">
      <c r="A2742" t="s">
        <v>2909</v>
      </c>
      <c r="B2742" t="s">
        <v>191</v>
      </c>
      <c r="C2742" t="s">
        <v>122</v>
      </c>
      <c r="D2742" t="s">
        <v>100</v>
      </c>
      <c r="E2742" t="s">
        <v>159</v>
      </c>
      <c r="F2742" s="1">
        <v>42850</v>
      </c>
      <c r="G2742" s="1">
        <v>42852</v>
      </c>
      <c r="H2742">
        <v>0</v>
      </c>
      <c r="I2742" t="str">
        <f>IF(COUNTIF(Products!$A$2:$A$8,C2742)=0,C2742,"")</f>
        <v/>
      </c>
      <c r="J2742">
        <f>IF(OR(E2742="Prospecting",E2742="Engaging"),VLOOKUP(C2742,Products!$A$2:$C$8,3,FALSE),0)</f>
        <v>0</v>
      </c>
    </row>
    <row r="2743" spans="1:10" x14ac:dyDescent="0.25">
      <c r="A2743" t="s">
        <v>2910</v>
      </c>
      <c r="B2743" t="s">
        <v>217</v>
      </c>
      <c r="C2743" t="s">
        <v>120</v>
      </c>
      <c r="D2743" t="s">
        <v>61</v>
      </c>
      <c r="E2743" t="s">
        <v>159</v>
      </c>
      <c r="F2743" s="1">
        <v>42850</v>
      </c>
      <c r="G2743" s="1">
        <v>42963</v>
      </c>
      <c r="H2743">
        <v>0</v>
      </c>
      <c r="I2743" t="str">
        <f>IF(COUNTIF(Products!$A$2:$A$8,C2743)=0,C2743,"")</f>
        <v/>
      </c>
      <c r="J2743">
        <f>IF(OR(E2743="Prospecting",E2743="Engaging"),VLOOKUP(C2743,Products!$A$2:$C$8,3,FALSE),0)</f>
        <v>0</v>
      </c>
    </row>
    <row r="2744" spans="1:10" x14ac:dyDescent="0.25">
      <c r="A2744" t="s">
        <v>2911</v>
      </c>
      <c r="B2744" t="s">
        <v>205</v>
      </c>
      <c r="C2744" t="s">
        <v>125</v>
      </c>
      <c r="D2744" t="s">
        <v>70</v>
      </c>
      <c r="E2744" t="s">
        <v>159</v>
      </c>
      <c r="F2744" s="1">
        <v>42850</v>
      </c>
      <c r="G2744" s="1">
        <v>42857</v>
      </c>
      <c r="H2744">
        <v>0</v>
      </c>
      <c r="I2744" t="str">
        <f>IF(COUNTIF(Products!$A$2:$A$8,C2744)=0,C2744,"")</f>
        <v/>
      </c>
      <c r="J2744">
        <f>IF(OR(E2744="Prospecting",E2744="Engaging"),VLOOKUP(C2744,Products!$A$2:$C$8,3,FALSE),0)</f>
        <v>0</v>
      </c>
    </row>
    <row r="2745" spans="1:10" x14ac:dyDescent="0.25">
      <c r="A2745" t="s">
        <v>2912</v>
      </c>
      <c r="B2745" t="s">
        <v>162</v>
      </c>
      <c r="C2745" t="s">
        <v>122</v>
      </c>
      <c r="E2745" t="s">
        <v>155</v>
      </c>
      <c r="F2745" s="1">
        <v>42850</v>
      </c>
      <c r="I2745" t="str">
        <f>IF(COUNTIF(Products!$A$2:$A$8,C2745)=0,C2745,"")</f>
        <v/>
      </c>
      <c r="J2745">
        <f>IF(OR(E2745="Prospecting",E2745="Engaging"),VLOOKUP(C2745,Products!$A$2:$C$8,3,FALSE),0)</f>
        <v>4821</v>
      </c>
    </row>
    <row r="2746" spans="1:10" x14ac:dyDescent="0.25">
      <c r="A2746" t="s">
        <v>2913</v>
      </c>
      <c r="B2746" t="s">
        <v>162</v>
      </c>
      <c r="C2746" t="s">
        <v>127</v>
      </c>
      <c r="D2746" t="s">
        <v>109</v>
      </c>
      <c r="E2746" t="s">
        <v>138</v>
      </c>
      <c r="F2746" s="1">
        <v>42850</v>
      </c>
      <c r="G2746" s="1">
        <v>42851</v>
      </c>
      <c r="H2746">
        <v>1113</v>
      </c>
      <c r="I2746" t="str">
        <f>IF(COUNTIF(Products!$A$2:$A$8,C2746)=0,C2746,"")</f>
        <v/>
      </c>
      <c r="J2746">
        <f>IF(OR(E2746="Prospecting",E2746="Engaging"),VLOOKUP(C2746,Products!$A$2:$C$8,3,FALSE),0)</f>
        <v>0</v>
      </c>
    </row>
    <row r="2747" spans="1:10" x14ac:dyDescent="0.25">
      <c r="A2747" t="s">
        <v>2914</v>
      </c>
      <c r="B2747" t="s">
        <v>152</v>
      </c>
      <c r="C2747" t="s">
        <v>126</v>
      </c>
      <c r="D2747" t="s">
        <v>104</v>
      </c>
      <c r="E2747" t="s">
        <v>138</v>
      </c>
      <c r="F2747" s="1">
        <v>42850</v>
      </c>
      <c r="G2747" s="1">
        <v>42866</v>
      </c>
      <c r="H2747">
        <v>6039</v>
      </c>
      <c r="I2747" t="str">
        <f>IF(COUNTIF(Products!$A$2:$A$8,C2747)=0,C2747,"")</f>
        <v/>
      </c>
      <c r="J2747">
        <f>IF(OR(E2747="Prospecting",E2747="Engaging"),VLOOKUP(C2747,Products!$A$2:$C$8,3,FALSE),0)</f>
        <v>0</v>
      </c>
    </row>
    <row r="2748" spans="1:10" x14ac:dyDescent="0.25">
      <c r="A2748" t="s">
        <v>2915</v>
      </c>
      <c r="B2748" t="s">
        <v>193</v>
      </c>
      <c r="C2748" t="s">
        <v>120</v>
      </c>
      <c r="D2748" t="s">
        <v>25</v>
      </c>
      <c r="E2748" t="s">
        <v>138</v>
      </c>
      <c r="F2748" s="1">
        <v>42850</v>
      </c>
      <c r="G2748" s="1">
        <v>42890</v>
      </c>
      <c r="H2748">
        <v>538</v>
      </c>
      <c r="I2748" t="str">
        <f>IF(COUNTIF(Products!$A$2:$A$8,C2748)=0,C2748,"")</f>
        <v/>
      </c>
      <c r="J2748">
        <f>IF(OR(E2748="Prospecting",E2748="Engaging"),VLOOKUP(C2748,Products!$A$2:$C$8,3,FALSE),0)</f>
        <v>0</v>
      </c>
    </row>
    <row r="2749" spans="1:10" x14ac:dyDescent="0.25">
      <c r="A2749" t="s">
        <v>2916</v>
      </c>
      <c r="B2749" t="s">
        <v>169</v>
      </c>
      <c r="C2749" t="s">
        <v>125</v>
      </c>
      <c r="D2749" t="s">
        <v>53</v>
      </c>
      <c r="E2749" t="s">
        <v>159</v>
      </c>
      <c r="F2749" s="1">
        <v>42850</v>
      </c>
      <c r="G2749" s="1">
        <v>42852</v>
      </c>
      <c r="H2749">
        <v>0</v>
      </c>
      <c r="I2749" t="str">
        <f>IF(COUNTIF(Products!$A$2:$A$8,C2749)=0,C2749,"")</f>
        <v/>
      </c>
      <c r="J2749">
        <f>IF(OR(E2749="Prospecting",E2749="Engaging"),VLOOKUP(C2749,Products!$A$2:$C$8,3,FALSE),0)</f>
        <v>0</v>
      </c>
    </row>
    <row r="2750" spans="1:10" x14ac:dyDescent="0.25">
      <c r="A2750" t="s">
        <v>2917</v>
      </c>
      <c r="B2750" t="s">
        <v>148</v>
      </c>
      <c r="C2750" t="s">
        <v>122</v>
      </c>
      <c r="D2750" t="s">
        <v>59</v>
      </c>
      <c r="E2750" t="s">
        <v>138</v>
      </c>
      <c r="F2750" s="1">
        <v>42850</v>
      </c>
      <c r="G2750" s="1">
        <v>42877</v>
      </c>
      <c r="H2750">
        <v>4364</v>
      </c>
      <c r="I2750" t="str">
        <f>IF(COUNTIF(Products!$A$2:$A$8,C2750)=0,C2750,"")</f>
        <v/>
      </c>
      <c r="J2750">
        <f>IF(OR(E2750="Prospecting",E2750="Engaging"),VLOOKUP(C2750,Products!$A$2:$C$8,3,FALSE),0)</f>
        <v>0</v>
      </c>
    </row>
    <row r="2751" spans="1:10" x14ac:dyDescent="0.25">
      <c r="A2751" t="s">
        <v>2918</v>
      </c>
      <c r="B2751" t="s">
        <v>177</v>
      </c>
      <c r="C2751" t="s">
        <v>127</v>
      </c>
      <c r="E2751" t="s">
        <v>155</v>
      </c>
      <c r="F2751" s="1">
        <v>42850</v>
      </c>
      <c r="I2751" t="str">
        <f>IF(COUNTIF(Products!$A$2:$A$8,C2751)=0,C2751,"")</f>
        <v/>
      </c>
      <c r="J2751">
        <f>IF(OR(E2751="Prospecting",E2751="Engaging"),VLOOKUP(C2751,Products!$A$2:$C$8,3,FALSE),0)</f>
        <v>1096</v>
      </c>
    </row>
    <row r="2752" spans="1:10" x14ac:dyDescent="0.25">
      <c r="A2752" t="s">
        <v>2919</v>
      </c>
      <c r="B2752" t="s">
        <v>196</v>
      </c>
      <c r="C2752" t="s">
        <v>120</v>
      </c>
      <c r="E2752" t="s">
        <v>155</v>
      </c>
      <c r="F2752" s="1">
        <v>42850</v>
      </c>
      <c r="I2752" t="str">
        <f>IF(COUNTIF(Products!$A$2:$A$8,C2752)=0,C2752,"")</f>
        <v/>
      </c>
      <c r="J2752">
        <f>IF(OR(E2752="Prospecting",E2752="Engaging"),VLOOKUP(C2752,Products!$A$2:$C$8,3,FALSE),0)</f>
        <v>550</v>
      </c>
    </row>
    <row r="2753" spans="1:10" x14ac:dyDescent="0.25">
      <c r="A2753" t="s">
        <v>2920</v>
      </c>
      <c r="B2753" t="s">
        <v>144</v>
      </c>
      <c r="C2753" t="s">
        <v>120</v>
      </c>
      <c r="D2753" t="s">
        <v>71</v>
      </c>
      <c r="E2753" t="s">
        <v>159</v>
      </c>
      <c r="F2753" s="1">
        <v>42850</v>
      </c>
      <c r="G2753" s="1">
        <v>42954</v>
      </c>
      <c r="H2753">
        <v>0</v>
      </c>
      <c r="I2753" t="str">
        <f>IF(COUNTIF(Products!$A$2:$A$8,C2753)=0,C2753,"")</f>
        <v/>
      </c>
      <c r="J2753">
        <f>IF(OR(E2753="Prospecting",E2753="Engaging"),VLOOKUP(C2753,Products!$A$2:$C$8,3,FALSE),0)</f>
        <v>0</v>
      </c>
    </row>
    <row r="2754" spans="1:10" x14ac:dyDescent="0.25">
      <c r="A2754" t="s">
        <v>2921</v>
      </c>
      <c r="B2754" t="s">
        <v>144</v>
      </c>
      <c r="C2754" t="s">
        <v>120</v>
      </c>
      <c r="D2754" t="s">
        <v>87</v>
      </c>
      <c r="E2754" t="s">
        <v>138</v>
      </c>
      <c r="F2754" s="1">
        <v>42850</v>
      </c>
      <c r="G2754" s="1">
        <v>42852</v>
      </c>
      <c r="H2754">
        <v>464</v>
      </c>
      <c r="I2754" t="str">
        <f>IF(COUNTIF(Products!$A$2:$A$8,C2754)=0,C2754,"")</f>
        <v/>
      </c>
      <c r="J2754">
        <f>IF(OR(E2754="Prospecting",E2754="Engaging"),VLOOKUP(C2754,Products!$A$2:$C$8,3,FALSE),0)</f>
        <v>0</v>
      </c>
    </row>
    <row r="2755" spans="1:10" x14ac:dyDescent="0.25">
      <c r="A2755" t="s">
        <v>2922</v>
      </c>
      <c r="B2755" t="s">
        <v>146</v>
      </c>
      <c r="C2755" t="s">
        <v>127</v>
      </c>
      <c r="D2755" t="s">
        <v>22</v>
      </c>
      <c r="E2755" t="s">
        <v>159</v>
      </c>
      <c r="F2755" s="1">
        <v>42851</v>
      </c>
      <c r="G2755" s="1">
        <v>42948</v>
      </c>
      <c r="H2755">
        <v>0</v>
      </c>
      <c r="I2755" t="str">
        <f>IF(COUNTIF(Products!$A$2:$A$8,C2755)=0,C2755,"")</f>
        <v/>
      </c>
      <c r="J2755">
        <f>IF(OR(E2755="Prospecting",E2755="Engaging"),VLOOKUP(C2755,Products!$A$2:$C$8,3,FALSE),0)</f>
        <v>0</v>
      </c>
    </row>
    <row r="2756" spans="1:10" x14ac:dyDescent="0.25">
      <c r="A2756" t="s">
        <v>2923</v>
      </c>
      <c r="B2756" t="s">
        <v>146</v>
      </c>
      <c r="C2756" t="s">
        <v>126</v>
      </c>
      <c r="D2756" t="s">
        <v>77</v>
      </c>
      <c r="E2756" t="s">
        <v>159</v>
      </c>
      <c r="F2756" s="1">
        <v>42851</v>
      </c>
      <c r="G2756" s="1">
        <v>42948</v>
      </c>
      <c r="H2756">
        <v>0</v>
      </c>
      <c r="I2756" t="str">
        <f>IF(COUNTIF(Products!$A$2:$A$8,C2756)=0,C2756,"")</f>
        <v/>
      </c>
      <c r="J2756">
        <f>IF(OR(E2756="Prospecting",E2756="Engaging"),VLOOKUP(C2756,Products!$A$2:$C$8,3,FALSE),0)</f>
        <v>0</v>
      </c>
    </row>
    <row r="2757" spans="1:10" x14ac:dyDescent="0.25">
      <c r="A2757" t="s">
        <v>2924</v>
      </c>
      <c r="B2757" t="s">
        <v>146</v>
      </c>
      <c r="C2757" t="s">
        <v>127</v>
      </c>
      <c r="D2757" t="s">
        <v>61</v>
      </c>
      <c r="E2757" t="s">
        <v>138</v>
      </c>
      <c r="F2757" s="1">
        <v>42851</v>
      </c>
      <c r="G2757" s="1">
        <v>42916</v>
      </c>
      <c r="H2757">
        <v>1073</v>
      </c>
      <c r="I2757" t="str">
        <f>IF(COUNTIF(Products!$A$2:$A$8,C2757)=0,C2757,"")</f>
        <v/>
      </c>
      <c r="J2757">
        <f>IF(OR(E2757="Prospecting",E2757="Engaging"),VLOOKUP(C2757,Products!$A$2:$C$8,3,FALSE),0)</f>
        <v>0</v>
      </c>
    </row>
    <row r="2758" spans="1:10" x14ac:dyDescent="0.25">
      <c r="A2758" t="s">
        <v>2925</v>
      </c>
      <c r="B2758" t="s">
        <v>222</v>
      </c>
      <c r="C2758" t="s">
        <v>120</v>
      </c>
      <c r="D2758" t="s">
        <v>105</v>
      </c>
      <c r="E2758" t="s">
        <v>159</v>
      </c>
      <c r="F2758" s="1">
        <v>42851</v>
      </c>
      <c r="G2758" s="1">
        <v>42853</v>
      </c>
      <c r="H2758">
        <v>0</v>
      </c>
      <c r="I2758" t="str">
        <f>IF(COUNTIF(Products!$A$2:$A$8,C2758)=0,C2758,"")</f>
        <v/>
      </c>
      <c r="J2758">
        <f>IF(OR(E2758="Prospecting",E2758="Engaging"),VLOOKUP(C2758,Products!$A$2:$C$8,3,FALSE),0)</f>
        <v>0</v>
      </c>
    </row>
    <row r="2759" spans="1:10" x14ac:dyDescent="0.25">
      <c r="A2759" t="s">
        <v>2926</v>
      </c>
      <c r="B2759" t="s">
        <v>222</v>
      </c>
      <c r="C2759" t="s">
        <v>127</v>
      </c>
      <c r="D2759" t="s">
        <v>37</v>
      </c>
      <c r="E2759" t="s">
        <v>159</v>
      </c>
      <c r="F2759" s="1">
        <v>42851</v>
      </c>
      <c r="G2759" s="1">
        <v>42856</v>
      </c>
      <c r="H2759">
        <v>0</v>
      </c>
      <c r="I2759" t="str">
        <f>IF(COUNTIF(Products!$A$2:$A$8,C2759)=0,C2759,"")</f>
        <v/>
      </c>
      <c r="J2759">
        <f>IF(OR(E2759="Prospecting",E2759="Engaging"),VLOOKUP(C2759,Products!$A$2:$C$8,3,FALSE),0)</f>
        <v>0</v>
      </c>
    </row>
    <row r="2760" spans="1:10" x14ac:dyDescent="0.25">
      <c r="A2760" t="s">
        <v>2927</v>
      </c>
      <c r="B2760" t="s">
        <v>207</v>
      </c>
      <c r="C2760" t="s">
        <v>122</v>
      </c>
      <c r="D2760" t="s">
        <v>25</v>
      </c>
      <c r="E2760" t="s">
        <v>159</v>
      </c>
      <c r="F2760" s="1">
        <v>42851</v>
      </c>
      <c r="G2760" s="1">
        <v>42956</v>
      </c>
      <c r="H2760">
        <v>0</v>
      </c>
      <c r="I2760" t="str">
        <f>IF(COUNTIF(Products!$A$2:$A$8,C2760)=0,C2760,"")</f>
        <v/>
      </c>
      <c r="J2760">
        <f>IF(OR(E2760="Prospecting",E2760="Engaging"),VLOOKUP(C2760,Products!$A$2:$C$8,3,FALSE),0)</f>
        <v>0</v>
      </c>
    </row>
    <row r="2761" spans="1:10" x14ac:dyDescent="0.25">
      <c r="A2761" t="s">
        <v>2928</v>
      </c>
      <c r="B2761" t="s">
        <v>239</v>
      </c>
      <c r="C2761" t="s">
        <v>126</v>
      </c>
      <c r="E2761" t="s">
        <v>155</v>
      </c>
      <c r="F2761" s="1">
        <v>42851</v>
      </c>
      <c r="I2761" t="str">
        <f>IF(COUNTIF(Products!$A$2:$A$8,C2761)=0,C2761,"")</f>
        <v/>
      </c>
      <c r="J2761">
        <f>IF(OR(E2761="Prospecting",E2761="Engaging"),VLOOKUP(C2761,Products!$A$2:$C$8,3,FALSE),0)</f>
        <v>5482</v>
      </c>
    </row>
    <row r="2762" spans="1:10" x14ac:dyDescent="0.25">
      <c r="A2762" t="s">
        <v>2929</v>
      </c>
      <c r="B2762" t="s">
        <v>239</v>
      </c>
      <c r="C2762" t="s">
        <v>123</v>
      </c>
      <c r="D2762" t="s">
        <v>37</v>
      </c>
      <c r="E2762" t="s">
        <v>159</v>
      </c>
      <c r="F2762" s="1">
        <v>42851</v>
      </c>
      <c r="G2762" s="1">
        <v>42951</v>
      </c>
      <c r="H2762">
        <v>0</v>
      </c>
      <c r="I2762" t="str">
        <f>IF(COUNTIF(Products!$A$2:$A$8,C2762)=0,C2762,"")</f>
        <v/>
      </c>
      <c r="J2762">
        <f>IF(OR(E2762="Prospecting",E2762="Engaging"),VLOOKUP(C2762,Products!$A$2:$C$8,3,FALSE),0)</f>
        <v>0</v>
      </c>
    </row>
    <row r="2763" spans="1:10" x14ac:dyDescent="0.25">
      <c r="A2763" t="s">
        <v>2930</v>
      </c>
      <c r="B2763" t="s">
        <v>171</v>
      </c>
      <c r="C2763" t="s">
        <v>125</v>
      </c>
      <c r="E2763" t="s">
        <v>155</v>
      </c>
      <c r="F2763" s="1">
        <v>42851</v>
      </c>
      <c r="I2763" t="str">
        <f>IF(COUNTIF(Products!$A$2:$A$8,C2763)=0,C2763,"")</f>
        <v/>
      </c>
      <c r="J2763">
        <f>IF(OR(E2763="Prospecting",E2763="Engaging"),VLOOKUP(C2763,Products!$A$2:$C$8,3,FALSE),0)</f>
        <v>3393</v>
      </c>
    </row>
    <row r="2764" spans="1:10" x14ac:dyDescent="0.25">
      <c r="A2764" t="s">
        <v>2931</v>
      </c>
      <c r="B2764" t="s">
        <v>140</v>
      </c>
      <c r="C2764" t="s">
        <v>127</v>
      </c>
      <c r="D2764" t="s">
        <v>53</v>
      </c>
      <c r="E2764" t="s">
        <v>159</v>
      </c>
      <c r="F2764" s="1">
        <v>42851</v>
      </c>
      <c r="G2764" s="1">
        <v>42956</v>
      </c>
      <c r="H2764">
        <v>0</v>
      </c>
      <c r="I2764" t="str">
        <f>IF(COUNTIF(Products!$A$2:$A$8,C2764)=0,C2764,"")</f>
        <v/>
      </c>
      <c r="J2764">
        <f>IF(OR(E2764="Prospecting",E2764="Engaging"),VLOOKUP(C2764,Products!$A$2:$C$8,3,FALSE),0)</f>
        <v>0</v>
      </c>
    </row>
    <row r="2765" spans="1:10" x14ac:dyDescent="0.25">
      <c r="A2765" t="s">
        <v>2932</v>
      </c>
      <c r="B2765" t="s">
        <v>140</v>
      </c>
      <c r="C2765" t="s">
        <v>127</v>
      </c>
      <c r="D2765" t="s">
        <v>89</v>
      </c>
      <c r="E2765" t="s">
        <v>138</v>
      </c>
      <c r="F2765" s="1">
        <v>42851</v>
      </c>
      <c r="G2765" s="1">
        <v>42866</v>
      </c>
      <c r="H2765">
        <v>1055</v>
      </c>
      <c r="I2765" t="str">
        <f>IF(COUNTIF(Products!$A$2:$A$8,C2765)=0,C2765,"")</f>
        <v/>
      </c>
      <c r="J2765">
        <f>IF(OR(E2765="Prospecting",E2765="Engaging"),VLOOKUP(C2765,Products!$A$2:$C$8,3,FALSE),0)</f>
        <v>0</v>
      </c>
    </row>
    <row r="2766" spans="1:10" x14ac:dyDescent="0.25">
      <c r="A2766" t="s">
        <v>2933</v>
      </c>
      <c r="B2766" t="s">
        <v>173</v>
      </c>
      <c r="C2766" t="s">
        <v>123</v>
      </c>
      <c r="D2766" t="s">
        <v>39</v>
      </c>
      <c r="E2766" t="s">
        <v>138</v>
      </c>
      <c r="F2766" s="1">
        <v>42851</v>
      </c>
      <c r="G2766" s="1">
        <v>42853</v>
      </c>
      <c r="H2766">
        <v>43</v>
      </c>
      <c r="I2766" t="str">
        <f>IF(COUNTIF(Products!$A$2:$A$8,C2766)=0,C2766,"")</f>
        <v/>
      </c>
      <c r="J2766">
        <f>IF(OR(E2766="Prospecting",E2766="Engaging"),VLOOKUP(C2766,Products!$A$2:$C$8,3,FALSE),0)</f>
        <v>0</v>
      </c>
    </row>
    <row r="2767" spans="1:10" x14ac:dyDescent="0.25">
      <c r="A2767" t="s">
        <v>2934</v>
      </c>
      <c r="B2767" t="s">
        <v>154</v>
      </c>
      <c r="C2767" t="s">
        <v>120</v>
      </c>
      <c r="D2767" t="s">
        <v>61</v>
      </c>
      <c r="E2767" t="s">
        <v>159</v>
      </c>
      <c r="F2767" s="1">
        <v>42851</v>
      </c>
      <c r="G2767" s="1">
        <v>42859</v>
      </c>
      <c r="H2767">
        <v>0</v>
      </c>
      <c r="I2767" t="str">
        <f>IF(COUNTIF(Products!$A$2:$A$8,C2767)=0,C2767,"")</f>
        <v/>
      </c>
      <c r="J2767">
        <f>IF(OR(E2767="Prospecting",E2767="Engaging"),VLOOKUP(C2767,Products!$A$2:$C$8,3,FALSE),0)</f>
        <v>0</v>
      </c>
    </row>
    <row r="2768" spans="1:10" x14ac:dyDescent="0.25">
      <c r="A2768" t="s">
        <v>2935</v>
      </c>
      <c r="B2768" t="s">
        <v>154</v>
      </c>
      <c r="C2768" t="s">
        <v>123</v>
      </c>
      <c r="D2768" t="s">
        <v>47</v>
      </c>
      <c r="E2768" t="s">
        <v>138</v>
      </c>
      <c r="F2768" s="1">
        <v>42851</v>
      </c>
      <c r="G2768" s="1">
        <v>42853</v>
      </c>
      <c r="H2768">
        <v>49</v>
      </c>
      <c r="I2768" t="str">
        <f>IF(COUNTIF(Products!$A$2:$A$8,C2768)=0,C2768,"")</f>
        <v/>
      </c>
      <c r="J2768">
        <f>IF(OR(E2768="Prospecting",E2768="Engaging"),VLOOKUP(C2768,Products!$A$2:$C$8,3,FALSE),0)</f>
        <v>0</v>
      </c>
    </row>
    <row r="2769" spans="1:10" x14ac:dyDescent="0.25">
      <c r="A2769" t="s">
        <v>2936</v>
      </c>
      <c r="B2769" t="s">
        <v>180</v>
      </c>
      <c r="C2769" t="s">
        <v>127</v>
      </c>
      <c r="D2769" t="s">
        <v>75</v>
      </c>
      <c r="E2769" t="s">
        <v>159</v>
      </c>
      <c r="F2769" s="1">
        <v>42851</v>
      </c>
      <c r="G2769" s="1">
        <v>42853</v>
      </c>
      <c r="H2769">
        <v>0</v>
      </c>
      <c r="I2769" t="str">
        <f>IF(COUNTIF(Products!$A$2:$A$8,C2769)=0,C2769,"")</f>
        <v/>
      </c>
      <c r="J2769">
        <f>IF(OR(E2769="Prospecting",E2769="Engaging"),VLOOKUP(C2769,Products!$A$2:$C$8,3,FALSE),0)</f>
        <v>0</v>
      </c>
    </row>
    <row r="2770" spans="1:10" x14ac:dyDescent="0.25">
      <c r="A2770" t="s">
        <v>2937</v>
      </c>
      <c r="B2770" t="s">
        <v>180</v>
      </c>
      <c r="C2770" t="s">
        <v>122</v>
      </c>
      <c r="D2770" t="s">
        <v>109</v>
      </c>
      <c r="E2770" t="s">
        <v>159</v>
      </c>
      <c r="F2770" s="1">
        <v>42851</v>
      </c>
      <c r="G2770" s="1">
        <v>42853</v>
      </c>
      <c r="H2770">
        <v>0</v>
      </c>
      <c r="I2770" t="str">
        <f>IF(COUNTIF(Products!$A$2:$A$8,C2770)=0,C2770,"")</f>
        <v/>
      </c>
      <c r="J2770">
        <f>IF(OR(E2770="Prospecting",E2770="Engaging"),VLOOKUP(C2770,Products!$A$2:$C$8,3,FALSE),0)</f>
        <v>0</v>
      </c>
    </row>
    <row r="2771" spans="1:10" x14ac:dyDescent="0.25">
      <c r="A2771" t="s">
        <v>2938</v>
      </c>
      <c r="B2771" t="s">
        <v>191</v>
      </c>
      <c r="C2771" t="s">
        <v>122</v>
      </c>
      <c r="D2771" t="s">
        <v>71</v>
      </c>
      <c r="E2771" t="s">
        <v>138</v>
      </c>
      <c r="F2771" s="1">
        <v>42851</v>
      </c>
      <c r="G2771" s="1">
        <v>42955</v>
      </c>
      <c r="H2771">
        <v>4901</v>
      </c>
      <c r="I2771" t="str">
        <f>IF(COUNTIF(Products!$A$2:$A$8,C2771)=0,C2771,"")</f>
        <v/>
      </c>
      <c r="J2771">
        <f>IF(OR(E2771="Prospecting",E2771="Engaging"),VLOOKUP(C2771,Products!$A$2:$C$8,3,FALSE),0)</f>
        <v>0</v>
      </c>
    </row>
    <row r="2772" spans="1:10" x14ac:dyDescent="0.25">
      <c r="A2772" t="s">
        <v>2939</v>
      </c>
      <c r="B2772" t="s">
        <v>217</v>
      </c>
      <c r="C2772" t="s">
        <v>120</v>
      </c>
      <c r="D2772" t="s">
        <v>94</v>
      </c>
      <c r="E2772" t="s">
        <v>138</v>
      </c>
      <c r="F2772" s="1">
        <v>42851</v>
      </c>
      <c r="G2772" s="1">
        <v>42852</v>
      </c>
      <c r="H2772">
        <v>517</v>
      </c>
      <c r="I2772" t="str">
        <f>IF(COUNTIF(Products!$A$2:$A$8,C2772)=0,C2772,"")</f>
        <v/>
      </c>
      <c r="J2772">
        <f>IF(OR(E2772="Prospecting",E2772="Engaging"),VLOOKUP(C2772,Products!$A$2:$C$8,3,FALSE),0)</f>
        <v>0</v>
      </c>
    </row>
    <row r="2773" spans="1:10" x14ac:dyDescent="0.25">
      <c r="A2773" t="s">
        <v>2940</v>
      </c>
      <c r="B2773" t="s">
        <v>205</v>
      </c>
      <c r="C2773" t="s">
        <v>127</v>
      </c>
      <c r="D2773" t="s">
        <v>46</v>
      </c>
      <c r="E2773" t="s">
        <v>138</v>
      </c>
      <c r="F2773" s="1">
        <v>42851</v>
      </c>
      <c r="G2773" s="1">
        <v>42899</v>
      </c>
      <c r="H2773">
        <v>1105</v>
      </c>
      <c r="I2773" t="str">
        <f>IF(COUNTIF(Products!$A$2:$A$8,C2773)=0,C2773,"")</f>
        <v/>
      </c>
      <c r="J2773">
        <f>IF(OR(E2773="Prospecting",E2773="Engaging"),VLOOKUP(C2773,Products!$A$2:$C$8,3,FALSE),0)</f>
        <v>0</v>
      </c>
    </row>
    <row r="2774" spans="1:10" x14ac:dyDescent="0.25">
      <c r="A2774" t="s">
        <v>2941</v>
      </c>
      <c r="B2774" t="s">
        <v>162</v>
      </c>
      <c r="C2774" t="s">
        <v>120</v>
      </c>
      <c r="D2774" t="s">
        <v>75</v>
      </c>
      <c r="E2774" t="s">
        <v>138</v>
      </c>
      <c r="F2774" s="1">
        <v>42851</v>
      </c>
      <c r="G2774" s="1">
        <v>42865</v>
      </c>
      <c r="H2774">
        <v>556</v>
      </c>
      <c r="I2774" t="str">
        <f>IF(COUNTIF(Products!$A$2:$A$8,C2774)=0,C2774,"")</f>
        <v/>
      </c>
      <c r="J2774">
        <f>IF(OR(E2774="Prospecting",E2774="Engaging"),VLOOKUP(C2774,Products!$A$2:$C$8,3,FALSE),0)</f>
        <v>0</v>
      </c>
    </row>
    <row r="2775" spans="1:10" x14ac:dyDescent="0.25">
      <c r="A2775" t="s">
        <v>2942</v>
      </c>
      <c r="B2775" t="s">
        <v>137</v>
      </c>
      <c r="C2775" t="s">
        <v>125</v>
      </c>
      <c r="D2775" t="s">
        <v>104</v>
      </c>
      <c r="E2775" t="s">
        <v>138</v>
      </c>
      <c r="F2775" s="1">
        <v>42851</v>
      </c>
      <c r="G2775" s="1">
        <v>42963</v>
      </c>
      <c r="H2775">
        <v>3025</v>
      </c>
      <c r="I2775" t="str">
        <f>IF(COUNTIF(Products!$A$2:$A$8,C2775)=0,C2775,"")</f>
        <v/>
      </c>
      <c r="J2775">
        <f>IF(OR(E2775="Prospecting",E2775="Engaging"),VLOOKUP(C2775,Products!$A$2:$C$8,3,FALSE),0)</f>
        <v>0</v>
      </c>
    </row>
    <row r="2776" spans="1:10" x14ac:dyDescent="0.25">
      <c r="A2776" t="s">
        <v>2943</v>
      </c>
      <c r="B2776" t="s">
        <v>152</v>
      </c>
      <c r="C2776" t="s">
        <v>123</v>
      </c>
      <c r="D2776" t="s">
        <v>27</v>
      </c>
      <c r="E2776" t="s">
        <v>138</v>
      </c>
      <c r="F2776" s="1">
        <v>42851</v>
      </c>
      <c r="G2776" s="1">
        <v>42891</v>
      </c>
      <c r="H2776">
        <v>54</v>
      </c>
      <c r="I2776" t="str">
        <f>IF(COUNTIF(Products!$A$2:$A$8,C2776)=0,C2776,"")</f>
        <v/>
      </c>
      <c r="J2776">
        <f>IF(OR(E2776="Prospecting",E2776="Engaging"),VLOOKUP(C2776,Products!$A$2:$C$8,3,FALSE),0)</f>
        <v>0</v>
      </c>
    </row>
    <row r="2777" spans="1:10" x14ac:dyDescent="0.25">
      <c r="A2777" t="s">
        <v>2944</v>
      </c>
      <c r="B2777" t="s">
        <v>166</v>
      </c>
      <c r="C2777" t="s">
        <v>123</v>
      </c>
      <c r="D2777" t="s">
        <v>27</v>
      </c>
      <c r="E2777" t="s">
        <v>138</v>
      </c>
      <c r="F2777" s="1">
        <v>42851</v>
      </c>
      <c r="G2777" s="1">
        <v>42853</v>
      </c>
      <c r="H2777">
        <v>53</v>
      </c>
      <c r="I2777" t="str">
        <f>IF(COUNTIF(Products!$A$2:$A$8,C2777)=0,C2777,"")</f>
        <v/>
      </c>
      <c r="J2777">
        <f>IF(OR(E2777="Prospecting",E2777="Engaging"),VLOOKUP(C2777,Products!$A$2:$C$8,3,FALSE),0)</f>
        <v>0</v>
      </c>
    </row>
    <row r="2778" spans="1:10" x14ac:dyDescent="0.25">
      <c r="A2778" t="s">
        <v>2945</v>
      </c>
      <c r="B2778" t="s">
        <v>148</v>
      </c>
      <c r="C2778" t="s">
        <v>122</v>
      </c>
      <c r="D2778" t="s">
        <v>78</v>
      </c>
      <c r="E2778" t="s">
        <v>138</v>
      </c>
      <c r="F2778" s="1">
        <v>42851</v>
      </c>
      <c r="G2778" s="1">
        <v>42852</v>
      </c>
      <c r="H2778">
        <v>4735</v>
      </c>
      <c r="I2778" t="str">
        <f>IF(COUNTIF(Products!$A$2:$A$8,C2778)=0,C2778,"")</f>
        <v/>
      </c>
      <c r="J2778">
        <f>IF(OR(E2778="Prospecting",E2778="Engaging"),VLOOKUP(C2778,Products!$A$2:$C$8,3,FALSE),0)</f>
        <v>0</v>
      </c>
    </row>
    <row r="2779" spans="1:10" x14ac:dyDescent="0.25">
      <c r="A2779" t="s">
        <v>2946</v>
      </c>
      <c r="B2779" t="s">
        <v>144</v>
      </c>
      <c r="C2779" t="s">
        <v>120</v>
      </c>
      <c r="E2779" t="s">
        <v>155</v>
      </c>
      <c r="F2779" s="1">
        <v>42851</v>
      </c>
      <c r="I2779" t="str">
        <f>IF(COUNTIF(Products!$A$2:$A$8,C2779)=0,C2779,"")</f>
        <v/>
      </c>
      <c r="J2779">
        <f>IF(OR(E2779="Prospecting",E2779="Engaging"),VLOOKUP(C2779,Products!$A$2:$C$8,3,FALSE),0)</f>
        <v>550</v>
      </c>
    </row>
    <row r="2780" spans="1:10" x14ac:dyDescent="0.25">
      <c r="A2780" t="s">
        <v>2947</v>
      </c>
      <c r="B2780" t="s">
        <v>222</v>
      </c>
      <c r="C2780" t="s">
        <v>120</v>
      </c>
      <c r="D2780" t="s">
        <v>69</v>
      </c>
      <c r="E2780" t="s">
        <v>138</v>
      </c>
      <c r="F2780" s="1">
        <v>42852</v>
      </c>
      <c r="G2780" s="1">
        <v>42854</v>
      </c>
      <c r="H2780">
        <v>584</v>
      </c>
      <c r="I2780" t="str">
        <f>IF(COUNTIF(Products!$A$2:$A$8,C2780)=0,C2780,"")</f>
        <v/>
      </c>
      <c r="J2780">
        <f>IF(OR(E2780="Prospecting",E2780="Engaging"),VLOOKUP(C2780,Products!$A$2:$C$8,3,FALSE),0)</f>
        <v>0</v>
      </c>
    </row>
    <row r="2781" spans="1:10" x14ac:dyDescent="0.25">
      <c r="A2781" t="s">
        <v>2948</v>
      </c>
      <c r="B2781" t="s">
        <v>207</v>
      </c>
      <c r="C2781" t="s">
        <v>122</v>
      </c>
      <c r="D2781" t="s">
        <v>105</v>
      </c>
      <c r="E2781" t="s">
        <v>159</v>
      </c>
      <c r="F2781" s="1">
        <v>42852</v>
      </c>
      <c r="G2781" s="1">
        <v>42867</v>
      </c>
      <c r="H2781">
        <v>0</v>
      </c>
      <c r="I2781" t="str">
        <f>IF(COUNTIF(Products!$A$2:$A$8,C2781)=0,C2781,"")</f>
        <v/>
      </c>
      <c r="J2781">
        <f>IF(OR(E2781="Prospecting",E2781="Engaging"),VLOOKUP(C2781,Products!$A$2:$C$8,3,FALSE),0)</f>
        <v>0</v>
      </c>
    </row>
    <row r="2782" spans="1:10" x14ac:dyDescent="0.25">
      <c r="A2782" t="s">
        <v>2949</v>
      </c>
      <c r="B2782" t="s">
        <v>171</v>
      </c>
      <c r="C2782" t="s">
        <v>126</v>
      </c>
      <c r="E2782" t="s">
        <v>155</v>
      </c>
      <c r="F2782" s="1">
        <v>42852</v>
      </c>
      <c r="I2782" t="str">
        <f>IF(COUNTIF(Products!$A$2:$A$8,C2782)=0,C2782,"")</f>
        <v/>
      </c>
      <c r="J2782">
        <f>IF(OR(E2782="Prospecting",E2782="Engaging"),VLOOKUP(C2782,Products!$A$2:$C$8,3,FALSE),0)</f>
        <v>5482</v>
      </c>
    </row>
    <row r="2783" spans="1:10" x14ac:dyDescent="0.25">
      <c r="A2783" t="s">
        <v>2950</v>
      </c>
      <c r="B2783" t="s">
        <v>171</v>
      </c>
      <c r="C2783" t="s">
        <v>122</v>
      </c>
      <c r="D2783" t="s">
        <v>69</v>
      </c>
      <c r="E2783" t="s">
        <v>138</v>
      </c>
      <c r="F2783" s="1">
        <v>42852</v>
      </c>
      <c r="G2783" s="1">
        <v>42853</v>
      </c>
      <c r="H2783">
        <v>5676</v>
      </c>
      <c r="I2783" t="str">
        <f>IF(COUNTIF(Products!$A$2:$A$8,C2783)=0,C2783,"")</f>
        <v/>
      </c>
      <c r="J2783">
        <f>IF(OR(E2783="Prospecting",E2783="Engaging"),VLOOKUP(C2783,Products!$A$2:$C$8,3,FALSE),0)</f>
        <v>0</v>
      </c>
    </row>
    <row r="2784" spans="1:10" x14ac:dyDescent="0.25">
      <c r="A2784" t="s">
        <v>2951</v>
      </c>
      <c r="B2784" t="s">
        <v>140</v>
      </c>
      <c r="C2784" t="s">
        <v>120</v>
      </c>
      <c r="D2784" t="s">
        <v>70</v>
      </c>
      <c r="E2784" t="s">
        <v>159</v>
      </c>
      <c r="F2784" s="1">
        <v>42852</v>
      </c>
      <c r="G2784" s="1">
        <v>42854</v>
      </c>
      <c r="H2784">
        <v>0</v>
      </c>
      <c r="I2784" t="str">
        <f>IF(COUNTIF(Products!$A$2:$A$8,C2784)=0,C2784,"")</f>
        <v/>
      </c>
      <c r="J2784">
        <f>IF(OR(E2784="Prospecting",E2784="Engaging"),VLOOKUP(C2784,Products!$A$2:$C$8,3,FALSE),0)</f>
        <v>0</v>
      </c>
    </row>
    <row r="2785" spans="1:10" x14ac:dyDescent="0.25">
      <c r="A2785" t="s">
        <v>2952</v>
      </c>
      <c r="B2785" t="s">
        <v>140</v>
      </c>
      <c r="C2785" t="s">
        <v>122</v>
      </c>
      <c r="D2785" t="s">
        <v>91</v>
      </c>
      <c r="E2785" t="s">
        <v>159</v>
      </c>
      <c r="F2785" s="1">
        <v>42852</v>
      </c>
      <c r="G2785" s="1">
        <v>42854</v>
      </c>
      <c r="H2785">
        <v>0</v>
      </c>
      <c r="I2785" t="str">
        <f>IF(COUNTIF(Products!$A$2:$A$8,C2785)=0,C2785,"")</f>
        <v/>
      </c>
      <c r="J2785">
        <f>IF(OR(E2785="Prospecting",E2785="Engaging"),VLOOKUP(C2785,Products!$A$2:$C$8,3,FALSE),0)</f>
        <v>0</v>
      </c>
    </row>
    <row r="2786" spans="1:10" x14ac:dyDescent="0.25">
      <c r="A2786" t="s">
        <v>2953</v>
      </c>
      <c r="B2786" t="s">
        <v>140</v>
      </c>
      <c r="C2786" t="s">
        <v>122</v>
      </c>
      <c r="D2786" t="s">
        <v>42</v>
      </c>
      <c r="E2786" t="s">
        <v>138</v>
      </c>
      <c r="F2786" s="1">
        <v>42852</v>
      </c>
      <c r="G2786" s="1">
        <v>42861</v>
      </c>
      <c r="H2786">
        <v>4727</v>
      </c>
      <c r="I2786" t="str">
        <f>IF(COUNTIF(Products!$A$2:$A$8,C2786)=0,C2786,"")</f>
        <v/>
      </c>
      <c r="J2786">
        <f>IF(OR(E2786="Prospecting",E2786="Engaging"),VLOOKUP(C2786,Products!$A$2:$C$8,3,FALSE),0)</f>
        <v>0</v>
      </c>
    </row>
    <row r="2787" spans="1:10" x14ac:dyDescent="0.25">
      <c r="A2787" t="s">
        <v>2954</v>
      </c>
      <c r="B2787" t="s">
        <v>198</v>
      </c>
      <c r="C2787" t="s">
        <v>126</v>
      </c>
      <c r="D2787" t="s">
        <v>50</v>
      </c>
      <c r="E2787" t="s">
        <v>159</v>
      </c>
      <c r="F2787" s="1">
        <v>42852</v>
      </c>
      <c r="G2787" s="1">
        <v>42958</v>
      </c>
      <c r="H2787">
        <v>0</v>
      </c>
      <c r="I2787" t="str">
        <f>IF(COUNTIF(Products!$A$2:$A$8,C2787)=0,C2787,"")</f>
        <v/>
      </c>
      <c r="J2787">
        <f>IF(OR(E2787="Prospecting",E2787="Engaging"),VLOOKUP(C2787,Products!$A$2:$C$8,3,FALSE),0)</f>
        <v>0</v>
      </c>
    </row>
    <row r="2788" spans="1:10" x14ac:dyDescent="0.25">
      <c r="A2788" t="s">
        <v>2955</v>
      </c>
      <c r="B2788" t="s">
        <v>158</v>
      </c>
      <c r="C2788" t="s">
        <v>127</v>
      </c>
      <c r="D2788" t="s">
        <v>30</v>
      </c>
      <c r="E2788" t="s">
        <v>138</v>
      </c>
      <c r="F2788" s="1">
        <v>42852</v>
      </c>
      <c r="G2788" s="1">
        <v>42948</v>
      </c>
      <c r="H2788">
        <v>821</v>
      </c>
      <c r="I2788" t="str">
        <f>IF(COUNTIF(Products!$A$2:$A$8,C2788)=0,C2788,"")</f>
        <v/>
      </c>
      <c r="J2788">
        <f>IF(OR(E2788="Prospecting",E2788="Engaging"),VLOOKUP(C2788,Products!$A$2:$C$8,3,FALSE),0)</f>
        <v>0</v>
      </c>
    </row>
    <row r="2789" spans="1:10" x14ac:dyDescent="0.25">
      <c r="A2789" t="s">
        <v>2956</v>
      </c>
      <c r="B2789" t="s">
        <v>154</v>
      </c>
      <c r="C2789" t="s">
        <v>127</v>
      </c>
      <c r="D2789" t="s">
        <v>47</v>
      </c>
      <c r="E2789" t="s">
        <v>159</v>
      </c>
      <c r="F2789" s="1">
        <v>42852</v>
      </c>
      <c r="G2789" s="1">
        <v>42872</v>
      </c>
      <c r="H2789">
        <v>0</v>
      </c>
      <c r="I2789" t="str">
        <f>IF(COUNTIF(Products!$A$2:$A$8,C2789)=0,C2789,"")</f>
        <v/>
      </c>
      <c r="J2789">
        <f>IF(OR(E2789="Prospecting",E2789="Engaging"),VLOOKUP(C2789,Products!$A$2:$C$8,3,FALSE),0)</f>
        <v>0</v>
      </c>
    </row>
    <row r="2790" spans="1:10" x14ac:dyDescent="0.25">
      <c r="A2790" t="s">
        <v>2957</v>
      </c>
      <c r="B2790" t="s">
        <v>217</v>
      </c>
      <c r="C2790" t="s">
        <v>127</v>
      </c>
      <c r="D2790" t="s">
        <v>36</v>
      </c>
      <c r="E2790" t="s">
        <v>138</v>
      </c>
      <c r="F2790" s="1">
        <v>42852</v>
      </c>
      <c r="G2790" s="1">
        <v>42954</v>
      </c>
      <c r="H2790">
        <v>999</v>
      </c>
      <c r="I2790" t="str">
        <f>IF(COUNTIF(Products!$A$2:$A$8,C2790)=0,C2790,"")</f>
        <v/>
      </c>
      <c r="J2790">
        <f>IF(OR(E2790="Prospecting",E2790="Engaging"),VLOOKUP(C2790,Products!$A$2:$C$8,3,FALSE),0)</f>
        <v>0</v>
      </c>
    </row>
    <row r="2791" spans="1:10" x14ac:dyDescent="0.25">
      <c r="A2791" t="s">
        <v>2958</v>
      </c>
      <c r="B2791" t="s">
        <v>217</v>
      </c>
      <c r="C2791" t="s">
        <v>123</v>
      </c>
      <c r="D2791" t="s">
        <v>30</v>
      </c>
      <c r="E2791" t="s">
        <v>138</v>
      </c>
      <c r="F2791" s="1">
        <v>42852</v>
      </c>
      <c r="G2791" s="1">
        <v>42952</v>
      </c>
      <c r="H2791">
        <v>54</v>
      </c>
      <c r="I2791" t="str">
        <f>IF(COUNTIF(Products!$A$2:$A$8,C2791)=0,C2791,"")</f>
        <v/>
      </c>
      <c r="J2791">
        <f>IF(OR(E2791="Prospecting",E2791="Engaging"),VLOOKUP(C2791,Products!$A$2:$C$8,3,FALSE),0)</f>
        <v>0</v>
      </c>
    </row>
    <row r="2792" spans="1:10" x14ac:dyDescent="0.25">
      <c r="A2792" t="s">
        <v>2959</v>
      </c>
      <c r="B2792" t="s">
        <v>205</v>
      </c>
      <c r="C2792" t="s">
        <v>120</v>
      </c>
      <c r="D2792" t="s">
        <v>28</v>
      </c>
      <c r="E2792" t="s">
        <v>159</v>
      </c>
      <c r="F2792" s="1">
        <v>42852</v>
      </c>
      <c r="G2792" s="1">
        <v>42953</v>
      </c>
      <c r="H2792">
        <v>0</v>
      </c>
      <c r="I2792" t="str">
        <f>IF(COUNTIF(Products!$A$2:$A$8,C2792)=0,C2792,"")</f>
        <v/>
      </c>
      <c r="J2792">
        <f>IF(OR(E2792="Prospecting",E2792="Engaging"),VLOOKUP(C2792,Products!$A$2:$C$8,3,FALSE),0)</f>
        <v>0</v>
      </c>
    </row>
    <row r="2793" spans="1:10" x14ac:dyDescent="0.25">
      <c r="A2793" t="s">
        <v>2960</v>
      </c>
      <c r="B2793" t="s">
        <v>152</v>
      </c>
      <c r="C2793" t="s">
        <v>125</v>
      </c>
      <c r="D2793" t="s">
        <v>55</v>
      </c>
      <c r="E2793" t="s">
        <v>138</v>
      </c>
      <c r="F2793" s="1">
        <v>42852</v>
      </c>
      <c r="G2793" s="1">
        <v>42865</v>
      </c>
      <c r="H2793">
        <v>3397</v>
      </c>
      <c r="I2793" t="str">
        <f>IF(COUNTIF(Products!$A$2:$A$8,C2793)=0,C2793,"")</f>
        <v/>
      </c>
      <c r="J2793">
        <f>IF(OR(E2793="Prospecting",E2793="Engaging"),VLOOKUP(C2793,Products!$A$2:$C$8,3,FALSE),0)</f>
        <v>0</v>
      </c>
    </row>
    <row r="2794" spans="1:10" x14ac:dyDescent="0.25">
      <c r="A2794" t="s">
        <v>2961</v>
      </c>
      <c r="B2794" t="s">
        <v>187</v>
      </c>
      <c r="C2794" t="s">
        <v>120</v>
      </c>
      <c r="D2794" t="s">
        <v>92</v>
      </c>
      <c r="E2794" t="s">
        <v>138</v>
      </c>
      <c r="F2794" s="1">
        <v>42852</v>
      </c>
      <c r="G2794" s="1">
        <v>42870</v>
      </c>
      <c r="H2794">
        <v>574</v>
      </c>
      <c r="I2794" t="str">
        <f>IF(COUNTIF(Products!$A$2:$A$8,C2794)=0,C2794,"")</f>
        <v/>
      </c>
      <c r="J2794">
        <f>IF(OR(E2794="Prospecting",E2794="Engaging"),VLOOKUP(C2794,Products!$A$2:$C$8,3,FALSE),0)</f>
        <v>0</v>
      </c>
    </row>
    <row r="2795" spans="1:10" x14ac:dyDescent="0.25">
      <c r="A2795" t="s">
        <v>2962</v>
      </c>
      <c r="B2795" t="s">
        <v>169</v>
      </c>
      <c r="C2795" t="s">
        <v>123</v>
      </c>
      <c r="D2795" t="s">
        <v>32</v>
      </c>
      <c r="E2795" t="s">
        <v>159</v>
      </c>
      <c r="F2795" s="1">
        <v>42852</v>
      </c>
      <c r="G2795" s="1">
        <v>42864</v>
      </c>
      <c r="H2795">
        <v>0</v>
      </c>
      <c r="I2795" t="str">
        <f>IF(COUNTIF(Products!$A$2:$A$8,C2795)=0,C2795,"")</f>
        <v/>
      </c>
      <c r="J2795">
        <f>IF(OR(E2795="Prospecting",E2795="Engaging"),VLOOKUP(C2795,Products!$A$2:$C$8,3,FALSE),0)</f>
        <v>0</v>
      </c>
    </row>
    <row r="2796" spans="1:10" x14ac:dyDescent="0.25">
      <c r="A2796" t="s">
        <v>2963</v>
      </c>
      <c r="B2796" t="s">
        <v>169</v>
      </c>
      <c r="C2796" t="s">
        <v>123</v>
      </c>
      <c r="D2796" t="s">
        <v>55</v>
      </c>
      <c r="E2796" t="s">
        <v>138</v>
      </c>
      <c r="F2796" s="1">
        <v>42852</v>
      </c>
      <c r="G2796" s="1">
        <v>42962</v>
      </c>
      <c r="H2796">
        <v>59</v>
      </c>
      <c r="I2796" t="str">
        <f>IF(COUNTIF(Products!$A$2:$A$8,C2796)=0,C2796,"")</f>
        <v/>
      </c>
      <c r="J2796">
        <f>IF(OR(E2796="Prospecting",E2796="Engaging"),VLOOKUP(C2796,Products!$A$2:$C$8,3,FALSE),0)</f>
        <v>0</v>
      </c>
    </row>
    <row r="2797" spans="1:10" x14ac:dyDescent="0.25">
      <c r="A2797" t="s">
        <v>2964</v>
      </c>
      <c r="B2797" t="s">
        <v>169</v>
      </c>
      <c r="C2797" t="s">
        <v>123</v>
      </c>
      <c r="D2797" t="s">
        <v>104</v>
      </c>
      <c r="E2797" t="s">
        <v>138</v>
      </c>
      <c r="F2797" s="1">
        <v>42852</v>
      </c>
      <c r="G2797" s="1">
        <v>42854</v>
      </c>
      <c r="H2797">
        <v>60</v>
      </c>
      <c r="I2797" t="str">
        <f>IF(COUNTIF(Products!$A$2:$A$8,C2797)=0,C2797,"")</f>
        <v/>
      </c>
      <c r="J2797">
        <f>IF(OR(E2797="Prospecting",E2797="Engaging"),VLOOKUP(C2797,Products!$A$2:$C$8,3,FALSE),0)</f>
        <v>0</v>
      </c>
    </row>
    <row r="2798" spans="1:10" x14ac:dyDescent="0.25">
      <c r="A2798" t="s">
        <v>2965</v>
      </c>
      <c r="B2798" t="s">
        <v>148</v>
      </c>
      <c r="C2798" t="s">
        <v>120</v>
      </c>
      <c r="D2798" t="s">
        <v>72</v>
      </c>
      <c r="E2798" t="s">
        <v>159</v>
      </c>
      <c r="F2798" s="1">
        <v>42852</v>
      </c>
      <c r="G2798" s="1">
        <v>42854</v>
      </c>
      <c r="H2798">
        <v>0</v>
      </c>
      <c r="I2798" t="str">
        <f>IF(COUNTIF(Products!$A$2:$A$8,C2798)=0,C2798,"")</f>
        <v/>
      </c>
      <c r="J2798">
        <f>IF(OR(E2798="Prospecting",E2798="Engaging"),VLOOKUP(C2798,Products!$A$2:$C$8,3,FALSE),0)</f>
        <v>0</v>
      </c>
    </row>
    <row r="2799" spans="1:10" x14ac:dyDescent="0.25">
      <c r="A2799" t="s">
        <v>2966</v>
      </c>
      <c r="B2799" t="s">
        <v>148</v>
      </c>
      <c r="C2799" t="s">
        <v>120</v>
      </c>
      <c r="D2799" t="s">
        <v>114</v>
      </c>
      <c r="E2799" t="s">
        <v>138</v>
      </c>
      <c r="F2799" s="1">
        <v>42852</v>
      </c>
      <c r="G2799" s="1">
        <v>42870</v>
      </c>
      <c r="H2799">
        <v>573</v>
      </c>
      <c r="I2799" t="str">
        <f>IF(COUNTIF(Products!$A$2:$A$8,C2799)=0,C2799,"")</f>
        <v/>
      </c>
      <c r="J2799">
        <f>IF(OR(E2799="Prospecting",E2799="Engaging"),VLOOKUP(C2799,Products!$A$2:$C$8,3,FALSE),0)</f>
        <v>0</v>
      </c>
    </row>
    <row r="2800" spans="1:10" x14ac:dyDescent="0.25">
      <c r="A2800" t="s">
        <v>2967</v>
      </c>
      <c r="B2800" t="s">
        <v>148</v>
      </c>
      <c r="C2800" t="s">
        <v>122</v>
      </c>
      <c r="D2800" t="s">
        <v>44</v>
      </c>
      <c r="E2800" t="s">
        <v>138</v>
      </c>
      <c r="F2800" s="1">
        <v>42852</v>
      </c>
      <c r="G2800" s="1">
        <v>42872</v>
      </c>
      <c r="H2800">
        <v>4406</v>
      </c>
      <c r="I2800" t="str">
        <f>IF(COUNTIF(Products!$A$2:$A$8,C2800)=0,C2800,"")</f>
        <v/>
      </c>
      <c r="J2800">
        <f>IF(OR(E2800="Prospecting",E2800="Engaging"),VLOOKUP(C2800,Products!$A$2:$C$8,3,FALSE),0)</f>
        <v>0</v>
      </c>
    </row>
    <row r="2801" spans="1:10" x14ac:dyDescent="0.25">
      <c r="A2801" t="s">
        <v>2968</v>
      </c>
      <c r="B2801" t="s">
        <v>177</v>
      </c>
      <c r="C2801" t="s">
        <v>127</v>
      </c>
      <c r="D2801" t="s">
        <v>84</v>
      </c>
      <c r="E2801" t="s">
        <v>138</v>
      </c>
      <c r="F2801" s="1">
        <v>42852</v>
      </c>
      <c r="G2801" s="1">
        <v>42853</v>
      </c>
      <c r="H2801">
        <v>1146</v>
      </c>
      <c r="I2801" t="str">
        <f>IF(COUNTIF(Products!$A$2:$A$8,C2801)=0,C2801,"")</f>
        <v/>
      </c>
      <c r="J2801">
        <f>IF(OR(E2801="Prospecting",E2801="Engaging"),VLOOKUP(C2801,Products!$A$2:$C$8,3,FALSE),0)</f>
        <v>0</v>
      </c>
    </row>
    <row r="2802" spans="1:10" x14ac:dyDescent="0.25">
      <c r="A2802" t="s">
        <v>2969</v>
      </c>
      <c r="B2802" t="s">
        <v>196</v>
      </c>
      <c r="C2802" t="s">
        <v>123</v>
      </c>
      <c r="E2802" t="s">
        <v>155</v>
      </c>
      <c r="F2802" s="1">
        <v>42852</v>
      </c>
      <c r="I2802" t="str">
        <f>IF(COUNTIF(Products!$A$2:$A$8,C2802)=0,C2802,"")</f>
        <v/>
      </c>
      <c r="J2802">
        <f>IF(OR(E2802="Prospecting",E2802="Engaging"),VLOOKUP(C2802,Products!$A$2:$C$8,3,FALSE),0)</f>
        <v>55</v>
      </c>
    </row>
    <row r="2803" spans="1:10" x14ac:dyDescent="0.25">
      <c r="A2803" t="s">
        <v>2970</v>
      </c>
      <c r="B2803" t="s">
        <v>196</v>
      </c>
      <c r="C2803" t="s">
        <v>120</v>
      </c>
      <c r="D2803" t="s">
        <v>68</v>
      </c>
      <c r="E2803" t="s">
        <v>138</v>
      </c>
      <c r="F2803" s="1">
        <v>42852</v>
      </c>
      <c r="G2803" s="1">
        <v>42868</v>
      </c>
      <c r="H2803">
        <v>525</v>
      </c>
      <c r="I2803" t="str">
        <f>IF(COUNTIF(Products!$A$2:$A$8,C2803)=0,C2803,"")</f>
        <v/>
      </c>
      <c r="J2803">
        <f>IF(OR(E2803="Prospecting",E2803="Engaging"),VLOOKUP(C2803,Products!$A$2:$C$8,3,FALSE),0)</f>
        <v>0</v>
      </c>
    </row>
    <row r="2804" spans="1:10" x14ac:dyDescent="0.25">
      <c r="A2804" t="s">
        <v>2971</v>
      </c>
      <c r="B2804" t="s">
        <v>146</v>
      </c>
      <c r="C2804" t="s">
        <v>120</v>
      </c>
      <c r="D2804" t="s">
        <v>36</v>
      </c>
      <c r="E2804" t="s">
        <v>159</v>
      </c>
      <c r="F2804" s="1">
        <v>42853</v>
      </c>
      <c r="G2804" s="1">
        <v>42854</v>
      </c>
      <c r="H2804">
        <v>0</v>
      </c>
      <c r="I2804" t="str">
        <f>IF(COUNTIF(Products!$A$2:$A$8,C2804)=0,C2804,"")</f>
        <v/>
      </c>
      <c r="J2804">
        <f>IF(OR(E2804="Prospecting",E2804="Engaging"),VLOOKUP(C2804,Products!$A$2:$C$8,3,FALSE),0)</f>
        <v>0</v>
      </c>
    </row>
    <row r="2805" spans="1:10" x14ac:dyDescent="0.25">
      <c r="A2805" t="s">
        <v>2972</v>
      </c>
      <c r="B2805" t="s">
        <v>146</v>
      </c>
      <c r="C2805" t="s">
        <v>127</v>
      </c>
      <c r="D2805" t="s">
        <v>91</v>
      </c>
      <c r="E2805" t="s">
        <v>159</v>
      </c>
      <c r="F2805" s="1">
        <v>42853</v>
      </c>
      <c r="G2805" s="1">
        <v>42984</v>
      </c>
      <c r="H2805">
        <v>0</v>
      </c>
      <c r="I2805" t="str">
        <f>IF(COUNTIF(Products!$A$2:$A$8,C2805)=0,C2805,"")</f>
        <v/>
      </c>
      <c r="J2805">
        <f>IF(OR(E2805="Prospecting",E2805="Engaging"),VLOOKUP(C2805,Products!$A$2:$C$8,3,FALSE),0)</f>
        <v>0</v>
      </c>
    </row>
    <row r="2806" spans="1:10" x14ac:dyDescent="0.25">
      <c r="A2806" t="s">
        <v>2973</v>
      </c>
      <c r="B2806" t="s">
        <v>146</v>
      </c>
      <c r="C2806" t="s">
        <v>125</v>
      </c>
      <c r="D2806" t="s">
        <v>85</v>
      </c>
      <c r="E2806" t="s">
        <v>138</v>
      </c>
      <c r="F2806" s="1">
        <v>42853</v>
      </c>
      <c r="G2806" s="1">
        <v>42961</v>
      </c>
      <c r="H2806">
        <v>3334</v>
      </c>
      <c r="I2806" t="str">
        <f>IF(COUNTIF(Products!$A$2:$A$8,C2806)=0,C2806,"")</f>
        <v/>
      </c>
      <c r="J2806">
        <f>IF(OR(E2806="Prospecting",E2806="Engaging"),VLOOKUP(C2806,Products!$A$2:$C$8,3,FALSE),0)</f>
        <v>0</v>
      </c>
    </row>
    <row r="2807" spans="1:10" x14ac:dyDescent="0.25">
      <c r="A2807" t="s">
        <v>2974</v>
      </c>
      <c r="B2807" t="s">
        <v>207</v>
      </c>
      <c r="C2807" t="s">
        <v>120</v>
      </c>
      <c r="D2807" t="s">
        <v>63</v>
      </c>
      <c r="E2807" t="s">
        <v>159</v>
      </c>
      <c r="F2807" s="1">
        <v>42853</v>
      </c>
      <c r="G2807" s="1">
        <v>42867</v>
      </c>
      <c r="H2807">
        <v>0</v>
      </c>
      <c r="I2807" t="str">
        <f>IF(COUNTIF(Products!$A$2:$A$8,C2807)=0,C2807,"")</f>
        <v/>
      </c>
      <c r="J2807">
        <f>IF(OR(E2807="Prospecting",E2807="Engaging"),VLOOKUP(C2807,Products!$A$2:$C$8,3,FALSE),0)</f>
        <v>0</v>
      </c>
    </row>
    <row r="2808" spans="1:10" x14ac:dyDescent="0.25">
      <c r="A2808" t="s">
        <v>2975</v>
      </c>
      <c r="B2808" t="s">
        <v>171</v>
      </c>
      <c r="C2808" t="s">
        <v>127</v>
      </c>
      <c r="D2808" t="s">
        <v>35</v>
      </c>
      <c r="E2808" t="s">
        <v>159</v>
      </c>
      <c r="F2808" s="1">
        <v>42853</v>
      </c>
      <c r="G2808" s="1">
        <v>42855</v>
      </c>
      <c r="H2808">
        <v>0</v>
      </c>
      <c r="I2808" t="str">
        <f>IF(COUNTIF(Products!$A$2:$A$8,C2808)=0,C2808,"")</f>
        <v/>
      </c>
      <c r="J2808">
        <f>IF(OR(E2808="Prospecting",E2808="Engaging"),VLOOKUP(C2808,Products!$A$2:$C$8,3,FALSE),0)</f>
        <v>0</v>
      </c>
    </row>
    <row r="2809" spans="1:10" x14ac:dyDescent="0.25">
      <c r="A2809" t="s">
        <v>2976</v>
      </c>
      <c r="B2809" t="s">
        <v>224</v>
      </c>
      <c r="C2809" t="s">
        <v>122</v>
      </c>
      <c r="D2809" t="s">
        <v>48</v>
      </c>
      <c r="E2809" t="s">
        <v>159</v>
      </c>
      <c r="F2809" s="1">
        <v>42853</v>
      </c>
      <c r="G2809" s="1">
        <v>42854</v>
      </c>
      <c r="H2809">
        <v>0</v>
      </c>
      <c r="I2809" t="str">
        <f>IF(COUNTIF(Products!$A$2:$A$8,C2809)=0,C2809,"")</f>
        <v/>
      </c>
      <c r="J2809">
        <f>IF(OR(E2809="Prospecting",E2809="Engaging"),VLOOKUP(C2809,Products!$A$2:$C$8,3,FALSE),0)</f>
        <v>0</v>
      </c>
    </row>
    <row r="2810" spans="1:10" x14ac:dyDescent="0.25">
      <c r="A2810" t="s">
        <v>2977</v>
      </c>
      <c r="B2810" t="s">
        <v>173</v>
      </c>
      <c r="C2810" t="s">
        <v>128</v>
      </c>
      <c r="D2810" t="s">
        <v>71</v>
      </c>
      <c r="E2810" t="s">
        <v>138</v>
      </c>
      <c r="F2810" s="1">
        <v>42853</v>
      </c>
      <c r="G2810" s="1">
        <v>42904</v>
      </c>
      <c r="H2810">
        <v>27385</v>
      </c>
      <c r="I2810" t="str">
        <f>IF(COUNTIF(Products!$A$2:$A$8,C2810)=0,C2810,"")</f>
        <v/>
      </c>
      <c r="J2810">
        <f>IF(OR(E2810="Prospecting",E2810="Engaging"),VLOOKUP(C2810,Products!$A$2:$C$8,3,FALSE),0)</f>
        <v>0</v>
      </c>
    </row>
    <row r="2811" spans="1:10" x14ac:dyDescent="0.25">
      <c r="A2811" t="s">
        <v>2978</v>
      </c>
      <c r="B2811" t="s">
        <v>303</v>
      </c>
      <c r="C2811" t="s">
        <v>120</v>
      </c>
      <c r="D2811" t="s">
        <v>70</v>
      </c>
      <c r="E2811" t="s">
        <v>159</v>
      </c>
      <c r="F2811" s="1">
        <v>42853</v>
      </c>
      <c r="G2811" s="1">
        <v>42962</v>
      </c>
      <c r="H2811">
        <v>0</v>
      </c>
      <c r="I2811" t="str">
        <f>IF(COUNTIF(Products!$A$2:$A$8,C2811)=0,C2811,"")</f>
        <v/>
      </c>
      <c r="J2811">
        <f>IF(OR(E2811="Prospecting",E2811="Engaging"),VLOOKUP(C2811,Products!$A$2:$C$8,3,FALSE),0)</f>
        <v>0</v>
      </c>
    </row>
    <row r="2812" spans="1:10" x14ac:dyDescent="0.25">
      <c r="A2812" t="s">
        <v>2979</v>
      </c>
      <c r="B2812" t="s">
        <v>180</v>
      </c>
      <c r="C2812" t="s">
        <v>120</v>
      </c>
      <c r="D2812" t="s">
        <v>32</v>
      </c>
      <c r="E2812" t="s">
        <v>155</v>
      </c>
      <c r="F2812" s="1">
        <v>42853</v>
      </c>
      <c r="I2812" t="str">
        <f>IF(COUNTIF(Products!$A$2:$A$8,C2812)=0,C2812,"")</f>
        <v/>
      </c>
      <c r="J2812">
        <f>IF(OR(E2812="Prospecting",E2812="Engaging"),VLOOKUP(C2812,Products!$A$2:$C$8,3,FALSE),0)</f>
        <v>550</v>
      </c>
    </row>
    <row r="2813" spans="1:10" x14ac:dyDescent="0.25">
      <c r="A2813" t="s">
        <v>2980</v>
      </c>
      <c r="B2813" t="s">
        <v>150</v>
      </c>
      <c r="C2813" t="s">
        <v>127</v>
      </c>
      <c r="D2813" t="s">
        <v>72</v>
      </c>
      <c r="E2813" t="s">
        <v>159</v>
      </c>
      <c r="F2813" s="1">
        <v>42853</v>
      </c>
      <c r="G2813" s="1">
        <v>42854</v>
      </c>
      <c r="H2813">
        <v>0</v>
      </c>
      <c r="I2813" t="str">
        <f>IF(COUNTIF(Products!$A$2:$A$8,C2813)=0,C2813,"")</f>
        <v/>
      </c>
      <c r="J2813">
        <f>IF(OR(E2813="Prospecting",E2813="Engaging"),VLOOKUP(C2813,Products!$A$2:$C$8,3,FALSE),0)</f>
        <v>0</v>
      </c>
    </row>
    <row r="2814" spans="1:10" x14ac:dyDescent="0.25">
      <c r="A2814" t="s">
        <v>2981</v>
      </c>
      <c r="B2814" t="s">
        <v>137</v>
      </c>
      <c r="C2814" t="s">
        <v>120</v>
      </c>
      <c r="D2814" t="s">
        <v>77</v>
      </c>
      <c r="E2814" t="s">
        <v>138</v>
      </c>
      <c r="F2814" s="1">
        <v>42853</v>
      </c>
      <c r="G2814" s="1">
        <v>42961</v>
      </c>
      <c r="H2814">
        <v>599</v>
      </c>
      <c r="I2814" t="str">
        <f>IF(COUNTIF(Products!$A$2:$A$8,C2814)=0,C2814,"")</f>
        <v/>
      </c>
      <c r="J2814">
        <f>IF(OR(E2814="Prospecting",E2814="Engaging"),VLOOKUP(C2814,Products!$A$2:$C$8,3,FALSE),0)</f>
        <v>0</v>
      </c>
    </row>
    <row r="2815" spans="1:10" x14ac:dyDescent="0.25">
      <c r="A2815" t="s">
        <v>2982</v>
      </c>
      <c r="B2815" t="s">
        <v>187</v>
      </c>
      <c r="C2815" t="s">
        <v>123</v>
      </c>
      <c r="D2815" t="s">
        <v>73</v>
      </c>
      <c r="E2815" t="s">
        <v>138</v>
      </c>
      <c r="F2815" s="1">
        <v>42853</v>
      </c>
      <c r="G2815" s="1">
        <v>42858</v>
      </c>
      <c r="H2815">
        <v>64</v>
      </c>
      <c r="I2815" t="str">
        <f>IF(COUNTIF(Products!$A$2:$A$8,C2815)=0,C2815,"")</f>
        <v/>
      </c>
      <c r="J2815">
        <f>IF(OR(E2815="Prospecting",E2815="Engaging"),VLOOKUP(C2815,Products!$A$2:$C$8,3,FALSE),0)</f>
        <v>0</v>
      </c>
    </row>
    <row r="2816" spans="1:10" x14ac:dyDescent="0.25">
      <c r="A2816" t="s">
        <v>2983</v>
      </c>
      <c r="B2816" t="s">
        <v>148</v>
      </c>
      <c r="C2816" t="s">
        <v>126</v>
      </c>
      <c r="D2816" t="s">
        <v>35</v>
      </c>
      <c r="E2816" t="s">
        <v>155</v>
      </c>
      <c r="F2816" s="1">
        <v>42853</v>
      </c>
      <c r="I2816" t="str">
        <f>IF(COUNTIF(Products!$A$2:$A$8,C2816)=0,C2816,"")</f>
        <v/>
      </c>
      <c r="J2816">
        <f>IF(OR(E2816="Prospecting",E2816="Engaging"),VLOOKUP(C2816,Products!$A$2:$C$8,3,FALSE),0)</f>
        <v>5482</v>
      </c>
    </row>
    <row r="2817" spans="1:10" x14ac:dyDescent="0.25">
      <c r="A2817" t="s">
        <v>2984</v>
      </c>
      <c r="B2817" t="s">
        <v>148</v>
      </c>
      <c r="C2817" t="s">
        <v>122</v>
      </c>
      <c r="D2817" t="s">
        <v>90</v>
      </c>
      <c r="E2817" t="s">
        <v>159</v>
      </c>
      <c r="F2817" s="1">
        <v>42853</v>
      </c>
      <c r="G2817" s="1">
        <v>42861</v>
      </c>
      <c r="H2817">
        <v>0</v>
      </c>
      <c r="I2817" t="str">
        <f>IF(COUNTIF(Products!$A$2:$A$8,C2817)=0,C2817,"")</f>
        <v/>
      </c>
      <c r="J2817">
        <f>IF(OR(E2817="Prospecting",E2817="Engaging"),VLOOKUP(C2817,Products!$A$2:$C$8,3,FALSE),0)</f>
        <v>0</v>
      </c>
    </row>
    <row r="2818" spans="1:10" x14ac:dyDescent="0.25">
      <c r="A2818" t="s">
        <v>2985</v>
      </c>
      <c r="B2818" t="s">
        <v>148</v>
      </c>
      <c r="C2818" t="s">
        <v>125</v>
      </c>
      <c r="D2818" t="s">
        <v>72</v>
      </c>
      <c r="E2818" t="s">
        <v>159</v>
      </c>
      <c r="F2818" s="1">
        <v>42853</v>
      </c>
      <c r="G2818" s="1">
        <v>42869</v>
      </c>
      <c r="H2818">
        <v>0</v>
      </c>
      <c r="I2818" t="str">
        <f>IF(COUNTIF(Products!$A$2:$A$8,C2818)=0,C2818,"")</f>
        <v/>
      </c>
      <c r="J2818">
        <f>IF(OR(E2818="Prospecting",E2818="Engaging"),VLOOKUP(C2818,Products!$A$2:$C$8,3,FALSE),0)</f>
        <v>0</v>
      </c>
    </row>
    <row r="2819" spans="1:10" x14ac:dyDescent="0.25">
      <c r="A2819" t="s">
        <v>2986</v>
      </c>
      <c r="B2819" t="s">
        <v>177</v>
      </c>
      <c r="C2819" t="s">
        <v>123</v>
      </c>
      <c r="D2819" t="s">
        <v>68</v>
      </c>
      <c r="E2819" t="s">
        <v>159</v>
      </c>
      <c r="F2819" s="1">
        <v>42853</v>
      </c>
      <c r="G2819" s="1">
        <v>42896</v>
      </c>
      <c r="H2819">
        <v>0</v>
      </c>
      <c r="I2819" t="str">
        <f>IF(COUNTIF(Products!$A$2:$A$8,C2819)=0,C2819,"")</f>
        <v/>
      </c>
      <c r="J2819">
        <f>IF(OR(E2819="Prospecting",E2819="Engaging"),VLOOKUP(C2819,Products!$A$2:$C$8,3,FALSE),0)</f>
        <v>0</v>
      </c>
    </row>
    <row r="2820" spans="1:10" x14ac:dyDescent="0.25">
      <c r="A2820" t="s">
        <v>2987</v>
      </c>
      <c r="B2820" t="s">
        <v>146</v>
      </c>
      <c r="C2820" t="s">
        <v>127</v>
      </c>
      <c r="D2820" t="s">
        <v>91</v>
      </c>
      <c r="E2820" t="s">
        <v>138</v>
      </c>
      <c r="F2820" s="1">
        <v>42854</v>
      </c>
      <c r="G2820" s="1">
        <v>42870</v>
      </c>
      <c r="H2820">
        <v>918</v>
      </c>
      <c r="I2820" t="str">
        <f>IF(COUNTIF(Products!$A$2:$A$8,C2820)=0,C2820,"")</f>
        <v/>
      </c>
      <c r="J2820">
        <f>IF(OR(E2820="Prospecting",E2820="Engaging"),VLOOKUP(C2820,Products!$A$2:$C$8,3,FALSE),0)</f>
        <v>0</v>
      </c>
    </row>
    <row r="2821" spans="1:10" x14ac:dyDescent="0.25">
      <c r="A2821" t="s">
        <v>2988</v>
      </c>
      <c r="B2821" t="s">
        <v>207</v>
      </c>
      <c r="C2821" t="s">
        <v>123</v>
      </c>
      <c r="E2821" t="s">
        <v>155</v>
      </c>
      <c r="F2821" s="1">
        <v>42854</v>
      </c>
      <c r="I2821" t="str">
        <f>IF(COUNTIF(Products!$A$2:$A$8,C2821)=0,C2821,"")</f>
        <v/>
      </c>
      <c r="J2821">
        <f>IF(OR(E2821="Prospecting",E2821="Engaging"),VLOOKUP(C2821,Products!$A$2:$C$8,3,FALSE),0)</f>
        <v>55</v>
      </c>
    </row>
    <row r="2822" spans="1:10" x14ac:dyDescent="0.25">
      <c r="A2822" t="s">
        <v>2989</v>
      </c>
      <c r="B2822" t="s">
        <v>171</v>
      </c>
      <c r="C2822" t="s">
        <v>123</v>
      </c>
      <c r="D2822" t="s">
        <v>20</v>
      </c>
      <c r="E2822" t="s">
        <v>138</v>
      </c>
      <c r="F2822" s="1">
        <v>42854</v>
      </c>
      <c r="G2822" s="1">
        <v>42859</v>
      </c>
      <c r="H2822">
        <v>60</v>
      </c>
      <c r="I2822" t="str">
        <f>IF(COUNTIF(Products!$A$2:$A$8,C2822)=0,C2822,"")</f>
        <v/>
      </c>
      <c r="J2822">
        <f>IF(OR(E2822="Prospecting",E2822="Engaging"),VLOOKUP(C2822,Products!$A$2:$C$8,3,FALSE),0)</f>
        <v>0</v>
      </c>
    </row>
    <row r="2823" spans="1:10" x14ac:dyDescent="0.25">
      <c r="A2823" t="s">
        <v>2990</v>
      </c>
      <c r="B2823" t="s">
        <v>224</v>
      </c>
      <c r="C2823" t="s">
        <v>122</v>
      </c>
      <c r="D2823" t="s">
        <v>80</v>
      </c>
      <c r="E2823" t="s">
        <v>159</v>
      </c>
      <c r="F2823" s="1">
        <v>42854</v>
      </c>
      <c r="G2823" s="1">
        <v>42865</v>
      </c>
      <c r="H2823">
        <v>0</v>
      </c>
      <c r="I2823" t="str">
        <f>IF(COUNTIF(Products!$A$2:$A$8,C2823)=0,C2823,"")</f>
        <v/>
      </c>
      <c r="J2823">
        <f>IF(OR(E2823="Prospecting",E2823="Engaging"),VLOOKUP(C2823,Products!$A$2:$C$8,3,FALSE),0)</f>
        <v>0</v>
      </c>
    </row>
    <row r="2824" spans="1:10" x14ac:dyDescent="0.25">
      <c r="A2824" t="s">
        <v>2991</v>
      </c>
      <c r="B2824" t="s">
        <v>224</v>
      </c>
      <c r="C2824" t="s">
        <v>120</v>
      </c>
      <c r="D2824" t="s">
        <v>50</v>
      </c>
      <c r="E2824" t="s">
        <v>138</v>
      </c>
      <c r="F2824" s="1">
        <v>42854</v>
      </c>
      <c r="G2824" s="1">
        <v>42861</v>
      </c>
      <c r="H2824">
        <v>519</v>
      </c>
      <c r="I2824" t="str">
        <f>IF(COUNTIF(Products!$A$2:$A$8,C2824)=0,C2824,"")</f>
        <v/>
      </c>
      <c r="J2824">
        <f>IF(OR(E2824="Prospecting",E2824="Engaging"),VLOOKUP(C2824,Products!$A$2:$C$8,3,FALSE),0)</f>
        <v>0</v>
      </c>
    </row>
    <row r="2825" spans="1:10" x14ac:dyDescent="0.25">
      <c r="A2825" t="s">
        <v>2992</v>
      </c>
      <c r="B2825" t="s">
        <v>173</v>
      </c>
      <c r="C2825" t="s">
        <v>120</v>
      </c>
      <c r="E2825" t="s">
        <v>155</v>
      </c>
      <c r="F2825" s="1">
        <v>42854</v>
      </c>
      <c r="I2825" t="str">
        <f>IF(COUNTIF(Products!$A$2:$A$8,C2825)=0,C2825,"")</f>
        <v/>
      </c>
      <c r="J2825">
        <f>IF(OR(E2825="Prospecting",E2825="Engaging"),VLOOKUP(C2825,Products!$A$2:$C$8,3,FALSE),0)</f>
        <v>550</v>
      </c>
    </row>
    <row r="2826" spans="1:10" x14ac:dyDescent="0.25">
      <c r="A2826" t="s">
        <v>2993</v>
      </c>
      <c r="B2826" t="s">
        <v>164</v>
      </c>
      <c r="C2826" t="s">
        <v>123</v>
      </c>
      <c r="D2826" t="s">
        <v>10</v>
      </c>
      <c r="E2826" t="s">
        <v>155</v>
      </c>
      <c r="F2826" s="1">
        <v>42854</v>
      </c>
      <c r="I2826" t="str">
        <f>IF(COUNTIF(Products!$A$2:$A$8,C2826)=0,C2826,"")</f>
        <v/>
      </c>
      <c r="J2826">
        <f>IF(OR(E2826="Prospecting",E2826="Engaging"),VLOOKUP(C2826,Products!$A$2:$C$8,3,FALSE),0)</f>
        <v>55</v>
      </c>
    </row>
    <row r="2827" spans="1:10" x14ac:dyDescent="0.25">
      <c r="A2827" t="s">
        <v>2994</v>
      </c>
      <c r="B2827" t="s">
        <v>154</v>
      </c>
      <c r="C2827" t="s">
        <v>126</v>
      </c>
      <c r="D2827" t="s">
        <v>90</v>
      </c>
      <c r="E2827" t="s">
        <v>138</v>
      </c>
      <c r="F2827" s="1">
        <v>42854</v>
      </c>
      <c r="G2827" s="1">
        <v>42859</v>
      </c>
      <c r="H2827">
        <v>4956</v>
      </c>
      <c r="I2827" t="str">
        <f>IF(COUNTIF(Products!$A$2:$A$8,C2827)=0,C2827,"")</f>
        <v/>
      </c>
      <c r="J2827">
        <f>IF(OR(E2827="Prospecting",E2827="Engaging"),VLOOKUP(C2827,Products!$A$2:$C$8,3,FALSE),0)</f>
        <v>0</v>
      </c>
    </row>
    <row r="2828" spans="1:10" x14ac:dyDescent="0.25">
      <c r="A2828" t="s">
        <v>2995</v>
      </c>
      <c r="B2828" t="s">
        <v>191</v>
      </c>
      <c r="C2828" t="s">
        <v>125</v>
      </c>
      <c r="D2828" t="s">
        <v>103</v>
      </c>
      <c r="E2828" t="s">
        <v>155</v>
      </c>
      <c r="F2828" s="1">
        <v>42854</v>
      </c>
      <c r="I2828" t="str">
        <f>IF(COUNTIF(Products!$A$2:$A$8,C2828)=0,C2828,"")</f>
        <v/>
      </c>
      <c r="J2828">
        <f>IF(OR(E2828="Prospecting",E2828="Engaging"),VLOOKUP(C2828,Products!$A$2:$C$8,3,FALSE),0)</f>
        <v>3393</v>
      </c>
    </row>
    <row r="2829" spans="1:10" x14ac:dyDescent="0.25">
      <c r="A2829" t="s">
        <v>2996</v>
      </c>
      <c r="B2829" t="s">
        <v>217</v>
      </c>
      <c r="C2829" t="s">
        <v>120</v>
      </c>
      <c r="D2829" t="s">
        <v>104</v>
      </c>
      <c r="E2829" t="s">
        <v>159</v>
      </c>
      <c r="F2829" s="1">
        <v>42854</v>
      </c>
      <c r="G2829" s="1">
        <v>42872</v>
      </c>
      <c r="H2829">
        <v>0</v>
      </c>
      <c r="I2829" t="str">
        <f>IF(COUNTIF(Products!$A$2:$A$8,C2829)=0,C2829,"")</f>
        <v/>
      </c>
      <c r="J2829">
        <f>IF(OR(E2829="Prospecting",E2829="Engaging"),VLOOKUP(C2829,Products!$A$2:$C$8,3,FALSE),0)</f>
        <v>0</v>
      </c>
    </row>
    <row r="2830" spans="1:10" x14ac:dyDescent="0.25">
      <c r="A2830" t="s">
        <v>2997</v>
      </c>
      <c r="B2830" t="s">
        <v>217</v>
      </c>
      <c r="C2830" t="s">
        <v>126</v>
      </c>
      <c r="D2830" t="s">
        <v>85</v>
      </c>
      <c r="E2830" t="s">
        <v>138</v>
      </c>
      <c r="F2830" s="1">
        <v>42854</v>
      </c>
      <c r="G2830" s="1">
        <v>42955</v>
      </c>
      <c r="H2830">
        <v>5913</v>
      </c>
      <c r="I2830" t="str">
        <f>IF(COUNTIF(Products!$A$2:$A$8,C2830)=0,C2830,"")</f>
        <v/>
      </c>
      <c r="J2830">
        <f>IF(OR(E2830="Prospecting",E2830="Engaging"),VLOOKUP(C2830,Products!$A$2:$C$8,3,FALSE),0)</f>
        <v>0</v>
      </c>
    </row>
    <row r="2831" spans="1:10" x14ac:dyDescent="0.25">
      <c r="A2831" t="s">
        <v>2998</v>
      </c>
      <c r="B2831" t="s">
        <v>162</v>
      </c>
      <c r="C2831" t="s">
        <v>122</v>
      </c>
      <c r="D2831" t="s">
        <v>25</v>
      </c>
      <c r="E2831" t="s">
        <v>155</v>
      </c>
      <c r="F2831" s="1">
        <v>42854</v>
      </c>
      <c r="I2831" t="str">
        <f>IF(COUNTIF(Products!$A$2:$A$8,C2831)=0,C2831,"")</f>
        <v/>
      </c>
      <c r="J2831">
        <f>IF(OR(E2831="Prospecting",E2831="Engaging"),VLOOKUP(C2831,Products!$A$2:$C$8,3,FALSE),0)</f>
        <v>4821</v>
      </c>
    </row>
    <row r="2832" spans="1:10" x14ac:dyDescent="0.25">
      <c r="A2832" t="s">
        <v>2999</v>
      </c>
      <c r="B2832" t="s">
        <v>137</v>
      </c>
      <c r="C2832" t="s">
        <v>120</v>
      </c>
      <c r="D2832" t="s">
        <v>14</v>
      </c>
      <c r="E2832" t="s">
        <v>159</v>
      </c>
      <c r="F2832" s="1">
        <v>42854</v>
      </c>
      <c r="G2832" s="1">
        <v>42886</v>
      </c>
      <c r="H2832">
        <v>0</v>
      </c>
      <c r="I2832" t="str">
        <f>IF(COUNTIF(Products!$A$2:$A$8,C2832)=0,C2832,"")</f>
        <v/>
      </c>
      <c r="J2832">
        <f>IF(OR(E2832="Prospecting",E2832="Engaging"),VLOOKUP(C2832,Products!$A$2:$C$8,3,FALSE),0)</f>
        <v>0</v>
      </c>
    </row>
    <row r="2833" spans="1:10" x14ac:dyDescent="0.25">
      <c r="A2833" t="s">
        <v>3000</v>
      </c>
      <c r="B2833" t="s">
        <v>166</v>
      </c>
      <c r="C2833" t="s">
        <v>127</v>
      </c>
      <c r="D2833" t="s">
        <v>59</v>
      </c>
      <c r="E2833" t="s">
        <v>138</v>
      </c>
      <c r="F2833" s="1">
        <v>42854</v>
      </c>
      <c r="G2833" s="1">
        <v>42968</v>
      </c>
      <c r="H2833">
        <v>1210</v>
      </c>
      <c r="I2833" t="str">
        <f>IF(COUNTIF(Products!$A$2:$A$8,C2833)=0,C2833,"")</f>
        <v/>
      </c>
      <c r="J2833">
        <f>IF(OR(E2833="Prospecting",E2833="Engaging"),VLOOKUP(C2833,Products!$A$2:$C$8,3,FALSE),0)</f>
        <v>0</v>
      </c>
    </row>
    <row r="2834" spans="1:10" x14ac:dyDescent="0.25">
      <c r="A2834" t="s">
        <v>3001</v>
      </c>
      <c r="B2834" t="s">
        <v>148</v>
      </c>
      <c r="C2834" t="s">
        <v>125</v>
      </c>
      <c r="D2834" t="s">
        <v>71</v>
      </c>
      <c r="E2834" t="s">
        <v>159</v>
      </c>
      <c r="F2834" s="1">
        <v>42854</v>
      </c>
      <c r="G2834" s="1">
        <v>42855</v>
      </c>
      <c r="H2834">
        <v>0</v>
      </c>
      <c r="I2834" t="str">
        <f>IF(COUNTIF(Products!$A$2:$A$8,C2834)=0,C2834,"")</f>
        <v/>
      </c>
      <c r="J2834">
        <f>IF(OR(E2834="Prospecting",E2834="Engaging"),VLOOKUP(C2834,Products!$A$2:$C$8,3,FALSE),0)</f>
        <v>0</v>
      </c>
    </row>
    <row r="2835" spans="1:10" x14ac:dyDescent="0.25">
      <c r="A2835" t="s">
        <v>3002</v>
      </c>
      <c r="B2835" t="s">
        <v>177</v>
      </c>
      <c r="C2835" t="s">
        <v>127</v>
      </c>
      <c r="E2835" t="s">
        <v>155</v>
      </c>
      <c r="F2835" s="1">
        <v>42854</v>
      </c>
      <c r="I2835" t="str">
        <f>IF(COUNTIF(Products!$A$2:$A$8,C2835)=0,C2835,"")</f>
        <v/>
      </c>
      <c r="J2835">
        <f>IF(OR(E2835="Prospecting",E2835="Engaging"),VLOOKUP(C2835,Products!$A$2:$C$8,3,FALSE),0)</f>
        <v>1096</v>
      </c>
    </row>
    <row r="2836" spans="1:10" x14ac:dyDescent="0.25">
      <c r="A2836" t="s">
        <v>3003</v>
      </c>
      <c r="B2836" t="s">
        <v>264</v>
      </c>
      <c r="C2836" t="s">
        <v>125</v>
      </c>
      <c r="D2836" t="s">
        <v>51</v>
      </c>
      <c r="E2836" t="s">
        <v>138</v>
      </c>
      <c r="F2836" s="1">
        <v>42855</v>
      </c>
      <c r="G2836" s="1">
        <v>42957</v>
      </c>
      <c r="H2836">
        <v>3139</v>
      </c>
      <c r="I2836" t="str">
        <f>IF(COUNTIF(Products!$A$2:$A$8,C2836)=0,C2836,"")</f>
        <v/>
      </c>
      <c r="J2836">
        <f>IF(OR(E2836="Prospecting",E2836="Engaging"),VLOOKUP(C2836,Products!$A$2:$C$8,3,FALSE),0)</f>
        <v>0</v>
      </c>
    </row>
    <row r="2837" spans="1:10" x14ac:dyDescent="0.25">
      <c r="A2837" t="s">
        <v>3004</v>
      </c>
      <c r="B2837" t="s">
        <v>239</v>
      </c>
      <c r="C2837" t="s">
        <v>120</v>
      </c>
      <c r="D2837" t="s">
        <v>63</v>
      </c>
      <c r="E2837" t="s">
        <v>138</v>
      </c>
      <c r="F2837" s="1">
        <v>42855</v>
      </c>
      <c r="G2837" s="1">
        <v>42958</v>
      </c>
      <c r="H2837">
        <v>527</v>
      </c>
      <c r="I2837" t="str">
        <f>IF(COUNTIF(Products!$A$2:$A$8,C2837)=0,C2837,"")</f>
        <v/>
      </c>
      <c r="J2837">
        <f>IF(OR(E2837="Prospecting",E2837="Engaging"),VLOOKUP(C2837,Products!$A$2:$C$8,3,FALSE),0)</f>
        <v>0</v>
      </c>
    </row>
    <row r="2838" spans="1:10" x14ac:dyDescent="0.25">
      <c r="A2838" t="s">
        <v>3005</v>
      </c>
      <c r="B2838" t="s">
        <v>171</v>
      </c>
      <c r="C2838" t="s">
        <v>126</v>
      </c>
      <c r="E2838" t="s">
        <v>155</v>
      </c>
      <c r="F2838" s="1">
        <v>42855</v>
      </c>
      <c r="I2838" t="str">
        <f>IF(COUNTIF(Products!$A$2:$A$8,C2838)=0,C2838,"")</f>
        <v/>
      </c>
      <c r="J2838">
        <f>IF(OR(E2838="Prospecting",E2838="Engaging"),VLOOKUP(C2838,Products!$A$2:$C$8,3,FALSE),0)</f>
        <v>5482</v>
      </c>
    </row>
    <row r="2839" spans="1:10" x14ac:dyDescent="0.25">
      <c r="A2839" t="s">
        <v>3006</v>
      </c>
      <c r="B2839" t="s">
        <v>140</v>
      </c>
      <c r="C2839" t="s">
        <v>120</v>
      </c>
      <c r="D2839" t="s">
        <v>36</v>
      </c>
      <c r="E2839" t="s">
        <v>159</v>
      </c>
      <c r="F2839" s="1">
        <v>42855</v>
      </c>
      <c r="G2839" s="1">
        <v>42859</v>
      </c>
      <c r="H2839">
        <v>0</v>
      </c>
      <c r="I2839" t="str">
        <f>IF(COUNTIF(Products!$A$2:$A$8,C2839)=0,C2839,"")</f>
        <v/>
      </c>
      <c r="J2839">
        <f>IF(OR(E2839="Prospecting",E2839="Engaging"),VLOOKUP(C2839,Products!$A$2:$C$8,3,FALSE),0)</f>
        <v>0</v>
      </c>
    </row>
    <row r="2840" spans="1:10" x14ac:dyDescent="0.25">
      <c r="A2840" t="s">
        <v>3007</v>
      </c>
      <c r="B2840" t="s">
        <v>164</v>
      </c>
      <c r="C2840" t="s">
        <v>126</v>
      </c>
      <c r="D2840" t="s">
        <v>71</v>
      </c>
      <c r="E2840" t="s">
        <v>138</v>
      </c>
      <c r="F2840" s="1">
        <v>42855</v>
      </c>
      <c r="G2840" s="1">
        <v>42959</v>
      </c>
      <c r="H2840">
        <v>5408</v>
      </c>
      <c r="I2840" t="str">
        <f>IF(COUNTIF(Products!$A$2:$A$8,C2840)=0,C2840,"")</f>
        <v/>
      </c>
      <c r="J2840">
        <f>IF(OR(E2840="Prospecting",E2840="Engaging"),VLOOKUP(C2840,Products!$A$2:$C$8,3,FALSE),0)</f>
        <v>0</v>
      </c>
    </row>
    <row r="2841" spans="1:10" x14ac:dyDescent="0.25">
      <c r="A2841" t="s">
        <v>3008</v>
      </c>
      <c r="B2841" t="s">
        <v>164</v>
      </c>
      <c r="C2841" t="s">
        <v>123</v>
      </c>
      <c r="D2841" t="s">
        <v>59</v>
      </c>
      <c r="E2841" t="s">
        <v>138</v>
      </c>
      <c r="F2841" s="1">
        <v>42855</v>
      </c>
      <c r="G2841" s="1">
        <v>42959</v>
      </c>
      <c r="H2841">
        <v>62</v>
      </c>
      <c r="I2841" t="str">
        <f>IF(COUNTIF(Products!$A$2:$A$8,C2841)=0,C2841,"")</f>
        <v/>
      </c>
      <c r="J2841">
        <f>IF(OR(E2841="Prospecting",E2841="Engaging"),VLOOKUP(C2841,Products!$A$2:$C$8,3,FALSE),0)</f>
        <v>0</v>
      </c>
    </row>
    <row r="2842" spans="1:10" x14ac:dyDescent="0.25">
      <c r="A2842" t="s">
        <v>3009</v>
      </c>
      <c r="B2842" t="s">
        <v>303</v>
      </c>
      <c r="C2842" t="s">
        <v>120</v>
      </c>
      <c r="D2842" t="s">
        <v>33</v>
      </c>
      <c r="E2842" t="s">
        <v>138</v>
      </c>
      <c r="F2842" s="1">
        <v>42855</v>
      </c>
      <c r="G2842" s="1">
        <v>42868</v>
      </c>
      <c r="H2842">
        <v>586</v>
      </c>
      <c r="I2842" t="str">
        <f>IF(COUNTIF(Products!$A$2:$A$8,C2842)=0,C2842,"")</f>
        <v/>
      </c>
      <c r="J2842">
        <f>IF(OR(E2842="Prospecting",E2842="Engaging"),VLOOKUP(C2842,Products!$A$2:$C$8,3,FALSE),0)</f>
        <v>0</v>
      </c>
    </row>
    <row r="2843" spans="1:10" x14ac:dyDescent="0.25">
      <c r="A2843" t="s">
        <v>3010</v>
      </c>
      <c r="B2843" t="s">
        <v>180</v>
      </c>
      <c r="C2843" t="s">
        <v>122</v>
      </c>
      <c r="D2843" t="s">
        <v>75</v>
      </c>
      <c r="E2843" t="s">
        <v>159</v>
      </c>
      <c r="F2843" s="1">
        <v>42855</v>
      </c>
      <c r="G2843" s="1">
        <v>42856</v>
      </c>
      <c r="H2843">
        <v>0</v>
      </c>
      <c r="I2843" t="str">
        <f>IF(COUNTIF(Products!$A$2:$A$8,C2843)=0,C2843,"")</f>
        <v/>
      </c>
      <c r="J2843">
        <f>IF(OR(E2843="Prospecting",E2843="Engaging"),VLOOKUP(C2843,Products!$A$2:$C$8,3,FALSE),0)</f>
        <v>0</v>
      </c>
    </row>
    <row r="2844" spans="1:10" x14ac:dyDescent="0.25">
      <c r="A2844" t="s">
        <v>3011</v>
      </c>
      <c r="B2844" t="s">
        <v>191</v>
      </c>
      <c r="C2844" t="s">
        <v>120</v>
      </c>
      <c r="D2844" t="s">
        <v>72</v>
      </c>
      <c r="E2844" t="s">
        <v>138</v>
      </c>
      <c r="F2844" s="1">
        <v>42855</v>
      </c>
      <c r="G2844" s="1">
        <v>42953</v>
      </c>
      <c r="H2844">
        <v>532</v>
      </c>
      <c r="I2844" t="str">
        <f>IF(COUNTIF(Products!$A$2:$A$8,C2844)=0,C2844,"")</f>
        <v/>
      </c>
      <c r="J2844">
        <f>IF(OR(E2844="Prospecting",E2844="Engaging"),VLOOKUP(C2844,Products!$A$2:$C$8,3,FALSE),0)</f>
        <v>0</v>
      </c>
    </row>
    <row r="2845" spans="1:10" x14ac:dyDescent="0.25">
      <c r="A2845" t="s">
        <v>3012</v>
      </c>
      <c r="B2845" t="s">
        <v>191</v>
      </c>
      <c r="C2845" t="s">
        <v>120</v>
      </c>
      <c r="D2845" t="s">
        <v>78</v>
      </c>
      <c r="E2845" t="s">
        <v>138</v>
      </c>
      <c r="F2845" s="1">
        <v>42855</v>
      </c>
      <c r="G2845" s="1">
        <v>42960</v>
      </c>
      <c r="H2845">
        <v>585</v>
      </c>
      <c r="I2845" t="str">
        <f>IF(COUNTIF(Products!$A$2:$A$8,C2845)=0,C2845,"")</f>
        <v/>
      </c>
      <c r="J2845">
        <f>IF(OR(E2845="Prospecting",E2845="Engaging"),VLOOKUP(C2845,Products!$A$2:$C$8,3,FALSE),0)</f>
        <v>0</v>
      </c>
    </row>
    <row r="2846" spans="1:10" x14ac:dyDescent="0.25">
      <c r="A2846" t="s">
        <v>3013</v>
      </c>
      <c r="B2846" t="s">
        <v>217</v>
      </c>
      <c r="C2846" t="s">
        <v>120</v>
      </c>
      <c r="D2846" t="s">
        <v>88</v>
      </c>
      <c r="E2846" t="s">
        <v>138</v>
      </c>
      <c r="F2846" s="1">
        <v>42855</v>
      </c>
      <c r="G2846" s="1">
        <v>42958</v>
      </c>
      <c r="H2846">
        <v>583</v>
      </c>
      <c r="I2846" t="str">
        <f>IF(COUNTIF(Products!$A$2:$A$8,C2846)=0,C2846,"")</f>
        <v/>
      </c>
      <c r="J2846">
        <f>IF(OR(E2846="Prospecting",E2846="Engaging"),VLOOKUP(C2846,Products!$A$2:$C$8,3,FALSE),0)</f>
        <v>0</v>
      </c>
    </row>
    <row r="2847" spans="1:10" x14ac:dyDescent="0.25">
      <c r="A2847" t="s">
        <v>3014</v>
      </c>
      <c r="B2847" t="s">
        <v>205</v>
      </c>
      <c r="C2847" t="s">
        <v>120</v>
      </c>
      <c r="D2847" t="s">
        <v>85</v>
      </c>
      <c r="E2847" t="s">
        <v>138</v>
      </c>
      <c r="F2847" s="1">
        <v>42855</v>
      </c>
      <c r="G2847" s="1">
        <v>42980</v>
      </c>
      <c r="H2847">
        <v>433</v>
      </c>
      <c r="I2847" t="str">
        <f>IF(COUNTIF(Products!$A$2:$A$8,C2847)=0,C2847,"")</f>
        <v/>
      </c>
      <c r="J2847">
        <f>IF(OR(E2847="Prospecting",E2847="Engaging"),VLOOKUP(C2847,Products!$A$2:$C$8,3,FALSE),0)</f>
        <v>0</v>
      </c>
    </row>
    <row r="2848" spans="1:10" x14ac:dyDescent="0.25">
      <c r="A2848" t="s">
        <v>3015</v>
      </c>
      <c r="B2848" t="s">
        <v>152</v>
      </c>
      <c r="C2848" t="s">
        <v>120</v>
      </c>
      <c r="D2848" t="s">
        <v>27</v>
      </c>
      <c r="E2848" t="s">
        <v>138</v>
      </c>
      <c r="F2848" s="1">
        <v>42855</v>
      </c>
      <c r="G2848" s="1">
        <v>42861</v>
      </c>
      <c r="H2848">
        <v>557</v>
      </c>
      <c r="I2848" t="str">
        <f>IF(COUNTIF(Products!$A$2:$A$8,C2848)=0,C2848,"")</f>
        <v/>
      </c>
      <c r="J2848">
        <f>IF(OR(E2848="Prospecting",E2848="Engaging"),VLOOKUP(C2848,Products!$A$2:$C$8,3,FALSE),0)</f>
        <v>0</v>
      </c>
    </row>
    <row r="2849" spans="1:10" x14ac:dyDescent="0.25">
      <c r="A2849" t="s">
        <v>3016</v>
      </c>
      <c r="B2849" t="s">
        <v>193</v>
      </c>
      <c r="C2849" t="s">
        <v>122</v>
      </c>
      <c r="D2849" t="s">
        <v>81</v>
      </c>
      <c r="E2849" t="s">
        <v>138</v>
      </c>
      <c r="F2849" s="1">
        <v>42855</v>
      </c>
      <c r="G2849" s="1">
        <v>42864</v>
      </c>
      <c r="H2849">
        <v>4704</v>
      </c>
      <c r="I2849" t="str">
        <f>IF(COUNTIF(Products!$A$2:$A$8,C2849)=0,C2849,"")</f>
        <v/>
      </c>
      <c r="J2849">
        <f>IF(OR(E2849="Prospecting",E2849="Engaging"),VLOOKUP(C2849,Products!$A$2:$C$8,3,FALSE),0)</f>
        <v>0</v>
      </c>
    </row>
    <row r="2850" spans="1:10" x14ac:dyDescent="0.25">
      <c r="A2850" t="s">
        <v>3017</v>
      </c>
      <c r="B2850" t="s">
        <v>166</v>
      </c>
      <c r="C2850" t="s">
        <v>120</v>
      </c>
      <c r="E2850" t="s">
        <v>155</v>
      </c>
      <c r="F2850" s="1">
        <v>42855</v>
      </c>
      <c r="I2850" t="str">
        <f>IF(COUNTIF(Products!$A$2:$A$8,C2850)=0,C2850,"")</f>
        <v/>
      </c>
      <c r="J2850">
        <f>IF(OR(E2850="Prospecting",E2850="Engaging"),VLOOKUP(C2850,Products!$A$2:$C$8,3,FALSE),0)</f>
        <v>550</v>
      </c>
    </row>
    <row r="2851" spans="1:10" x14ac:dyDescent="0.25">
      <c r="A2851" t="s">
        <v>3018</v>
      </c>
      <c r="B2851" t="s">
        <v>187</v>
      </c>
      <c r="C2851" t="s">
        <v>122</v>
      </c>
      <c r="D2851" t="s">
        <v>84</v>
      </c>
      <c r="E2851" t="s">
        <v>138</v>
      </c>
      <c r="F2851" s="1">
        <v>42855</v>
      </c>
      <c r="G2851" s="1">
        <v>42959</v>
      </c>
      <c r="H2851">
        <v>5182</v>
      </c>
      <c r="I2851" t="str">
        <f>IF(COUNTIF(Products!$A$2:$A$8,C2851)=0,C2851,"")</f>
        <v/>
      </c>
      <c r="J2851">
        <f>IF(OR(E2851="Prospecting",E2851="Engaging"),VLOOKUP(C2851,Products!$A$2:$C$8,3,FALSE),0)</f>
        <v>0</v>
      </c>
    </row>
    <row r="2852" spans="1:10" x14ac:dyDescent="0.25">
      <c r="A2852" t="s">
        <v>3019</v>
      </c>
      <c r="B2852" t="s">
        <v>144</v>
      </c>
      <c r="C2852" t="s">
        <v>122</v>
      </c>
      <c r="D2852" t="s">
        <v>72</v>
      </c>
      <c r="E2852" t="s">
        <v>138</v>
      </c>
      <c r="F2852" s="1">
        <v>42855</v>
      </c>
      <c r="G2852" s="1">
        <v>42868</v>
      </c>
      <c r="H2852">
        <v>5311</v>
      </c>
      <c r="I2852" t="str">
        <f>IF(COUNTIF(Products!$A$2:$A$8,C2852)=0,C2852,"")</f>
        <v/>
      </c>
      <c r="J2852">
        <f>IF(OR(E2852="Prospecting",E2852="Engaging"),VLOOKUP(C2852,Products!$A$2:$C$8,3,FALSE),0)</f>
        <v>0</v>
      </c>
    </row>
    <row r="2853" spans="1:10" x14ac:dyDescent="0.25">
      <c r="A2853" t="s">
        <v>3020</v>
      </c>
      <c r="B2853" t="s">
        <v>146</v>
      </c>
      <c r="C2853" t="s">
        <v>126</v>
      </c>
      <c r="D2853" t="s">
        <v>27</v>
      </c>
      <c r="E2853" t="s">
        <v>159</v>
      </c>
      <c r="F2853" s="1">
        <v>42856</v>
      </c>
      <c r="G2853" s="1">
        <v>42873</v>
      </c>
      <c r="H2853">
        <v>0</v>
      </c>
      <c r="I2853" t="str">
        <f>IF(COUNTIF(Products!$A$2:$A$8,C2853)=0,C2853,"")</f>
        <v/>
      </c>
      <c r="J2853">
        <f>IF(OR(E2853="Prospecting",E2853="Engaging"),VLOOKUP(C2853,Products!$A$2:$C$8,3,FALSE),0)</f>
        <v>0</v>
      </c>
    </row>
    <row r="2854" spans="1:10" x14ac:dyDescent="0.25">
      <c r="A2854" t="s">
        <v>3021</v>
      </c>
      <c r="B2854" t="s">
        <v>146</v>
      </c>
      <c r="C2854" t="s">
        <v>123</v>
      </c>
      <c r="D2854" t="s">
        <v>53</v>
      </c>
      <c r="E2854" t="s">
        <v>138</v>
      </c>
      <c r="F2854" s="1">
        <v>42856</v>
      </c>
      <c r="G2854" s="1">
        <v>42975</v>
      </c>
      <c r="H2854">
        <v>64</v>
      </c>
      <c r="I2854" t="str">
        <f>IF(COUNTIF(Products!$A$2:$A$8,C2854)=0,C2854,"")</f>
        <v/>
      </c>
      <c r="J2854">
        <f>IF(OR(E2854="Prospecting",E2854="Engaging"),VLOOKUP(C2854,Products!$A$2:$C$8,3,FALSE),0)</f>
        <v>0</v>
      </c>
    </row>
    <row r="2855" spans="1:10" x14ac:dyDescent="0.25">
      <c r="A2855" t="s">
        <v>3022</v>
      </c>
      <c r="B2855" t="s">
        <v>222</v>
      </c>
      <c r="C2855" t="s">
        <v>126</v>
      </c>
      <c r="E2855" t="s">
        <v>155</v>
      </c>
      <c r="F2855" s="1">
        <v>42856</v>
      </c>
      <c r="I2855" t="str">
        <f>IF(COUNTIF(Products!$A$2:$A$8,C2855)=0,C2855,"")</f>
        <v/>
      </c>
      <c r="J2855">
        <f>IF(OR(E2855="Prospecting",E2855="Engaging"),VLOOKUP(C2855,Products!$A$2:$C$8,3,FALSE),0)</f>
        <v>5482</v>
      </c>
    </row>
    <row r="2856" spans="1:10" x14ac:dyDescent="0.25">
      <c r="A2856" t="s">
        <v>3023</v>
      </c>
      <c r="B2856" t="s">
        <v>239</v>
      </c>
      <c r="C2856" t="s">
        <v>120</v>
      </c>
      <c r="D2856" t="s">
        <v>112</v>
      </c>
      <c r="E2856" t="s">
        <v>155</v>
      </c>
      <c r="F2856" s="1">
        <v>42856</v>
      </c>
      <c r="I2856" t="str">
        <f>IF(COUNTIF(Products!$A$2:$A$8,C2856)=0,C2856,"")</f>
        <v/>
      </c>
      <c r="J2856">
        <f>IF(OR(E2856="Prospecting",E2856="Engaging"),VLOOKUP(C2856,Products!$A$2:$C$8,3,FALSE),0)</f>
        <v>550</v>
      </c>
    </row>
    <row r="2857" spans="1:10" x14ac:dyDescent="0.25">
      <c r="A2857" t="s">
        <v>3024</v>
      </c>
      <c r="B2857" t="s">
        <v>140</v>
      </c>
      <c r="C2857" t="s">
        <v>127</v>
      </c>
      <c r="D2857" t="s">
        <v>77</v>
      </c>
      <c r="E2857" t="s">
        <v>138</v>
      </c>
      <c r="F2857" s="1">
        <v>42856</v>
      </c>
      <c r="G2857" s="1">
        <v>42970</v>
      </c>
      <c r="H2857">
        <v>878</v>
      </c>
      <c r="I2857" t="str">
        <f>IF(COUNTIF(Products!$A$2:$A$8,C2857)=0,C2857,"")</f>
        <v/>
      </c>
      <c r="J2857">
        <f>IF(OR(E2857="Prospecting",E2857="Engaging"),VLOOKUP(C2857,Products!$A$2:$C$8,3,FALSE),0)</f>
        <v>0</v>
      </c>
    </row>
    <row r="2858" spans="1:10" x14ac:dyDescent="0.25">
      <c r="A2858" t="s">
        <v>3025</v>
      </c>
      <c r="B2858" t="s">
        <v>140</v>
      </c>
      <c r="C2858" t="s">
        <v>123</v>
      </c>
      <c r="D2858" t="s">
        <v>51</v>
      </c>
      <c r="E2858" t="s">
        <v>138</v>
      </c>
      <c r="F2858" s="1">
        <v>42856</v>
      </c>
      <c r="G2858" s="1">
        <v>42857</v>
      </c>
      <c r="H2858">
        <v>59</v>
      </c>
      <c r="I2858" t="str">
        <f>IF(COUNTIF(Products!$A$2:$A$8,C2858)=0,C2858,"")</f>
        <v/>
      </c>
      <c r="J2858">
        <f>IF(OR(E2858="Prospecting",E2858="Engaging"),VLOOKUP(C2858,Products!$A$2:$C$8,3,FALSE),0)</f>
        <v>0</v>
      </c>
    </row>
    <row r="2859" spans="1:10" x14ac:dyDescent="0.25">
      <c r="A2859" t="s">
        <v>3026</v>
      </c>
      <c r="B2859" t="s">
        <v>224</v>
      </c>
      <c r="C2859" t="s">
        <v>120</v>
      </c>
      <c r="D2859" t="s">
        <v>115</v>
      </c>
      <c r="E2859" t="s">
        <v>159</v>
      </c>
      <c r="F2859" s="1">
        <v>42856</v>
      </c>
      <c r="G2859" s="1">
        <v>42875</v>
      </c>
      <c r="H2859">
        <v>0</v>
      </c>
      <c r="I2859" t="str">
        <f>IF(COUNTIF(Products!$A$2:$A$8,C2859)=0,C2859,"")</f>
        <v/>
      </c>
      <c r="J2859">
        <f>IF(OR(E2859="Prospecting",E2859="Engaging"),VLOOKUP(C2859,Products!$A$2:$C$8,3,FALSE),0)</f>
        <v>0</v>
      </c>
    </row>
    <row r="2860" spans="1:10" x14ac:dyDescent="0.25">
      <c r="A2860" t="s">
        <v>3027</v>
      </c>
      <c r="B2860" t="s">
        <v>158</v>
      </c>
      <c r="C2860" t="s">
        <v>122</v>
      </c>
      <c r="D2860" t="s">
        <v>96</v>
      </c>
      <c r="E2860" t="s">
        <v>159</v>
      </c>
      <c r="F2860" s="1">
        <v>42856</v>
      </c>
      <c r="G2860" s="1">
        <v>42954</v>
      </c>
      <c r="H2860">
        <v>0</v>
      </c>
      <c r="I2860" t="str">
        <f>IF(COUNTIF(Products!$A$2:$A$8,C2860)=0,C2860,"")</f>
        <v/>
      </c>
      <c r="J2860">
        <f>IF(OR(E2860="Prospecting",E2860="Engaging"),VLOOKUP(C2860,Products!$A$2:$C$8,3,FALSE),0)</f>
        <v>0</v>
      </c>
    </row>
    <row r="2861" spans="1:10" x14ac:dyDescent="0.25">
      <c r="A2861" t="s">
        <v>3028</v>
      </c>
      <c r="B2861" t="s">
        <v>154</v>
      </c>
      <c r="C2861" t="s">
        <v>126</v>
      </c>
      <c r="D2861" t="s">
        <v>95</v>
      </c>
      <c r="E2861" t="s">
        <v>155</v>
      </c>
      <c r="F2861" s="1">
        <v>42856</v>
      </c>
      <c r="I2861" t="str">
        <f>IF(COUNTIF(Products!$A$2:$A$8,C2861)=0,C2861,"")</f>
        <v/>
      </c>
      <c r="J2861">
        <f>IF(OR(E2861="Prospecting",E2861="Engaging"),VLOOKUP(C2861,Products!$A$2:$C$8,3,FALSE),0)</f>
        <v>5482</v>
      </c>
    </row>
    <row r="2862" spans="1:10" x14ac:dyDescent="0.25">
      <c r="A2862" t="s">
        <v>3029</v>
      </c>
      <c r="B2862" t="s">
        <v>154</v>
      </c>
      <c r="C2862" t="s">
        <v>123</v>
      </c>
      <c r="D2862" t="s">
        <v>93</v>
      </c>
      <c r="E2862" t="s">
        <v>138</v>
      </c>
      <c r="F2862" s="1">
        <v>42856</v>
      </c>
      <c r="G2862" s="1">
        <v>42967</v>
      </c>
      <c r="H2862">
        <v>65</v>
      </c>
      <c r="I2862" t="str">
        <f>IF(COUNTIF(Products!$A$2:$A$8,C2862)=0,C2862,"")</f>
        <v/>
      </c>
      <c r="J2862">
        <f>IF(OR(E2862="Prospecting",E2862="Engaging"),VLOOKUP(C2862,Products!$A$2:$C$8,3,FALSE),0)</f>
        <v>0</v>
      </c>
    </row>
    <row r="2863" spans="1:10" x14ac:dyDescent="0.25">
      <c r="A2863" t="s">
        <v>3030</v>
      </c>
      <c r="B2863" t="s">
        <v>303</v>
      </c>
      <c r="C2863" t="s">
        <v>120</v>
      </c>
      <c r="D2863" t="s">
        <v>61</v>
      </c>
      <c r="E2863" t="s">
        <v>138</v>
      </c>
      <c r="F2863" s="1">
        <v>42856</v>
      </c>
      <c r="G2863" s="1">
        <v>42958</v>
      </c>
      <c r="H2863">
        <v>543</v>
      </c>
      <c r="I2863" t="str">
        <f>IF(COUNTIF(Products!$A$2:$A$8,C2863)=0,C2863,"")</f>
        <v/>
      </c>
      <c r="J2863">
        <f>IF(OR(E2863="Prospecting",E2863="Engaging"),VLOOKUP(C2863,Products!$A$2:$C$8,3,FALSE),0)</f>
        <v>0</v>
      </c>
    </row>
    <row r="2864" spans="1:10" x14ac:dyDescent="0.25">
      <c r="A2864" t="s">
        <v>3031</v>
      </c>
      <c r="B2864" t="s">
        <v>180</v>
      </c>
      <c r="C2864" t="s">
        <v>120</v>
      </c>
      <c r="D2864" t="s">
        <v>19</v>
      </c>
      <c r="E2864" t="s">
        <v>155</v>
      </c>
      <c r="F2864" s="1">
        <v>42856</v>
      </c>
      <c r="I2864" t="str">
        <f>IF(COUNTIF(Products!$A$2:$A$8,C2864)=0,C2864,"")</f>
        <v/>
      </c>
      <c r="J2864">
        <f>IF(OR(E2864="Prospecting",E2864="Engaging"),VLOOKUP(C2864,Products!$A$2:$C$8,3,FALSE),0)</f>
        <v>550</v>
      </c>
    </row>
    <row r="2865" spans="1:10" x14ac:dyDescent="0.25">
      <c r="A2865" t="s">
        <v>3032</v>
      </c>
      <c r="B2865" t="s">
        <v>191</v>
      </c>
      <c r="C2865" t="s">
        <v>122</v>
      </c>
      <c r="E2865" t="s">
        <v>155</v>
      </c>
      <c r="F2865" s="1">
        <v>42856</v>
      </c>
      <c r="I2865" t="str">
        <f>IF(COUNTIF(Products!$A$2:$A$8,C2865)=0,C2865,"")</f>
        <v/>
      </c>
      <c r="J2865">
        <f>IF(OR(E2865="Prospecting",E2865="Engaging"),VLOOKUP(C2865,Products!$A$2:$C$8,3,FALSE),0)</f>
        <v>4821</v>
      </c>
    </row>
    <row r="2866" spans="1:10" x14ac:dyDescent="0.25">
      <c r="A2866" t="s">
        <v>3033</v>
      </c>
      <c r="B2866" t="s">
        <v>191</v>
      </c>
      <c r="C2866" t="s">
        <v>120</v>
      </c>
      <c r="D2866" t="s">
        <v>90</v>
      </c>
      <c r="E2866" t="s">
        <v>159</v>
      </c>
      <c r="F2866" s="1">
        <v>42856</v>
      </c>
      <c r="G2866" s="1">
        <v>42898</v>
      </c>
      <c r="H2866">
        <v>0</v>
      </c>
      <c r="I2866" t="str">
        <f>IF(COUNTIF(Products!$A$2:$A$8,C2866)=0,C2866,"")</f>
        <v/>
      </c>
      <c r="J2866">
        <f>IF(OR(E2866="Prospecting",E2866="Engaging"),VLOOKUP(C2866,Products!$A$2:$C$8,3,FALSE),0)</f>
        <v>0</v>
      </c>
    </row>
    <row r="2867" spans="1:10" x14ac:dyDescent="0.25">
      <c r="A2867" t="s">
        <v>3034</v>
      </c>
      <c r="B2867" t="s">
        <v>150</v>
      </c>
      <c r="C2867" t="s">
        <v>125</v>
      </c>
      <c r="D2867" t="s">
        <v>33</v>
      </c>
      <c r="E2867" t="s">
        <v>155</v>
      </c>
      <c r="F2867" s="1">
        <v>42856</v>
      </c>
      <c r="I2867" t="str">
        <f>IF(COUNTIF(Products!$A$2:$A$8,C2867)=0,C2867,"")</f>
        <v/>
      </c>
      <c r="J2867">
        <f>IF(OR(E2867="Prospecting",E2867="Engaging"),VLOOKUP(C2867,Products!$A$2:$C$8,3,FALSE),0)</f>
        <v>3393</v>
      </c>
    </row>
    <row r="2868" spans="1:10" x14ac:dyDescent="0.25">
      <c r="A2868" t="s">
        <v>3035</v>
      </c>
      <c r="B2868" t="s">
        <v>162</v>
      </c>
      <c r="C2868" t="s">
        <v>126</v>
      </c>
      <c r="E2868" t="s">
        <v>155</v>
      </c>
      <c r="F2868" s="1">
        <v>42856</v>
      </c>
      <c r="I2868" t="str">
        <f>IF(COUNTIF(Products!$A$2:$A$8,C2868)=0,C2868,"")</f>
        <v/>
      </c>
      <c r="J2868">
        <f>IF(OR(E2868="Prospecting",E2868="Engaging"),VLOOKUP(C2868,Products!$A$2:$C$8,3,FALSE),0)</f>
        <v>5482</v>
      </c>
    </row>
    <row r="2869" spans="1:10" x14ac:dyDescent="0.25">
      <c r="A2869" t="s">
        <v>3036</v>
      </c>
      <c r="B2869" t="s">
        <v>137</v>
      </c>
      <c r="C2869" t="s">
        <v>126</v>
      </c>
      <c r="D2869" t="s">
        <v>27</v>
      </c>
      <c r="E2869" t="s">
        <v>159</v>
      </c>
      <c r="F2869" s="1">
        <v>42856</v>
      </c>
      <c r="G2869" s="1">
        <v>42865</v>
      </c>
      <c r="H2869">
        <v>0</v>
      </c>
      <c r="I2869" t="str">
        <f>IF(COUNTIF(Products!$A$2:$A$8,C2869)=0,C2869,"")</f>
        <v/>
      </c>
      <c r="J2869">
        <f>IF(OR(E2869="Prospecting",E2869="Engaging"),VLOOKUP(C2869,Products!$A$2:$C$8,3,FALSE),0)</f>
        <v>0</v>
      </c>
    </row>
    <row r="2870" spans="1:10" x14ac:dyDescent="0.25">
      <c r="A2870" t="s">
        <v>3037</v>
      </c>
      <c r="B2870" t="s">
        <v>137</v>
      </c>
      <c r="C2870" t="s">
        <v>126</v>
      </c>
      <c r="D2870" t="s">
        <v>77</v>
      </c>
      <c r="E2870" t="s">
        <v>159</v>
      </c>
      <c r="F2870" s="1">
        <v>42856</v>
      </c>
      <c r="G2870" s="1">
        <v>42862</v>
      </c>
      <c r="H2870">
        <v>0</v>
      </c>
      <c r="I2870" t="str">
        <f>IF(COUNTIF(Products!$A$2:$A$8,C2870)=0,C2870,"")</f>
        <v/>
      </c>
      <c r="J2870">
        <f>IF(OR(E2870="Prospecting",E2870="Engaging"),VLOOKUP(C2870,Products!$A$2:$C$8,3,FALSE),0)</f>
        <v>0</v>
      </c>
    </row>
    <row r="2871" spans="1:10" x14ac:dyDescent="0.25">
      <c r="A2871" t="s">
        <v>3038</v>
      </c>
      <c r="B2871" t="s">
        <v>137</v>
      </c>
      <c r="C2871" t="s">
        <v>125</v>
      </c>
      <c r="D2871" t="s">
        <v>88</v>
      </c>
      <c r="E2871" t="s">
        <v>138</v>
      </c>
      <c r="F2871" s="1">
        <v>42856</v>
      </c>
      <c r="G2871" s="1">
        <v>42863</v>
      </c>
      <c r="H2871">
        <v>3971</v>
      </c>
      <c r="I2871" t="str">
        <f>IF(COUNTIF(Products!$A$2:$A$8,C2871)=0,C2871,"")</f>
        <v/>
      </c>
      <c r="J2871">
        <f>IF(OR(E2871="Prospecting",E2871="Engaging"),VLOOKUP(C2871,Products!$A$2:$C$8,3,FALSE),0)</f>
        <v>0</v>
      </c>
    </row>
    <row r="2872" spans="1:10" x14ac:dyDescent="0.25">
      <c r="A2872" t="s">
        <v>3039</v>
      </c>
      <c r="B2872" t="s">
        <v>152</v>
      </c>
      <c r="C2872" t="s">
        <v>120</v>
      </c>
      <c r="D2872" t="s">
        <v>91</v>
      </c>
      <c r="E2872" t="s">
        <v>138</v>
      </c>
      <c r="F2872" s="1">
        <v>42856</v>
      </c>
      <c r="G2872" s="1">
        <v>42871</v>
      </c>
      <c r="H2872">
        <v>554</v>
      </c>
      <c r="I2872" t="str">
        <f>IF(COUNTIF(Products!$A$2:$A$8,C2872)=0,C2872,"")</f>
        <v/>
      </c>
      <c r="J2872">
        <f>IF(OR(E2872="Prospecting",E2872="Engaging"),VLOOKUP(C2872,Products!$A$2:$C$8,3,FALSE),0)</f>
        <v>0</v>
      </c>
    </row>
    <row r="2873" spans="1:10" x14ac:dyDescent="0.25">
      <c r="A2873" t="s">
        <v>3040</v>
      </c>
      <c r="B2873" t="s">
        <v>148</v>
      </c>
      <c r="C2873" t="s">
        <v>126</v>
      </c>
      <c r="E2873" t="s">
        <v>155</v>
      </c>
      <c r="F2873" s="1">
        <v>42856</v>
      </c>
      <c r="I2873" t="str">
        <f>IF(COUNTIF(Products!$A$2:$A$8,C2873)=0,C2873,"")</f>
        <v/>
      </c>
      <c r="J2873">
        <f>IF(OR(E2873="Prospecting",E2873="Engaging"),VLOOKUP(C2873,Products!$A$2:$C$8,3,FALSE),0)</f>
        <v>5482</v>
      </c>
    </row>
    <row r="2874" spans="1:10" x14ac:dyDescent="0.25">
      <c r="A2874" t="s">
        <v>3041</v>
      </c>
      <c r="B2874" t="s">
        <v>148</v>
      </c>
      <c r="C2874" t="s">
        <v>125</v>
      </c>
      <c r="D2874" t="s">
        <v>23</v>
      </c>
      <c r="E2874" t="s">
        <v>159</v>
      </c>
      <c r="F2874" s="1">
        <v>42856</v>
      </c>
      <c r="G2874" s="1">
        <v>42912</v>
      </c>
      <c r="H2874">
        <v>0</v>
      </c>
      <c r="I2874" t="str">
        <f>IF(COUNTIF(Products!$A$2:$A$8,C2874)=0,C2874,"")</f>
        <v/>
      </c>
      <c r="J2874">
        <f>IF(OR(E2874="Prospecting",E2874="Engaging"),VLOOKUP(C2874,Products!$A$2:$C$8,3,FALSE),0)</f>
        <v>0</v>
      </c>
    </row>
    <row r="2875" spans="1:10" x14ac:dyDescent="0.25">
      <c r="A2875" t="s">
        <v>3042</v>
      </c>
      <c r="B2875" t="s">
        <v>148</v>
      </c>
      <c r="C2875" t="s">
        <v>127</v>
      </c>
      <c r="D2875" t="s">
        <v>38</v>
      </c>
      <c r="E2875" t="s">
        <v>138</v>
      </c>
      <c r="F2875" s="1">
        <v>42856</v>
      </c>
      <c r="G2875" s="1">
        <v>42902</v>
      </c>
      <c r="H2875">
        <v>1273</v>
      </c>
      <c r="I2875" t="str">
        <f>IF(COUNTIF(Products!$A$2:$A$8,C2875)=0,C2875,"")</f>
        <v/>
      </c>
      <c r="J2875">
        <f>IF(OR(E2875="Prospecting",E2875="Engaging"),VLOOKUP(C2875,Products!$A$2:$C$8,3,FALSE),0)</f>
        <v>0</v>
      </c>
    </row>
    <row r="2876" spans="1:10" x14ac:dyDescent="0.25">
      <c r="A2876" t="s">
        <v>3043</v>
      </c>
      <c r="B2876" t="s">
        <v>144</v>
      </c>
      <c r="C2876" t="s">
        <v>125</v>
      </c>
      <c r="D2876" t="s">
        <v>105</v>
      </c>
      <c r="E2876" t="s">
        <v>155</v>
      </c>
      <c r="F2876" s="1">
        <v>42856</v>
      </c>
      <c r="I2876" t="str">
        <f>IF(COUNTIF(Products!$A$2:$A$8,C2876)=0,C2876,"")</f>
        <v/>
      </c>
      <c r="J2876">
        <f>IF(OR(E2876="Prospecting",E2876="Engaging"),VLOOKUP(C2876,Products!$A$2:$C$8,3,FALSE),0)</f>
        <v>3393</v>
      </c>
    </row>
    <row r="2877" spans="1:10" x14ac:dyDescent="0.25">
      <c r="A2877" t="s">
        <v>3044</v>
      </c>
      <c r="B2877" t="s">
        <v>146</v>
      </c>
      <c r="C2877" t="s">
        <v>127</v>
      </c>
      <c r="D2877" t="s">
        <v>28</v>
      </c>
      <c r="E2877" t="s">
        <v>138</v>
      </c>
      <c r="F2877" s="1">
        <v>42857</v>
      </c>
      <c r="G2877" s="1">
        <v>42866</v>
      </c>
      <c r="H2877">
        <v>1300</v>
      </c>
      <c r="I2877" t="str">
        <f>IF(COUNTIF(Products!$A$2:$A$8,C2877)=0,C2877,"")</f>
        <v/>
      </c>
      <c r="J2877">
        <f>IF(OR(E2877="Prospecting",E2877="Engaging"),VLOOKUP(C2877,Products!$A$2:$C$8,3,FALSE),0)</f>
        <v>0</v>
      </c>
    </row>
    <row r="2878" spans="1:10" x14ac:dyDescent="0.25">
      <c r="A2878" t="s">
        <v>3045</v>
      </c>
      <c r="B2878" t="s">
        <v>222</v>
      </c>
      <c r="C2878" t="s">
        <v>127</v>
      </c>
      <c r="E2878" t="s">
        <v>155</v>
      </c>
      <c r="F2878" s="1">
        <v>42857</v>
      </c>
      <c r="I2878" t="str">
        <f>IF(COUNTIF(Products!$A$2:$A$8,C2878)=0,C2878,"")</f>
        <v/>
      </c>
      <c r="J2878">
        <f>IF(OR(E2878="Prospecting",E2878="Engaging"),VLOOKUP(C2878,Products!$A$2:$C$8,3,FALSE),0)</f>
        <v>1096</v>
      </c>
    </row>
    <row r="2879" spans="1:10" x14ac:dyDescent="0.25">
      <c r="A2879" t="s">
        <v>3046</v>
      </c>
      <c r="B2879" t="s">
        <v>222</v>
      </c>
      <c r="C2879" t="s">
        <v>127</v>
      </c>
      <c r="E2879" t="s">
        <v>155</v>
      </c>
      <c r="F2879" s="1">
        <v>42857</v>
      </c>
      <c r="I2879" t="str">
        <f>IF(COUNTIF(Products!$A$2:$A$8,C2879)=0,C2879,"")</f>
        <v/>
      </c>
      <c r="J2879">
        <f>IF(OR(E2879="Prospecting",E2879="Engaging"),VLOOKUP(C2879,Products!$A$2:$C$8,3,FALSE),0)</f>
        <v>1096</v>
      </c>
    </row>
    <row r="2880" spans="1:10" x14ac:dyDescent="0.25">
      <c r="A2880" t="s">
        <v>3047</v>
      </c>
      <c r="B2880" t="s">
        <v>222</v>
      </c>
      <c r="C2880" t="s">
        <v>126</v>
      </c>
      <c r="D2880" t="s">
        <v>73</v>
      </c>
      <c r="E2880" t="s">
        <v>159</v>
      </c>
      <c r="F2880" s="1">
        <v>42857</v>
      </c>
      <c r="G2880" s="1">
        <v>42876</v>
      </c>
      <c r="H2880">
        <v>0</v>
      </c>
      <c r="I2880" t="str">
        <f>IF(COUNTIF(Products!$A$2:$A$8,C2880)=0,C2880,"")</f>
        <v/>
      </c>
      <c r="J2880">
        <f>IF(OR(E2880="Prospecting",E2880="Engaging"),VLOOKUP(C2880,Products!$A$2:$C$8,3,FALSE),0)</f>
        <v>0</v>
      </c>
    </row>
    <row r="2881" spans="1:10" x14ac:dyDescent="0.25">
      <c r="A2881" t="s">
        <v>3048</v>
      </c>
      <c r="B2881" t="s">
        <v>173</v>
      </c>
      <c r="C2881" t="s">
        <v>123</v>
      </c>
      <c r="D2881" t="s">
        <v>27</v>
      </c>
      <c r="E2881" t="s">
        <v>159</v>
      </c>
      <c r="F2881" s="1">
        <v>42857</v>
      </c>
      <c r="G2881" s="1">
        <v>42961</v>
      </c>
      <c r="H2881">
        <v>0</v>
      </c>
      <c r="I2881" t="str">
        <f>IF(COUNTIF(Products!$A$2:$A$8,C2881)=0,C2881,"")</f>
        <v/>
      </c>
      <c r="J2881">
        <f>IF(OR(E2881="Prospecting",E2881="Engaging"),VLOOKUP(C2881,Products!$A$2:$C$8,3,FALSE),0)</f>
        <v>0</v>
      </c>
    </row>
    <row r="2882" spans="1:10" x14ac:dyDescent="0.25">
      <c r="A2882" t="s">
        <v>3049</v>
      </c>
      <c r="B2882" t="s">
        <v>164</v>
      </c>
      <c r="C2882" t="s">
        <v>125</v>
      </c>
      <c r="D2882" t="s">
        <v>41</v>
      </c>
      <c r="E2882" t="s">
        <v>138</v>
      </c>
      <c r="F2882" s="1">
        <v>42857</v>
      </c>
      <c r="G2882" s="1">
        <v>42865</v>
      </c>
      <c r="H2882">
        <v>3527</v>
      </c>
      <c r="I2882" t="str">
        <f>IF(COUNTIF(Products!$A$2:$A$8,C2882)=0,C2882,"")</f>
        <v/>
      </c>
      <c r="J2882">
        <f>IF(OR(E2882="Prospecting",E2882="Engaging"),VLOOKUP(C2882,Products!$A$2:$C$8,3,FALSE),0)</f>
        <v>0</v>
      </c>
    </row>
    <row r="2883" spans="1:10" x14ac:dyDescent="0.25">
      <c r="A2883" t="s">
        <v>3050</v>
      </c>
      <c r="B2883" t="s">
        <v>303</v>
      </c>
      <c r="C2883" t="s">
        <v>120</v>
      </c>
      <c r="D2883" t="s">
        <v>89</v>
      </c>
      <c r="E2883" t="s">
        <v>138</v>
      </c>
      <c r="F2883" s="1">
        <v>42857</v>
      </c>
      <c r="G2883" s="1">
        <v>42861</v>
      </c>
      <c r="H2883">
        <v>526</v>
      </c>
      <c r="I2883" t="str">
        <f>IF(COUNTIF(Products!$A$2:$A$8,C2883)=0,C2883,"")</f>
        <v/>
      </c>
      <c r="J2883">
        <f>IF(OR(E2883="Prospecting",E2883="Engaging"),VLOOKUP(C2883,Products!$A$2:$C$8,3,FALSE),0)</f>
        <v>0</v>
      </c>
    </row>
    <row r="2884" spans="1:10" x14ac:dyDescent="0.25">
      <c r="A2884" t="s">
        <v>3051</v>
      </c>
      <c r="B2884" t="s">
        <v>180</v>
      </c>
      <c r="C2884" t="s">
        <v>123</v>
      </c>
      <c r="D2884" t="s">
        <v>27</v>
      </c>
      <c r="E2884" t="s">
        <v>159</v>
      </c>
      <c r="F2884" s="1">
        <v>42857</v>
      </c>
      <c r="G2884" s="1">
        <v>42896</v>
      </c>
      <c r="H2884">
        <v>0</v>
      </c>
      <c r="I2884" t="str">
        <f>IF(COUNTIF(Products!$A$2:$A$8,C2884)=0,C2884,"")</f>
        <v/>
      </c>
      <c r="J2884">
        <f>IF(OR(E2884="Prospecting",E2884="Engaging"),VLOOKUP(C2884,Products!$A$2:$C$8,3,FALSE),0)</f>
        <v>0</v>
      </c>
    </row>
    <row r="2885" spans="1:10" x14ac:dyDescent="0.25">
      <c r="A2885" t="s">
        <v>3052</v>
      </c>
      <c r="B2885" t="s">
        <v>217</v>
      </c>
      <c r="C2885" t="s">
        <v>120</v>
      </c>
      <c r="D2885" t="s">
        <v>64</v>
      </c>
      <c r="E2885" t="s">
        <v>159</v>
      </c>
      <c r="F2885" s="1">
        <v>42857</v>
      </c>
      <c r="G2885" s="1">
        <v>42954</v>
      </c>
      <c r="H2885">
        <v>0</v>
      </c>
      <c r="I2885" t="str">
        <f>IF(COUNTIF(Products!$A$2:$A$8,C2885)=0,C2885,"")</f>
        <v/>
      </c>
      <c r="J2885">
        <f>IF(OR(E2885="Prospecting",E2885="Engaging"),VLOOKUP(C2885,Products!$A$2:$C$8,3,FALSE),0)</f>
        <v>0</v>
      </c>
    </row>
    <row r="2886" spans="1:10" x14ac:dyDescent="0.25">
      <c r="A2886" t="s">
        <v>3053</v>
      </c>
      <c r="B2886" t="s">
        <v>150</v>
      </c>
      <c r="C2886" t="s">
        <v>120</v>
      </c>
      <c r="D2886" t="s">
        <v>61</v>
      </c>
      <c r="E2886" t="s">
        <v>138</v>
      </c>
      <c r="F2886" s="1">
        <v>42857</v>
      </c>
      <c r="G2886" s="1">
        <v>42908</v>
      </c>
      <c r="H2886">
        <v>569</v>
      </c>
      <c r="I2886" t="str">
        <f>IF(COUNTIF(Products!$A$2:$A$8,C2886)=0,C2886,"")</f>
        <v/>
      </c>
      <c r="J2886">
        <f>IF(OR(E2886="Prospecting",E2886="Engaging"),VLOOKUP(C2886,Products!$A$2:$C$8,3,FALSE),0)</f>
        <v>0</v>
      </c>
    </row>
    <row r="2887" spans="1:10" x14ac:dyDescent="0.25">
      <c r="A2887" t="s">
        <v>3054</v>
      </c>
      <c r="B2887" t="s">
        <v>162</v>
      </c>
      <c r="C2887" t="s">
        <v>126</v>
      </c>
      <c r="D2887" t="s">
        <v>90</v>
      </c>
      <c r="E2887" t="s">
        <v>138</v>
      </c>
      <c r="F2887" s="1">
        <v>42857</v>
      </c>
      <c r="G2887" s="1">
        <v>42869</v>
      </c>
      <c r="H2887">
        <v>6310</v>
      </c>
      <c r="I2887" t="str">
        <f>IF(COUNTIF(Products!$A$2:$A$8,C2887)=0,C2887,"")</f>
        <v/>
      </c>
      <c r="J2887">
        <f>IF(OR(E2887="Prospecting",E2887="Engaging"),VLOOKUP(C2887,Products!$A$2:$C$8,3,FALSE),0)</f>
        <v>0</v>
      </c>
    </row>
    <row r="2888" spans="1:10" x14ac:dyDescent="0.25">
      <c r="A2888" t="s">
        <v>3055</v>
      </c>
      <c r="B2888" t="s">
        <v>137</v>
      </c>
      <c r="C2888" t="s">
        <v>125</v>
      </c>
      <c r="D2888" t="s">
        <v>53</v>
      </c>
      <c r="E2888" t="s">
        <v>159</v>
      </c>
      <c r="F2888" s="1">
        <v>42857</v>
      </c>
      <c r="G2888" s="1">
        <v>42865</v>
      </c>
      <c r="H2888">
        <v>0</v>
      </c>
      <c r="I2888" t="str">
        <f>IF(COUNTIF(Products!$A$2:$A$8,C2888)=0,C2888,"")</f>
        <v/>
      </c>
      <c r="J2888">
        <f>IF(OR(E2888="Prospecting",E2888="Engaging"),VLOOKUP(C2888,Products!$A$2:$C$8,3,FALSE),0)</f>
        <v>0</v>
      </c>
    </row>
    <row r="2889" spans="1:10" x14ac:dyDescent="0.25">
      <c r="A2889" t="s">
        <v>3056</v>
      </c>
      <c r="B2889" t="s">
        <v>193</v>
      </c>
      <c r="C2889" t="s">
        <v>127</v>
      </c>
      <c r="D2889" t="s">
        <v>69</v>
      </c>
      <c r="E2889" t="s">
        <v>138</v>
      </c>
      <c r="F2889" s="1">
        <v>42857</v>
      </c>
      <c r="G2889" s="1">
        <v>42872</v>
      </c>
      <c r="H2889">
        <v>1135</v>
      </c>
      <c r="I2889" t="str">
        <f>IF(COUNTIF(Products!$A$2:$A$8,C2889)=0,C2889,"")</f>
        <v/>
      </c>
      <c r="J2889">
        <f>IF(OR(E2889="Prospecting",E2889="Engaging"),VLOOKUP(C2889,Products!$A$2:$C$8,3,FALSE),0)</f>
        <v>0</v>
      </c>
    </row>
    <row r="2890" spans="1:10" x14ac:dyDescent="0.25">
      <c r="A2890" t="s">
        <v>3057</v>
      </c>
      <c r="B2890" t="s">
        <v>166</v>
      </c>
      <c r="C2890" t="s">
        <v>123</v>
      </c>
      <c r="E2890" t="s">
        <v>155</v>
      </c>
      <c r="F2890" s="1">
        <v>42857</v>
      </c>
      <c r="I2890" t="str">
        <f>IF(COUNTIF(Products!$A$2:$A$8,C2890)=0,C2890,"")</f>
        <v/>
      </c>
      <c r="J2890">
        <f>IF(OR(E2890="Prospecting",E2890="Engaging"),VLOOKUP(C2890,Products!$A$2:$C$8,3,FALSE),0)</f>
        <v>55</v>
      </c>
    </row>
    <row r="2891" spans="1:10" x14ac:dyDescent="0.25">
      <c r="A2891" t="s">
        <v>3058</v>
      </c>
      <c r="B2891" t="s">
        <v>169</v>
      </c>
      <c r="C2891" t="s">
        <v>126</v>
      </c>
      <c r="D2891" t="s">
        <v>30</v>
      </c>
      <c r="E2891" t="s">
        <v>138</v>
      </c>
      <c r="F2891" s="1">
        <v>42857</v>
      </c>
      <c r="G2891" s="1">
        <v>42966</v>
      </c>
      <c r="H2891">
        <v>5145</v>
      </c>
      <c r="I2891" t="str">
        <f>IF(COUNTIF(Products!$A$2:$A$8,C2891)=0,C2891,"")</f>
        <v/>
      </c>
      <c r="J2891">
        <f>IF(OR(E2891="Prospecting",E2891="Engaging"),VLOOKUP(C2891,Products!$A$2:$C$8,3,FALSE),0)</f>
        <v>0</v>
      </c>
    </row>
    <row r="2892" spans="1:10" x14ac:dyDescent="0.25">
      <c r="A2892" t="s">
        <v>3059</v>
      </c>
      <c r="B2892" t="s">
        <v>169</v>
      </c>
      <c r="C2892" t="s">
        <v>123</v>
      </c>
      <c r="D2892" t="s">
        <v>22</v>
      </c>
      <c r="E2892" t="s">
        <v>138</v>
      </c>
      <c r="F2892" s="1">
        <v>42857</v>
      </c>
      <c r="G2892" s="1">
        <v>42956</v>
      </c>
      <c r="H2892">
        <v>54</v>
      </c>
      <c r="I2892" t="str">
        <f>IF(COUNTIF(Products!$A$2:$A$8,C2892)=0,C2892,"")</f>
        <v/>
      </c>
      <c r="J2892">
        <f>IF(OR(E2892="Prospecting",E2892="Engaging"),VLOOKUP(C2892,Products!$A$2:$C$8,3,FALSE),0)</f>
        <v>0</v>
      </c>
    </row>
    <row r="2893" spans="1:10" x14ac:dyDescent="0.25">
      <c r="A2893" t="s">
        <v>3060</v>
      </c>
      <c r="B2893" t="s">
        <v>148</v>
      </c>
      <c r="C2893" t="s">
        <v>122</v>
      </c>
      <c r="D2893" t="s">
        <v>90</v>
      </c>
      <c r="E2893" t="s">
        <v>159</v>
      </c>
      <c r="F2893" s="1">
        <v>42857</v>
      </c>
      <c r="G2893" s="1">
        <v>42872</v>
      </c>
      <c r="H2893">
        <v>0</v>
      </c>
      <c r="I2893" t="str">
        <f>IF(COUNTIF(Products!$A$2:$A$8,C2893)=0,C2893,"")</f>
        <v/>
      </c>
      <c r="J2893">
        <f>IF(OR(E2893="Prospecting",E2893="Engaging"),VLOOKUP(C2893,Products!$A$2:$C$8,3,FALSE),0)</f>
        <v>0</v>
      </c>
    </row>
    <row r="2894" spans="1:10" x14ac:dyDescent="0.25">
      <c r="A2894" t="s">
        <v>3061</v>
      </c>
      <c r="B2894" t="s">
        <v>144</v>
      </c>
      <c r="C2894" t="s">
        <v>126</v>
      </c>
      <c r="E2894" t="s">
        <v>155</v>
      </c>
      <c r="F2894" s="1">
        <v>42857</v>
      </c>
      <c r="I2894" t="str">
        <f>IF(COUNTIF(Products!$A$2:$A$8,C2894)=0,C2894,"")</f>
        <v/>
      </c>
      <c r="J2894">
        <f>IF(OR(E2894="Prospecting",E2894="Engaging"),VLOOKUP(C2894,Products!$A$2:$C$8,3,FALSE),0)</f>
        <v>5482</v>
      </c>
    </row>
    <row r="2895" spans="1:10" x14ac:dyDescent="0.25">
      <c r="A2895" t="s">
        <v>3062</v>
      </c>
      <c r="B2895" t="s">
        <v>146</v>
      </c>
      <c r="C2895" t="s">
        <v>123</v>
      </c>
      <c r="D2895" t="s">
        <v>26</v>
      </c>
      <c r="E2895" t="s">
        <v>138</v>
      </c>
      <c r="F2895" s="1">
        <v>42858</v>
      </c>
      <c r="G2895" s="1">
        <v>42948</v>
      </c>
      <c r="H2895">
        <v>53</v>
      </c>
      <c r="I2895" t="str">
        <f>IF(COUNTIF(Products!$A$2:$A$8,C2895)=0,C2895,"")</f>
        <v/>
      </c>
      <c r="J2895">
        <f>IF(OR(E2895="Prospecting",E2895="Engaging"),VLOOKUP(C2895,Products!$A$2:$C$8,3,FALSE),0)</f>
        <v>0</v>
      </c>
    </row>
    <row r="2896" spans="1:10" x14ac:dyDescent="0.25">
      <c r="A2896" t="s">
        <v>3063</v>
      </c>
      <c r="B2896" t="s">
        <v>222</v>
      </c>
      <c r="C2896" t="s">
        <v>120</v>
      </c>
      <c r="D2896" t="s">
        <v>105</v>
      </c>
      <c r="E2896" t="s">
        <v>138</v>
      </c>
      <c r="F2896" s="1">
        <v>42858</v>
      </c>
      <c r="G2896" s="1">
        <v>42868</v>
      </c>
      <c r="H2896">
        <v>511</v>
      </c>
      <c r="I2896" t="str">
        <f>IF(COUNTIF(Products!$A$2:$A$8,C2896)=0,C2896,"")</f>
        <v/>
      </c>
      <c r="J2896">
        <f>IF(OR(E2896="Prospecting",E2896="Engaging"),VLOOKUP(C2896,Products!$A$2:$C$8,3,FALSE),0)</f>
        <v>0</v>
      </c>
    </row>
    <row r="2897" spans="1:10" x14ac:dyDescent="0.25">
      <c r="A2897" t="s">
        <v>3064</v>
      </c>
      <c r="B2897" t="s">
        <v>222</v>
      </c>
      <c r="C2897" t="s">
        <v>126</v>
      </c>
      <c r="D2897" t="s">
        <v>69</v>
      </c>
      <c r="E2897" t="s">
        <v>138</v>
      </c>
      <c r="F2897" s="1">
        <v>42858</v>
      </c>
      <c r="G2897" s="1">
        <v>42972</v>
      </c>
      <c r="H2897">
        <v>5747</v>
      </c>
      <c r="I2897" t="str">
        <f>IF(COUNTIF(Products!$A$2:$A$8,C2897)=0,C2897,"")</f>
        <v/>
      </c>
      <c r="J2897">
        <f>IF(OR(E2897="Prospecting",E2897="Engaging"),VLOOKUP(C2897,Products!$A$2:$C$8,3,FALSE),0)</f>
        <v>0</v>
      </c>
    </row>
    <row r="2898" spans="1:10" x14ac:dyDescent="0.25">
      <c r="A2898" t="s">
        <v>3065</v>
      </c>
      <c r="B2898" t="s">
        <v>207</v>
      </c>
      <c r="C2898" t="s">
        <v>122</v>
      </c>
      <c r="D2898" t="s">
        <v>32</v>
      </c>
      <c r="E2898" t="s">
        <v>155</v>
      </c>
      <c r="F2898" s="1">
        <v>42858</v>
      </c>
      <c r="I2898" t="str">
        <f>IF(COUNTIF(Products!$A$2:$A$8,C2898)=0,C2898,"")</f>
        <v/>
      </c>
      <c r="J2898">
        <f>IF(OR(E2898="Prospecting",E2898="Engaging"),VLOOKUP(C2898,Products!$A$2:$C$8,3,FALSE),0)</f>
        <v>4821</v>
      </c>
    </row>
    <row r="2899" spans="1:10" x14ac:dyDescent="0.25">
      <c r="A2899" t="s">
        <v>3066</v>
      </c>
      <c r="B2899" t="s">
        <v>207</v>
      </c>
      <c r="C2899" t="s">
        <v>120</v>
      </c>
      <c r="D2899" t="s">
        <v>7</v>
      </c>
      <c r="E2899" t="s">
        <v>159</v>
      </c>
      <c r="F2899" s="1">
        <v>42858</v>
      </c>
      <c r="G2899" s="1">
        <v>42948</v>
      </c>
      <c r="H2899">
        <v>0</v>
      </c>
      <c r="I2899" t="str">
        <f>IF(COUNTIF(Products!$A$2:$A$8,C2899)=0,C2899,"")</f>
        <v/>
      </c>
      <c r="J2899">
        <f>IF(OR(E2899="Prospecting",E2899="Engaging"),VLOOKUP(C2899,Products!$A$2:$C$8,3,FALSE),0)</f>
        <v>0</v>
      </c>
    </row>
    <row r="2900" spans="1:10" x14ac:dyDescent="0.25">
      <c r="A2900" t="s">
        <v>3067</v>
      </c>
      <c r="B2900" t="s">
        <v>140</v>
      </c>
      <c r="C2900" t="s">
        <v>122</v>
      </c>
      <c r="D2900" t="s">
        <v>26</v>
      </c>
      <c r="E2900" t="s">
        <v>159</v>
      </c>
      <c r="F2900" s="1">
        <v>42858</v>
      </c>
      <c r="G2900" s="1">
        <v>42955</v>
      </c>
      <c r="H2900">
        <v>0</v>
      </c>
      <c r="I2900" t="str">
        <f>IF(COUNTIF(Products!$A$2:$A$8,C2900)=0,C2900,"")</f>
        <v/>
      </c>
      <c r="J2900">
        <f>IF(OR(E2900="Prospecting",E2900="Engaging"),VLOOKUP(C2900,Products!$A$2:$C$8,3,FALSE),0)</f>
        <v>0</v>
      </c>
    </row>
    <row r="2901" spans="1:10" x14ac:dyDescent="0.25">
      <c r="A2901" t="s">
        <v>3068</v>
      </c>
      <c r="B2901" t="s">
        <v>140</v>
      </c>
      <c r="C2901" t="s">
        <v>120</v>
      </c>
      <c r="D2901" t="s">
        <v>32</v>
      </c>
      <c r="E2901" t="s">
        <v>138</v>
      </c>
      <c r="F2901" s="1">
        <v>42858</v>
      </c>
      <c r="G2901" s="1">
        <v>42958</v>
      </c>
      <c r="H2901">
        <v>596</v>
      </c>
      <c r="I2901" t="str">
        <f>IF(COUNTIF(Products!$A$2:$A$8,C2901)=0,C2901,"")</f>
        <v/>
      </c>
      <c r="J2901">
        <f>IF(OR(E2901="Prospecting",E2901="Engaging"),VLOOKUP(C2901,Products!$A$2:$C$8,3,FALSE),0)</f>
        <v>0</v>
      </c>
    </row>
    <row r="2902" spans="1:10" x14ac:dyDescent="0.25">
      <c r="A2902" t="s">
        <v>3069</v>
      </c>
      <c r="B2902" t="s">
        <v>303</v>
      </c>
      <c r="C2902" t="s">
        <v>123</v>
      </c>
      <c r="D2902" t="s">
        <v>28</v>
      </c>
      <c r="E2902" t="s">
        <v>138</v>
      </c>
      <c r="F2902" s="1">
        <v>42858</v>
      </c>
      <c r="G2902" s="1">
        <v>42869</v>
      </c>
      <c r="H2902">
        <v>60</v>
      </c>
      <c r="I2902" t="str">
        <f>IF(COUNTIF(Products!$A$2:$A$8,C2902)=0,C2902,"")</f>
        <v/>
      </c>
      <c r="J2902">
        <f>IF(OR(E2902="Prospecting",E2902="Engaging"),VLOOKUP(C2902,Products!$A$2:$C$8,3,FALSE),0)</f>
        <v>0</v>
      </c>
    </row>
    <row r="2903" spans="1:10" x14ac:dyDescent="0.25">
      <c r="A2903" t="s">
        <v>3070</v>
      </c>
      <c r="B2903" t="s">
        <v>180</v>
      </c>
      <c r="C2903" t="s">
        <v>122</v>
      </c>
      <c r="D2903" t="s">
        <v>44</v>
      </c>
      <c r="E2903" t="s">
        <v>138</v>
      </c>
      <c r="F2903" s="1">
        <v>42858</v>
      </c>
      <c r="G2903" s="1">
        <v>42859</v>
      </c>
      <c r="H2903">
        <v>4372</v>
      </c>
      <c r="I2903" t="str">
        <f>IF(COUNTIF(Products!$A$2:$A$8,C2903)=0,C2903,"")</f>
        <v/>
      </c>
      <c r="J2903">
        <f>IF(OR(E2903="Prospecting",E2903="Engaging"),VLOOKUP(C2903,Products!$A$2:$C$8,3,FALSE),0)</f>
        <v>0</v>
      </c>
    </row>
    <row r="2904" spans="1:10" x14ac:dyDescent="0.25">
      <c r="A2904" t="s">
        <v>3071</v>
      </c>
      <c r="B2904" t="s">
        <v>191</v>
      </c>
      <c r="C2904" t="s">
        <v>122</v>
      </c>
      <c r="D2904" t="s">
        <v>107</v>
      </c>
      <c r="E2904" t="s">
        <v>138</v>
      </c>
      <c r="F2904" s="1">
        <v>42858</v>
      </c>
      <c r="G2904" s="1">
        <v>42863</v>
      </c>
      <c r="H2904">
        <v>4604</v>
      </c>
      <c r="I2904" t="str">
        <f>IF(COUNTIF(Products!$A$2:$A$8,C2904)=0,C2904,"")</f>
        <v/>
      </c>
      <c r="J2904">
        <f>IF(OR(E2904="Prospecting",E2904="Engaging"),VLOOKUP(C2904,Products!$A$2:$C$8,3,FALSE),0)</f>
        <v>0</v>
      </c>
    </row>
    <row r="2905" spans="1:10" x14ac:dyDescent="0.25">
      <c r="A2905" t="s">
        <v>3072</v>
      </c>
      <c r="B2905" t="s">
        <v>150</v>
      </c>
      <c r="C2905" t="s">
        <v>126</v>
      </c>
      <c r="E2905" t="s">
        <v>155</v>
      </c>
      <c r="F2905" s="1">
        <v>42858</v>
      </c>
      <c r="I2905" t="str">
        <f>IF(COUNTIF(Products!$A$2:$A$8,C2905)=0,C2905,"")</f>
        <v/>
      </c>
      <c r="J2905">
        <f>IF(OR(E2905="Prospecting",E2905="Engaging"),VLOOKUP(C2905,Products!$A$2:$C$8,3,FALSE),0)</f>
        <v>5482</v>
      </c>
    </row>
    <row r="2906" spans="1:10" x14ac:dyDescent="0.25">
      <c r="A2906" t="s">
        <v>3073</v>
      </c>
      <c r="B2906" t="s">
        <v>150</v>
      </c>
      <c r="C2906" t="s">
        <v>125</v>
      </c>
      <c r="D2906" t="s">
        <v>56</v>
      </c>
      <c r="E2906" t="s">
        <v>159</v>
      </c>
      <c r="F2906" s="1">
        <v>42858</v>
      </c>
      <c r="G2906" s="1">
        <v>42868</v>
      </c>
      <c r="H2906">
        <v>0</v>
      </c>
      <c r="I2906" t="str">
        <f>IF(COUNTIF(Products!$A$2:$A$8,C2906)=0,C2906,"")</f>
        <v/>
      </c>
      <c r="J2906">
        <f>IF(OR(E2906="Prospecting",E2906="Engaging"),VLOOKUP(C2906,Products!$A$2:$C$8,3,FALSE),0)</f>
        <v>0</v>
      </c>
    </row>
    <row r="2907" spans="1:10" x14ac:dyDescent="0.25">
      <c r="A2907" t="s">
        <v>3074</v>
      </c>
      <c r="B2907" t="s">
        <v>193</v>
      </c>
      <c r="C2907" t="s">
        <v>122</v>
      </c>
      <c r="D2907" t="s">
        <v>10</v>
      </c>
      <c r="E2907" t="s">
        <v>138</v>
      </c>
      <c r="F2907" s="1">
        <v>42858</v>
      </c>
      <c r="G2907" s="1">
        <v>42863</v>
      </c>
      <c r="H2907">
        <v>4859</v>
      </c>
      <c r="I2907" t="str">
        <f>IF(COUNTIF(Products!$A$2:$A$8,C2907)=0,C2907,"")</f>
        <v/>
      </c>
      <c r="J2907">
        <f>IF(OR(E2907="Prospecting",E2907="Engaging"),VLOOKUP(C2907,Products!$A$2:$C$8,3,FALSE),0)</f>
        <v>0</v>
      </c>
    </row>
    <row r="2908" spans="1:10" x14ac:dyDescent="0.25">
      <c r="A2908" t="s">
        <v>3075</v>
      </c>
      <c r="B2908" t="s">
        <v>148</v>
      </c>
      <c r="C2908" t="s">
        <v>125</v>
      </c>
      <c r="D2908" t="s">
        <v>114</v>
      </c>
      <c r="E2908" t="s">
        <v>138</v>
      </c>
      <c r="F2908" s="1">
        <v>42858</v>
      </c>
      <c r="G2908" s="1">
        <v>42950</v>
      </c>
      <c r="H2908">
        <v>3718</v>
      </c>
      <c r="I2908" t="str">
        <f>IF(COUNTIF(Products!$A$2:$A$8,C2908)=0,C2908,"")</f>
        <v/>
      </c>
      <c r="J2908">
        <f>IF(OR(E2908="Prospecting",E2908="Engaging"),VLOOKUP(C2908,Products!$A$2:$C$8,3,FALSE),0)</f>
        <v>0</v>
      </c>
    </row>
    <row r="2909" spans="1:10" x14ac:dyDescent="0.25">
      <c r="A2909" t="s">
        <v>3076</v>
      </c>
      <c r="B2909" t="s">
        <v>177</v>
      </c>
      <c r="C2909" t="s">
        <v>123</v>
      </c>
      <c r="D2909" t="s">
        <v>59</v>
      </c>
      <c r="E2909" t="s">
        <v>155</v>
      </c>
      <c r="F2909" s="1">
        <v>42858</v>
      </c>
      <c r="I2909" t="str">
        <f>IF(COUNTIF(Products!$A$2:$A$8,C2909)=0,C2909,"")</f>
        <v/>
      </c>
      <c r="J2909">
        <f>IF(OR(E2909="Prospecting",E2909="Engaging"),VLOOKUP(C2909,Products!$A$2:$C$8,3,FALSE),0)</f>
        <v>55</v>
      </c>
    </row>
    <row r="2910" spans="1:10" x14ac:dyDescent="0.25">
      <c r="A2910" t="s">
        <v>3077</v>
      </c>
      <c r="B2910" t="s">
        <v>177</v>
      </c>
      <c r="C2910" t="s">
        <v>125</v>
      </c>
      <c r="D2910" t="s">
        <v>98</v>
      </c>
      <c r="E2910" t="s">
        <v>159</v>
      </c>
      <c r="F2910" s="1">
        <v>42858</v>
      </c>
      <c r="G2910" s="1">
        <v>42874</v>
      </c>
      <c r="H2910">
        <v>0</v>
      </c>
      <c r="I2910" t="str">
        <f>IF(COUNTIF(Products!$A$2:$A$8,C2910)=0,C2910,"")</f>
        <v/>
      </c>
      <c r="J2910">
        <f>IF(OR(E2910="Prospecting",E2910="Engaging"),VLOOKUP(C2910,Products!$A$2:$C$8,3,FALSE),0)</f>
        <v>0</v>
      </c>
    </row>
    <row r="2911" spans="1:10" x14ac:dyDescent="0.25">
      <c r="A2911" t="s">
        <v>3078</v>
      </c>
      <c r="B2911" t="s">
        <v>144</v>
      </c>
      <c r="C2911" t="s">
        <v>120</v>
      </c>
      <c r="D2911" t="s">
        <v>61</v>
      </c>
      <c r="E2911" t="s">
        <v>138</v>
      </c>
      <c r="F2911" s="1">
        <v>42858</v>
      </c>
      <c r="G2911" s="1">
        <v>42885</v>
      </c>
      <c r="H2911">
        <v>493</v>
      </c>
      <c r="I2911" t="str">
        <f>IF(COUNTIF(Products!$A$2:$A$8,C2911)=0,C2911,"")</f>
        <v/>
      </c>
      <c r="J2911">
        <f>IF(OR(E2911="Prospecting",E2911="Engaging"),VLOOKUP(C2911,Products!$A$2:$C$8,3,FALSE),0)</f>
        <v>0</v>
      </c>
    </row>
    <row r="2912" spans="1:10" x14ac:dyDescent="0.25">
      <c r="A2912" t="s">
        <v>3079</v>
      </c>
      <c r="B2912" t="s">
        <v>146</v>
      </c>
      <c r="C2912" t="s">
        <v>123</v>
      </c>
      <c r="D2912" t="s">
        <v>33</v>
      </c>
      <c r="E2912" t="s">
        <v>138</v>
      </c>
      <c r="F2912" s="1">
        <v>42859</v>
      </c>
      <c r="G2912" s="1">
        <v>42890</v>
      </c>
      <c r="H2912">
        <v>54</v>
      </c>
      <c r="I2912" t="str">
        <f>IF(COUNTIF(Products!$A$2:$A$8,C2912)=0,C2912,"")</f>
        <v/>
      </c>
      <c r="J2912">
        <f>IF(OR(E2912="Prospecting",E2912="Engaging"),VLOOKUP(C2912,Products!$A$2:$C$8,3,FALSE),0)</f>
        <v>0</v>
      </c>
    </row>
    <row r="2913" spans="1:10" x14ac:dyDescent="0.25">
      <c r="A2913" t="s">
        <v>3080</v>
      </c>
      <c r="B2913" t="s">
        <v>146</v>
      </c>
      <c r="C2913" t="s">
        <v>123</v>
      </c>
      <c r="D2913" t="s">
        <v>70</v>
      </c>
      <c r="E2913" t="s">
        <v>138</v>
      </c>
      <c r="F2913" s="1">
        <v>42859</v>
      </c>
      <c r="G2913" s="1">
        <v>42895</v>
      </c>
      <c r="H2913">
        <v>52</v>
      </c>
      <c r="I2913" t="str">
        <f>IF(COUNTIF(Products!$A$2:$A$8,C2913)=0,C2913,"")</f>
        <v/>
      </c>
      <c r="J2913">
        <f>IF(OR(E2913="Prospecting",E2913="Engaging"),VLOOKUP(C2913,Products!$A$2:$C$8,3,FALSE),0)</f>
        <v>0</v>
      </c>
    </row>
    <row r="2914" spans="1:10" x14ac:dyDescent="0.25">
      <c r="A2914" t="s">
        <v>3081</v>
      </c>
      <c r="B2914" t="s">
        <v>146</v>
      </c>
      <c r="C2914" t="s">
        <v>125</v>
      </c>
      <c r="D2914" t="s">
        <v>85</v>
      </c>
      <c r="E2914" t="s">
        <v>138</v>
      </c>
      <c r="F2914" s="1">
        <v>42859</v>
      </c>
      <c r="G2914" s="1">
        <v>42909</v>
      </c>
      <c r="H2914">
        <v>3813</v>
      </c>
      <c r="I2914" t="str">
        <f>IF(COUNTIF(Products!$A$2:$A$8,C2914)=0,C2914,"")</f>
        <v/>
      </c>
      <c r="J2914">
        <f>IF(OR(E2914="Prospecting",E2914="Engaging"),VLOOKUP(C2914,Products!$A$2:$C$8,3,FALSE),0)</f>
        <v>0</v>
      </c>
    </row>
    <row r="2915" spans="1:10" x14ac:dyDescent="0.25">
      <c r="A2915" t="s">
        <v>3082</v>
      </c>
      <c r="B2915" t="s">
        <v>171</v>
      </c>
      <c r="C2915" t="s">
        <v>122</v>
      </c>
      <c r="D2915" t="s">
        <v>106</v>
      </c>
      <c r="E2915" t="s">
        <v>159</v>
      </c>
      <c r="F2915" s="1">
        <v>42859</v>
      </c>
      <c r="G2915" s="1">
        <v>42951</v>
      </c>
      <c r="H2915">
        <v>0</v>
      </c>
      <c r="I2915" t="str">
        <f>IF(COUNTIF(Products!$A$2:$A$8,C2915)=0,C2915,"")</f>
        <v/>
      </c>
      <c r="J2915">
        <f>IF(OR(E2915="Prospecting",E2915="Engaging"),VLOOKUP(C2915,Products!$A$2:$C$8,3,FALSE),0)</f>
        <v>0</v>
      </c>
    </row>
    <row r="2916" spans="1:10" x14ac:dyDescent="0.25">
      <c r="A2916" t="s">
        <v>3083</v>
      </c>
      <c r="B2916" t="s">
        <v>140</v>
      </c>
      <c r="C2916" t="s">
        <v>122</v>
      </c>
      <c r="D2916" t="s">
        <v>36</v>
      </c>
      <c r="E2916" t="s">
        <v>138</v>
      </c>
      <c r="F2916" s="1">
        <v>42859</v>
      </c>
      <c r="G2916" s="1">
        <v>42959</v>
      </c>
      <c r="H2916">
        <v>4935</v>
      </c>
      <c r="I2916" t="str">
        <f>IF(COUNTIF(Products!$A$2:$A$8,C2916)=0,C2916,"")</f>
        <v/>
      </c>
      <c r="J2916">
        <f>IF(OR(E2916="Prospecting",E2916="Engaging"),VLOOKUP(C2916,Products!$A$2:$C$8,3,FALSE),0)</f>
        <v>0</v>
      </c>
    </row>
    <row r="2917" spans="1:10" x14ac:dyDescent="0.25">
      <c r="A2917" t="s">
        <v>3084</v>
      </c>
      <c r="B2917" t="s">
        <v>140</v>
      </c>
      <c r="C2917" t="s">
        <v>125</v>
      </c>
      <c r="D2917" t="s">
        <v>26</v>
      </c>
      <c r="E2917" t="s">
        <v>138</v>
      </c>
      <c r="F2917" s="1">
        <v>42859</v>
      </c>
      <c r="G2917" s="1">
        <v>42964</v>
      </c>
      <c r="H2917">
        <v>3560</v>
      </c>
      <c r="I2917" t="str">
        <f>IF(COUNTIF(Products!$A$2:$A$8,C2917)=0,C2917,"")</f>
        <v/>
      </c>
      <c r="J2917">
        <f>IF(OR(E2917="Prospecting",E2917="Engaging"),VLOOKUP(C2917,Products!$A$2:$C$8,3,FALSE),0)</f>
        <v>0</v>
      </c>
    </row>
    <row r="2918" spans="1:10" x14ac:dyDescent="0.25">
      <c r="A2918" t="s">
        <v>3085</v>
      </c>
      <c r="B2918" t="s">
        <v>303</v>
      </c>
      <c r="C2918" t="s">
        <v>122</v>
      </c>
      <c r="D2918" t="s">
        <v>12</v>
      </c>
      <c r="E2918" t="s">
        <v>159</v>
      </c>
      <c r="F2918" s="1">
        <v>42859</v>
      </c>
      <c r="G2918" s="1">
        <v>42875</v>
      </c>
      <c r="H2918">
        <v>0</v>
      </c>
      <c r="I2918" t="str">
        <f>IF(COUNTIF(Products!$A$2:$A$8,C2918)=0,C2918,"")</f>
        <v/>
      </c>
      <c r="J2918">
        <f>IF(OR(E2918="Prospecting",E2918="Engaging"),VLOOKUP(C2918,Products!$A$2:$C$8,3,FALSE),0)</f>
        <v>0</v>
      </c>
    </row>
    <row r="2919" spans="1:10" x14ac:dyDescent="0.25">
      <c r="A2919" t="s">
        <v>3086</v>
      </c>
      <c r="B2919" t="s">
        <v>303</v>
      </c>
      <c r="C2919" t="s">
        <v>122</v>
      </c>
      <c r="D2919" t="s">
        <v>95</v>
      </c>
      <c r="E2919" t="s">
        <v>159</v>
      </c>
      <c r="F2919" s="1">
        <v>42859</v>
      </c>
      <c r="G2919" s="1">
        <v>42972</v>
      </c>
      <c r="H2919">
        <v>0</v>
      </c>
      <c r="I2919" t="str">
        <f>IF(COUNTIF(Products!$A$2:$A$8,C2919)=0,C2919,"")</f>
        <v/>
      </c>
      <c r="J2919">
        <f>IF(OR(E2919="Prospecting",E2919="Engaging"),VLOOKUP(C2919,Products!$A$2:$C$8,3,FALSE),0)</f>
        <v>0</v>
      </c>
    </row>
    <row r="2920" spans="1:10" x14ac:dyDescent="0.25">
      <c r="A2920" t="s">
        <v>3087</v>
      </c>
      <c r="B2920" t="s">
        <v>217</v>
      </c>
      <c r="C2920" t="s">
        <v>120</v>
      </c>
      <c r="D2920" t="s">
        <v>88</v>
      </c>
      <c r="E2920" t="s">
        <v>159</v>
      </c>
      <c r="F2920" s="1">
        <v>42859</v>
      </c>
      <c r="G2920" s="1">
        <v>42865</v>
      </c>
      <c r="H2920">
        <v>0</v>
      </c>
      <c r="I2920" t="str">
        <f>IF(COUNTIF(Products!$A$2:$A$8,C2920)=0,C2920,"")</f>
        <v/>
      </c>
      <c r="J2920">
        <f>IF(OR(E2920="Prospecting",E2920="Engaging"),VLOOKUP(C2920,Products!$A$2:$C$8,3,FALSE),0)</f>
        <v>0</v>
      </c>
    </row>
    <row r="2921" spans="1:10" x14ac:dyDescent="0.25">
      <c r="A2921" t="s">
        <v>3088</v>
      </c>
      <c r="B2921" t="s">
        <v>217</v>
      </c>
      <c r="C2921" t="s">
        <v>127</v>
      </c>
      <c r="D2921" t="s">
        <v>12</v>
      </c>
      <c r="E2921" t="s">
        <v>159</v>
      </c>
      <c r="F2921" s="1">
        <v>42859</v>
      </c>
      <c r="G2921" s="1">
        <v>42967</v>
      </c>
      <c r="H2921">
        <v>0</v>
      </c>
      <c r="I2921" t="str">
        <f>IF(COUNTIF(Products!$A$2:$A$8,C2921)=0,C2921,"")</f>
        <v/>
      </c>
      <c r="J2921">
        <f>IF(OR(E2921="Prospecting",E2921="Engaging"),VLOOKUP(C2921,Products!$A$2:$C$8,3,FALSE),0)</f>
        <v>0</v>
      </c>
    </row>
    <row r="2922" spans="1:10" x14ac:dyDescent="0.25">
      <c r="A2922" t="s">
        <v>3089</v>
      </c>
      <c r="B2922" t="s">
        <v>217</v>
      </c>
      <c r="C2922" t="s">
        <v>125</v>
      </c>
      <c r="D2922" t="s">
        <v>116</v>
      </c>
      <c r="E2922" t="s">
        <v>159</v>
      </c>
      <c r="F2922" s="1">
        <v>42859</v>
      </c>
      <c r="G2922" s="1">
        <v>42974</v>
      </c>
      <c r="H2922">
        <v>0</v>
      </c>
      <c r="I2922" t="str">
        <f>IF(COUNTIF(Products!$A$2:$A$8,C2922)=0,C2922,"")</f>
        <v/>
      </c>
      <c r="J2922">
        <f>IF(OR(E2922="Prospecting",E2922="Engaging"),VLOOKUP(C2922,Products!$A$2:$C$8,3,FALSE),0)</f>
        <v>0</v>
      </c>
    </row>
    <row r="2923" spans="1:10" x14ac:dyDescent="0.25">
      <c r="A2923" t="s">
        <v>3090</v>
      </c>
      <c r="B2923" t="s">
        <v>152</v>
      </c>
      <c r="C2923" t="s">
        <v>127</v>
      </c>
      <c r="D2923" t="s">
        <v>94</v>
      </c>
      <c r="E2923" t="s">
        <v>159</v>
      </c>
      <c r="F2923" s="1">
        <v>42859</v>
      </c>
      <c r="G2923" s="1">
        <v>42972</v>
      </c>
      <c r="H2923">
        <v>0</v>
      </c>
      <c r="I2923" t="str">
        <f>IF(COUNTIF(Products!$A$2:$A$8,C2923)=0,C2923,"")</f>
        <v/>
      </c>
      <c r="J2923">
        <f>IF(OR(E2923="Prospecting",E2923="Engaging"),VLOOKUP(C2923,Products!$A$2:$C$8,3,FALSE),0)</f>
        <v>0</v>
      </c>
    </row>
    <row r="2924" spans="1:10" x14ac:dyDescent="0.25">
      <c r="A2924" t="s">
        <v>3091</v>
      </c>
      <c r="B2924" t="s">
        <v>152</v>
      </c>
      <c r="C2924" t="s">
        <v>120</v>
      </c>
      <c r="D2924" t="s">
        <v>51</v>
      </c>
      <c r="E2924" t="s">
        <v>138</v>
      </c>
      <c r="F2924" s="1">
        <v>42859</v>
      </c>
      <c r="G2924" s="1">
        <v>42952</v>
      </c>
      <c r="H2924">
        <v>528</v>
      </c>
      <c r="I2924" t="str">
        <f>IF(COUNTIF(Products!$A$2:$A$8,C2924)=0,C2924,"")</f>
        <v/>
      </c>
      <c r="J2924">
        <f>IF(OR(E2924="Prospecting",E2924="Engaging"),VLOOKUP(C2924,Products!$A$2:$C$8,3,FALSE),0)</f>
        <v>0</v>
      </c>
    </row>
    <row r="2925" spans="1:10" x14ac:dyDescent="0.25">
      <c r="A2925" t="s">
        <v>3092</v>
      </c>
      <c r="B2925" t="s">
        <v>152</v>
      </c>
      <c r="C2925" t="s">
        <v>127</v>
      </c>
      <c r="D2925" t="s">
        <v>94</v>
      </c>
      <c r="E2925" t="s">
        <v>138</v>
      </c>
      <c r="F2925" s="1">
        <v>42859</v>
      </c>
      <c r="G2925" s="1">
        <v>42906</v>
      </c>
      <c r="H2925">
        <v>1188</v>
      </c>
      <c r="I2925" t="str">
        <f>IF(COUNTIF(Products!$A$2:$A$8,C2925)=0,C2925,"")</f>
        <v/>
      </c>
      <c r="J2925">
        <f>IF(OR(E2925="Prospecting",E2925="Engaging"),VLOOKUP(C2925,Products!$A$2:$C$8,3,FALSE),0)</f>
        <v>0</v>
      </c>
    </row>
    <row r="2926" spans="1:10" x14ac:dyDescent="0.25">
      <c r="A2926" t="s">
        <v>3093</v>
      </c>
      <c r="B2926" t="s">
        <v>193</v>
      </c>
      <c r="C2926" t="s">
        <v>126</v>
      </c>
      <c r="D2926" t="s">
        <v>108</v>
      </c>
      <c r="E2926" t="s">
        <v>159</v>
      </c>
      <c r="F2926" s="1">
        <v>42859</v>
      </c>
      <c r="G2926" s="1">
        <v>42993</v>
      </c>
      <c r="H2926">
        <v>0</v>
      </c>
      <c r="I2926" t="str">
        <f>IF(COUNTIF(Products!$A$2:$A$8,C2926)=0,C2926,"")</f>
        <v/>
      </c>
      <c r="J2926">
        <f>IF(OR(E2926="Prospecting",E2926="Engaging"),VLOOKUP(C2926,Products!$A$2:$C$8,3,FALSE),0)</f>
        <v>0</v>
      </c>
    </row>
    <row r="2927" spans="1:10" x14ac:dyDescent="0.25">
      <c r="A2927" t="s">
        <v>3094</v>
      </c>
      <c r="B2927" t="s">
        <v>169</v>
      </c>
      <c r="C2927" t="s">
        <v>125</v>
      </c>
      <c r="D2927" t="s">
        <v>36</v>
      </c>
      <c r="E2927" t="s">
        <v>159</v>
      </c>
      <c r="F2927" s="1">
        <v>42859</v>
      </c>
      <c r="G2927" s="1">
        <v>42865</v>
      </c>
      <c r="H2927">
        <v>0</v>
      </c>
      <c r="I2927" t="str">
        <f>IF(COUNTIF(Products!$A$2:$A$8,C2927)=0,C2927,"")</f>
        <v/>
      </c>
      <c r="J2927">
        <f>IF(OR(E2927="Prospecting",E2927="Engaging"),VLOOKUP(C2927,Products!$A$2:$C$8,3,FALSE),0)</f>
        <v>0</v>
      </c>
    </row>
    <row r="2928" spans="1:10" x14ac:dyDescent="0.25">
      <c r="A2928" t="s">
        <v>3095</v>
      </c>
      <c r="B2928" t="s">
        <v>169</v>
      </c>
      <c r="C2928" t="s">
        <v>120</v>
      </c>
      <c r="D2928" t="s">
        <v>12</v>
      </c>
      <c r="E2928" t="s">
        <v>138</v>
      </c>
      <c r="F2928" s="1">
        <v>42859</v>
      </c>
      <c r="G2928" s="1">
        <v>42956</v>
      </c>
      <c r="H2928">
        <v>590</v>
      </c>
      <c r="I2928" t="str">
        <f>IF(COUNTIF(Products!$A$2:$A$8,C2928)=0,C2928,"")</f>
        <v/>
      </c>
      <c r="J2928">
        <f>IF(OR(E2928="Prospecting",E2928="Engaging"),VLOOKUP(C2928,Products!$A$2:$C$8,3,FALSE),0)</f>
        <v>0</v>
      </c>
    </row>
    <row r="2929" spans="1:10" x14ac:dyDescent="0.25">
      <c r="A2929" t="s">
        <v>3096</v>
      </c>
      <c r="B2929" t="s">
        <v>148</v>
      </c>
      <c r="C2929" t="s">
        <v>120</v>
      </c>
      <c r="D2929" t="s">
        <v>109</v>
      </c>
      <c r="E2929" t="s">
        <v>138</v>
      </c>
      <c r="F2929" s="1">
        <v>42859</v>
      </c>
      <c r="G2929" s="1">
        <v>42961</v>
      </c>
      <c r="H2929">
        <v>578</v>
      </c>
      <c r="I2929" t="str">
        <f>IF(COUNTIF(Products!$A$2:$A$8,C2929)=0,C2929,"")</f>
        <v/>
      </c>
      <c r="J2929">
        <f>IF(OR(E2929="Prospecting",E2929="Engaging"),VLOOKUP(C2929,Products!$A$2:$C$8,3,FALSE),0)</f>
        <v>0</v>
      </c>
    </row>
    <row r="2930" spans="1:10" x14ac:dyDescent="0.25">
      <c r="A2930" t="s">
        <v>3097</v>
      </c>
      <c r="B2930" t="s">
        <v>177</v>
      </c>
      <c r="C2930" t="s">
        <v>122</v>
      </c>
      <c r="D2930" t="s">
        <v>50</v>
      </c>
      <c r="E2930" t="s">
        <v>159</v>
      </c>
      <c r="F2930" s="1">
        <v>42859</v>
      </c>
      <c r="G2930" s="1">
        <v>42953</v>
      </c>
      <c r="H2930">
        <v>0</v>
      </c>
      <c r="I2930" t="str">
        <f>IF(COUNTIF(Products!$A$2:$A$8,C2930)=0,C2930,"")</f>
        <v/>
      </c>
      <c r="J2930">
        <f>IF(OR(E2930="Prospecting",E2930="Engaging"),VLOOKUP(C2930,Products!$A$2:$C$8,3,FALSE),0)</f>
        <v>0</v>
      </c>
    </row>
    <row r="2931" spans="1:10" x14ac:dyDescent="0.25">
      <c r="A2931" t="s">
        <v>3098</v>
      </c>
      <c r="B2931" t="s">
        <v>196</v>
      </c>
      <c r="C2931" t="s">
        <v>125</v>
      </c>
      <c r="E2931" t="s">
        <v>155</v>
      </c>
      <c r="F2931" s="1">
        <v>42859</v>
      </c>
      <c r="I2931" t="str">
        <f>IF(COUNTIF(Products!$A$2:$A$8,C2931)=0,C2931,"")</f>
        <v/>
      </c>
      <c r="J2931">
        <f>IF(OR(E2931="Prospecting",E2931="Engaging"),VLOOKUP(C2931,Products!$A$2:$C$8,3,FALSE),0)</f>
        <v>3393</v>
      </c>
    </row>
    <row r="2932" spans="1:10" x14ac:dyDescent="0.25">
      <c r="A2932" t="s">
        <v>3099</v>
      </c>
      <c r="B2932" t="s">
        <v>144</v>
      </c>
      <c r="C2932" t="s">
        <v>120</v>
      </c>
      <c r="D2932" t="s">
        <v>72</v>
      </c>
      <c r="E2932" t="s">
        <v>159</v>
      </c>
      <c r="F2932" s="1">
        <v>42859</v>
      </c>
      <c r="G2932" s="1">
        <v>42864</v>
      </c>
      <c r="H2932">
        <v>0</v>
      </c>
      <c r="I2932" t="str">
        <f>IF(COUNTIF(Products!$A$2:$A$8,C2932)=0,C2932,"")</f>
        <v/>
      </c>
      <c r="J2932">
        <f>IF(OR(E2932="Prospecting",E2932="Engaging"),VLOOKUP(C2932,Products!$A$2:$C$8,3,FALSE),0)</f>
        <v>0</v>
      </c>
    </row>
    <row r="2933" spans="1:10" x14ac:dyDescent="0.25">
      <c r="A2933" t="s">
        <v>3100</v>
      </c>
      <c r="B2933" t="s">
        <v>146</v>
      </c>
      <c r="C2933" t="s">
        <v>125</v>
      </c>
      <c r="D2933" t="s">
        <v>14</v>
      </c>
      <c r="E2933" t="s">
        <v>159</v>
      </c>
      <c r="F2933" s="1">
        <v>42860</v>
      </c>
      <c r="G2933" s="1">
        <v>42962</v>
      </c>
      <c r="H2933">
        <v>0</v>
      </c>
      <c r="I2933" t="str">
        <f>IF(COUNTIF(Products!$A$2:$A$8,C2933)=0,C2933,"")</f>
        <v/>
      </c>
      <c r="J2933">
        <f>IF(OR(E2933="Prospecting",E2933="Engaging"),VLOOKUP(C2933,Products!$A$2:$C$8,3,FALSE),0)</f>
        <v>0</v>
      </c>
    </row>
    <row r="2934" spans="1:10" x14ac:dyDescent="0.25">
      <c r="A2934" t="s">
        <v>3101</v>
      </c>
      <c r="B2934" t="s">
        <v>207</v>
      </c>
      <c r="C2934" t="s">
        <v>127</v>
      </c>
      <c r="D2934" t="s">
        <v>107</v>
      </c>
      <c r="E2934" t="s">
        <v>155</v>
      </c>
      <c r="F2934" s="1">
        <v>42860</v>
      </c>
      <c r="I2934" t="str">
        <f>IF(COUNTIF(Products!$A$2:$A$8,C2934)=0,C2934,"")</f>
        <v/>
      </c>
      <c r="J2934">
        <f>IF(OR(E2934="Prospecting",E2934="Engaging"),VLOOKUP(C2934,Products!$A$2:$C$8,3,FALSE),0)</f>
        <v>1096</v>
      </c>
    </row>
    <row r="2935" spans="1:10" x14ac:dyDescent="0.25">
      <c r="A2935" t="s">
        <v>3102</v>
      </c>
      <c r="B2935" t="s">
        <v>207</v>
      </c>
      <c r="C2935" t="s">
        <v>122</v>
      </c>
      <c r="D2935" t="s">
        <v>35</v>
      </c>
      <c r="E2935" t="s">
        <v>138</v>
      </c>
      <c r="F2935" s="1">
        <v>42860</v>
      </c>
      <c r="G2935" s="1">
        <v>42952</v>
      </c>
      <c r="H2935">
        <v>4697</v>
      </c>
      <c r="I2935" t="str">
        <f>IF(COUNTIF(Products!$A$2:$A$8,C2935)=0,C2935,"")</f>
        <v/>
      </c>
      <c r="J2935">
        <f>IF(OR(E2935="Prospecting",E2935="Engaging"),VLOOKUP(C2935,Products!$A$2:$C$8,3,FALSE),0)</f>
        <v>0</v>
      </c>
    </row>
    <row r="2936" spans="1:10" x14ac:dyDescent="0.25">
      <c r="A2936" t="s">
        <v>3103</v>
      </c>
      <c r="B2936" t="s">
        <v>224</v>
      </c>
      <c r="C2936" t="s">
        <v>122</v>
      </c>
      <c r="D2936" t="s">
        <v>80</v>
      </c>
      <c r="E2936" t="s">
        <v>159</v>
      </c>
      <c r="F2936" s="1">
        <v>42860</v>
      </c>
      <c r="G2936" s="1">
        <v>42960</v>
      </c>
      <c r="H2936">
        <v>0</v>
      </c>
      <c r="I2936" t="str">
        <f>IF(COUNTIF(Products!$A$2:$A$8,C2936)=0,C2936,"")</f>
        <v/>
      </c>
      <c r="J2936">
        <f>IF(OR(E2936="Prospecting",E2936="Engaging"),VLOOKUP(C2936,Products!$A$2:$C$8,3,FALSE),0)</f>
        <v>0</v>
      </c>
    </row>
    <row r="2937" spans="1:10" x14ac:dyDescent="0.25">
      <c r="A2937" t="s">
        <v>3104</v>
      </c>
      <c r="B2937" t="s">
        <v>224</v>
      </c>
      <c r="C2937" t="s">
        <v>122</v>
      </c>
      <c r="D2937" t="s">
        <v>80</v>
      </c>
      <c r="E2937" t="s">
        <v>159</v>
      </c>
      <c r="F2937" s="1">
        <v>42860</v>
      </c>
      <c r="G2937" s="1">
        <v>42885</v>
      </c>
      <c r="H2937">
        <v>0</v>
      </c>
      <c r="I2937" t="str">
        <f>IF(COUNTIF(Products!$A$2:$A$8,C2937)=0,C2937,"")</f>
        <v/>
      </c>
      <c r="J2937">
        <f>IF(OR(E2937="Prospecting",E2937="Engaging"),VLOOKUP(C2937,Products!$A$2:$C$8,3,FALSE),0)</f>
        <v>0</v>
      </c>
    </row>
    <row r="2938" spans="1:10" x14ac:dyDescent="0.25">
      <c r="A2938" t="s">
        <v>3105</v>
      </c>
      <c r="B2938" t="s">
        <v>224</v>
      </c>
      <c r="C2938" t="s">
        <v>127</v>
      </c>
      <c r="D2938" t="s">
        <v>68</v>
      </c>
      <c r="E2938" t="s">
        <v>138</v>
      </c>
      <c r="F2938" s="1">
        <v>42860</v>
      </c>
      <c r="G2938" s="1">
        <v>42973</v>
      </c>
      <c r="H2938">
        <v>1161</v>
      </c>
      <c r="I2938" t="str">
        <f>IF(COUNTIF(Products!$A$2:$A$8,C2938)=0,C2938,"")</f>
        <v/>
      </c>
      <c r="J2938">
        <f>IF(OR(E2938="Prospecting",E2938="Engaging"),VLOOKUP(C2938,Products!$A$2:$C$8,3,FALSE),0)</f>
        <v>0</v>
      </c>
    </row>
    <row r="2939" spans="1:10" x14ac:dyDescent="0.25">
      <c r="A2939" t="s">
        <v>3106</v>
      </c>
      <c r="B2939" t="s">
        <v>224</v>
      </c>
      <c r="C2939" t="s">
        <v>127</v>
      </c>
      <c r="D2939" t="s">
        <v>106</v>
      </c>
      <c r="E2939" t="s">
        <v>138</v>
      </c>
      <c r="F2939" s="1">
        <v>42860</v>
      </c>
      <c r="G2939" s="1">
        <v>42861</v>
      </c>
      <c r="H2939">
        <v>1101</v>
      </c>
      <c r="I2939" t="str">
        <f>IF(COUNTIF(Products!$A$2:$A$8,C2939)=0,C2939,"")</f>
        <v/>
      </c>
      <c r="J2939">
        <f>IF(OR(E2939="Prospecting",E2939="Engaging"),VLOOKUP(C2939,Products!$A$2:$C$8,3,FALSE),0)</f>
        <v>0</v>
      </c>
    </row>
    <row r="2940" spans="1:10" x14ac:dyDescent="0.25">
      <c r="A2940" t="s">
        <v>3107</v>
      </c>
      <c r="B2940" t="s">
        <v>303</v>
      </c>
      <c r="C2940" t="s">
        <v>120</v>
      </c>
      <c r="D2940" t="s">
        <v>32</v>
      </c>
      <c r="E2940" t="s">
        <v>138</v>
      </c>
      <c r="F2940" s="1">
        <v>42860</v>
      </c>
      <c r="G2940" s="1">
        <v>42959</v>
      </c>
      <c r="H2940">
        <v>511</v>
      </c>
      <c r="I2940" t="str">
        <f>IF(COUNTIF(Products!$A$2:$A$8,C2940)=0,C2940,"")</f>
        <v/>
      </c>
      <c r="J2940">
        <f>IF(OR(E2940="Prospecting",E2940="Engaging"),VLOOKUP(C2940,Products!$A$2:$C$8,3,FALSE),0)</f>
        <v>0</v>
      </c>
    </row>
    <row r="2941" spans="1:10" x14ac:dyDescent="0.25">
      <c r="A2941" t="s">
        <v>3108</v>
      </c>
      <c r="B2941" t="s">
        <v>303</v>
      </c>
      <c r="C2941" t="s">
        <v>123</v>
      </c>
      <c r="D2941" t="s">
        <v>27</v>
      </c>
      <c r="E2941" t="s">
        <v>138</v>
      </c>
      <c r="F2941" s="1">
        <v>42860</v>
      </c>
      <c r="G2941" s="1">
        <v>42948</v>
      </c>
      <c r="H2941">
        <v>57</v>
      </c>
      <c r="I2941" t="str">
        <f>IF(COUNTIF(Products!$A$2:$A$8,C2941)=0,C2941,"")</f>
        <v/>
      </c>
      <c r="J2941">
        <f>IF(OR(E2941="Prospecting",E2941="Engaging"),VLOOKUP(C2941,Products!$A$2:$C$8,3,FALSE),0)</f>
        <v>0</v>
      </c>
    </row>
    <row r="2942" spans="1:10" x14ac:dyDescent="0.25">
      <c r="A2942" t="s">
        <v>3109</v>
      </c>
      <c r="B2942" t="s">
        <v>180</v>
      </c>
      <c r="C2942" t="s">
        <v>123</v>
      </c>
      <c r="D2942" t="s">
        <v>107</v>
      </c>
      <c r="E2942" t="s">
        <v>159</v>
      </c>
      <c r="F2942" s="1">
        <v>42860</v>
      </c>
      <c r="G2942" s="1">
        <v>42867</v>
      </c>
      <c r="H2942">
        <v>0</v>
      </c>
      <c r="I2942" t="str">
        <f>IF(COUNTIF(Products!$A$2:$A$8,C2942)=0,C2942,"")</f>
        <v/>
      </c>
      <c r="J2942">
        <f>IF(OR(E2942="Prospecting",E2942="Engaging"),VLOOKUP(C2942,Products!$A$2:$C$8,3,FALSE),0)</f>
        <v>0</v>
      </c>
    </row>
    <row r="2943" spans="1:10" x14ac:dyDescent="0.25">
      <c r="A2943" t="s">
        <v>3110</v>
      </c>
      <c r="B2943" t="s">
        <v>180</v>
      </c>
      <c r="C2943" t="s">
        <v>120</v>
      </c>
      <c r="D2943" t="s">
        <v>93</v>
      </c>
      <c r="E2943" t="s">
        <v>138</v>
      </c>
      <c r="F2943" s="1">
        <v>42860</v>
      </c>
      <c r="G2943" s="1">
        <v>42876</v>
      </c>
      <c r="H2943">
        <v>635</v>
      </c>
      <c r="I2943" t="str">
        <f>IF(COUNTIF(Products!$A$2:$A$8,C2943)=0,C2943,"")</f>
        <v/>
      </c>
      <c r="J2943">
        <f>IF(OR(E2943="Prospecting",E2943="Engaging"),VLOOKUP(C2943,Products!$A$2:$C$8,3,FALSE),0)</f>
        <v>0</v>
      </c>
    </row>
    <row r="2944" spans="1:10" x14ac:dyDescent="0.25">
      <c r="A2944" t="s">
        <v>3111</v>
      </c>
      <c r="B2944" t="s">
        <v>180</v>
      </c>
      <c r="C2944" t="s">
        <v>122</v>
      </c>
      <c r="D2944" t="s">
        <v>75</v>
      </c>
      <c r="E2944" t="s">
        <v>138</v>
      </c>
      <c r="F2944" s="1">
        <v>42860</v>
      </c>
      <c r="G2944" s="1">
        <v>42963</v>
      </c>
      <c r="H2944">
        <v>4352</v>
      </c>
      <c r="I2944" t="str">
        <f>IF(COUNTIF(Products!$A$2:$A$8,C2944)=0,C2944,"")</f>
        <v/>
      </c>
      <c r="J2944">
        <f>IF(OR(E2944="Prospecting",E2944="Engaging"),VLOOKUP(C2944,Products!$A$2:$C$8,3,FALSE),0)</f>
        <v>0</v>
      </c>
    </row>
    <row r="2945" spans="1:10" x14ac:dyDescent="0.25">
      <c r="A2945" t="s">
        <v>3112</v>
      </c>
      <c r="B2945" t="s">
        <v>191</v>
      </c>
      <c r="C2945" t="s">
        <v>127</v>
      </c>
      <c r="D2945" t="s">
        <v>106</v>
      </c>
      <c r="E2945" t="s">
        <v>155</v>
      </c>
      <c r="F2945" s="1">
        <v>42860</v>
      </c>
      <c r="I2945" t="str">
        <f>IF(COUNTIF(Products!$A$2:$A$8,C2945)=0,C2945,"")</f>
        <v/>
      </c>
      <c r="J2945">
        <f>IF(OR(E2945="Prospecting",E2945="Engaging"),VLOOKUP(C2945,Products!$A$2:$C$8,3,FALSE),0)</f>
        <v>1096</v>
      </c>
    </row>
    <row r="2946" spans="1:10" x14ac:dyDescent="0.25">
      <c r="A2946" t="s">
        <v>3113</v>
      </c>
      <c r="B2946" t="s">
        <v>191</v>
      </c>
      <c r="C2946" t="s">
        <v>123</v>
      </c>
      <c r="D2946" t="s">
        <v>109</v>
      </c>
      <c r="E2946" t="s">
        <v>159</v>
      </c>
      <c r="F2946" s="1">
        <v>42860</v>
      </c>
      <c r="G2946" s="1">
        <v>42871</v>
      </c>
      <c r="H2946">
        <v>0</v>
      </c>
      <c r="I2946" t="str">
        <f>IF(COUNTIF(Products!$A$2:$A$8,C2946)=0,C2946,"")</f>
        <v/>
      </c>
      <c r="J2946">
        <f>IF(OR(E2946="Prospecting",E2946="Engaging"),VLOOKUP(C2946,Products!$A$2:$C$8,3,FALSE),0)</f>
        <v>0</v>
      </c>
    </row>
    <row r="2947" spans="1:10" x14ac:dyDescent="0.25">
      <c r="A2947" t="s">
        <v>3114</v>
      </c>
      <c r="B2947" t="s">
        <v>217</v>
      </c>
      <c r="C2947" t="s">
        <v>126</v>
      </c>
      <c r="D2947" t="s">
        <v>85</v>
      </c>
      <c r="E2947" t="s">
        <v>159</v>
      </c>
      <c r="F2947" s="1">
        <v>42860</v>
      </c>
      <c r="G2947" s="1">
        <v>42865</v>
      </c>
      <c r="H2947">
        <v>0</v>
      </c>
      <c r="I2947" t="str">
        <f>IF(COUNTIF(Products!$A$2:$A$8,C2947)=0,C2947,"")</f>
        <v/>
      </c>
      <c r="J2947">
        <f>IF(OR(E2947="Prospecting",E2947="Engaging"),VLOOKUP(C2947,Products!$A$2:$C$8,3,FALSE),0)</f>
        <v>0</v>
      </c>
    </row>
    <row r="2948" spans="1:10" x14ac:dyDescent="0.25">
      <c r="A2948" t="s">
        <v>3115</v>
      </c>
      <c r="B2948" t="s">
        <v>217</v>
      </c>
      <c r="C2948" t="s">
        <v>125</v>
      </c>
      <c r="D2948" t="s">
        <v>33</v>
      </c>
      <c r="E2948" t="s">
        <v>138</v>
      </c>
      <c r="F2948" s="1">
        <v>42860</v>
      </c>
      <c r="G2948" s="1">
        <v>42863</v>
      </c>
      <c r="H2948">
        <v>3952</v>
      </c>
      <c r="I2948" t="str">
        <f>IF(COUNTIF(Products!$A$2:$A$8,C2948)=0,C2948,"")</f>
        <v/>
      </c>
      <c r="J2948">
        <f>IF(OR(E2948="Prospecting",E2948="Engaging"),VLOOKUP(C2948,Products!$A$2:$C$8,3,FALSE),0)</f>
        <v>0</v>
      </c>
    </row>
    <row r="2949" spans="1:10" x14ac:dyDescent="0.25">
      <c r="A2949" t="s">
        <v>3116</v>
      </c>
      <c r="B2949" t="s">
        <v>150</v>
      </c>
      <c r="C2949" t="s">
        <v>120</v>
      </c>
      <c r="D2949" t="s">
        <v>102</v>
      </c>
      <c r="E2949" t="s">
        <v>155</v>
      </c>
      <c r="F2949" s="1">
        <v>42860</v>
      </c>
      <c r="I2949" t="str">
        <f>IF(COUNTIF(Products!$A$2:$A$8,C2949)=0,C2949,"")</f>
        <v/>
      </c>
      <c r="J2949">
        <f>IF(OR(E2949="Prospecting",E2949="Engaging"),VLOOKUP(C2949,Products!$A$2:$C$8,3,FALSE),0)</f>
        <v>550</v>
      </c>
    </row>
    <row r="2950" spans="1:10" x14ac:dyDescent="0.25">
      <c r="A2950" t="s">
        <v>3117</v>
      </c>
      <c r="B2950" t="s">
        <v>150</v>
      </c>
      <c r="C2950" t="s">
        <v>120</v>
      </c>
      <c r="E2950" t="s">
        <v>155</v>
      </c>
      <c r="F2950" s="1">
        <v>42860</v>
      </c>
      <c r="I2950" t="str">
        <f>IF(COUNTIF(Products!$A$2:$A$8,C2950)=0,C2950,"")</f>
        <v/>
      </c>
      <c r="J2950">
        <f>IF(OR(E2950="Prospecting",E2950="Engaging"),VLOOKUP(C2950,Products!$A$2:$C$8,3,FALSE),0)</f>
        <v>550</v>
      </c>
    </row>
    <row r="2951" spans="1:10" x14ac:dyDescent="0.25">
      <c r="A2951" t="s">
        <v>3118</v>
      </c>
      <c r="B2951" t="s">
        <v>150</v>
      </c>
      <c r="C2951" t="s">
        <v>120</v>
      </c>
      <c r="D2951" t="s">
        <v>67</v>
      </c>
      <c r="E2951" t="s">
        <v>138</v>
      </c>
      <c r="F2951" s="1">
        <v>42860</v>
      </c>
      <c r="G2951" s="1">
        <v>42861</v>
      </c>
      <c r="H2951">
        <v>560</v>
      </c>
      <c r="I2951" t="str">
        <f>IF(COUNTIF(Products!$A$2:$A$8,C2951)=0,C2951,"")</f>
        <v/>
      </c>
      <c r="J2951">
        <f>IF(OR(E2951="Prospecting",E2951="Engaging"),VLOOKUP(C2951,Products!$A$2:$C$8,3,FALSE),0)</f>
        <v>0</v>
      </c>
    </row>
    <row r="2952" spans="1:10" x14ac:dyDescent="0.25">
      <c r="A2952" t="s">
        <v>3119</v>
      </c>
      <c r="B2952" t="s">
        <v>205</v>
      </c>
      <c r="C2952" t="s">
        <v>127</v>
      </c>
      <c r="D2952" t="s">
        <v>14</v>
      </c>
      <c r="E2952" t="s">
        <v>159</v>
      </c>
      <c r="F2952" s="1">
        <v>42860</v>
      </c>
      <c r="G2952" s="1">
        <v>42863</v>
      </c>
      <c r="H2952">
        <v>0</v>
      </c>
      <c r="I2952" t="str">
        <f>IF(COUNTIF(Products!$A$2:$A$8,C2952)=0,C2952,"")</f>
        <v/>
      </c>
      <c r="J2952">
        <f>IF(OR(E2952="Prospecting",E2952="Engaging"),VLOOKUP(C2952,Products!$A$2:$C$8,3,FALSE),0)</f>
        <v>0</v>
      </c>
    </row>
    <row r="2953" spans="1:10" x14ac:dyDescent="0.25">
      <c r="A2953" t="s">
        <v>3120</v>
      </c>
      <c r="B2953" t="s">
        <v>152</v>
      </c>
      <c r="C2953" t="s">
        <v>127</v>
      </c>
      <c r="D2953" t="s">
        <v>46</v>
      </c>
      <c r="E2953" t="s">
        <v>138</v>
      </c>
      <c r="F2953" s="1">
        <v>42860</v>
      </c>
      <c r="G2953" s="1">
        <v>42996</v>
      </c>
      <c r="H2953">
        <v>984</v>
      </c>
      <c r="I2953" t="str">
        <f>IF(COUNTIF(Products!$A$2:$A$8,C2953)=0,C2953,"")</f>
        <v/>
      </c>
      <c r="J2953">
        <f>IF(OR(E2953="Prospecting",E2953="Engaging"),VLOOKUP(C2953,Products!$A$2:$C$8,3,FALSE),0)</f>
        <v>0</v>
      </c>
    </row>
    <row r="2954" spans="1:10" x14ac:dyDescent="0.25">
      <c r="A2954" t="s">
        <v>3121</v>
      </c>
      <c r="B2954" t="s">
        <v>193</v>
      </c>
      <c r="C2954" t="s">
        <v>125</v>
      </c>
      <c r="D2954" t="s">
        <v>106</v>
      </c>
      <c r="E2954" t="s">
        <v>159</v>
      </c>
      <c r="F2954" s="1">
        <v>42860</v>
      </c>
      <c r="G2954" s="1">
        <v>42866</v>
      </c>
      <c r="H2954">
        <v>0</v>
      </c>
      <c r="I2954" t="str">
        <f>IF(COUNTIF(Products!$A$2:$A$8,C2954)=0,C2954,"")</f>
        <v/>
      </c>
      <c r="J2954">
        <f>IF(OR(E2954="Prospecting",E2954="Engaging"),VLOOKUP(C2954,Products!$A$2:$C$8,3,FALSE),0)</f>
        <v>0</v>
      </c>
    </row>
    <row r="2955" spans="1:10" x14ac:dyDescent="0.25">
      <c r="A2955" t="s">
        <v>3122</v>
      </c>
      <c r="B2955" t="s">
        <v>148</v>
      </c>
      <c r="C2955" t="s">
        <v>120</v>
      </c>
      <c r="D2955" t="s">
        <v>41</v>
      </c>
      <c r="E2955" t="s">
        <v>138</v>
      </c>
      <c r="F2955" s="1">
        <v>42860</v>
      </c>
      <c r="G2955" s="1">
        <v>42869</v>
      </c>
      <c r="H2955">
        <v>579</v>
      </c>
      <c r="I2955" t="str">
        <f>IF(COUNTIF(Products!$A$2:$A$8,C2955)=0,C2955,"")</f>
        <v/>
      </c>
      <c r="J2955">
        <f>IF(OR(E2955="Prospecting",E2955="Engaging"),VLOOKUP(C2955,Products!$A$2:$C$8,3,FALSE),0)</f>
        <v>0</v>
      </c>
    </row>
    <row r="2956" spans="1:10" x14ac:dyDescent="0.25">
      <c r="A2956" t="s">
        <v>3123</v>
      </c>
      <c r="B2956" t="s">
        <v>148</v>
      </c>
      <c r="C2956" t="s">
        <v>127</v>
      </c>
      <c r="D2956" t="s">
        <v>59</v>
      </c>
      <c r="E2956" t="s">
        <v>138</v>
      </c>
      <c r="F2956" s="1">
        <v>42860</v>
      </c>
      <c r="G2956" s="1">
        <v>42957</v>
      </c>
      <c r="H2956">
        <v>1151</v>
      </c>
      <c r="I2956" t="str">
        <f>IF(COUNTIF(Products!$A$2:$A$8,C2956)=0,C2956,"")</f>
        <v/>
      </c>
      <c r="J2956">
        <f>IF(OR(E2956="Prospecting",E2956="Engaging"),VLOOKUP(C2956,Products!$A$2:$C$8,3,FALSE),0)</f>
        <v>0</v>
      </c>
    </row>
    <row r="2957" spans="1:10" x14ac:dyDescent="0.25">
      <c r="A2957" t="s">
        <v>3124</v>
      </c>
      <c r="B2957" t="s">
        <v>177</v>
      </c>
      <c r="C2957" t="s">
        <v>127</v>
      </c>
      <c r="D2957" t="s">
        <v>37</v>
      </c>
      <c r="E2957" t="s">
        <v>138</v>
      </c>
      <c r="F2957" s="1">
        <v>42860</v>
      </c>
      <c r="G2957" s="1">
        <v>42972</v>
      </c>
      <c r="H2957">
        <v>881</v>
      </c>
      <c r="I2957" t="str">
        <f>IF(COUNTIF(Products!$A$2:$A$8,C2957)=0,C2957,"")</f>
        <v/>
      </c>
      <c r="J2957">
        <f>IF(OR(E2957="Prospecting",E2957="Engaging"),VLOOKUP(C2957,Products!$A$2:$C$8,3,FALSE),0)</f>
        <v>0</v>
      </c>
    </row>
    <row r="2958" spans="1:10" x14ac:dyDescent="0.25">
      <c r="A2958" t="s">
        <v>3125</v>
      </c>
      <c r="B2958" t="s">
        <v>177</v>
      </c>
      <c r="C2958" t="s">
        <v>123</v>
      </c>
      <c r="D2958" t="s">
        <v>105</v>
      </c>
      <c r="E2958" t="s">
        <v>138</v>
      </c>
      <c r="F2958" s="1">
        <v>42860</v>
      </c>
      <c r="G2958" s="1">
        <v>42964</v>
      </c>
      <c r="H2958">
        <v>59</v>
      </c>
      <c r="I2958" t="str">
        <f>IF(COUNTIF(Products!$A$2:$A$8,C2958)=0,C2958,"")</f>
        <v/>
      </c>
      <c r="J2958">
        <f>IF(OR(E2958="Prospecting",E2958="Engaging"),VLOOKUP(C2958,Products!$A$2:$C$8,3,FALSE),0)</f>
        <v>0</v>
      </c>
    </row>
    <row r="2959" spans="1:10" x14ac:dyDescent="0.25">
      <c r="A2959" t="s">
        <v>3126</v>
      </c>
      <c r="B2959" t="s">
        <v>144</v>
      </c>
      <c r="C2959" t="s">
        <v>120</v>
      </c>
      <c r="D2959" t="s">
        <v>82</v>
      </c>
      <c r="E2959" t="s">
        <v>138</v>
      </c>
      <c r="F2959" s="1">
        <v>42860</v>
      </c>
      <c r="G2959" s="1">
        <v>42867</v>
      </c>
      <c r="H2959">
        <v>608</v>
      </c>
      <c r="I2959" t="str">
        <f>IF(COUNTIF(Products!$A$2:$A$8,C2959)=0,C2959,"")</f>
        <v/>
      </c>
      <c r="J2959">
        <f>IF(OR(E2959="Prospecting",E2959="Engaging"),VLOOKUP(C2959,Products!$A$2:$C$8,3,FALSE),0)</f>
        <v>0</v>
      </c>
    </row>
    <row r="2960" spans="1:10" x14ac:dyDescent="0.25">
      <c r="A2960" t="s">
        <v>3127</v>
      </c>
      <c r="B2960" t="s">
        <v>146</v>
      </c>
      <c r="C2960" t="s">
        <v>126</v>
      </c>
      <c r="D2960" t="s">
        <v>36</v>
      </c>
      <c r="E2960" t="s">
        <v>138</v>
      </c>
      <c r="F2960" s="1">
        <v>42861</v>
      </c>
      <c r="G2960" s="1">
        <v>42864</v>
      </c>
      <c r="H2960">
        <v>4784</v>
      </c>
      <c r="I2960" t="str">
        <f>IF(COUNTIF(Products!$A$2:$A$8,C2960)=0,C2960,"")</f>
        <v/>
      </c>
      <c r="J2960">
        <f>IF(OR(E2960="Prospecting",E2960="Engaging"),VLOOKUP(C2960,Products!$A$2:$C$8,3,FALSE),0)</f>
        <v>0</v>
      </c>
    </row>
    <row r="2961" spans="1:10" x14ac:dyDescent="0.25">
      <c r="A2961" t="s">
        <v>3128</v>
      </c>
      <c r="B2961" t="s">
        <v>222</v>
      </c>
      <c r="C2961" t="s">
        <v>125</v>
      </c>
      <c r="D2961" t="s">
        <v>7</v>
      </c>
      <c r="E2961" t="s">
        <v>138</v>
      </c>
      <c r="F2961" s="1">
        <v>42861</v>
      </c>
      <c r="G2961" s="1">
        <v>42877</v>
      </c>
      <c r="H2961">
        <v>3370</v>
      </c>
      <c r="I2961" t="str">
        <f>IF(COUNTIF(Products!$A$2:$A$8,C2961)=0,C2961,"")</f>
        <v/>
      </c>
      <c r="J2961">
        <f>IF(OR(E2961="Prospecting",E2961="Engaging"),VLOOKUP(C2961,Products!$A$2:$C$8,3,FALSE),0)</f>
        <v>0</v>
      </c>
    </row>
    <row r="2962" spans="1:10" x14ac:dyDescent="0.25">
      <c r="A2962" t="s">
        <v>3129</v>
      </c>
      <c r="B2962" t="s">
        <v>207</v>
      </c>
      <c r="C2962" t="s">
        <v>123</v>
      </c>
      <c r="D2962" t="s">
        <v>10</v>
      </c>
      <c r="E2962" t="s">
        <v>159</v>
      </c>
      <c r="F2962" s="1">
        <v>42861</v>
      </c>
      <c r="G2962" s="1">
        <v>42879</v>
      </c>
      <c r="H2962">
        <v>0</v>
      </c>
      <c r="I2962" t="str">
        <f>IF(COUNTIF(Products!$A$2:$A$8,C2962)=0,C2962,"")</f>
        <v/>
      </c>
      <c r="J2962">
        <f>IF(OR(E2962="Prospecting",E2962="Engaging"),VLOOKUP(C2962,Products!$A$2:$C$8,3,FALSE),0)</f>
        <v>0</v>
      </c>
    </row>
    <row r="2963" spans="1:10" x14ac:dyDescent="0.25">
      <c r="A2963" t="s">
        <v>3130</v>
      </c>
      <c r="B2963" t="s">
        <v>239</v>
      </c>
      <c r="C2963" t="s">
        <v>126</v>
      </c>
      <c r="D2963" t="s">
        <v>48</v>
      </c>
      <c r="E2963" t="s">
        <v>155</v>
      </c>
      <c r="F2963" s="1">
        <v>42861</v>
      </c>
      <c r="I2963" t="str">
        <f>IF(COUNTIF(Products!$A$2:$A$8,C2963)=0,C2963,"")</f>
        <v/>
      </c>
      <c r="J2963">
        <f>IF(OR(E2963="Prospecting",E2963="Engaging"),VLOOKUP(C2963,Products!$A$2:$C$8,3,FALSE),0)</f>
        <v>5482</v>
      </c>
    </row>
    <row r="2964" spans="1:10" x14ac:dyDescent="0.25">
      <c r="A2964" t="s">
        <v>3131</v>
      </c>
      <c r="B2964" t="s">
        <v>140</v>
      </c>
      <c r="C2964" t="s">
        <v>127</v>
      </c>
      <c r="D2964" t="s">
        <v>46</v>
      </c>
      <c r="E2964" t="s">
        <v>159</v>
      </c>
      <c r="F2964" s="1">
        <v>42861</v>
      </c>
      <c r="G2964" s="1">
        <v>42988</v>
      </c>
      <c r="H2964">
        <v>0</v>
      </c>
      <c r="I2964" t="str">
        <f>IF(COUNTIF(Products!$A$2:$A$8,C2964)=0,C2964,"")</f>
        <v/>
      </c>
      <c r="J2964">
        <f>IF(OR(E2964="Prospecting",E2964="Engaging"),VLOOKUP(C2964,Products!$A$2:$C$8,3,FALSE),0)</f>
        <v>0</v>
      </c>
    </row>
    <row r="2965" spans="1:10" x14ac:dyDescent="0.25">
      <c r="A2965" t="s">
        <v>3132</v>
      </c>
      <c r="B2965" t="s">
        <v>140</v>
      </c>
      <c r="C2965" t="s">
        <v>120</v>
      </c>
      <c r="D2965" t="s">
        <v>46</v>
      </c>
      <c r="E2965" t="s">
        <v>138</v>
      </c>
      <c r="F2965" s="1">
        <v>42861</v>
      </c>
      <c r="G2965" s="1">
        <v>42964</v>
      </c>
      <c r="H2965">
        <v>526</v>
      </c>
      <c r="I2965" t="str">
        <f>IF(COUNTIF(Products!$A$2:$A$8,C2965)=0,C2965,"")</f>
        <v/>
      </c>
      <c r="J2965">
        <f>IF(OR(E2965="Prospecting",E2965="Engaging"),VLOOKUP(C2965,Products!$A$2:$C$8,3,FALSE),0)</f>
        <v>0</v>
      </c>
    </row>
    <row r="2966" spans="1:10" x14ac:dyDescent="0.25">
      <c r="A2966" t="s">
        <v>3133</v>
      </c>
      <c r="B2966" t="s">
        <v>224</v>
      </c>
      <c r="C2966" t="s">
        <v>127</v>
      </c>
      <c r="D2966" t="s">
        <v>73</v>
      </c>
      <c r="E2966" t="s">
        <v>159</v>
      </c>
      <c r="F2966" s="1">
        <v>42861</v>
      </c>
      <c r="G2966" s="1">
        <v>42867</v>
      </c>
      <c r="H2966">
        <v>0</v>
      </c>
      <c r="I2966" t="str">
        <f>IF(COUNTIF(Products!$A$2:$A$8,C2966)=0,C2966,"")</f>
        <v/>
      </c>
      <c r="J2966">
        <f>IF(OR(E2966="Prospecting",E2966="Engaging"),VLOOKUP(C2966,Products!$A$2:$C$8,3,FALSE),0)</f>
        <v>0</v>
      </c>
    </row>
    <row r="2967" spans="1:10" x14ac:dyDescent="0.25">
      <c r="A2967" t="s">
        <v>3134</v>
      </c>
      <c r="B2967" t="s">
        <v>158</v>
      </c>
      <c r="C2967" t="s">
        <v>122</v>
      </c>
      <c r="D2967" t="s">
        <v>61</v>
      </c>
      <c r="E2967" t="s">
        <v>138</v>
      </c>
      <c r="F2967" s="1">
        <v>42861</v>
      </c>
      <c r="G2967" s="1">
        <v>42915</v>
      </c>
      <c r="H2967">
        <v>5028</v>
      </c>
      <c r="I2967" t="str">
        <f>IF(COUNTIF(Products!$A$2:$A$8,C2967)=0,C2967,"")</f>
        <v/>
      </c>
      <c r="J2967">
        <f>IF(OR(E2967="Prospecting",E2967="Engaging"),VLOOKUP(C2967,Products!$A$2:$C$8,3,FALSE),0)</f>
        <v>0</v>
      </c>
    </row>
    <row r="2968" spans="1:10" x14ac:dyDescent="0.25">
      <c r="A2968" t="s">
        <v>3135</v>
      </c>
      <c r="B2968" t="s">
        <v>303</v>
      </c>
      <c r="C2968" t="s">
        <v>120</v>
      </c>
      <c r="D2968" t="s">
        <v>27</v>
      </c>
      <c r="E2968" t="s">
        <v>159</v>
      </c>
      <c r="F2968" s="1">
        <v>42861</v>
      </c>
      <c r="G2968" s="1">
        <v>42878</v>
      </c>
      <c r="H2968">
        <v>0</v>
      </c>
      <c r="I2968" t="str">
        <f>IF(COUNTIF(Products!$A$2:$A$8,C2968)=0,C2968,"")</f>
        <v/>
      </c>
      <c r="J2968">
        <f>IF(OR(E2968="Prospecting",E2968="Engaging"),VLOOKUP(C2968,Products!$A$2:$C$8,3,FALSE),0)</f>
        <v>0</v>
      </c>
    </row>
    <row r="2969" spans="1:10" x14ac:dyDescent="0.25">
      <c r="A2969" t="s">
        <v>3136</v>
      </c>
      <c r="B2969" t="s">
        <v>303</v>
      </c>
      <c r="C2969" t="s">
        <v>122</v>
      </c>
      <c r="D2969" t="s">
        <v>64</v>
      </c>
      <c r="E2969" t="s">
        <v>159</v>
      </c>
      <c r="F2969" s="1">
        <v>42861</v>
      </c>
      <c r="G2969" s="1">
        <v>42873</v>
      </c>
      <c r="H2969">
        <v>0</v>
      </c>
      <c r="I2969" t="str">
        <f>IF(COUNTIF(Products!$A$2:$A$8,C2969)=0,C2969,"")</f>
        <v/>
      </c>
      <c r="J2969">
        <f>IF(OR(E2969="Prospecting",E2969="Engaging"),VLOOKUP(C2969,Products!$A$2:$C$8,3,FALSE),0)</f>
        <v>0</v>
      </c>
    </row>
    <row r="2970" spans="1:10" x14ac:dyDescent="0.25">
      <c r="A2970" t="s">
        <v>3137</v>
      </c>
      <c r="B2970" t="s">
        <v>191</v>
      </c>
      <c r="C2970" t="s">
        <v>120</v>
      </c>
      <c r="D2970" t="s">
        <v>63</v>
      </c>
      <c r="E2970" t="s">
        <v>155</v>
      </c>
      <c r="F2970" s="1">
        <v>42861</v>
      </c>
      <c r="I2970" t="str">
        <f>IF(COUNTIF(Products!$A$2:$A$8,C2970)=0,C2970,"")</f>
        <v/>
      </c>
      <c r="J2970">
        <f>IF(OR(E2970="Prospecting",E2970="Engaging"),VLOOKUP(C2970,Products!$A$2:$C$8,3,FALSE),0)</f>
        <v>550</v>
      </c>
    </row>
    <row r="2971" spans="1:10" x14ac:dyDescent="0.25">
      <c r="A2971" t="s">
        <v>3138</v>
      </c>
      <c r="B2971" t="s">
        <v>217</v>
      </c>
      <c r="C2971" t="s">
        <v>120</v>
      </c>
      <c r="D2971" t="s">
        <v>26</v>
      </c>
      <c r="E2971" t="s">
        <v>159</v>
      </c>
      <c r="F2971" s="1">
        <v>42861</v>
      </c>
      <c r="G2971" s="1">
        <v>42873</v>
      </c>
      <c r="H2971">
        <v>0</v>
      </c>
      <c r="I2971" t="str">
        <f>IF(COUNTIF(Products!$A$2:$A$8,C2971)=0,C2971,"")</f>
        <v/>
      </c>
      <c r="J2971">
        <f>IF(OR(E2971="Prospecting",E2971="Engaging"),VLOOKUP(C2971,Products!$A$2:$C$8,3,FALSE),0)</f>
        <v>0</v>
      </c>
    </row>
    <row r="2972" spans="1:10" x14ac:dyDescent="0.25">
      <c r="A2972" t="s">
        <v>3139</v>
      </c>
      <c r="B2972" t="s">
        <v>217</v>
      </c>
      <c r="C2972" t="s">
        <v>120</v>
      </c>
      <c r="D2972" t="s">
        <v>30</v>
      </c>
      <c r="E2972" t="s">
        <v>159</v>
      </c>
      <c r="F2972" s="1">
        <v>42861</v>
      </c>
      <c r="G2972" s="1">
        <v>42875</v>
      </c>
      <c r="H2972">
        <v>0</v>
      </c>
      <c r="I2972" t="str">
        <f>IF(COUNTIF(Products!$A$2:$A$8,C2972)=0,C2972,"")</f>
        <v/>
      </c>
      <c r="J2972">
        <f>IF(OR(E2972="Prospecting",E2972="Engaging"),VLOOKUP(C2972,Products!$A$2:$C$8,3,FALSE),0)</f>
        <v>0</v>
      </c>
    </row>
    <row r="2973" spans="1:10" x14ac:dyDescent="0.25">
      <c r="A2973" t="s">
        <v>3140</v>
      </c>
      <c r="B2973" t="s">
        <v>217</v>
      </c>
      <c r="C2973" t="s">
        <v>125</v>
      </c>
      <c r="D2973" t="s">
        <v>96</v>
      </c>
      <c r="E2973" t="s">
        <v>159</v>
      </c>
      <c r="F2973" s="1">
        <v>42861</v>
      </c>
      <c r="G2973" s="1">
        <v>42878</v>
      </c>
      <c r="H2973">
        <v>0</v>
      </c>
      <c r="I2973" t="str">
        <f>IF(COUNTIF(Products!$A$2:$A$8,C2973)=0,C2973,"")</f>
        <v/>
      </c>
      <c r="J2973">
        <f>IF(OR(E2973="Prospecting",E2973="Engaging"),VLOOKUP(C2973,Products!$A$2:$C$8,3,FALSE),0)</f>
        <v>0</v>
      </c>
    </row>
    <row r="2974" spans="1:10" x14ac:dyDescent="0.25">
      <c r="A2974" t="s">
        <v>3141</v>
      </c>
      <c r="B2974" t="s">
        <v>150</v>
      </c>
      <c r="C2974" t="s">
        <v>127</v>
      </c>
      <c r="E2974" t="s">
        <v>155</v>
      </c>
      <c r="F2974" s="1">
        <v>42861</v>
      </c>
      <c r="I2974" t="str">
        <f>IF(COUNTIF(Products!$A$2:$A$8,C2974)=0,C2974,"")</f>
        <v/>
      </c>
      <c r="J2974">
        <f>IF(OR(E2974="Prospecting",E2974="Engaging"),VLOOKUP(C2974,Products!$A$2:$C$8,3,FALSE),0)</f>
        <v>1096</v>
      </c>
    </row>
    <row r="2975" spans="1:10" x14ac:dyDescent="0.25">
      <c r="A2975" t="s">
        <v>3142</v>
      </c>
      <c r="B2975" t="s">
        <v>137</v>
      </c>
      <c r="C2975" t="s">
        <v>120</v>
      </c>
      <c r="D2975" t="s">
        <v>51</v>
      </c>
      <c r="E2975" t="s">
        <v>138</v>
      </c>
      <c r="F2975" s="1">
        <v>42861</v>
      </c>
      <c r="G2975" s="1">
        <v>42877</v>
      </c>
      <c r="H2975">
        <v>569</v>
      </c>
      <c r="I2975" t="str">
        <f>IF(COUNTIF(Products!$A$2:$A$8,C2975)=0,C2975,"")</f>
        <v/>
      </c>
      <c r="J2975">
        <f>IF(OR(E2975="Prospecting",E2975="Engaging"),VLOOKUP(C2975,Products!$A$2:$C$8,3,FALSE),0)</f>
        <v>0</v>
      </c>
    </row>
    <row r="2976" spans="1:10" x14ac:dyDescent="0.25">
      <c r="A2976" t="s">
        <v>3143</v>
      </c>
      <c r="B2976" t="s">
        <v>152</v>
      </c>
      <c r="C2976" t="s">
        <v>123</v>
      </c>
      <c r="D2976" t="s">
        <v>26</v>
      </c>
      <c r="E2976" t="s">
        <v>159</v>
      </c>
      <c r="F2976" s="1">
        <v>42861</v>
      </c>
      <c r="G2976" s="1">
        <v>42881</v>
      </c>
      <c r="H2976">
        <v>0</v>
      </c>
      <c r="I2976" t="str">
        <f>IF(COUNTIF(Products!$A$2:$A$8,C2976)=0,C2976,"")</f>
        <v/>
      </c>
      <c r="J2976">
        <f>IF(OR(E2976="Prospecting",E2976="Engaging"),VLOOKUP(C2976,Products!$A$2:$C$8,3,FALSE),0)</f>
        <v>0</v>
      </c>
    </row>
    <row r="2977" spans="1:10" x14ac:dyDescent="0.25">
      <c r="A2977" t="s">
        <v>3144</v>
      </c>
      <c r="B2977" t="s">
        <v>187</v>
      </c>
      <c r="C2977" t="s">
        <v>126</v>
      </c>
      <c r="D2977" t="s">
        <v>50</v>
      </c>
      <c r="E2977" t="s">
        <v>159</v>
      </c>
      <c r="F2977" s="1">
        <v>42861</v>
      </c>
      <c r="G2977" s="1">
        <v>42949</v>
      </c>
      <c r="H2977">
        <v>0</v>
      </c>
      <c r="I2977" t="str">
        <f>IF(COUNTIF(Products!$A$2:$A$8,C2977)=0,C2977,"")</f>
        <v/>
      </c>
      <c r="J2977">
        <f>IF(OR(E2977="Prospecting",E2977="Engaging"),VLOOKUP(C2977,Products!$A$2:$C$8,3,FALSE),0)</f>
        <v>0</v>
      </c>
    </row>
    <row r="2978" spans="1:10" x14ac:dyDescent="0.25">
      <c r="A2978" t="s">
        <v>3145</v>
      </c>
      <c r="B2978" t="s">
        <v>187</v>
      </c>
      <c r="C2978" t="s">
        <v>123</v>
      </c>
      <c r="D2978" t="s">
        <v>67</v>
      </c>
      <c r="E2978" t="s">
        <v>138</v>
      </c>
      <c r="F2978" s="1">
        <v>42861</v>
      </c>
      <c r="G2978" s="1">
        <v>42956</v>
      </c>
      <c r="H2978">
        <v>51</v>
      </c>
      <c r="I2978" t="str">
        <f>IF(COUNTIF(Products!$A$2:$A$8,C2978)=0,C2978,"")</f>
        <v/>
      </c>
      <c r="J2978">
        <f>IF(OR(E2978="Prospecting",E2978="Engaging"),VLOOKUP(C2978,Products!$A$2:$C$8,3,FALSE),0)</f>
        <v>0</v>
      </c>
    </row>
    <row r="2979" spans="1:10" x14ac:dyDescent="0.25">
      <c r="A2979" t="s">
        <v>3146</v>
      </c>
      <c r="B2979" t="s">
        <v>148</v>
      </c>
      <c r="C2979" t="s">
        <v>126</v>
      </c>
      <c r="D2979" t="s">
        <v>47</v>
      </c>
      <c r="E2979" t="s">
        <v>155</v>
      </c>
      <c r="F2979" s="1">
        <v>42861</v>
      </c>
      <c r="I2979" t="str">
        <f>IF(COUNTIF(Products!$A$2:$A$8,C2979)=0,C2979,"")</f>
        <v/>
      </c>
      <c r="J2979">
        <f>IF(OR(E2979="Prospecting",E2979="Engaging"),VLOOKUP(C2979,Products!$A$2:$C$8,3,FALSE),0)</f>
        <v>5482</v>
      </c>
    </row>
    <row r="2980" spans="1:10" x14ac:dyDescent="0.25">
      <c r="A2980" t="s">
        <v>3147</v>
      </c>
      <c r="B2980" t="s">
        <v>148</v>
      </c>
      <c r="C2980" t="s">
        <v>122</v>
      </c>
      <c r="E2980" t="s">
        <v>155</v>
      </c>
      <c r="F2980" s="1">
        <v>42861</v>
      </c>
      <c r="I2980" t="str">
        <f>IF(COUNTIF(Products!$A$2:$A$8,C2980)=0,C2980,"")</f>
        <v/>
      </c>
      <c r="J2980">
        <f>IF(OR(E2980="Prospecting",E2980="Engaging"),VLOOKUP(C2980,Products!$A$2:$C$8,3,FALSE),0)</f>
        <v>4821</v>
      </c>
    </row>
    <row r="2981" spans="1:10" x14ac:dyDescent="0.25">
      <c r="A2981" t="s">
        <v>3148</v>
      </c>
      <c r="B2981" t="s">
        <v>146</v>
      </c>
      <c r="C2981" t="s">
        <v>127</v>
      </c>
      <c r="D2981" t="s">
        <v>30</v>
      </c>
      <c r="E2981" t="s">
        <v>159</v>
      </c>
      <c r="F2981" s="1">
        <v>42862</v>
      </c>
      <c r="G2981" s="1">
        <v>42977</v>
      </c>
      <c r="H2981">
        <v>0</v>
      </c>
      <c r="I2981" t="str">
        <f>IF(COUNTIF(Products!$A$2:$A$8,C2981)=0,C2981,"")</f>
        <v/>
      </c>
      <c r="J2981">
        <f>IF(OR(E2981="Prospecting",E2981="Engaging"),VLOOKUP(C2981,Products!$A$2:$C$8,3,FALSE),0)</f>
        <v>0</v>
      </c>
    </row>
    <row r="2982" spans="1:10" x14ac:dyDescent="0.25">
      <c r="A2982" t="s">
        <v>3149</v>
      </c>
      <c r="B2982" t="s">
        <v>207</v>
      </c>
      <c r="C2982" t="s">
        <v>125</v>
      </c>
      <c r="D2982" t="s">
        <v>20</v>
      </c>
      <c r="E2982" t="s">
        <v>138</v>
      </c>
      <c r="F2982" s="1">
        <v>42862</v>
      </c>
      <c r="G2982" s="1">
        <v>42876</v>
      </c>
      <c r="H2982">
        <v>4287</v>
      </c>
      <c r="I2982" t="str">
        <f>IF(COUNTIF(Products!$A$2:$A$8,C2982)=0,C2982,"")</f>
        <v/>
      </c>
      <c r="J2982">
        <f>IF(OR(E2982="Prospecting",E2982="Engaging"),VLOOKUP(C2982,Products!$A$2:$C$8,3,FALSE),0)</f>
        <v>0</v>
      </c>
    </row>
    <row r="2983" spans="1:10" x14ac:dyDescent="0.25">
      <c r="A2983" t="s">
        <v>3150</v>
      </c>
      <c r="B2983" t="s">
        <v>239</v>
      </c>
      <c r="C2983" t="s">
        <v>127</v>
      </c>
      <c r="D2983" t="s">
        <v>84</v>
      </c>
      <c r="E2983" t="s">
        <v>155</v>
      </c>
      <c r="F2983" s="1">
        <v>42862</v>
      </c>
      <c r="I2983" t="str">
        <f>IF(COUNTIF(Products!$A$2:$A$8,C2983)=0,C2983,"")</f>
        <v/>
      </c>
      <c r="J2983">
        <f>IF(OR(E2983="Prospecting",E2983="Engaging"),VLOOKUP(C2983,Products!$A$2:$C$8,3,FALSE),0)</f>
        <v>1096</v>
      </c>
    </row>
    <row r="2984" spans="1:10" x14ac:dyDescent="0.25">
      <c r="A2984" t="s">
        <v>3151</v>
      </c>
      <c r="B2984" t="s">
        <v>239</v>
      </c>
      <c r="C2984" t="s">
        <v>122</v>
      </c>
      <c r="E2984" t="s">
        <v>155</v>
      </c>
      <c r="F2984" s="1">
        <v>42862</v>
      </c>
      <c r="I2984" t="str">
        <f>IF(COUNTIF(Products!$A$2:$A$8,C2984)=0,C2984,"")</f>
        <v/>
      </c>
      <c r="J2984">
        <f>IF(OR(E2984="Prospecting",E2984="Engaging"),VLOOKUP(C2984,Products!$A$2:$C$8,3,FALSE),0)</f>
        <v>4821</v>
      </c>
    </row>
    <row r="2985" spans="1:10" x14ac:dyDescent="0.25">
      <c r="A2985" t="s">
        <v>3152</v>
      </c>
      <c r="B2985" t="s">
        <v>239</v>
      </c>
      <c r="C2985" t="s">
        <v>122</v>
      </c>
      <c r="D2985" t="s">
        <v>80</v>
      </c>
      <c r="E2985" t="s">
        <v>138</v>
      </c>
      <c r="F2985" s="1">
        <v>42862</v>
      </c>
      <c r="G2985" s="1">
        <v>42870</v>
      </c>
      <c r="H2985">
        <v>3960</v>
      </c>
      <c r="I2985" t="str">
        <f>IF(COUNTIF(Products!$A$2:$A$8,C2985)=0,C2985,"")</f>
        <v/>
      </c>
      <c r="J2985">
        <f>IF(OR(E2985="Prospecting",E2985="Engaging"),VLOOKUP(C2985,Products!$A$2:$C$8,3,FALSE),0)</f>
        <v>0</v>
      </c>
    </row>
    <row r="2986" spans="1:10" x14ac:dyDescent="0.25">
      <c r="A2986" t="s">
        <v>3153</v>
      </c>
      <c r="B2986" t="s">
        <v>224</v>
      </c>
      <c r="C2986" t="s">
        <v>122</v>
      </c>
      <c r="D2986" t="s">
        <v>69</v>
      </c>
      <c r="E2986" t="s">
        <v>159</v>
      </c>
      <c r="F2986" s="1">
        <v>42862</v>
      </c>
      <c r="G2986" s="1">
        <v>42864</v>
      </c>
      <c r="H2986">
        <v>0</v>
      </c>
      <c r="I2986" t="str">
        <f>IF(COUNTIF(Products!$A$2:$A$8,C2986)=0,C2986,"")</f>
        <v/>
      </c>
      <c r="J2986">
        <f>IF(OR(E2986="Prospecting",E2986="Engaging"),VLOOKUP(C2986,Products!$A$2:$C$8,3,FALSE),0)</f>
        <v>0</v>
      </c>
    </row>
    <row r="2987" spans="1:10" x14ac:dyDescent="0.25">
      <c r="A2987" t="s">
        <v>3154</v>
      </c>
      <c r="B2987" t="s">
        <v>303</v>
      </c>
      <c r="C2987" t="s">
        <v>127</v>
      </c>
      <c r="D2987" t="s">
        <v>26</v>
      </c>
      <c r="E2987" t="s">
        <v>138</v>
      </c>
      <c r="F2987" s="1">
        <v>42862</v>
      </c>
      <c r="G2987" s="1">
        <v>42980</v>
      </c>
      <c r="H2987">
        <v>1093</v>
      </c>
      <c r="I2987" t="str">
        <f>IF(COUNTIF(Products!$A$2:$A$8,C2987)=0,C2987,"")</f>
        <v/>
      </c>
      <c r="J2987">
        <f>IF(OR(E2987="Prospecting",E2987="Engaging"),VLOOKUP(C2987,Products!$A$2:$C$8,3,FALSE),0)</f>
        <v>0</v>
      </c>
    </row>
    <row r="2988" spans="1:10" x14ac:dyDescent="0.25">
      <c r="A2988" t="s">
        <v>3155</v>
      </c>
      <c r="B2988" t="s">
        <v>303</v>
      </c>
      <c r="C2988" t="s">
        <v>127</v>
      </c>
      <c r="D2988" t="s">
        <v>77</v>
      </c>
      <c r="E2988" t="s">
        <v>138</v>
      </c>
      <c r="F2988" s="1">
        <v>42862</v>
      </c>
      <c r="G2988" s="1">
        <v>42957</v>
      </c>
      <c r="H2988">
        <v>1194</v>
      </c>
      <c r="I2988" t="str">
        <f>IF(COUNTIF(Products!$A$2:$A$8,C2988)=0,C2988,"")</f>
        <v/>
      </c>
      <c r="J2988">
        <f>IF(OR(E2988="Prospecting",E2988="Engaging"),VLOOKUP(C2988,Products!$A$2:$C$8,3,FALSE),0)</f>
        <v>0</v>
      </c>
    </row>
    <row r="2989" spans="1:10" x14ac:dyDescent="0.25">
      <c r="A2989" t="s">
        <v>3156</v>
      </c>
      <c r="B2989" t="s">
        <v>303</v>
      </c>
      <c r="C2989" t="s">
        <v>122</v>
      </c>
      <c r="D2989" t="s">
        <v>85</v>
      </c>
      <c r="E2989" t="s">
        <v>138</v>
      </c>
      <c r="F2989" s="1">
        <v>42862</v>
      </c>
      <c r="G2989" s="1">
        <v>42961</v>
      </c>
      <c r="H2989">
        <v>5310</v>
      </c>
      <c r="I2989" t="str">
        <f>IF(COUNTIF(Products!$A$2:$A$8,C2989)=0,C2989,"")</f>
        <v/>
      </c>
      <c r="J2989">
        <f>IF(OR(E2989="Prospecting",E2989="Engaging"),VLOOKUP(C2989,Products!$A$2:$C$8,3,FALSE),0)</f>
        <v>0</v>
      </c>
    </row>
    <row r="2990" spans="1:10" x14ac:dyDescent="0.25">
      <c r="A2990" t="s">
        <v>3157</v>
      </c>
      <c r="B2990" t="s">
        <v>180</v>
      </c>
      <c r="C2990" t="s">
        <v>127</v>
      </c>
      <c r="D2990" t="s">
        <v>17</v>
      </c>
      <c r="E2990" t="s">
        <v>159</v>
      </c>
      <c r="F2990" s="1">
        <v>42862</v>
      </c>
      <c r="G2990" s="1">
        <v>42951</v>
      </c>
      <c r="H2990">
        <v>0</v>
      </c>
      <c r="I2990" t="str">
        <f>IF(COUNTIF(Products!$A$2:$A$8,C2990)=0,C2990,"")</f>
        <v/>
      </c>
      <c r="J2990">
        <f>IF(OR(E2990="Prospecting",E2990="Engaging"),VLOOKUP(C2990,Products!$A$2:$C$8,3,FALSE),0)</f>
        <v>0</v>
      </c>
    </row>
    <row r="2991" spans="1:10" x14ac:dyDescent="0.25">
      <c r="A2991" t="s">
        <v>3158</v>
      </c>
      <c r="B2991" t="s">
        <v>191</v>
      </c>
      <c r="C2991" t="s">
        <v>127</v>
      </c>
      <c r="D2991" t="s">
        <v>38</v>
      </c>
      <c r="E2991" t="s">
        <v>159</v>
      </c>
      <c r="F2991" s="1">
        <v>42862</v>
      </c>
      <c r="G2991" s="1">
        <v>42875</v>
      </c>
      <c r="H2991">
        <v>0</v>
      </c>
      <c r="I2991" t="str">
        <f>IF(COUNTIF(Products!$A$2:$A$8,C2991)=0,C2991,"")</f>
        <v/>
      </c>
      <c r="J2991">
        <f>IF(OR(E2991="Prospecting",E2991="Engaging"),VLOOKUP(C2991,Products!$A$2:$C$8,3,FALSE),0)</f>
        <v>0</v>
      </c>
    </row>
    <row r="2992" spans="1:10" x14ac:dyDescent="0.25">
      <c r="A2992" t="s">
        <v>3159</v>
      </c>
      <c r="B2992" t="s">
        <v>217</v>
      </c>
      <c r="C2992" t="s">
        <v>120</v>
      </c>
      <c r="D2992" t="s">
        <v>61</v>
      </c>
      <c r="E2992" t="s">
        <v>159</v>
      </c>
      <c r="F2992" s="1">
        <v>42862</v>
      </c>
      <c r="G2992" s="1">
        <v>42950</v>
      </c>
      <c r="H2992">
        <v>0</v>
      </c>
      <c r="I2992" t="str">
        <f>IF(COUNTIF(Products!$A$2:$A$8,C2992)=0,C2992,"")</f>
        <v/>
      </c>
      <c r="J2992">
        <f>IF(OR(E2992="Prospecting",E2992="Engaging"),VLOOKUP(C2992,Products!$A$2:$C$8,3,FALSE),0)</f>
        <v>0</v>
      </c>
    </row>
    <row r="2993" spans="1:10" x14ac:dyDescent="0.25">
      <c r="A2993" t="s">
        <v>3160</v>
      </c>
      <c r="B2993" t="s">
        <v>150</v>
      </c>
      <c r="C2993" t="s">
        <v>126</v>
      </c>
      <c r="E2993" t="s">
        <v>155</v>
      </c>
      <c r="F2993" s="1">
        <v>42862</v>
      </c>
      <c r="I2993" t="str">
        <f>IF(COUNTIF(Products!$A$2:$A$8,C2993)=0,C2993,"")</f>
        <v/>
      </c>
      <c r="J2993">
        <f>IF(OR(E2993="Prospecting",E2993="Engaging"),VLOOKUP(C2993,Products!$A$2:$C$8,3,FALSE),0)</f>
        <v>5482</v>
      </c>
    </row>
    <row r="2994" spans="1:10" x14ac:dyDescent="0.25">
      <c r="A2994" t="s">
        <v>3161</v>
      </c>
      <c r="B2994" t="s">
        <v>162</v>
      </c>
      <c r="C2994" t="s">
        <v>127</v>
      </c>
      <c r="D2994" t="s">
        <v>47</v>
      </c>
      <c r="E2994" t="s">
        <v>138</v>
      </c>
      <c r="F2994" s="1">
        <v>42862</v>
      </c>
      <c r="G2994" s="1">
        <v>42955</v>
      </c>
      <c r="H2994">
        <v>1222</v>
      </c>
      <c r="I2994" t="str">
        <f>IF(COUNTIF(Products!$A$2:$A$8,C2994)=0,C2994,"")</f>
        <v/>
      </c>
      <c r="J2994">
        <f>IF(OR(E2994="Prospecting",E2994="Engaging"),VLOOKUP(C2994,Products!$A$2:$C$8,3,FALSE),0)</f>
        <v>0</v>
      </c>
    </row>
    <row r="2995" spans="1:10" x14ac:dyDescent="0.25">
      <c r="A2995" t="s">
        <v>3162</v>
      </c>
      <c r="B2995" t="s">
        <v>137</v>
      </c>
      <c r="C2995" t="s">
        <v>127</v>
      </c>
      <c r="D2995" t="s">
        <v>32</v>
      </c>
      <c r="E2995" t="s">
        <v>138</v>
      </c>
      <c r="F2995" s="1">
        <v>42862</v>
      </c>
      <c r="G2995" s="1">
        <v>42952</v>
      </c>
      <c r="H2995">
        <v>901</v>
      </c>
      <c r="I2995" t="str">
        <f>IF(COUNTIF(Products!$A$2:$A$8,C2995)=0,C2995,"")</f>
        <v/>
      </c>
      <c r="J2995">
        <f>IF(OR(E2995="Prospecting",E2995="Engaging"),VLOOKUP(C2995,Products!$A$2:$C$8,3,FALSE),0)</f>
        <v>0</v>
      </c>
    </row>
    <row r="2996" spans="1:10" x14ac:dyDescent="0.25">
      <c r="A2996" t="s">
        <v>3163</v>
      </c>
      <c r="B2996" t="s">
        <v>193</v>
      </c>
      <c r="C2996" t="s">
        <v>125</v>
      </c>
      <c r="D2996" t="s">
        <v>80</v>
      </c>
      <c r="E2996" t="s">
        <v>159</v>
      </c>
      <c r="F2996" s="1">
        <v>42862</v>
      </c>
      <c r="G2996" s="1">
        <v>42973</v>
      </c>
      <c r="H2996">
        <v>0</v>
      </c>
      <c r="I2996" t="str">
        <f>IF(COUNTIF(Products!$A$2:$A$8,C2996)=0,C2996,"")</f>
        <v/>
      </c>
      <c r="J2996">
        <f>IF(OR(E2996="Prospecting",E2996="Engaging"),VLOOKUP(C2996,Products!$A$2:$C$8,3,FALSE),0)</f>
        <v>0</v>
      </c>
    </row>
    <row r="2997" spans="1:10" x14ac:dyDescent="0.25">
      <c r="A2997" t="s">
        <v>3164</v>
      </c>
      <c r="B2997" t="s">
        <v>193</v>
      </c>
      <c r="C2997" t="s">
        <v>126</v>
      </c>
      <c r="D2997" t="s">
        <v>67</v>
      </c>
      <c r="E2997" t="s">
        <v>138</v>
      </c>
      <c r="F2997" s="1">
        <v>42862</v>
      </c>
      <c r="G2997" s="1">
        <v>42948</v>
      </c>
      <c r="H2997">
        <v>5601</v>
      </c>
      <c r="I2997" t="str">
        <f>IF(COUNTIF(Products!$A$2:$A$8,C2997)=0,C2997,"")</f>
        <v/>
      </c>
      <c r="J2997">
        <f>IF(OR(E2997="Prospecting",E2997="Engaging"),VLOOKUP(C2997,Products!$A$2:$C$8,3,FALSE),0)</f>
        <v>0</v>
      </c>
    </row>
    <row r="2998" spans="1:10" x14ac:dyDescent="0.25">
      <c r="A2998" t="s">
        <v>3165</v>
      </c>
      <c r="B2998" t="s">
        <v>166</v>
      </c>
      <c r="C2998" t="s">
        <v>125</v>
      </c>
      <c r="E2998" t="s">
        <v>155</v>
      </c>
      <c r="F2998" s="1">
        <v>42862</v>
      </c>
      <c r="I2998" t="str">
        <f>IF(COUNTIF(Products!$A$2:$A$8,C2998)=0,C2998,"")</f>
        <v/>
      </c>
      <c r="J2998">
        <f>IF(OR(E2998="Prospecting",E2998="Engaging"),VLOOKUP(C2998,Products!$A$2:$C$8,3,FALSE),0)</f>
        <v>3393</v>
      </c>
    </row>
    <row r="2999" spans="1:10" x14ac:dyDescent="0.25">
      <c r="A2999" t="s">
        <v>3166</v>
      </c>
      <c r="B2999" t="s">
        <v>177</v>
      </c>
      <c r="C2999" t="s">
        <v>125</v>
      </c>
      <c r="E2999" t="s">
        <v>155</v>
      </c>
      <c r="F2999" s="1">
        <v>42862</v>
      </c>
      <c r="I2999" t="str">
        <f>IF(COUNTIF(Products!$A$2:$A$8,C2999)=0,C2999,"")</f>
        <v/>
      </c>
      <c r="J2999">
        <f>IF(OR(E2999="Prospecting",E2999="Engaging"),VLOOKUP(C2999,Products!$A$2:$C$8,3,FALSE),0)</f>
        <v>3393</v>
      </c>
    </row>
    <row r="3000" spans="1:10" x14ac:dyDescent="0.25">
      <c r="A3000" t="s">
        <v>3167</v>
      </c>
      <c r="B3000" t="s">
        <v>196</v>
      </c>
      <c r="C3000" t="s">
        <v>127</v>
      </c>
      <c r="D3000" t="s">
        <v>35</v>
      </c>
      <c r="E3000" t="s">
        <v>138</v>
      </c>
      <c r="F3000" s="1">
        <v>42862</v>
      </c>
      <c r="G3000" s="1">
        <v>42952</v>
      </c>
      <c r="H3000">
        <v>995</v>
      </c>
      <c r="I3000" t="str">
        <f>IF(COUNTIF(Products!$A$2:$A$8,C3000)=0,C3000,"")</f>
        <v/>
      </c>
      <c r="J3000">
        <f>IF(OR(E3000="Prospecting",E3000="Engaging"),VLOOKUP(C3000,Products!$A$2:$C$8,3,FALSE),0)</f>
        <v>0</v>
      </c>
    </row>
    <row r="3001" spans="1:10" x14ac:dyDescent="0.25">
      <c r="A3001" t="s">
        <v>3168</v>
      </c>
      <c r="B3001" t="s">
        <v>196</v>
      </c>
      <c r="C3001" t="s">
        <v>125</v>
      </c>
      <c r="D3001" t="s">
        <v>108</v>
      </c>
      <c r="E3001" t="s">
        <v>138</v>
      </c>
      <c r="F3001" s="1">
        <v>42862</v>
      </c>
      <c r="G3001" s="1">
        <v>42952</v>
      </c>
      <c r="H3001">
        <v>3666</v>
      </c>
      <c r="I3001" t="str">
        <f>IF(COUNTIF(Products!$A$2:$A$8,C3001)=0,C3001,"")</f>
        <v/>
      </c>
      <c r="J3001">
        <f>IF(OR(E3001="Prospecting",E3001="Engaging"),VLOOKUP(C3001,Products!$A$2:$C$8,3,FALSE),0)</f>
        <v>0</v>
      </c>
    </row>
    <row r="3002" spans="1:10" x14ac:dyDescent="0.25">
      <c r="A3002" t="s">
        <v>3169</v>
      </c>
      <c r="B3002" t="s">
        <v>146</v>
      </c>
      <c r="C3002" t="s">
        <v>127</v>
      </c>
      <c r="D3002" t="s">
        <v>116</v>
      </c>
      <c r="E3002" t="s">
        <v>159</v>
      </c>
      <c r="F3002" s="1">
        <v>42863</v>
      </c>
      <c r="G3002" s="1">
        <v>42873</v>
      </c>
      <c r="H3002">
        <v>0</v>
      </c>
      <c r="I3002" t="str">
        <f>IF(COUNTIF(Products!$A$2:$A$8,C3002)=0,C3002,"")</f>
        <v/>
      </c>
      <c r="J3002">
        <f>IF(OR(E3002="Prospecting",E3002="Engaging"),VLOOKUP(C3002,Products!$A$2:$C$8,3,FALSE),0)</f>
        <v>0</v>
      </c>
    </row>
    <row r="3003" spans="1:10" x14ac:dyDescent="0.25">
      <c r="A3003" t="s">
        <v>3170</v>
      </c>
      <c r="B3003" t="s">
        <v>146</v>
      </c>
      <c r="C3003" t="s">
        <v>123</v>
      </c>
      <c r="D3003" t="s">
        <v>91</v>
      </c>
      <c r="E3003" t="s">
        <v>138</v>
      </c>
      <c r="F3003" s="1">
        <v>42863</v>
      </c>
      <c r="G3003" s="1">
        <v>42874</v>
      </c>
      <c r="H3003">
        <v>56</v>
      </c>
      <c r="I3003" t="str">
        <f>IF(COUNTIF(Products!$A$2:$A$8,C3003)=0,C3003,"")</f>
        <v/>
      </c>
      <c r="J3003">
        <f>IF(OR(E3003="Prospecting",E3003="Engaging"),VLOOKUP(C3003,Products!$A$2:$C$8,3,FALSE),0)</f>
        <v>0</v>
      </c>
    </row>
    <row r="3004" spans="1:10" x14ac:dyDescent="0.25">
      <c r="A3004" t="s">
        <v>3171</v>
      </c>
      <c r="B3004" t="s">
        <v>207</v>
      </c>
      <c r="C3004" t="s">
        <v>127</v>
      </c>
      <c r="D3004" t="s">
        <v>63</v>
      </c>
      <c r="E3004" t="s">
        <v>138</v>
      </c>
      <c r="F3004" s="1">
        <v>42863</v>
      </c>
      <c r="G3004" s="1">
        <v>42872</v>
      </c>
      <c r="H3004">
        <v>1372</v>
      </c>
      <c r="I3004" t="str">
        <f>IF(COUNTIF(Products!$A$2:$A$8,C3004)=0,C3004,"")</f>
        <v/>
      </c>
      <c r="J3004">
        <f>IF(OR(E3004="Prospecting",E3004="Engaging"),VLOOKUP(C3004,Products!$A$2:$C$8,3,FALSE),0)</f>
        <v>0</v>
      </c>
    </row>
    <row r="3005" spans="1:10" x14ac:dyDescent="0.25">
      <c r="A3005" t="s">
        <v>3172</v>
      </c>
      <c r="B3005" t="s">
        <v>171</v>
      </c>
      <c r="C3005" t="s">
        <v>125</v>
      </c>
      <c r="D3005" t="s">
        <v>19</v>
      </c>
      <c r="E3005" t="s">
        <v>138</v>
      </c>
      <c r="F3005" s="1">
        <v>42863</v>
      </c>
      <c r="G3005" s="1">
        <v>42948</v>
      </c>
      <c r="H3005">
        <v>3282</v>
      </c>
      <c r="I3005" t="str">
        <f>IF(COUNTIF(Products!$A$2:$A$8,C3005)=0,C3005,"")</f>
        <v/>
      </c>
      <c r="J3005">
        <f>IF(OR(E3005="Prospecting",E3005="Engaging"),VLOOKUP(C3005,Products!$A$2:$C$8,3,FALSE),0)</f>
        <v>0</v>
      </c>
    </row>
    <row r="3006" spans="1:10" x14ac:dyDescent="0.25">
      <c r="A3006" t="s">
        <v>3173</v>
      </c>
      <c r="B3006" t="s">
        <v>140</v>
      </c>
      <c r="C3006" t="s">
        <v>122</v>
      </c>
      <c r="D3006" t="s">
        <v>36</v>
      </c>
      <c r="E3006" t="s">
        <v>159</v>
      </c>
      <c r="F3006" s="1">
        <v>42863</v>
      </c>
      <c r="G3006" s="1">
        <v>42953</v>
      </c>
      <c r="H3006">
        <v>0</v>
      </c>
      <c r="I3006" t="str">
        <f>IF(COUNTIF(Products!$A$2:$A$8,C3006)=0,C3006,"")</f>
        <v/>
      </c>
      <c r="J3006">
        <f>IF(OR(E3006="Prospecting",E3006="Engaging"),VLOOKUP(C3006,Products!$A$2:$C$8,3,FALSE),0)</f>
        <v>0</v>
      </c>
    </row>
    <row r="3007" spans="1:10" x14ac:dyDescent="0.25">
      <c r="A3007" t="s">
        <v>3174</v>
      </c>
      <c r="B3007" t="s">
        <v>173</v>
      </c>
      <c r="C3007" t="s">
        <v>123</v>
      </c>
      <c r="D3007" t="s">
        <v>29</v>
      </c>
      <c r="E3007" t="s">
        <v>138</v>
      </c>
      <c r="F3007" s="1">
        <v>42863</v>
      </c>
      <c r="G3007" s="1">
        <v>42965</v>
      </c>
      <c r="H3007">
        <v>43</v>
      </c>
      <c r="I3007" t="str">
        <f>IF(COUNTIF(Products!$A$2:$A$8,C3007)=0,C3007,"")</f>
        <v/>
      </c>
      <c r="J3007">
        <f>IF(OR(E3007="Prospecting",E3007="Engaging"),VLOOKUP(C3007,Products!$A$2:$C$8,3,FALSE),0)</f>
        <v>0</v>
      </c>
    </row>
    <row r="3008" spans="1:10" x14ac:dyDescent="0.25">
      <c r="A3008" t="s">
        <v>3175</v>
      </c>
      <c r="B3008" t="s">
        <v>173</v>
      </c>
      <c r="C3008" t="s">
        <v>123</v>
      </c>
      <c r="D3008" t="s">
        <v>78</v>
      </c>
      <c r="E3008" t="s">
        <v>138</v>
      </c>
      <c r="F3008" s="1">
        <v>42863</v>
      </c>
      <c r="G3008" s="1">
        <v>42983</v>
      </c>
      <c r="H3008">
        <v>54</v>
      </c>
      <c r="I3008" t="str">
        <f>IF(COUNTIF(Products!$A$2:$A$8,C3008)=0,C3008,"")</f>
        <v/>
      </c>
      <c r="J3008">
        <f>IF(OR(E3008="Prospecting",E3008="Engaging"),VLOOKUP(C3008,Products!$A$2:$C$8,3,FALSE),0)</f>
        <v>0</v>
      </c>
    </row>
    <row r="3009" spans="1:10" x14ac:dyDescent="0.25">
      <c r="A3009" t="s">
        <v>3176</v>
      </c>
      <c r="B3009" t="s">
        <v>303</v>
      </c>
      <c r="C3009" t="s">
        <v>120</v>
      </c>
      <c r="D3009" t="s">
        <v>94</v>
      </c>
      <c r="E3009" t="s">
        <v>159</v>
      </c>
      <c r="F3009" s="1">
        <v>42863</v>
      </c>
      <c r="G3009" s="1">
        <v>42968</v>
      </c>
      <c r="H3009">
        <v>0</v>
      </c>
      <c r="I3009" t="str">
        <f>IF(COUNTIF(Products!$A$2:$A$8,C3009)=0,C3009,"")</f>
        <v/>
      </c>
      <c r="J3009">
        <f>IF(OR(E3009="Prospecting",E3009="Engaging"),VLOOKUP(C3009,Products!$A$2:$C$8,3,FALSE),0)</f>
        <v>0</v>
      </c>
    </row>
    <row r="3010" spans="1:10" x14ac:dyDescent="0.25">
      <c r="A3010" t="s">
        <v>3177</v>
      </c>
      <c r="B3010" t="s">
        <v>180</v>
      </c>
      <c r="C3010" t="s">
        <v>120</v>
      </c>
      <c r="D3010" t="s">
        <v>23</v>
      </c>
      <c r="E3010" t="s">
        <v>138</v>
      </c>
      <c r="F3010" s="1">
        <v>42863</v>
      </c>
      <c r="G3010" s="1">
        <v>42871</v>
      </c>
      <c r="H3010">
        <v>575</v>
      </c>
      <c r="I3010" t="str">
        <f>IF(COUNTIF(Products!$A$2:$A$8,C3010)=0,C3010,"")</f>
        <v/>
      </c>
      <c r="J3010">
        <f>IF(OR(E3010="Prospecting",E3010="Engaging"),VLOOKUP(C3010,Products!$A$2:$C$8,3,FALSE),0)</f>
        <v>0</v>
      </c>
    </row>
    <row r="3011" spans="1:10" x14ac:dyDescent="0.25">
      <c r="A3011" t="s">
        <v>3178</v>
      </c>
      <c r="B3011" t="s">
        <v>180</v>
      </c>
      <c r="C3011" t="s">
        <v>127</v>
      </c>
      <c r="D3011" t="s">
        <v>61</v>
      </c>
      <c r="E3011" t="s">
        <v>138</v>
      </c>
      <c r="F3011" s="1">
        <v>42863</v>
      </c>
      <c r="G3011" s="1">
        <v>42957</v>
      </c>
      <c r="H3011">
        <v>768</v>
      </c>
      <c r="I3011" t="str">
        <f>IF(COUNTIF(Products!$A$2:$A$8,C3011)=0,C3011,"")</f>
        <v/>
      </c>
      <c r="J3011">
        <f>IF(OR(E3011="Prospecting",E3011="Engaging"),VLOOKUP(C3011,Products!$A$2:$C$8,3,FALSE),0)</f>
        <v>0</v>
      </c>
    </row>
    <row r="3012" spans="1:10" x14ac:dyDescent="0.25">
      <c r="A3012" t="s">
        <v>3179</v>
      </c>
      <c r="B3012" t="s">
        <v>180</v>
      </c>
      <c r="C3012" t="s">
        <v>122</v>
      </c>
      <c r="D3012" t="s">
        <v>93</v>
      </c>
      <c r="E3012" t="s">
        <v>138</v>
      </c>
      <c r="F3012" s="1">
        <v>42863</v>
      </c>
      <c r="G3012" s="1">
        <v>42990</v>
      </c>
      <c r="H3012">
        <v>4426</v>
      </c>
      <c r="I3012" t="str">
        <f>IF(COUNTIF(Products!$A$2:$A$8,C3012)=0,C3012,"")</f>
        <v/>
      </c>
      <c r="J3012">
        <f>IF(OR(E3012="Prospecting",E3012="Engaging"),VLOOKUP(C3012,Products!$A$2:$C$8,3,FALSE),0)</f>
        <v>0</v>
      </c>
    </row>
    <row r="3013" spans="1:10" x14ac:dyDescent="0.25">
      <c r="A3013" t="s">
        <v>3180</v>
      </c>
      <c r="B3013" t="s">
        <v>217</v>
      </c>
      <c r="C3013" t="s">
        <v>120</v>
      </c>
      <c r="D3013" t="s">
        <v>12</v>
      </c>
      <c r="E3013" t="s">
        <v>159</v>
      </c>
      <c r="F3013" s="1">
        <v>42863</v>
      </c>
      <c r="G3013" s="1">
        <v>42865</v>
      </c>
      <c r="H3013">
        <v>0</v>
      </c>
      <c r="I3013" t="str">
        <f>IF(COUNTIF(Products!$A$2:$A$8,C3013)=0,C3013,"")</f>
        <v/>
      </c>
      <c r="J3013">
        <f>IF(OR(E3013="Prospecting",E3013="Engaging"),VLOOKUP(C3013,Products!$A$2:$C$8,3,FALSE),0)</f>
        <v>0</v>
      </c>
    </row>
    <row r="3014" spans="1:10" x14ac:dyDescent="0.25">
      <c r="A3014" t="s">
        <v>3181</v>
      </c>
      <c r="B3014" t="s">
        <v>217</v>
      </c>
      <c r="C3014" t="s">
        <v>120</v>
      </c>
      <c r="D3014" t="s">
        <v>70</v>
      </c>
      <c r="E3014" t="s">
        <v>138</v>
      </c>
      <c r="F3014" s="1">
        <v>42863</v>
      </c>
      <c r="G3014" s="1">
        <v>42967</v>
      </c>
      <c r="H3014">
        <v>553</v>
      </c>
      <c r="I3014" t="str">
        <f>IF(COUNTIF(Products!$A$2:$A$8,C3014)=0,C3014,"")</f>
        <v/>
      </c>
      <c r="J3014">
        <f>IF(OR(E3014="Prospecting",E3014="Engaging"),VLOOKUP(C3014,Products!$A$2:$C$8,3,FALSE),0)</f>
        <v>0</v>
      </c>
    </row>
    <row r="3015" spans="1:10" x14ac:dyDescent="0.25">
      <c r="A3015" t="s">
        <v>3182</v>
      </c>
      <c r="B3015" t="s">
        <v>205</v>
      </c>
      <c r="C3015" t="s">
        <v>126</v>
      </c>
      <c r="D3015" t="s">
        <v>26</v>
      </c>
      <c r="E3015" t="s">
        <v>159</v>
      </c>
      <c r="F3015" s="1">
        <v>42863</v>
      </c>
      <c r="G3015" s="1">
        <v>42875</v>
      </c>
      <c r="H3015">
        <v>0</v>
      </c>
      <c r="I3015" t="str">
        <f>IF(COUNTIF(Products!$A$2:$A$8,C3015)=0,C3015,"")</f>
        <v/>
      </c>
      <c r="J3015">
        <f>IF(OR(E3015="Prospecting",E3015="Engaging"),VLOOKUP(C3015,Products!$A$2:$C$8,3,FALSE),0)</f>
        <v>0</v>
      </c>
    </row>
    <row r="3016" spans="1:10" x14ac:dyDescent="0.25">
      <c r="A3016" t="s">
        <v>3183</v>
      </c>
      <c r="B3016" t="s">
        <v>162</v>
      </c>
      <c r="C3016" t="s">
        <v>127</v>
      </c>
      <c r="E3016" t="s">
        <v>155</v>
      </c>
      <c r="F3016" s="1">
        <v>42863</v>
      </c>
      <c r="I3016" t="str">
        <f>IF(COUNTIF(Products!$A$2:$A$8,C3016)=0,C3016,"")</f>
        <v/>
      </c>
      <c r="J3016">
        <f>IF(OR(E3016="Prospecting",E3016="Engaging"),VLOOKUP(C3016,Products!$A$2:$C$8,3,FALSE),0)</f>
        <v>1096</v>
      </c>
    </row>
    <row r="3017" spans="1:10" x14ac:dyDescent="0.25">
      <c r="A3017" t="s">
        <v>3184</v>
      </c>
      <c r="B3017" t="s">
        <v>162</v>
      </c>
      <c r="C3017" t="s">
        <v>127</v>
      </c>
      <c r="D3017" t="s">
        <v>57</v>
      </c>
      <c r="E3017" t="s">
        <v>159</v>
      </c>
      <c r="F3017" s="1">
        <v>42863</v>
      </c>
      <c r="G3017" s="1">
        <v>42952</v>
      </c>
      <c r="H3017">
        <v>0</v>
      </c>
      <c r="I3017" t="str">
        <f>IF(COUNTIF(Products!$A$2:$A$8,C3017)=0,C3017,"")</f>
        <v/>
      </c>
      <c r="J3017">
        <f>IF(OR(E3017="Prospecting",E3017="Engaging"),VLOOKUP(C3017,Products!$A$2:$C$8,3,FALSE),0)</f>
        <v>0</v>
      </c>
    </row>
    <row r="3018" spans="1:10" x14ac:dyDescent="0.25">
      <c r="A3018" t="s">
        <v>3185</v>
      </c>
      <c r="B3018" t="s">
        <v>162</v>
      </c>
      <c r="C3018" t="s">
        <v>126</v>
      </c>
      <c r="D3018" t="s">
        <v>114</v>
      </c>
      <c r="E3018" t="s">
        <v>138</v>
      </c>
      <c r="F3018" s="1">
        <v>42863</v>
      </c>
      <c r="G3018" s="1">
        <v>42996</v>
      </c>
      <c r="H3018">
        <v>4786</v>
      </c>
      <c r="I3018" t="str">
        <f>IF(COUNTIF(Products!$A$2:$A$8,C3018)=0,C3018,"")</f>
        <v/>
      </c>
      <c r="J3018">
        <f>IF(OR(E3018="Prospecting",E3018="Engaging"),VLOOKUP(C3018,Products!$A$2:$C$8,3,FALSE),0)</f>
        <v>0</v>
      </c>
    </row>
    <row r="3019" spans="1:10" x14ac:dyDescent="0.25">
      <c r="A3019" t="s">
        <v>3186</v>
      </c>
      <c r="B3019" t="s">
        <v>137</v>
      </c>
      <c r="C3019" t="s">
        <v>125</v>
      </c>
      <c r="D3019" t="s">
        <v>89</v>
      </c>
      <c r="E3019" t="s">
        <v>159</v>
      </c>
      <c r="F3019" s="1">
        <v>42863</v>
      </c>
      <c r="G3019" s="1">
        <v>42878</v>
      </c>
      <c r="H3019">
        <v>0</v>
      </c>
      <c r="I3019" t="str">
        <f>IF(COUNTIF(Products!$A$2:$A$8,C3019)=0,C3019,"")</f>
        <v/>
      </c>
      <c r="J3019">
        <f>IF(OR(E3019="Prospecting",E3019="Engaging"),VLOOKUP(C3019,Products!$A$2:$C$8,3,FALSE),0)</f>
        <v>0</v>
      </c>
    </row>
    <row r="3020" spans="1:10" x14ac:dyDescent="0.25">
      <c r="A3020" t="s">
        <v>3187</v>
      </c>
      <c r="B3020" t="s">
        <v>193</v>
      </c>
      <c r="C3020" t="s">
        <v>122</v>
      </c>
      <c r="D3020" t="s">
        <v>102</v>
      </c>
      <c r="E3020" t="s">
        <v>159</v>
      </c>
      <c r="F3020" s="1">
        <v>42863</v>
      </c>
      <c r="G3020" s="1">
        <v>42872</v>
      </c>
      <c r="H3020">
        <v>0</v>
      </c>
      <c r="I3020" t="str">
        <f>IF(COUNTIF(Products!$A$2:$A$8,C3020)=0,C3020,"")</f>
        <v/>
      </c>
      <c r="J3020">
        <f>IF(OR(E3020="Prospecting",E3020="Engaging"),VLOOKUP(C3020,Products!$A$2:$C$8,3,FALSE),0)</f>
        <v>0</v>
      </c>
    </row>
    <row r="3021" spans="1:10" x14ac:dyDescent="0.25">
      <c r="A3021" t="s">
        <v>3188</v>
      </c>
      <c r="B3021" t="s">
        <v>169</v>
      </c>
      <c r="C3021" t="s">
        <v>126</v>
      </c>
      <c r="D3021" t="s">
        <v>32</v>
      </c>
      <c r="E3021" t="s">
        <v>159</v>
      </c>
      <c r="F3021" s="1">
        <v>42863</v>
      </c>
      <c r="G3021" s="1">
        <v>42949</v>
      </c>
      <c r="H3021">
        <v>0</v>
      </c>
      <c r="I3021" t="str">
        <f>IF(COUNTIF(Products!$A$2:$A$8,C3021)=0,C3021,"")</f>
        <v/>
      </c>
      <c r="J3021">
        <f>IF(OR(E3021="Prospecting",E3021="Engaging"),VLOOKUP(C3021,Products!$A$2:$C$8,3,FALSE),0)</f>
        <v>0</v>
      </c>
    </row>
    <row r="3022" spans="1:10" x14ac:dyDescent="0.25">
      <c r="A3022" t="s">
        <v>3189</v>
      </c>
      <c r="B3022" t="s">
        <v>169</v>
      </c>
      <c r="C3022" t="s">
        <v>123</v>
      </c>
      <c r="D3022" t="s">
        <v>88</v>
      </c>
      <c r="E3022" t="s">
        <v>159</v>
      </c>
      <c r="F3022" s="1">
        <v>42863</v>
      </c>
      <c r="G3022" s="1">
        <v>42966</v>
      </c>
      <c r="H3022">
        <v>0</v>
      </c>
      <c r="I3022" t="str">
        <f>IF(COUNTIF(Products!$A$2:$A$8,C3022)=0,C3022,"")</f>
        <v/>
      </c>
      <c r="J3022">
        <f>IF(OR(E3022="Prospecting",E3022="Engaging"),VLOOKUP(C3022,Products!$A$2:$C$8,3,FALSE),0)</f>
        <v>0</v>
      </c>
    </row>
    <row r="3023" spans="1:10" x14ac:dyDescent="0.25">
      <c r="A3023" t="s">
        <v>3190</v>
      </c>
      <c r="B3023" t="s">
        <v>169</v>
      </c>
      <c r="C3023" t="s">
        <v>126</v>
      </c>
      <c r="D3023" t="s">
        <v>30</v>
      </c>
      <c r="E3023" t="s">
        <v>138</v>
      </c>
      <c r="F3023" s="1">
        <v>42863</v>
      </c>
      <c r="G3023" s="1">
        <v>42871</v>
      </c>
      <c r="H3023">
        <v>5338</v>
      </c>
      <c r="I3023" t="str">
        <f>IF(COUNTIF(Products!$A$2:$A$8,C3023)=0,C3023,"")</f>
        <v/>
      </c>
      <c r="J3023">
        <f>IF(OR(E3023="Prospecting",E3023="Engaging"),VLOOKUP(C3023,Products!$A$2:$C$8,3,FALSE),0)</f>
        <v>0</v>
      </c>
    </row>
    <row r="3024" spans="1:10" x14ac:dyDescent="0.25">
      <c r="A3024" t="s">
        <v>3191</v>
      </c>
      <c r="B3024" t="s">
        <v>144</v>
      </c>
      <c r="C3024" t="s">
        <v>122</v>
      </c>
      <c r="D3024" t="s">
        <v>60</v>
      </c>
      <c r="E3024" t="s">
        <v>155</v>
      </c>
      <c r="F3024" s="1">
        <v>42863</v>
      </c>
      <c r="I3024" t="str">
        <f>IF(COUNTIF(Products!$A$2:$A$8,C3024)=0,C3024,"")</f>
        <v/>
      </c>
      <c r="J3024">
        <f>IF(OR(E3024="Prospecting",E3024="Engaging"),VLOOKUP(C3024,Products!$A$2:$C$8,3,FALSE),0)</f>
        <v>4821</v>
      </c>
    </row>
    <row r="3025" spans="1:10" x14ac:dyDescent="0.25">
      <c r="A3025" t="s">
        <v>3192</v>
      </c>
      <c r="B3025" t="s">
        <v>144</v>
      </c>
      <c r="C3025" t="s">
        <v>120</v>
      </c>
      <c r="D3025" t="s">
        <v>90</v>
      </c>
      <c r="E3025" t="s">
        <v>159</v>
      </c>
      <c r="F3025" s="1">
        <v>42863</v>
      </c>
      <c r="G3025" s="1">
        <v>42870</v>
      </c>
      <c r="H3025">
        <v>0</v>
      </c>
      <c r="I3025" t="str">
        <f>IF(COUNTIF(Products!$A$2:$A$8,C3025)=0,C3025,"")</f>
        <v/>
      </c>
      <c r="J3025">
        <f>IF(OR(E3025="Prospecting",E3025="Engaging"),VLOOKUP(C3025,Products!$A$2:$C$8,3,FALSE),0)</f>
        <v>0</v>
      </c>
    </row>
    <row r="3026" spans="1:10" x14ac:dyDescent="0.25">
      <c r="A3026" t="s">
        <v>3193</v>
      </c>
      <c r="B3026" t="s">
        <v>146</v>
      </c>
      <c r="C3026" t="s">
        <v>127</v>
      </c>
      <c r="D3026" t="s">
        <v>95</v>
      </c>
      <c r="E3026" t="s">
        <v>138</v>
      </c>
      <c r="F3026" s="1">
        <v>42864</v>
      </c>
      <c r="G3026" s="1">
        <v>42978</v>
      </c>
      <c r="H3026">
        <v>996</v>
      </c>
      <c r="I3026" t="str">
        <f>IF(COUNTIF(Products!$A$2:$A$8,C3026)=0,C3026,"")</f>
        <v/>
      </c>
      <c r="J3026">
        <f>IF(OR(E3026="Prospecting",E3026="Engaging"),VLOOKUP(C3026,Products!$A$2:$C$8,3,FALSE),0)</f>
        <v>0</v>
      </c>
    </row>
    <row r="3027" spans="1:10" x14ac:dyDescent="0.25">
      <c r="A3027" t="s">
        <v>3194</v>
      </c>
      <c r="B3027" t="s">
        <v>222</v>
      </c>
      <c r="C3027" t="s">
        <v>127</v>
      </c>
      <c r="E3027" t="s">
        <v>155</v>
      </c>
      <c r="F3027" s="1">
        <v>42864</v>
      </c>
      <c r="I3027" t="str">
        <f>IF(COUNTIF(Products!$A$2:$A$8,C3027)=0,C3027,"")</f>
        <v/>
      </c>
      <c r="J3027">
        <f>IF(OR(E3027="Prospecting",E3027="Engaging"),VLOOKUP(C3027,Products!$A$2:$C$8,3,FALSE),0)</f>
        <v>1096</v>
      </c>
    </row>
    <row r="3028" spans="1:10" x14ac:dyDescent="0.25">
      <c r="A3028" t="s">
        <v>3195</v>
      </c>
      <c r="B3028" t="s">
        <v>222</v>
      </c>
      <c r="C3028" t="s">
        <v>125</v>
      </c>
      <c r="E3028" t="s">
        <v>155</v>
      </c>
      <c r="F3028" s="1">
        <v>42864</v>
      </c>
      <c r="I3028" t="str">
        <f>IF(COUNTIF(Products!$A$2:$A$8,C3028)=0,C3028,"")</f>
        <v/>
      </c>
      <c r="J3028">
        <f>IF(OR(E3028="Prospecting",E3028="Engaging"),VLOOKUP(C3028,Products!$A$2:$C$8,3,FALSE),0)</f>
        <v>3393</v>
      </c>
    </row>
    <row r="3029" spans="1:10" x14ac:dyDescent="0.25">
      <c r="A3029" t="s">
        <v>3196</v>
      </c>
      <c r="B3029" t="s">
        <v>207</v>
      </c>
      <c r="C3029" t="s">
        <v>125</v>
      </c>
      <c r="D3029" t="s">
        <v>50</v>
      </c>
      <c r="E3029" t="s">
        <v>159</v>
      </c>
      <c r="F3029" s="1">
        <v>42864</v>
      </c>
      <c r="G3029" s="1">
        <v>42875</v>
      </c>
      <c r="H3029">
        <v>0</v>
      </c>
      <c r="I3029" t="str">
        <f>IF(COUNTIF(Products!$A$2:$A$8,C3029)=0,C3029,"")</f>
        <v/>
      </c>
      <c r="J3029">
        <f>IF(OR(E3029="Prospecting",E3029="Engaging"),VLOOKUP(C3029,Products!$A$2:$C$8,3,FALSE),0)</f>
        <v>0</v>
      </c>
    </row>
    <row r="3030" spans="1:10" x14ac:dyDescent="0.25">
      <c r="A3030" t="s">
        <v>3197</v>
      </c>
      <c r="B3030" t="s">
        <v>264</v>
      </c>
      <c r="C3030" t="s">
        <v>123</v>
      </c>
      <c r="D3030" t="s">
        <v>36</v>
      </c>
      <c r="E3030" t="s">
        <v>138</v>
      </c>
      <c r="F3030" s="1">
        <v>42864</v>
      </c>
      <c r="G3030" s="1">
        <v>42956</v>
      </c>
      <c r="H3030">
        <v>63</v>
      </c>
      <c r="I3030" t="str">
        <f>IF(COUNTIF(Products!$A$2:$A$8,C3030)=0,C3030,"")</f>
        <v/>
      </c>
      <c r="J3030">
        <f>IF(OR(E3030="Prospecting",E3030="Engaging"),VLOOKUP(C3030,Products!$A$2:$C$8,3,FALSE),0)</f>
        <v>0</v>
      </c>
    </row>
    <row r="3031" spans="1:10" x14ac:dyDescent="0.25">
      <c r="A3031" t="s">
        <v>3198</v>
      </c>
      <c r="B3031" t="s">
        <v>171</v>
      </c>
      <c r="C3031" t="s">
        <v>127</v>
      </c>
      <c r="D3031" t="s">
        <v>81</v>
      </c>
      <c r="E3031" t="s">
        <v>159</v>
      </c>
      <c r="F3031" s="1">
        <v>42864</v>
      </c>
      <c r="G3031" s="1">
        <v>42964</v>
      </c>
      <c r="H3031">
        <v>0</v>
      </c>
      <c r="I3031" t="str">
        <f>IF(COUNTIF(Products!$A$2:$A$8,C3031)=0,C3031,"")</f>
        <v/>
      </c>
      <c r="J3031">
        <f>IF(OR(E3031="Prospecting",E3031="Engaging"),VLOOKUP(C3031,Products!$A$2:$C$8,3,FALSE),0)</f>
        <v>0</v>
      </c>
    </row>
    <row r="3032" spans="1:10" x14ac:dyDescent="0.25">
      <c r="A3032" t="s">
        <v>3199</v>
      </c>
      <c r="B3032" t="s">
        <v>140</v>
      </c>
      <c r="C3032" t="s">
        <v>127</v>
      </c>
      <c r="D3032" t="s">
        <v>32</v>
      </c>
      <c r="E3032" t="s">
        <v>138</v>
      </c>
      <c r="F3032" s="1">
        <v>42864</v>
      </c>
      <c r="G3032" s="1">
        <v>42874</v>
      </c>
      <c r="H3032">
        <v>1075</v>
      </c>
      <c r="I3032" t="str">
        <f>IF(COUNTIF(Products!$A$2:$A$8,C3032)=0,C3032,"")</f>
        <v/>
      </c>
      <c r="J3032">
        <f>IF(OR(E3032="Prospecting",E3032="Engaging"),VLOOKUP(C3032,Products!$A$2:$C$8,3,FALSE),0)</f>
        <v>0</v>
      </c>
    </row>
    <row r="3033" spans="1:10" x14ac:dyDescent="0.25">
      <c r="A3033" t="s">
        <v>3200</v>
      </c>
      <c r="B3033" t="s">
        <v>140</v>
      </c>
      <c r="C3033" t="s">
        <v>122</v>
      </c>
      <c r="D3033" t="s">
        <v>77</v>
      </c>
      <c r="E3033" t="s">
        <v>138</v>
      </c>
      <c r="F3033" s="1">
        <v>42864</v>
      </c>
      <c r="G3033" s="1">
        <v>42879</v>
      </c>
      <c r="H3033">
        <v>5033</v>
      </c>
      <c r="I3033" t="str">
        <f>IF(COUNTIF(Products!$A$2:$A$8,C3033)=0,C3033,"")</f>
        <v/>
      </c>
      <c r="J3033">
        <f>IF(OR(E3033="Prospecting",E3033="Engaging"),VLOOKUP(C3033,Products!$A$2:$C$8,3,FALSE),0)</f>
        <v>0</v>
      </c>
    </row>
    <row r="3034" spans="1:10" x14ac:dyDescent="0.25">
      <c r="A3034" t="s">
        <v>3201</v>
      </c>
      <c r="B3034" t="s">
        <v>140</v>
      </c>
      <c r="C3034" t="s">
        <v>125</v>
      </c>
      <c r="D3034" t="s">
        <v>89</v>
      </c>
      <c r="E3034" t="s">
        <v>138</v>
      </c>
      <c r="F3034" s="1">
        <v>42864</v>
      </c>
      <c r="G3034" s="1">
        <v>42912</v>
      </c>
      <c r="H3034">
        <v>3249</v>
      </c>
      <c r="I3034" t="str">
        <f>IF(COUNTIF(Products!$A$2:$A$8,C3034)=0,C3034,"")</f>
        <v/>
      </c>
      <c r="J3034">
        <f>IF(OR(E3034="Prospecting",E3034="Engaging"),VLOOKUP(C3034,Products!$A$2:$C$8,3,FALSE),0)</f>
        <v>0</v>
      </c>
    </row>
    <row r="3035" spans="1:10" x14ac:dyDescent="0.25">
      <c r="A3035" t="s">
        <v>3202</v>
      </c>
      <c r="B3035" t="s">
        <v>158</v>
      </c>
      <c r="C3035" t="s">
        <v>127</v>
      </c>
      <c r="D3035" t="s">
        <v>53</v>
      </c>
      <c r="E3035" t="s">
        <v>138</v>
      </c>
      <c r="F3035" s="1">
        <v>42864</v>
      </c>
      <c r="G3035" s="1">
        <v>42961</v>
      </c>
      <c r="H3035">
        <v>1015</v>
      </c>
      <c r="I3035" t="str">
        <f>IF(COUNTIF(Products!$A$2:$A$8,C3035)=0,C3035,"")</f>
        <v/>
      </c>
      <c r="J3035">
        <f>IF(OR(E3035="Prospecting",E3035="Engaging"),VLOOKUP(C3035,Products!$A$2:$C$8,3,FALSE),0)</f>
        <v>0</v>
      </c>
    </row>
    <row r="3036" spans="1:10" x14ac:dyDescent="0.25">
      <c r="A3036" t="s">
        <v>3203</v>
      </c>
      <c r="B3036" t="s">
        <v>303</v>
      </c>
      <c r="C3036" t="s">
        <v>120</v>
      </c>
      <c r="D3036" t="s">
        <v>94</v>
      </c>
      <c r="E3036" t="s">
        <v>159</v>
      </c>
      <c r="F3036" s="1">
        <v>42864</v>
      </c>
      <c r="G3036" s="1">
        <v>42913</v>
      </c>
      <c r="H3036">
        <v>0</v>
      </c>
      <c r="I3036" t="str">
        <f>IF(COUNTIF(Products!$A$2:$A$8,C3036)=0,C3036,"")</f>
        <v/>
      </c>
      <c r="J3036">
        <f>IF(OR(E3036="Prospecting",E3036="Engaging"),VLOOKUP(C3036,Products!$A$2:$C$8,3,FALSE),0)</f>
        <v>0</v>
      </c>
    </row>
    <row r="3037" spans="1:10" x14ac:dyDescent="0.25">
      <c r="A3037" t="s">
        <v>3204</v>
      </c>
      <c r="B3037" t="s">
        <v>303</v>
      </c>
      <c r="C3037" t="s">
        <v>127</v>
      </c>
      <c r="D3037" t="s">
        <v>55</v>
      </c>
      <c r="E3037" t="s">
        <v>138</v>
      </c>
      <c r="F3037" s="1">
        <v>42864</v>
      </c>
      <c r="G3037" s="1">
        <v>42871</v>
      </c>
      <c r="H3037">
        <v>1100</v>
      </c>
      <c r="I3037" t="str">
        <f>IF(COUNTIF(Products!$A$2:$A$8,C3037)=0,C3037,"")</f>
        <v/>
      </c>
      <c r="J3037">
        <f>IF(OR(E3037="Prospecting",E3037="Engaging"),VLOOKUP(C3037,Products!$A$2:$C$8,3,FALSE),0)</f>
        <v>0</v>
      </c>
    </row>
    <row r="3038" spans="1:10" x14ac:dyDescent="0.25">
      <c r="A3038" t="s">
        <v>3205</v>
      </c>
      <c r="B3038" t="s">
        <v>180</v>
      </c>
      <c r="C3038" t="s">
        <v>126</v>
      </c>
      <c r="D3038" t="s">
        <v>17</v>
      </c>
      <c r="E3038" t="s">
        <v>138</v>
      </c>
      <c r="F3038" s="1">
        <v>42864</v>
      </c>
      <c r="G3038" s="1">
        <v>42991</v>
      </c>
      <c r="H3038">
        <v>4755</v>
      </c>
      <c r="I3038" t="str">
        <f>IF(COUNTIF(Products!$A$2:$A$8,C3038)=0,C3038,"")</f>
        <v/>
      </c>
      <c r="J3038">
        <f>IF(OR(E3038="Prospecting",E3038="Engaging"),VLOOKUP(C3038,Products!$A$2:$C$8,3,FALSE),0)</f>
        <v>0</v>
      </c>
    </row>
    <row r="3039" spans="1:10" x14ac:dyDescent="0.25">
      <c r="A3039" t="s">
        <v>3206</v>
      </c>
      <c r="B3039" t="s">
        <v>191</v>
      </c>
      <c r="C3039" t="s">
        <v>120</v>
      </c>
      <c r="D3039" t="s">
        <v>67</v>
      </c>
      <c r="E3039" t="s">
        <v>159</v>
      </c>
      <c r="F3039" s="1">
        <v>42864</v>
      </c>
      <c r="G3039" s="1">
        <v>42955</v>
      </c>
      <c r="H3039">
        <v>0</v>
      </c>
      <c r="I3039" t="str">
        <f>IF(COUNTIF(Products!$A$2:$A$8,C3039)=0,C3039,"")</f>
        <v/>
      </c>
      <c r="J3039">
        <f>IF(OR(E3039="Prospecting",E3039="Engaging"),VLOOKUP(C3039,Products!$A$2:$C$8,3,FALSE),0)</f>
        <v>0</v>
      </c>
    </row>
    <row r="3040" spans="1:10" x14ac:dyDescent="0.25">
      <c r="A3040" t="s">
        <v>3207</v>
      </c>
      <c r="B3040" t="s">
        <v>150</v>
      </c>
      <c r="C3040" t="s">
        <v>128</v>
      </c>
      <c r="E3040" t="s">
        <v>155</v>
      </c>
      <c r="F3040" s="1">
        <v>42864</v>
      </c>
      <c r="I3040" t="str">
        <f>IF(COUNTIF(Products!$A$2:$A$8,C3040)=0,C3040,"")</f>
        <v/>
      </c>
      <c r="J3040">
        <f>IF(OR(E3040="Prospecting",E3040="Engaging"),VLOOKUP(C3040,Products!$A$2:$C$8,3,FALSE),0)</f>
        <v>26768</v>
      </c>
    </row>
    <row r="3041" spans="1:10" x14ac:dyDescent="0.25">
      <c r="A3041" t="s">
        <v>3208</v>
      </c>
      <c r="B3041" t="s">
        <v>150</v>
      </c>
      <c r="C3041" t="s">
        <v>120</v>
      </c>
      <c r="D3041" t="s">
        <v>59</v>
      </c>
      <c r="E3041" t="s">
        <v>155</v>
      </c>
      <c r="F3041" s="1">
        <v>42864</v>
      </c>
      <c r="I3041" t="str">
        <f>IF(COUNTIF(Products!$A$2:$A$8,C3041)=0,C3041,"")</f>
        <v/>
      </c>
      <c r="J3041">
        <f>IF(OR(E3041="Prospecting",E3041="Engaging"),VLOOKUP(C3041,Products!$A$2:$C$8,3,FALSE),0)</f>
        <v>550</v>
      </c>
    </row>
    <row r="3042" spans="1:10" x14ac:dyDescent="0.25">
      <c r="A3042" t="s">
        <v>3209</v>
      </c>
      <c r="B3042" t="s">
        <v>150</v>
      </c>
      <c r="C3042" t="s">
        <v>127</v>
      </c>
      <c r="D3042" t="s">
        <v>69</v>
      </c>
      <c r="E3042" t="s">
        <v>159</v>
      </c>
      <c r="F3042" s="1">
        <v>42864</v>
      </c>
      <c r="G3042" s="1">
        <v>42874</v>
      </c>
      <c r="H3042">
        <v>0</v>
      </c>
      <c r="I3042" t="str">
        <f>IF(COUNTIF(Products!$A$2:$A$8,C3042)=0,C3042,"")</f>
        <v/>
      </c>
      <c r="J3042">
        <f>IF(OR(E3042="Prospecting",E3042="Engaging"),VLOOKUP(C3042,Products!$A$2:$C$8,3,FALSE),0)</f>
        <v>0</v>
      </c>
    </row>
    <row r="3043" spans="1:10" x14ac:dyDescent="0.25">
      <c r="A3043" t="s">
        <v>3210</v>
      </c>
      <c r="B3043" t="s">
        <v>150</v>
      </c>
      <c r="C3043" t="s">
        <v>122</v>
      </c>
      <c r="D3043" t="s">
        <v>47</v>
      </c>
      <c r="E3043" t="s">
        <v>159</v>
      </c>
      <c r="F3043" s="1">
        <v>42864</v>
      </c>
      <c r="G3043" s="1">
        <v>42916</v>
      </c>
      <c r="H3043">
        <v>0</v>
      </c>
      <c r="I3043" t="str">
        <f>IF(COUNTIF(Products!$A$2:$A$8,C3043)=0,C3043,"")</f>
        <v/>
      </c>
      <c r="J3043">
        <f>IF(OR(E3043="Prospecting",E3043="Engaging"),VLOOKUP(C3043,Products!$A$2:$C$8,3,FALSE),0)</f>
        <v>0</v>
      </c>
    </row>
    <row r="3044" spans="1:10" x14ac:dyDescent="0.25">
      <c r="A3044" t="s">
        <v>3211</v>
      </c>
      <c r="B3044" t="s">
        <v>150</v>
      </c>
      <c r="C3044" t="s">
        <v>120</v>
      </c>
      <c r="D3044" t="s">
        <v>66</v>
      </c>
      <c r="E3044" t="s">
        <v>138</v>
      </c>
      <c r="F3044" s="1">
        <v>42864</v>
      </c>
      <c r="G3044" s="1">
        <v>42865</v>
      </c>
      <c r="H3044">
        <v>541</v>
      </c>
      <c r="I3044" t="str">
        <f>IF(COUNTIF(Products!$A$2:$A$8,C3044)=0,C3044,"")</f>
        <v/>
      </c>
      <c r="J3044">
        <f>IF(OR(E3044="Prospecting",E3044="Engaging"),VLOOKUP(C3044,Products!$A$2:$C$8,3,FALSE),0)</f>
        <v>0</v>
      </c>
    </row>
    <row r="3045" spans="1:10" x14ac:dyDescent="0.25">
      <c r="A3045" t="s">
        <v>3212</v>
      </c>
      <c r="B3045" t="s">
        <v>150</v>
      </c>
      <c r="C3045" t="s">
        <v>122</v>
      </c>
      <c r="D3045" t="s">
        <v>60</v>
      </c>
      <c r="E3045" t="s">
        <v>138</v>
      </c>
      <c r="F3045" s="1">
        <v>42864</v>
      </c>
      <c r="G3045" s="1">
        <v>42888</v>
      </c>
      <c r="H3045">
        <v>4815</v>
      </c>
      <c r="I3045" t="str">
        <f>IF(COUNTIF(Products!$A$2:$A$8,C3045)=0,C3045,"")</f>
        <v/>
      </c>
      <c r="J3045">
        <f>IF(OR(E3045="Prospecting",E3045="Engaging"),VLOOKUP(C3045,Products!$A$2:$C$8,3,FALSE),0)</f>
        <v>0</v>
      </c>
    </row>
    <row r="3046" spans="1:10" x14ac:dyDescent="0.25">
      <c r="A3046" t="s">
        <v>3213</v>
      </c>
      <c r="B3046" t="s">
        <v>162</v>
      </c>
      <c r="C3046" t="s">
        <v>127</v>
      </c>
      <c r="D3046" t="s">
        <v>35</v>
      </c>
      <c r="E3046" t="s">
        <v>155</v>
      </c>
      <c r="F3046" s="1">
        <v>42864</v>
      </c>
      <c r="I3046" t="str">
        <f>IF(COUNTIF(Products!$A$2:$A$8,C3046)=0,C3046,"")</f>
        <v/>
      </c>
      <c r="J3046">
        <f>IF(OR(E3046="Prospecting",E3046="Engaging"),VLOOKUP(C3046,Products!$A$2:$C$8,3,FALSE),0)</f>
        <v>1096</v>
      </c>
    </row>
    <row r="3047" spans="1:10" x14ac:dyDescent="0.25">
      <c r="A3047" t="s">
        <v>3214</v>
      </c>
      <c r="B3047" t="s">
        <v>162</v>
      </c>
      <c r="C3047" t="s">
        <v>123</v>
      </c>
      <c r="D3047" t="s">
        <v>69</v>
      </c>
      <c r="E3047" t="s">
        <v>138</v>
      </c>
      <c r="F3047" s="1">
        <v>42864</v>
      </c>
      <c r="G3047" s="1">
        <v>42867</v>
      </c>
      <c r="H3047">
        <v>57</v>
      </c>
      <c r="I3047" t="str">
        <f>IF(COUNTIF(Products!$A$2:$A$8,C3047)=0,C3047,"")</f>
        <v/>
      </c>
      <c r="J3047">
        <f>IF(OR(E3047="Prospecting",E3047="Engaging"),VLOOKUP(C3047,Products!$A$2:$C$8,3,FALSE),0)</f>
        <v>0</v>
      </c>
    </row>
    <row r="3048" spans="1:10" x14ac:dyDescent="0.25">
      <c r="A3048" t="s">
        <v>3215</v>
      </c>
      <c r="B3048" t="s">
        <v>152</v>
      </c>
      <c r="C3048" t="s">
        <v>127</v>
      </c>
      <c r="D3048" t="s">
        <v>88</v>
      </c>
      <c r="E3048" t="s">
        <v>159</v>
      </c>
      <c r="F3048" s="1">
        <v>42864</v>
      </c>
      <c r="G3048" s="1">
        <v>42875</v>
      </c>
      <c r="H3048">
        <v>0</v>
      </c>
      <c r="I3048" t="str">
        <f>IF(COUNTIF(Products!$A$2:$A$8,C3048)=0,C3048,"")</f>
        <v/>
      </c>
      <c r="J3048">
        <f>IF(OR(E3048="Prospecting",E3048="Engaging"),VLOOKUP(C3048,Products!$A$2:$C$8,3,FALSE),0)</f>
        <v>0</v>
      </c>
    </row>
    <row r="3049" spans="1:10" x14ac:dyDescent="0.25">
      <c r="A3049" t="s">
        <v>3216</v>
      </c>
      <c r="B3049" t="s">
        <v>152</v>
      </c>
      <c r="C3049" t="s">
        <v>123</v>
      </c>
      <c r="D3049" t="s">
        <v>88</v>
      </c>
      <c r="E3049" t="s">
        <v>159</v>
      </c>
      <c r="F3049" s="1">
        <v>42864</v>
      </c>
      <c r="G3049" s="1">
        <v>42969</v>
      </c>
      <c r="H3049">
        <v>0</v>
      </c>
      <c r="I3049" t="str">
        <f>IF(COUNTIF(Products!$A$2:$A$8,C3049)=0,C3049,"")</f>
        <v/>
      </c>
      <c r="J3049">
        <f>IF(OR(E3049="Prospecting",E3049="Engaging"),VLOOKUP(C3049,Products!$A$2:$C$8,3,FALSE),0)</f>
        <v>0</v>
      </c>
    </row>
    <row r="3050" spans="1:10" x14ac:dyDescent="0.25">
      <c r="A3050" t="s">
        <v>3217</v>
      </c>
      <c r="B3050" t="s">
        <v>193</v>
      </c>
      <c r="C3050" t="s">
        <v>126</v>
      </c>
      <c r="D3050" t="s">
        <v>81</v>
      </c>
      <c r="E3050" t="s">
        <v>138</v>
      </c>
      <c r="F3050" s="1">
        <v>42864</v>
      </c>
      <c r="G3050" s="1">
        <v>42872</v>
      </c>
      <c r="H3050">
        <v>5406</v>
      </c>
      <c r="I3050" t="str">
        <f>IF(COUNTIF(Products!$A$2:$A$8,C3050)=0,C3050,"")</f>
        <v/>
      </c>
      <c r="J3050">
        <f>IF(OR(E3050="Prospecting",E3050="Engaging"),VLOOKUP(C3050,Products!$A$2:$C$8,3,FALSE),0)</f>
        <v>0</v>
      </c>
    </row>
    <row r="3051" spans="1:10" x14ac:dyDescent="0.25">
      <c r="A3051" t="s">
        <v>3218</v>
      </c>
      <c r="B3051" t="s">
        <v>187</v>
      </c>
      <c r="C3051" t="s">
        <v>122</v>
      </c>
      <c r="E3051" t="s">
        <v>155</v>
      </c>
      <c r="F3051" s="1">
        <v>42864</v>
      </c>
      <c r="I3051" t="str">
        <f>IF(COUNTIF(Products!$A$2:$A$8,C3051)=0,C3051,"")</f>
        <v/>
      </c>
      <c r="J3051">
        <f>IF(OR(E3051="Prospecting",E3051="Engaging"),VLOOKUP(C3051,Products!$A$2:$C$8,3,FALSE),0)</f>
        <v>4821</v>
      </c>
    </row>
    <row r="3052" spans="1:10" x14ac:dyDescent="0.25">
      <c r="A3052" t="s">
        <v>3219</v>
      </c>
      <c r="B3052" t="s">
        <v>148</v>
      </c>
      <c r="C3052" t="s">
        <v>120</v>
      </c>
      <c r="D3052" t="s">
        <v>38</v>
      </c>
      <c r="E3052" t="s">
        <v>159</v>
      </c>
      <c r="F3052" s="1">
        <v>42864</v>
      </c>
      <c r="G3052" s="1">
        <v>42907</v>
      </c>
      <c r="H3052">
        <v>0</v>
      </c>
      <c r="I3052" t="str">
        <f>IF(COUNTIF(Products!$A$2:$A$8,C3052)=0,C3052,"")</f>
        <v/>
      </c>
      <c r="J3052">
        <f>IF(OR(E3052="Prospecting",E3052="Engaging"),VLOOKUP(C3052,Products!$A$2:$C$8,3,FALSE),0)</f>
        <v>0</v>
      </c>
    </row>
    <row r="3053" spans="1:10" x14ac:dyDescent="0.25">
      <c r="A3053" t="s">
        <v>3220</v>
      </c>
      <c r="B3053" t="s">
        <v>148</v>
      </c>
      <c r="C3053" t="s">
        <v>125</v>
      </c>
      <c r="D3053" t="s">
        <v>107</v>
      </c>
      <c r="E3053" t="s">
        <v>159</v>
      </c>
      <c r="F3053" s="1">
        <v>42864</v>
      </c>
      <c r="G3053" s="1">
        <v>42951</v>
      </c>
      <c r="H3053">
        <v>0</v>
      </c>
      <c r="I3053" t="str">
        <f>IF(COUNTIF(Products!$A$2:$A$8,C3053)=0,C3053,"")</f>
        <v/>
      </c>
      <c r="J3053">
        <f>IF(OR(E3053="Prospecting",E3053="Engaging"),VLOOKUP(C3053,Products!$A$2:$C$8,3,FALSE),0)</f>
        <v>0</v>
      </c>
    </row>
    <row r="3054" spans="1:10" x14ac:dyDescent="0.25">
      <c r="A3054" t="s">
        <v>3221</v>
      </c>
      <c r="B3054" t="s">
        <v>144</v>
      </c>
      <c r="C3054" t="s">
        <v>120</v>
      </c>
      <c r="D3054" t="s">
        <v>85</v>
      </c>
      <c r="E3054" t="s">
        <v>155</v>
      </c>
      <c r="F3054" s="1">
        <v>42864</v>
      </c>
      <c r="I3054" t="str">
        <f>IF(COUNTIF(Products!$A$2:$A$8,C3054)=0,C3054,"")</f>
        <v/>
      </c>
      <c r="J3054">
        <f>IF(OR(E3054="Prospecting",E3054="Engaging"),VLOOKUP(C3054,Products!$A$2:$C$8,3,FALSE),0)</f>
        <v>550</v>
      </c>
    </row>
    <row r="3055" spans="1:10" x14ac:dyDescent="0.25">
      <c r="A3055" t="s">
        <v>3222</v>
      </c>
      <c r="B3055" t="s">
        <v>144</v>
      </c>
      <c r="C3055" t="s">
        <v>126</v>
      </c>
      <c r="D3055" t="s">
        <v>56</v>
      </c>
      <c r="E3055" t="s">
        <v>138</v>
      </c>
      <c r="F3055" s="1">
        <v>42864</v>
      </c>
      <c r="G3055" s="1">
        <v>42875</v>
      </c>
      <c r="H3055">
        <v>5042</v>
      </c>
      <c r="I3055" t="str">
        <f>IF(COUNTIF(Products!$A$2:$A$8,C3055)=0,C3055,"")</f>
        <v/>
      </c>
      <c r="J3055">
        <f>IF(OR(E3055="Prospecting",E3055="Engaging"),VLOOKUP(C3055,Products!$A$2:$C$8,3,FALSE),0)</f>
        <v>0</v>
      </c>
    </row>
    <row r="3056" spans="1:10" x14ac:dyDescent="0.25">
      <c r="A3056" t="s">
        <v>3223</v>
      </c>
      <c r="B3056" t="s">
        <v>144</v>
      </c>
      <c r="C3056" t="s">
        <v>122</v>
      </c>
      <c r="D3056" t="s">
        <v>87</v>
      </c>
      <c r="E3056" t="s">
        <v>138</v>
      </c>
      <c r="F3056" s="1">
        <v>42864</v>
      </c>
      <c r="G3056" s="1">
        <v>42878</v>
      </c>
      <c r="H3056">
        <v>3969</v>
      </c>
      <c r="I3056" t="str">
        <f>IF(COUNTIF(Products!$A$2:$A$8,C3056)=0,C3056,"")</f>
        <v/>
      </c>
      <c r="J3056">
        <f>IF(OR(E3056="Prospecting",E3056="Engaging"),VLOOKUP(C3056,Products!$A$2:$C$8,3,FALSE),0)</f>
        <v>0</v>
      </c>
    </row>
    <row r="3057" spans="1:10" x14ac:dyDescent="0.25">
      <c r="A3057" t="s">
        <v>3224</v>
      </c>
      <c r="B3057" t="s">
        <v>146</v>
      </c>
      <c r="C3057" t="s">
        <v>123</v>
      </c>
      <c r="D3057" t="s">
        <v>30</v>
      </c>
      <c r="E3057" t="s">
        <v>159</v>
      </c>
      <c r="F3057" s="1">
        <v>42865</v>
      </c>
      <c r="G3057" s="1">
        <v>42968</v>
      </c>
      <c r="H3057">
        <v>0</v>
      </c>
      <c r="I3057" t="str">
        <f>IF(COUNTIF(Products!$A$2:$A$8,C3057)=0,C3057,"")</f>
        <v/>
      </c>
      <c r="J3057">
        <f>IF(OR(E3057="Prospecting",E3057="Engaging"),VLOOKUP(C3057,Products!$A$2:$C$8,3,FALSE),0)</f>
        <v>0</v>
      </c>
    </row>
    <row r="3058" spans="1:10" x14ac:dyDescent="0.25">
      <c r="A3058" t="s">
        <v>3225</v>
      </c>
      <c r="B3058" t="s">
        <v>146</v>
      </c>
      <c r="C3058" t="s">
        <v>123</v>
      </c>
      <c r="D3058" t="s">
        <v>64</v>
      </c>
      <c r="E3058" t="s">
        <v>138</v>
      </c>
      <c r="F3058" s="1">
        <v>42865</v>
      </c>
      <c r="G3058" s="1">
        <v>42951</v>
      </c>
      <c r="H3058">
        <v>59</v>
      </c>
      <c r="I3058" t="str">
        <f>IF(COUNTIF(Products!$A$2:$A$8,C3058)=0,C3058,"")</f>
        <v/>
      </c>
      <c r="J3058">
        <f>IF(OR(E3058="Prospecting",E3058="Engaging"),VLOOKUP(C3058,Products!$A$2:$C$8,3,FALSE),0)</f>
        <v>0</v>
      </c>
    </row>
    <row r="3059" spans="1:10" x14ac:dyDescent="0.25">
      <c r="A3059" t="s">
        <v>3226</v>
      </c>
      <c r="B3059" t="s">
        <v>207</v>
      </c>
      <c r="C3059" t="s">
        <v>120</v>
      </c>
      <c r="D3059" t="s">
        <v>98</v>
      </c>
      <c r="E3059" t="s">
        <v>138</v>
      </c>
      <c r="F3059" s="1">
        <v>42865</v>
      </c>
      <c r="G3059" s="1">
        <v>42871</v>
      </c>
      <c r="H3059">
        <v>629</v>
      </c>
      <c r="I3059" t="str">
        <f>IF(COUNTIF(Products!$A$2:$A$8,C3059)=0,C3059,"")</f>
        <v/>
      </c>
      <c r="J3059">
        <f>IF(OR(E3059="Prospecting",E3059="Engaging"),VLOOKUP(C3059,Products!$A$2:$C$8,3,FALSE),0)</f>
        <v>0</v>
      </c>
    </row>
    <row r="3060" spans="1:10" x14ac:dyDescent="0.25">
      <c r="A3060" t="s">
        <v>3227</v>
      </c>
      <c r="B3060" t="s">
        <v>264</v>
      </c>
      <c r="C3060" t="s">
        <v>123</v>
      </c>
      <c r="D3060" t="s">
        <v>36</v>
      </c>
      <c r="E3060" t="s">
        <v>138</v>
      </c>
      <c r="F3060" s="1">
        <v>42865</v>
      </c>
      <c r="G3060" s="1">
        <v>42871</v>
      </c>
      <c r="H3060">
        <v>57</v>
      </c>
      <c r="I3060" t="str">
        <f>IF(COUNTIF(Products!$A$2:$A$8,C3060)=0,C3060,"")</f>
        <v/>
      </c>
      <c r="J3060">
        <f>IF(OR(E3060="Prospecting",E3060="Engaging"),VLOOKUP(C3060,Products!$A$2:$C$8,3,FALSE),0)</f>
        <v>0</v>
      </c>
    </row>
    <row r="3061" spans="1:10" x14ac:dyDescent="0.25">
      <c r="A3061" t="s">
        <v>3228</v>
      </c>
      <c r="B3061" t="s">
        <v>239</v>
      </c>
      <c r="C3061" t="s">
        <v>125</v>
      </c>
      <c r="D3061" t="s">
        <v>69</v>
      </c>
      <c r="E3061" t="s">
        <v>159</v>
      </c>
      <c r="F3061" s="1">
        <v>42865</v>
      </c>
      <c r="G3061" s="1">
        <v>42869</v>
      </c>
      <c r="H3061">
        <v>0</v>
      </c>
      <c r="I3061" t="str">
        <f>IF(COUNTIF(Products!$A$2:$A$8,C3061)=0,C3061,"")</f>
        <v/>
      </c>
      <c r="J3061">
        <f>IF(OR(E3061="Prospecting",E3061="Engaging"),VLOOKUP(C3061,Products!$A$2:$C$8,3,FALSE),0)</f>
        <v>0</v>
      </c>
    </row>
    <row r="3062" spans="1:10" x14ac:dyDescent="0.25">
      <c r="A3062" t="s">
        <v>3229</v>
      </c>
      <c r="B3062" t="s">
        <v>239</v>
      </c>
      <c r="C3062" t="s">
        <v>122</v>
      </c>
      <c r="D3062" t="s">
        <v>92</v>
      </c>
      <c r="E3062" t="s">
        <v>138</v>
      </c>
      <c r="F3062" s="1">
        <v>42865</v>
      </c>
      <c r="G3062" s="1">
        <v>42953</v>
      </c>
      <c r="H3062">
        <v>4861</v>
      </c>
      <c r="I3062" t="str">
        <f>IF(COUNTIF(Products!$A$2:$A$8,C3062)=0,C3062,"")</f>
        <v/>
      </c>
      <c r="J3062">
        <f>IF(OR(E3062="Prospecting",E3062="Engaging"),VLOOKUP(C3062,Products!$A$2:$C$8,3,FALSE),0)</f>
        <v>0</v>
      </c>
    </row>
    <row r="3063" spans="1:10" x14ac:dyDescent="0.25">
      <c r="A3063" t="s">
        <v>3230</v>
      </c>
      <c r="B3063" t="s">
        <v>171</v>
      </c>
      <c r="C3063" t="s">
        <v>125</v>
      </c>
      <c r="D3063" t="s">
        <v>84</v>
      </c>
      <c r="E3063" t="s">
        <v>159</v>
      </c>
      <c r="F3063" s="1">
        <v>42865</v>
      </c>
      <c r="G3063" s="1">
        <v>42981</v>
      </c>
      <c r="H3063">
        <v>0</v>
      </c>
      <c r="I3063" t="str">
        <f>IF(COUNTIF(Products!$A$2:$A$8,C3063)=0,C3063,"")</f>
        <v/>
      </c>
      <c r="J3063">
        <f>IF(OR(E3063="Prospecting",E3063="Engaging"),VLOOKUP(C3063,Products!$A$2:$C$8,3,FALSE),0)</f>
        <v>0</v>
      </c>
    </row>
    <row r="3064" spans="1:10" x14ac:dyDescent="0.25">
      <c r="A3064" t="s">
        <v>3231</v>
      </c>
      <c r="B3064" t="s">
        <v>140</v>
      </c>
      <c r="C3064" t="s">
        <v>122</v>
      </c>
      <c r="D3064" t="s">
        <v>36</v>
      </c>
      <c r="E3064" t="s">
        <v>159</v>
      </c>
      <c r="F3064" s="1">
        <v>42865</v>
      </c>
      <c r="G3064" s="1">
        <v>42948</v>
      </c>
      <c r="H3064">
        <v>0</v>
      </c>
      <c r="I3064" t="str">
        <f>IF(COUNTIF(Products!$A$2:$A$8,C3064)=0,C3064,"")</f>
        <v/>
      </c>
      <c r="J3064">
        <f>IF(OR(E3064="Prospecting",E3064="Engaging"),VLOOKUP(C3064,Products!$A$2:$C$8,3,FALSE),0)</f>
        <v>0</v>
      </c>
    </row>
    <row r="3065" spans="1:10" x14ac:dyDescent="0.25">
      <c r="A3065" t="s">
        <v>3232</v>
      </c>
      <c r="B3065" t="s">
        <v>140</v>
      </c>
      <c r="C3065" t="s">
        <v>127</v>
      </c>
      <c r="D3065" t="s">
        <v>116</v>
      </c>
      <c r="E3065" t="s">
        <v>138</v>
      </c>
      <c r="F3065" s="1">
        <v>42865</v>
      </c>
      <c r="G3065" s="1">
        <v>42885</v>
      </c>
      <c r="H3065">
        <v>980</v>
      </c>
      <c r="I3065" t="str">
        <f>IF(COUNTIF(Products!$A$2:$A$8,C3065)=0,C3065,"")</f>
        <v/>
      </c>
      <c r="J3065">
        <f>IF(OR(E3065="Prospecting",E3065="Engaging"),VLOOKUP(C3065,Products!$A$2:$C$8,3,FALSE),0)</f>
        <v>0</v>
      </c>
    </row>
    <row r="3066" spans="1:10" x14ac:dyDescent="0.25">
      <c r="A3066" t="s">
        <v>3233</v>
      </c>
      <c r="B3066" t="s">
        <v>224</v>
      </c>
      <c r="C3066" t="s">
        <v>126</v>
      </c>
      <c r="D3066" t="s">
        <v>105</v>
      </c>
      <c r="E3066" t="s">
        <v>159</v>
      </c>
      <c r="F3066" s="1">
        <v>42865</v>
      </c>
      <c r="G3066" s="1">
        <v>42872</v>
      </c>
      <c r="H3066">
        <v>0</v>
      </c>
      <c r="I3066" t="str">
        <f>IF(COUNTIF(Products!$A$2:$A$8,C3066)=0,C3066,"")</f>
        <v/>
      </c>
      <c r="J3066">
        <f>IF(OR(E3066="Prospecting",E3066="Engaging"),VLOOKUP(C3066,Products!$A$2:$C$8,3,FALSE),0)</f>
        <v>0</v>
      </c>
    </row>
    <row r="3067" spans="1:10" x14ac:dyDescent="0.25">
      <c r="A3067" t="s">
        <v>3234</v>
      </c>
      <c r="B3067" t="s">
        <v>224</v>
      </c>
      <c r="C3067" t="s">
        <v>125</v>
      </c>
      <c r="D3067" t="s">
        <v>115</v>
      </c>
      <c r="E3067" t="s">
        <v>159</v>
      </c>
      <c r="F3067" s="1">
        <v>42865</v>
      </c>
      <c r="G3067" s="1">
        <v>42877</v>
      </c>
      <c r="H3067">
        <v>0</v>
      </c>
      <c r="I3067" t="str">
        <f>IF(COUNTIF(Products!$A$2:$A$8,C3067)=0,C3067,"")</f>
        <v/>
      </c>
      <c r="J3067">
        <f>IF(OR(E3067="Prospecting",E3067="Engaging"),VLOOKUP(C3067,Products!$A$2:$C$8,3,FALSE),0)</f>
        <v>0</v>
      </c>
    </row>
    <row r="3068" spans="1:10" x14ac:dyDescent="0.25">
      <c r="A3068" t="s">
        <v>3235</v>
      </c>
      <c r="B3068" t="s">
        <v>198</v>
      </c>
      <c r="C3068" t="s">
        <v>122</v>
      </c>
      <c r="D3068" t="s">
        <v>67</v>
      </c>
      <c r="E3068" t="s">
        <v>159</v>
      </c>
      <c r="F3068" s="1">
        <v>42865</v>
      </c>
      <c r="G3068" s="1">
        <v>42971</v>
      </c>
      <c r="H3068">
        <v>0</v>
      </c>
      <c r="I3068" t="str">
        <f>IF(COUNTIF(Products!$A$2:$A$8,C3068)=0,C3068,"")</f>
        <v/>
      </c>
      <c r="J3068">
        <f>IF(OR(E3068="Prospecting",E3068="Engaging"),VLOOKUP(C3068,Products!$A$2:$C$8,3,FALSE),0)</f>
        <v>0</v>
      </c>
    </row>
    <row r="3069" spans="1:10" x14ac:dyDescent="0.25">
      <c r="A3069" t="s">
        <v>3236</v>
      </c>
      <c r="B3069" t="s">
        <v>158</v>
      </c>
      <c r="C3069" t="s">
        <v>122</v>
      </c>
      <c r="D3069" t="s">
        <v>22</v>
      </c>
      <c r="E3069" t="s">
        <v>138</v>
      </c>
      <c r="F3069" s="1">
        <v>42865</v>
      </c>
      <c r="G3069" s="1">
        <v>42957</v>
      </c>
      <c r="H3069">
        <v>5361</v>
      </c>
      <c r="I3069" t="str">
        <f>IF(COUNTIF(Products!$A$2:$A$8,C3069)=0,C3069,"")</f>
        <v/>
      </c>
      <c r="J3069">
        <f>IF(OR(E3069="Prospecting",E3069="Engaging"),VLOOKUP(C3069,Products!$A$2:$C$8,3,FALSE),0)</f>
        <v>0</v>
      </c>
    </row>
    <row r="3070" spans="1:10" x14ac:dyDescent="0.25">
      <c r="A3070" t="s">
        <v>3237</v>
      </c>
      <c r="B3070" t="s">
        <v>154</v>
      </c>
      <c r="C3070" t="s">
        <v>125</v>
      </c>
      <c r="D3070" t="s">
        <v>71</v>
      </c>
      <c r="E3070" t="s">
        <v>159</v>
      </c>
      <c r="F3070" s="1">
        <v>42865</v>
      </c>
      <c r="G3070" s="1">
        <v>42958</v>
      </c>
      <c r="H3070">
        <v>0</v>
      </c>
      <c r="I3070" t="str">
        <f>IF(COUNTIF(Products!$A$2:$A$8,C3070)=0,C3070,"")</f>
        <v/>
      </c>
      <c r="J3070">
        <f>IF(OR(E3070="Prospecting",E3070="Engaging"),VLOOKUP(C3070,Products!$A$2:$C$8,3,FALSE),0)</f>
        <v>0</v>
      </c>
    </row>
    <row r="3071" spans="1:10" x14ac:dyDescent="0.25">
      <c r="A3071" t="s">
        <v>3238</v>
      </c>
      <c r="B3071" t="s">
        <v>180</v>
      </c>
      <c r="C3071" t="s">
        <v>120</v>
      </c>
      <c r="E3071" t="s">
        <v>155</v>
      </c>
      <c r="F3071" s="1">
        <v>42865</v>
      </c>
      <c r="I3071" t="str">
        <f>IF(COUNTIF(Products!$A$2:$A$8,C3071)=0,C3071,"")</f>
        <v/>
      </c>
      <c r="J3071">
        <f>IF(OR(E3071="Prospecting",E3071="Engaging"),VLOOKUP(C3071,Products!$A$2:$C$8,3,FALSE),0)</f>
        <v>550</v>
      </c>
    </row>
    <row r="3072" spans="1:10" x14ac:dyDescent="0.25">
      <c r="A3072" t="s">
        <v>3239</v>
      </c>
      <c r="B3072" t="s">
        <v>180</v>
      </c>
      <c r="C3072" t="s">
        <v>120</v>
      </c>
      <c r="E3072" t="s">
        <v>155</v>
      </c>
      <c r="F3072" s="1">
        <v>42865</v>
      </c>
      <c r="I3072" t="str">
        <f>IF(COUNTIF(Products!$A$2:$A$8,C3072)=0,C3072,"")</f>
        <v/>
      </c>
      <c r="J3072">
        <f>IF(OR(E3072="Prospecting",E3072="Engaging"),VLOOKUP(C3072,Products!$A$2:$C$8,3,FALSE),0)</f>
        <v>550</v>
      </c>
    </row>
    <row r="3073" spans="1:10" x14ac:dyDescent="0.25">
      <c r="A3073" t="s">
        <v>3240</v>
      </c>
      <c r="B3073" t="s">
        <v>180</v>
      </c>
      <c r="C3073" t="s">
        <v>120</v>
      </c>
      <c r="D3073" t="s">
        <v>56</v>
      </c>
      <c r="E3073" t="s">
        <v>159</v>
      </c>
      <c r="F3073" s="1">
        <v>42865</v>
      </c>
      <c r="G3073" s="1">
        <v>42972</v>
      </c>
      <c r="H3073">
        <v>0</v>
      </c>
      <c r="I3073" t="str">
        <f>IF(COUNTIF(Products!$A$2:$A$8,C3073)=0,C3073,"")</f>
        <v/>
      </c>
      <c r="J3073">
        <f>IF(OR(E3073="Prospecting",E3073="Engaging"),VLOOKUP(C3073,Products!$A$2:$C$8,3,FALSE),0)</f>
        <v>0</v>
      </c>
    </row>
    <row r="3074" spans="1:10" x14ac:dyDescent="0.25">
      <c r="A3074" t="s">
        <v>3241</v>
      </c>
      <c r="B3074" t="s">
        <v>191</v>
      </c>
      <c r="C3074" t="s">
        <v>127</v>
      </c>
      <c r="D3074" t="s">
        <v>39</v>
      </c>
      <c r="E3074" t="s">
        <v>138</v>
      </c>
      <c r="F3074" s="1">
        <v>42865</v>
      </c>
      <c r="G3074" s="1">
        <v>42992</v>
      </c>
      <c r="H3074">
        <v>1220</v>
      </c>
      <c r="I3074" t="str">
        <f>IF(COUNTIF(Products!$A$2:$A$8,C3074)=0,C3074,"")</f>
        <v/>
      </c>
      <c r="J3074">
        <f>IF(OR(E3074="Prospecting",E3074="Engaging"),VLOOKUP(C3074,Products!$A$2:$C$8,3,FALSE),0)</f>
        <v>0</v>
      </c>
    </row>
    <row r="3075" spans="1:10" x14ac:dyDescent="0.25">
      <c r="A3075" t="s">
        <v>3242</v>
      </c>
      <c r="B3075" t="s">
        <v>150</v>
      </c>
      <c r="C3075" t="s">
        <v>123</v>
      </c>
      <c r="D3075" t="s">
        <v>34</v>
      </c>
      <c r="E3075" t="s">
        <v>159</v>
      </c>
      <c r="F3075" s="1">
        <v>42865</v>
      </c>
      <c r="G3075" s="1">
        <v>42877</v>
      </c>
      <c r="H3075">
        <v>0</v>
      </c>
      <c r="I3075" t="str">
        <f>IF(COUNTIF(Products!$A$2:$A$8,C3075)=0,C3075,"")</f>
        <v/>
      </c>
      <c r="J3075">
        <f>IF(OR(E3075="Prospecting",E3075="Engaging"),VLOOKUP(C3075,Products!$A$2:$C$8,3,FALSE),0)</f>
        <v>0</v>
      </c>
    </row>
    <row r="3076" spans="1:10" x14ac:dyDescent="0.25">
      <c r="A3076" t="s">
        <v>3243</v>
      </c>
      <c r="B3076" t="s">
        <v>150</v>
      </c>
      <c r="C3076" t="s">
        <v>125</v>
      </c>
      <c r="D3076" t="s">
        <v>93</v>
      </c>
      <c r="E3076" t="s">
        <v>159</v>
      </c>
      <c r="F3076" s="1">
        <v>42865</v>
      </c>
      <c r="G3076" s="1">
        <v>42871</v>
      </c>
      <c r="H3076">
        <v>0</v>
      </c>
      <c r="I3076" t="str">
        <f>IF(COUNTIF(Products!$A$2:$A$8,C3076)=0,C3076,"")</f>
        <v/>
      </c>
      <c r="J3076">
        <f>IF(OR(E3076="Prospecting",E3076="Engaging"),VLOOKUP(C3076,Products!$A$2:$C$8,3,FALSE),0)</f>
        <v>0</v>
      </c>
    </row>
    <row r="3077" spans="1:10" x14ac:dyDescent="0.25">
      <c r="A3077" t="s">
        <v>3244</v>
      </c>
      <c r="B3077" t="s">
        <v>150</v>
      </c>
      <c r="C3077" t="s">
        <v>120</v>
      </c>
      <c r="D3077" t="s">
        <v>90</v>
      </c>
      <c r="E3077" t="s">
        <v>138</v>
      </c>
      <c r="F3077" s="1">
        <v>42865</v>
      </c>
      <c r="G3077" s="1">
        <v>42982</v>
      </c>
      <c r="H3077">
        <v>464</v>
      </c>
      <c r="I3077" t="str">
        <f>IF(COUNTIF(Products!$A$2:$A$8,C3077)=0,C3077,"")</f>
        <v/>
      </c>
      <c r="J3077">
        <f>IF(OR(E3077="Prospecting",E3077="Engaging"),VLOOKUP(C3077,Products!$A$2:$C$8,3,FALSE),0)</f>
        <v>0</v>
      </c>
    </row>
    <row r="3078" spans="1:10" x14ac:dyDescent="0.25">
      <c r="A3078" t="s">
        <v>3245</v>
      </c>
      <c r="B3078" t="s">
        <v>205</v>
      </c>
      <c r="C3078" t="s">
        <v>125</v>
      </c>
      <c r="D3078" t="s">
        <v>51</v>
      </c>
      <c r="E3078" t="s">
        <v>138</v>
      </c>
      <c r="F3078" s="1">
        <v>42865</v>
      </c>
      <c r="G3078" s="1">
        <v>42879</v>
      </c>
      <c r="H3078">
        <v>3604</v>
      </c>
      <c r="I3078" t="str">
        <f>IF(COUNTIF(Products!$A$2:$A$8,C3078)=0,C3078,"")</f>
        <v/>
      </c>
      <c r="J3078">
        <f>IF(OR(E3078="Prospecting",E3078="Engaging"),VLOOKUP(C3078,Products!$A$2:$C$8,3,FALSE),0)</f>
        <v>0</v>
      </c>
    </row>
    <row r="3079" spans="1:10" x14ac:dyDescent="0.25">
      <c r="A3079" t="s">
        <v>3246</v>
      </c>
      <c r="B3079" t="s">
        <v>137</v>
      </c>
      <c r="C3079" t="s">
        <v>120</v>
      </c>
      <c r="D3079" t="s">
        <v>42</v>
      </c>
      <c r="E3079" t="s">
        <v>138</v>
      </c>
      <c r="F3079" s="1">
        <v>42865</v>
      </c>
      <c r="G3079" s="1">
        <v>42968</v>
      </c>
      <c r="H3079">
        <v>529</v>
      </c>
      <c r="I3079" t="str">
        <f>IF(COUNTIF(Products!$A$2:$A$8,C3079)=0,C3079,"")</f>
        <v/>
      </c>
      <c r="J3079">
        <f>IF(OR(E3079="Prospecting",E3079="Engaging"),VLOOKUP(C3079,Products!$A$2:$C$8,3,FALSE),0)</f>
        <v>0</v>
      </c>
    </row>
    <row r="3080" spans="1:10" x14ac:dyDescent="0.25">
      <c r="A3080" t="s">
        <v>3247</v>
      </c>
      <c r="B3080" t="s">
        <v>152</v>
      </c>
      <c r="C3080" t="s">
        <v>127</v>
      </c>
      <c r="D3080" t="s">
        <v>103</v>
      </c>
      <c r="E3080" t="s">
        <v>159</v>
      </c>
      <c r="F3080" s="1">
        <v>42865</v>
      </c>
      <c r="G3080" s="1">
        <v>42997</v>
      </c>
      <c r="H3080">
        <v>0</v>
      </c>
      <c r="I3080" t="str">
        <f>IF(COUNTIF(Products!$A$2:$A$8,C3080)=0,C3080,"")</f>
        <v/>
      </c>
      <c r="J3080">
        <f>IF(OR(E3080="Prospecting",E3080="Engaging"),VLOOKUP(C3080,Products!$A$2:$C$8,3,FALSE),0)</f>
        <v>0</v>
      </c>
    </row>
    <row r="3081" spans="1:10" x14ac:dyDescent="0.25">
      <c r="A3081" t="s">
        <v>3248</v>
      </c>
      <c r="B3081" t="s">
        <v>166</v>
      </c>
      <c r="C3081" t="s">
        <v>125</v>
      </c>
      <c r="D3081" t="s">
        <v>57</v>
      </c>
      <c r="E3081" t="s">
        <v>159</v>
      </c>
      <c r="F3081" s="1">
        <v>42865</v>
      </c>
      <c r="G3081" s="1">
        <v>42873</v>
      </c>
      <c r="H3081">
        <v>0</v>
      </c>
      <c r="I3081" t="str">
        <f>IF(COUNTIF(Products!$A$2:$A$8,C3081)=0,C3081,"")</f>
        <v/>
      </c>
      <c r="J3081">
        <f>IF(OR(E3081="Prospecting",E3081="Engaging"),VLOOKUP(C3081,Products!$A$2:$C$8,3,FALSE),0)</f>
        <v>0</v>
      </c>
    </row>
    <row r="3082" spans="1:10" x14ac:dyDescent="0.25">
      <c r="A3082" t="s">
        <v>3249</v>
      </c>
      <c r="B3082" t="s">
        <v>187</v>
      </c>
      <c r="C3082" t="s">
        <v>123</v>
      </c>
      <c r="D3082" t="s">
        <v>20</v>
      </c>
      <c r="E3082" t="s">
        <v>138</v>
      </c>
      <c r="F3082" s="1">
        <v>42865</v>
      </c>
      <c r="G3082" s="1">
        <v>42867</v>
      </c>
      <c r="H3082">
        <v>54</v>
      </c>
      <c r="I3082" t="str">
        <f>IF(COUNTIF(Products!$A$2:$A$8,C3082)=0,C3082,"")</f>
        <v/>
      </c>
      <c r="J3082">
        <f>IF(OR(E3082="Prospecting",E3082="Engaging"),VLOOKUP(C3082,Products!$A$2:$C$8,3,FALSE),0)</f>
        <v>0</v>
      </c>
    </row>
    <row r="3083" spans="1:10" x14ac:dyDescent="0.25">
      <c r="A3083" t="s">
        <v>3250</v>
      </c>
      <c r="B3083" t="s">
        <v>148</v>
      </c>
      <c r="C3083" t="s">
        <v>120</v>
      </c>
      <c r="D3083" t="s">
        <v>28</v>
      </c>
      <c r="E3083" t="s">
        <v>155</v>
      </c>
      <c r="F3083" s="1">
        <v>42865</v>
      </c>
      <c r="I3083" t="str">
        <f>IF(COUNTIF(Products!$A$2:$A$8,C3083)=0,C3083,"")</f>
        <v/>
      </c>
      <c r="J3083">
        <f>IF(OR(E3083="Prospecting",E3083="Engaging"),VLOOKUP(C3083,Products!$A$2:$C$8,3,FALSE),0)</f>
        <v>550</v>
      </c>
    </row>
    <row r="3084" spans="1:10" x14ac:dyDescent="0.25">
      <c r="A3084" t="s">
        <v>3251</v>
      </c>
      <c r="B3084" t="s">
        <v>177</v>
      </c>
      <c r="C3084" t="s">
        <v>127</v>
      </c>
      <c r="D3084" t="s">
        <v>7</v>
      </c>
      <c r="E3084" t="s">
        <v>138</v>
      </c>
      <c r="F3084" s="1">
        <v>42865</v>
      </c>
      <c r="G3084" s="1">
        <v>42883</v>
      </c>
      <c r="H3084">
        <v>1022</v>
      </c>
      <c r="I3084" t="str">
        <f>IF(COUNTIF(Products!$A$2:$A$8,C3084)=0,C3084,"")</f>
        <v/>
      </c>
      <c r="J3084">
        <f>IF(OR(E3084="Prospecting",E3084="Engaging"),VLOOKUP(C3084,Products!$A$2:$C$8,3,FALSE),0)</f>
        <v>0</v>
      </c>
    </row>
    <row r="3085" spans="1:10" x14ac:dyDescent="0.25">
      <c r="A3085" t="s">
        <v>3252</v>
      </c>
      <c r="B3085" t="s">
        <v>146</v>
      </c>
      <c r="C3085" t="s">
        <v>127</v>
      </c>
      <c r="D3085" t="s">
        <v>88</v>
      </c>
      <c r="E3085" t="s">
        <v>159</v>
      </c>
      <c r="F3085" s="1">
        <v>42866</v>
      </c>
      <c r="G3085" s="1">
        <v>42950</v>
      </c>
      <c r="H3085">
        <v>0</v>
      </c>
      <c r="I3085" t="str">
        <f>IF(COUNTIF(Products!$A$2:$A$8,C3085)=0,C3085,"")</f>
        <v/>
      </c>
      <c r="J3085">
        <f>IF(OR(E3085="Prospecting",E3085="Engaging"),VLOOKUP(C3085,Products!$A$2:$C$8,3,FALSE),0)</f>
        <v>0</v>
      </c>
    </row>
    <row r="3086" spans="1:10" x14ac:dyDescent="0.25">
      <c r="A3086" t="s">
        <v>3253</v>
      </c>
      <c r="B3086" t="s">
        <v>146</v>
      </c>
      <c r="C3086" t="s">
        <v>123</v>
      </c>
      <c r="D3086" t="s">
        <v>36</v>
      </c>
      <c r="E3086" t="s">
        <v>138</v>
      </c>
      <c r="F3086" s="1">
        <v>42866</v>
      </c>
      <c r="G3086" s="1">
        <v>42881</v>
      </c>
      <c r="H3086">
        <v>52</v>
      </c>
      <c r="I3086" t="str">
        <f>IF(COUNTIF(Products!$A$2:$A$8,C3086)=0,C3086,"")</f>
        <v/>
      </c>
      <c r="J3086">
        <f>IF(OR(E3086="Prospecting",E3086="Engaging"),VLOOKUP(C3086,Products!$A$2:$C$8,3,FALSE),0)</f>
        <v>0</v>
      </c>
    </row>
    <row r="3087" spans="1:10" x14ac:dyDescent="0.25">
      <c r="A3087" t="s">
        <v>3254</v>
      </c>
      <c r="B3087" t="s">
        <v>222</v>
      </c>
      <c r="C3087" t="s">
        <v>120</v>
      </c>
      <c r="D3087" t="s">
        <v>20</v>
      </c>
      <c r="E3087" t="s">
        <v>155</v>
      </c>
      <c r="F3087" s="1">
        <v>42866</v>
      </c>
      <c r="I3087" t="str">
        <f>IF(COUNTIF(Products!$A$2:$A$8,C3087)=0,C3087,"")</f>
        <v/>
      </c>
      <c r="J3087">
        <f>IF(OR(E3087="Prospecting",E3087="Engaging"),VLOOKUP(C3087,Products!$A$2:$C$8,3,FALSE),0)</f>
        <v>550</v>
      </c>
    </row>
    <row r="3088" spans="1:10" x14ac:dyDescent="0.25">
      <c r="A3088" t="s">
        <v>3255</v>
      </c>
      <c r="B3088" t="s">
        <v>207</v>
      </c>
      <c r="C3088" t="s">
        <v>120</v>
      </c>
      <c r="D3088" t="s">
        <v>112</v>
      </c>
      <c r="E3088" t="s">
        <v>155</v>
      </c>
      <c r="F3088" s="1">
        <v>42866</v>
      </c>
      <c r="I3088" t="str">
        <f>IF(COUNTIF(Products!$A$2:$A$8,C3088)=0,C3088,"")</f>
        <v/>
      </c>
      <c r="J3088">
        <f>IF(OR(E3088="Prospecting",E3088="Engaging"),VLOOKUP(C3088,Products!$A$2:$C$8,3,FALSE),0)</f>
        <v>550</v>
      </c>
    </row>
    <row r="3089" spans="1:10" x14ac:dyDescent="0.25">
      <c r="A3089" t="s">
        <v>3256</v>
      </c>
      <c r="B3089" t="s">
        <v>239</v>
      </c>
      <c r="C3089" t="s">
        <v>123</v>
      </c>
      <c r="E3089" t="s">
        <v>155</v>
      </c>
      <c r="F3089" s="1">
        <v>42866</v>
      </c>
      <c r="I3089" t="str">
        <f>IF(COUNTIF(Products!$A$2:$A$8,C3089)=0,C3089,"")</f>
        <v/>
      </c>
      <c r="J3089">
        <f>IF(OR(E3089="Prospecting",E3089="Engaging"),VLOOKUP(C3089,Products!$A$2:$C$8,3,FALSE),0)</f>
        <v>55</v>
      </c>
    </row>
    <row r="3090" spans="1:10" x14ac:dyDescent="0.25">
      <c r="A3090" t="s">
        <v>3257</v>
      </c>
      <c r="B3090" t="s">
        <v>140</v>
      </c>
      <c r="C3090" t="s">
        <v>122</v>
      </c>
      <c r="D3090" t="s">
        <v>14</v>
      </c>
      <c r="E3090" t="s">
        <v>138</v>
      </c>
      <c r="F3090" s="1">
        <v>42866</v>
      </c>
      <c r="G3090" s="1">
        <v>42958</v>
      </c>
      <c r="H3090">
        <v>5037</v>
      </c>
      <c r="I3090" t="str">
        <f>IF(COUNTIF(Products!$A$2:$A$8,C3090)=0,C3090,"")</f>
        <v/>
      </c>
      <c r="J3090">
        <f>IF(OR(E3090="Prospecting",E3090="Engaging"),VLOOKUP(C3090,Products!$A$2:$C$8,3,FALSE),0)</f>
        <v>0</v>
      </c>
    </row>
    <row r="3091" spans="1:10" x14ac:dyDescent="0.25">
      <c r="A3091" t="s">
        <v>3258</v>
      </c>
      <c r="B3091" t="s">
        <v>140</v>
      </c>
      <c r="C3091" t="s">
        <v>122</v>
      </c>
      <c r="D3091" t="s">
        <v>53</v>
      </c>
      <c r="E3091" t="s">
        <v>138</v>
      </c>
      <c r="F3091" s="1">
        <v>42866</v>
      </c>
      <c r="G3091" s="1">
        <v>42915</v>
      </c>
      <c r="H3091">
        <v>4709</v>
      </c>
      <c r="I3091" t="str">
        <f>IF(COUNTIF(Products!$A$2:$A$8,C3091)=0,C3091,"")</f>
        <v/>
      </c>
      <c r="J3091">
        <f>IF(OR(E3091="Prospecting",E3091="Engaging"),VLOOKUP(C3091,Products!$A$2:$C$8,3,FALSE),0)</f>
        <v>0</v>
      </c>
    </row>
    <row r="3092" spans="1:10" x14ac:dyDescent="0.25">
      <c r="A3092" t="s">
        <v>3259</v>
      </c>
      <c r="B3092" t="s">
        <v>140</v>
      </c>
      <c r="C3092" t="s">
        <v>123</v>
      </c>
      <c r="D3092" t="s">
        <v>104</v>
      </c>
      <c r="E3092" t="s">
        <v>138</v>
      </c>
      <c r="F3092" s="1">
        <v>42866</v>
      </c>
      <c r="G3092" s="1">
        <v>42875</v>
      </c>
      <c r="H3092">
        <v>60</v>
      </c>
      <c r="I3092" t="str">
        <f>IF(COUNTIF(Products!$A$2:$A$8,C3092)=0,C3092,"")</f>
        <v/>
      </c>
      <c r="J3092">
        <f>IF(OR(E3092="Prospecting",E3092="Engaging"),VLOOKUP(C3092,Products!$A$2:$C$8,3,FALSE),0)</f>
        <v>0</v>
      </c>
    </row>
    <row r="3093" spans="1:10" x14ac:dyDescent="0.25">
      <c r="A3093" t="s">
        <v>3260</v>
      </c>
      <c r="B3093" t="s">
        <v>140</v>
      </c>
      <c r="C3093" t="s">
        <v>125</v>
      </c>
      <c r="D3093" t="s">
        <v>94</v>
      </c>
      <c r="E3093" t="s">
        <v>138</v>
      </c>
      <c r="F3093" s="1">
        <v>42866</v>
      </c>
      <c r="G3093" s="1">
        <v>42971</v>
      </c>
      <c r="H3093">
        <v>3766</v>
      </c>
      <c r="I3093" t="str">
        <f>IF(COUNTIF(Products!$A$2:$A$8,C3093)=0,C3093,"")</f>
        <v/>
      </c>
      <c r="J3093">
        <f>IF(OR(E3093="Prospecting",E3093="Engaging"),VLOOKUP(C3093,Products!$A$2:$C$8,3,FALSE),0)</f>
        <v>0</v>
      </c>
    </row>
    <row r="3094" spans="1:10" x14ac:dyDescent="0.25">
      <c r="A3094" t="s">
        <v>3261</v>
      </c>
      <c r="B3094" t="s">
        <v>198</v>
      </c>
      <c r="C3094" t="s">
        <v>125</v>
      </c>
      <c r="D3094" t="s">
        <v>35</v>
      </c>
      <c r="E3094" t="s">
        <v>138</v>
      </c>
      <c r="F3094" s="1">
        <v>42866</v>
      </c>
      <c r="G3094" s="1">
        <v>42958</v>
      </c>
      <c r="H3094">
        <v>3552</v>
      </c>
      <c r="I3094" t="str">
        <f>IF(COUNTIF(Products!$A$2:$A$8,C3094)=0,C3094,"")</f>
        <v/>
      </c>
      <c r="J3094">
        <f>IF(OR(E3094="Prospecting",E3094="Engaging"),VLOOKUP(C3094,Products!$A$2:$C$8,3,FALSE),0)</f>
        <v>0</v>
      </c>
    </row>
    <row r="3095" spans="1:10" x14ac:dyDescent="0.25">
      <c r="A3095" t="s">
        <v>3262</v>
      </c>
      <c r="B3095" t="s">
        <v>180</v>
      </c>
      <c r="C3095" t="s">
        <v>120</v>
      </c>
      <c r="E3095" t="s">
        <v>155</v>
      </c>
      <c r="F3095" s="1">
        <v>42866</v>
      </c>
      <c r="I3095" t="str">
        <f>IF(COUNTIF(Products!$A$2:$A$8,C3095)=0,C3095,"")</f>
        <v/>
      </c>
      <c r="J3095">
        <f>IF(OR(E3095="Prospecting",E3095="Engaging"),VLOOKUP(C3095,Products!$A$2:$C$8,3,FALSE),0)</f>
        <v>550</v>
      </c>
    </row>
    <row r="3096" spans="1:10" x14ac:dyDescent="0.25">
      <c r="A3096" t="s">
        <v>3263</v>
      </c>
      <c r="B3096" t="s">
        <v>180</v>
      </c>
      <c r="C3096" t="s">
        <v>123</v>
      </c>
      <c r="D3096" t="s">
        <v>17</v>
      </c>
      <c r="E3096" t="s">
        <v>159</v>
      </c>
      <c r="F3096" s="1">
        <v>42866</v>
      </c>
      <c r="G3096" s="1">
        <v>42980</v>
      </c>
      <c r="H3096">
        <v>0</v>
      </c>
      <c r="I3096" t="str">
        <f>IF(COUNTIF(Products!$A$2:$A$8,C3096)=0,C3096,"")</f>
        <v/>
      </c>
      <c r="J3096">
        <f>IF(OR(E3096="Prospecting",E3096="Engaging"),VLOOKUP(C3096,Products!$A$2:$C$8,3,FALSE),0)</f>
        <v>0</v>
      </c>
    </row>
    <row r="3097" spans="1:10" x14ac:dyDescent="0.25">
      <c r="A3097" t="s">
        <v>3264</v>
      </c>
      <c r="B3097" t="s">
        <v>180</v>
      </c>
      <c r="C3097" t="s">
        <v>125</v>
      </c>
      <c r="D3097" t="s">
        <v>59</v>
      </c>
      <c r="E3097" t="s">
        <v>159</v>
      </c>
      <c r="F3097" s="1">
        <v>42866</v>
      </c>
      <c r="G3097" s="1">
        <v>42950</v>
      </c>
      <c r="H3097">
        <v>0</v>
      </c>
      <c r="I3097" t="str">
        <f>IF(COUNTIF(Products!$A$2:$A$8,C3097)=0,C3097,"")</f>
        <v/>
      </c>
      <c r="J3097">
        <f>IF(OR(E3097="Prospecting",E3097="Engaging"),VLOOKUP(C3097,Products!$A$2:$C$8,3,FALSE),0)</f>
        <v>0</v>
      </c>
    </row>
    <row r="3098" spans="1:10" x14ac:dyDescent="0.25">
      <c r="A3098" t="s">
        <v>3265</v>
      </c>
      <c r="B3098" t="s">
        <v>191</v>
      </c>
      <c r="C3098" t="s">
        <v>120</v>
      </c>
      <c r="D3098" t="s">
        <v>14</v>
      </c>
      <c r="E3098" t="s">
        <v>155</v>
      </c>
      <c r="F3098" s="1">
        <v>42866</v>
      </c>
      <c r="I3098" t="str">
        <f>IF(COUNTIF(Products!$A$2:$A$8,C3098)=0,C3098,"")</f>
        <v/>
      </c>
      <c r="J3098">
        <f>IF(OR(E3098="Prospecting",E3098="Engaging"),VLOOKUP(C3098,Products!$A$2:$C$8,3,FALSE),0)</f>
        <v>550</v>
      </c>
    </row>
    <row r="3099" spans="1:10" x14ac:dyDescent="0.25">
      <c r="A3099" t="s">
        <v>3266</v>
      </c>
      <c r="B3099" t="s">
        <v>191</v>
      </c>
      <c r="C3099" t="s">
        <v>122</v>
      </c>
      <c r="D3099" t="s">
        <v>67</v>
      </c>
      <c r="E3099" t="s">
        <v>159</v>
      </c>
      <c r="F3099" s="1">
        <v>42866</v>
      </c>
      <c r="G3099" s="1">
        <v>42885</v>
      </c>
      <c r="H3099">
        <v>0</v>
      </c>
      <c r="I3099" t="str">
        <f>IF(COUNTIF(Products!$A$2:$A$8,C3099)=0,C3099,"")</f>
        <v/>
      </c>
      <c r="J3099">
        <f>IF(OR(E3099="Prospecting",E3099="Engaging"),VLOOKUP(C3099,Products!$A$2:$C$8,3,FALSE),0)</f>
        <v>0</v>
      </c>
    </row>
    <row r="3100" spans="1:10" x14ac:dyDescent="0.25">
      <c r="A3100" t="s">
        <v>3267</v>
      </c>
      <c r="B3100" t="s">
        <v>150</v>
      </c>
      <c r="C3100" t="s">
        <v>125</v>
      </c>
      <c r="D3100" t="s">
        <v>38</v>
      </c>
      <c r="E3100" t="s">
        <v>159</v>
      </c>
      <c r="F3100" s="1">
        <v>42866</v>
      </c>
      <c r="G3100" s="1">
        <v>42950</v>
      </c>
      <c r="H3100">
        <v>0</v>
      </c>
      <c r="I3100" t="str">
        <f>IF(COUNTIF(Products!$A$2:$A$8,C3100)=0,C3100,"")</f>
        <v/>
      </c>
      <c r="J3100">
        <f>IF(OR(E3100="Prospecting",E3100="Engaging"),VLOOKUP(C3100,Products!$A$2:$C$8,3,FALSE),0)</f>
        <v>0</v>
      </c>
    </row>
    <row r="3101" spans="1:10" x14ac:dyDescent="0.25">
      <c r="A3101" t="s">
        <v>3268</v>
      </c>
      <c r="B3101" t="s">
        <v>162</v>
      </c>
      <c r="C3101" t="s">
        <v>126</v>
      </c>
      <c r="D3101" t="s">
        <v>41</v>
      </c>
      <c r="E3101" t="s">
        <v>155</v>
      </c>
      <c r="F3101" s="1">
        <v>42866</v>
      </c>
      <c r="I3101" t="str">
        <f>IF(COUNTIF(Products!$A$2:$A$8,C3101)=0,C3101,"")</f>
        <v/>
      </c>
      <c r="J3101">
        <f>IF(OR(E3101="Prospecting",E3101="Engaging"),VLOOKUP(C3101,Products!$A$2:$C$8,3,FALSE),0)</f>
        <v>5482</v>
      </c>
    </row>
    <row r="3102" spans="1:10" x14ac:dyDescent="0.25">
      <c r="A3102" t="s">
        <v>3269</v>
      </c>
      <c r="B3102" t="s">
        <v>162</v>
      </c>
      <c r="C3102" t="s">
        <v>120</v>
      </c>
      <c r="D3102" t="s">
        <v>44</v>
      </c>
      <c r="E3102" t="s">
        <v>159</v>
      </c>
      <c r="F3102" s="1">
        <v>42866</v>
      </c>
      <c r="G3102" s="1">
        <v>42877</v>
      </c>
      <c r="H3102">
        <v>0</v>
      </c>
      <c r="I3102" t="str">
        <f>IF(COUNTIF(Products!$A$2:$A$8,C3102)=0,C3102,"")</f>
        <v/>
      </c>
      <c r="J3102">
        <f>IF(OR(E3102="Prospecting",E3102="Engaging"),VLOOKUP(C3102,Products!$A$2:$C$8,3,FALSE),0)</f>
        <v>0</v>
      </c>
    </row>
    <row r="3103" spans="1:10" x14ac:dyDescent="0.25">
      <c r="A3103" t="s">
        <v>3270</v>
      </c>
      <c r="B3103" t="s">
        <v>137</v>
      </c>
      <c r="C3103" t="s">
        <v>120</v>
      </c>
      <c r="D3103" t="s">
        <v>104</v>
      </c>
      <c r="E3103" t="s">
        <v>138</v>
      </c>
      <c r="F3103" s="1">
        <v>42866</v>
      </c>
      <c r="G3103" s="1">
        <v>42880</v>
      </c>
      <c r="H3103">
        <v>472</v>
      </c>
      <c r="I3103" t="str">
        <f>IF(COUNTIF(Products!$A$2:$A$8,C3103)=0,C3103,"")</f>
        <v/>
      </c>
      <c r="J3103">
        <f>IF(OR(E3103="Prospecting",E3103="Engaging"),VLOOKUP(C3103,Products!$A$2:$C$8,3,FALSE),0)</f>
        <v>0</v>
      </c>
    </row>
    <row r="3104" spans="1:10" x14ac:dyDescent="0.25">
      <c r="A3104" t="s">
        <v>3271</v>
      </c>
      <c r="B3104" t="s">
        <v>148</v>
      </c>
      <c r="C3104" t="s">
        <v>126</v>
      </c>
      <c r="E3104" t="s">
        <v>155</v>
      </c>
      <c r="F3104" s="1">
        <v>42866</v>
      </c>
      <c r="I3104" t="str">
        <f>IF(COUNTIF(Products!$A$2:$A$8,C3104)=0,C3104,"")</f>
        <v/>
      </c>
      <c r="J3104">
        <f>IF(OR(E3104="Prospecting",E3104="Engaging"),VLOOKUP(C3104,Products!$A$2:$C$8,3,FALSE),0)</f>
        <v>5482</v>
      </c>
    </row>
    <row r="3105" spans="1:10" x14ac:dyDescent="0.25">
      <c r="A3105" t="s">
        <v>3272</v>
      </c>
      <c r="B3105" t="s">
        <v>148</v>
      </c>
      <c r="C3105" t="s">
        <v>123</v>
      </c>
      <c r="D3105" t="s">
        <v>23</v>
      </c>
      <c r="E3105" t="s">
        <v>138</v>
      </c>
      <c r="F3105" s="1">
        <v>42866</v>
      </c>
      <c r="G3105" s="1">
        <v>42875</v>
      </c>
      <c r="H3105">
        <v>56</v>
      </c>
      <c r="I3105" t="str">
        <f>IF(COUNTIF(Products!$A$2:$A$8,C3105)=0,C3105,"")</f>
        <v/>
      </c>
      <c r="J3105">
        <f>IF(OR(E3105="Prospecting",E3105="Engaging"),VLOOKUP(C3105,Products!$A$2:$C$8,3,FALSE),0)</f>
        <v>0</v>
      </c>
    </row>
    <row r="3106" spans="1:10" x14ac:dyDescent="0.25">
      <c r="A3106" t="s">
        <v>3273</v>
      </c>
      <c r="B3106" t="s">
        <v>177</v>
      </c>
      <c r="C3106" t="s">
        <v>123</v>
      </c>
      <c r="D3106" t="s">
        <v>81</v>
      </c>
      <c r="E3106" t="s">
        <v>138</v>
      </c>
      <c r="F3106" s="1">
        <v>42866</v>
      </c>
      <c r="G3106" s="1">
        <v>42902</v>
      </c>
      <c r="H3106">
        <v>57</v>
      </c>
      <c r="I3106" t="str">
        <f>IF(COUNTIF(Products!$A$2:$A$8,C3106)=0,C3106,"")</f>
        <v/>
      </c>
      <c r="J3106">
        <f>IF(OR(E3106="Prospecting",E3106="Engaging"),VLOOKUP(C3106,Products!$A$2:$C$8,3,FALSE),0)</f>
        <v>0</v>
      </c>
    </row>
    <row r="3107" spans="1:10" x14ac:dyDescent="0.25">
      <c r="A3107" t="s">
        <v>3274</v>
      </c>
      <c r="B3107" t="s">
        <v>196</v>
      </c>
      <c r="C3107" t="s">
        <v>125</v>
      </c>
      <c r="D3107" t="s">
        <v>73</v>
      </c>
      <c r="E3107" t="s">
        <v>159</v>
      </c>
      <c r="F3107" s="1">
        <v>42866</v>
      </c>
      <c r="G3107" s="1">
        <v>42951</v>
      </c>
      <c r="H3107">
        <v>0</v>
      </c>
      <c r="I3107" t="str">
        <f>IF(COUNTIF(Products!$A$2:$A$8,C3107)=0,C3107,"")</f>
        <v/>
      </c>
      <c r="J3107">
        <f>IF(OR(E3107="Prospecting",E3107="Engaging"),VLOOKUP(C3107,Products!$A$2:$C$8,3,FALSE),0)</f>
        <v>0</v>
      </c>
    </row>
    <row r="3108" spans="1:10" x14ac:dyDescent="0.25">
      <c r="A3108" t="s">
        <v>3275</v>
      </c>
      <c r="B3108" t="s">
        <v>144</v>
      </c>
      <c r="C3108" t="s">
        <v>127</v>
      </c>
      <c r="D3108" t="s">
        <v>78</v>
      </c>
      <c r="E3108" t="s">
        <v>138</v>
      </c>
      <c r="F3108" s="1">
        <v>42866</v>
      </c>
      <c r="G3108" s="1">
        <v>42964</v>
      </c>
      <c r="H3108">
        <v>776</v>
      </c>
      <c r="I3108" t="str">
        <f>IF(COUNTIF(Products!$A$2:$A$8,C3108)=0,C3108,"")</f>
        <v/>
      </c>
      <c r="J3108">
        <f>IF(OR(E3108="Prospecting",E3108="Engaging"),VLOOKUP(C3108,Products!$A$2:$C$8,3,FALSE),0)</f>
        <v>0</v>
      </c>
    </row>
    <row r="3109" spans="1:10" x14ac:dyDescent="0.25">
      <c r="A3109" t="s">
        <v>3276</v>
      </c>
      <c r="B3109" t="s">
        <v>146</v>
      </c>
      <c r="C3109" t="s">
        <v>123</v>
      </c>
      <c r="D3109" t="s">
        <v>55</v>
      </c>
      <c r="E3109" t="s">
        <v>159</v>
      </c>
      <c r="F3109" s="1">
        <v>42867</v>
      </c>
      <c r="G3109" s="1">
        <v>42878</v>
      </c>
      <c r="H3109">
        <v>0</v>
      </c>
      <c r="I3109" t="str">
        <f>IF(COUNTIF(Products!$A$2:$A$8,C3109)=0,C3109,"")</f>
        <v/>
      </c>
      <c r="J3109">
        <f>IF(OR(E3109="Prospecting",E3109="Engaging"),VLOOKUP(C3109,Products!$A$2:$C$8,3,FALSE),0)</f>
        <v>0</v>
      </c>
    </row>
    <row r="3110" spans="1:10" x14ac:dyDescent="0.25">
      <c r="A3110" t="s">
        <v>3277</v>
      </c>
      <c r="B3110" t="s">
        <v>264</v>
      </c>
      <c r="C3110" t="s">
        <v>123</v>
      </c>
      <c r="D3110" t="s">
        <v>26</v>
      </c>
      <c r="E3110" t="s">
        <v>138</v>
      </c>
      <c r="F3110" s="1">
        <v>42867</v>
      </c>
      <c r="G3110" s="1">
        <v>42896</v>
      </c>
      <c r="H3110">
        <v>61</v>
      </c>
      <c r="I3110" t="str">
        <f>IF(COUNTIF(Products!$A$2:$A$8,C3110)=0,C3110,"")</f>
        <v/>
      </c>
      <c r="J3110">
        <f>IF(OR(E3110="Prospecting",E3110="Engaging"),VLOOKUP(C3110,Products!$A$2:$C$8,3,FALSE),0)</f>
        <v>0</v>
      </c>
    </row>
    <row r="3111" spans="1:10" x14ac:dyDescent="0.25">
      <c r="A3111" t="s">
        <v>3278</v>
      </c>
      <c r="B3111" t="s">
        <v>264</v>
      </c>
      <c r="C3111" t="s">
        <v>125</v>
      </c>
      <c r="D3111" t="s">
        <v>61</v>
      </c>
      <c r="E3111" t="s">
        <v>138</v>
      </c>
      <c r="F3111" s="1">
        <v>42867</v>
      </c>
      <c r="G3111" s="1">
        <v>42882</v>
      </c>
      <c r="H3111">
        <v>3831</v>
      </c>
      <c r="I3111" t="str">
        <f>IF(COUNTIF(Products!$A$2:$A$8,C3111)=0,C3111,"")</f>
        <v/>
      </c>
      <c r="J3111">
        <f>IF(OR(E3111="Prospecting",E3111="Engaging"),VLOOKUP(C3111,Products!$A$2:$C$8,3,FALSE),0)</f>
        <v>0</v>
      </c>
    </row>
    <row r="3112" spans="1:10" x14ac:dyDescent="0.25">
      <c r="A3112" t="s">
        <v>3279</v>
      </c>
      <c r="B3112" t="s">
        <v>239</v>
      </c>
      <c r="C3112" t="s">
        <v>125</v>
      </c>
      <c r="D3112" t="s">
        <v>98</v>
      </c>
      <c r="E3112" t="s">
        <v>159</v>
      </c>
      <c r="F3112" s="1">
        <v>42867</v>
      </c>
      <c r="G3112" s="1">
        <v>42971</v>
      </c>
      <c r="H3112">
        <v>0</v>
      </c>
      <c r="I3112" t="str">
        <f>IF(COUNTIF(Products!$A$2:$A$8,C3112)=0,C3112,"")</f>
        <v/>
      </c>
      <c r="J3112">
        <f>IF(OR(E3112="Prospecting",E3112="Engaging"),VLOOKUP(C3112,Products!$A$2:$C$8,3,FALSE),0)</f>
        <v>0</v>
      </c>
    </row>
    <row r="3113" spans="1:10" x14ac:dyDescent="0.25">
      <c r="A3113" t="s">
        <v>3280</v>
      </c>
      <c r="B3113" t="s">
        <v>158</v>
      </c>
      <c r="C3113" t="s">
        <v>123</v>
      </c>
      <c r="D3113" t="s">
        <v>85</v>
      </c>
      <c r="E3113" t="s">
        <v>138</v>
      </c>
      <c r="F3113" s="1">
        <v>42867</v>
      </c>
      <c r="G3113" s="1">
        <v>42956</v>
      </c>
      <c r="H3113">
        <v>52</v>
      </c>
      <c r="I3113" t="str">
        <f>IF(COUNTIF(Products!$A$2:$A$8,C3113)=0,C3113,"")</f>
        <v/>
      </c>
      <c r="J3113">
        <f>IF(OR(E3113="Prospecting",E3113="Engaging"),VLOOKUP(C3113,Products!$A$2:$C$8,3,FALSE),0)</f>
        <v>0</v>
      </c>
    </row>
    <row r="3114" spans="1:10" x14ac:dyDescent="0.25">
      <c r="A3114" t="s">
        <v>3281</v>
      </c>
      <c r="B3114" t="s">
        <v>154</v>
      </c>
      <c r="C3114" t="s">
        <v>122</v>
      </c>
      <c r="D3114" t="s">
        <v>47</v>
      </c>
      <c r="E3114" t="s">
        <v>159</v>
      </c>
      <c r="F3114" s="1">
        <v>42867</v>
      </c>
      <c r="G3114" s="1">
        <v>42948</v>
      </c>
      <c r="H3114">
        <v>0</v>
      </c>
      <c r="I3114" t="str">
        <f>IF(COUNTIF(Products!$A$2:$A$8,C3114)=0,C3114,"")</f>
        <v/>
      </c>
      <c r="J3114">
        <f>IF(OR(E3114="Prospecting",E3114="Engaging"),VLOOKUP(C3114,Products!$A$2:$C$8,3,FALSE),0)</f>
        <v>0</v>
      </c>
    </row>
    <row r="3115" spans="1:10" x14ac:dyDescent="0.25">
      <c r="A3115" t="s">
        <v>3282</v>
      </c>
      <c r="B3115" t="s">
        <v>303</v>
      </c>
      <c r="C3115" t="s">
        <v>125</v>
      </c>
      <c r="D3115" t="s">
        <v>30</v>
      </c>
      <c r="E3115" t="s">
        <v>159</v>
      </c>
      <c r="F3115" s="1">
        <v>42867</v>
      </c>
      <c r="G3115" s="1">
        <v>42875</v>
      </c>
      <c r="H3115">
        <v>0</v>
      </c>
      <c r="I3115" t="str">
        <f>IF(COUNTIF(Products!$A$2:$A$8,C3115)=0,C3115,"")</f>
        <v/>
      </c>
      <c r="J3115">
        <f>IF(OR(E3115="Prospecting",E3115="Engaging"),VLOOKUP(C3115,Products!$A$2:$C$8,3,FALSE),0)</f>
        <v>0</v>
      </c>
    </row>
    <row r="3116" spans="1:10" x14ac:dyDescent="0.25">
      <c r="A3116" t="s">
        <v>3283</v>
      </c>
      <c r="B3116" t="s">
        <v>180</v>
      </c>
      <c r="C3116" t="s">
        <v>122</v>
      </c>
      <c r="D3116" t="s">
        <v>72</v>
      </c>
      <c r="E3116" t="s">
        <v>159</v>
      </c>
      <c r="F3116" s="1">
        <v>42867</v>
      </c>
      <c r="G3116" s="1">
        <v>42875</v>
      </c>
      <c r="H3116">
        <v>0</v>
      </c>
      <c r="I3116" t="str">
        <f>IF(COUNTIF(Products!$A$2:$A$8,C3116)=0,C3116,"")</f>
        <v/>
      </c>
      <c r="J3116">
        <f>IF(OR(E3116="Prospecting",E3116="Engaging"),VLOOKUP(C3116,Products!$A$2:$C$8,3,FALSE),0)</f>
        <v>0</v>
      </c>
    </row>
    <row r="3117" spans="1:10" x14ac:dyDescent="0.25">
      <c r="A3117" t="s">
        <v>3284</v>
      </c>
      <c r="B3117" t="s">
        <v>191</v>
      </c>
      <c r="C3117" t="s">
        <v>122</v>
      </c>
      <c r="D3117" t="s">
        <v>69</v>
      </c>
      <c r="E3117" t="s">
        <v>159</v>
      </c>
      <c r="F3117" s="1">
        <v>42867</v>
      </c>
      <c r="G3117" s="1">
        <v>42950</v>
      </c>
      <c r="H3117">
        <v>0</v>
      </c>
      <c r="I3117" t="str">
        <f>IF(COUNTIF(Products!$A$2:$A$8,C3117)=0,C3117,"")</f>
        <v/>
      </c>
      <c r="J3117">
        <f>IF(OR(E3117="Prospecting",E3117="Engaging"),VLOOKUP(C3117,Products!$A$2:$C$8,3,FALSE),0)</f>
        <v>0</v>
      </c>
    </row>
    <row r="3118" spans="1:10" x14ac:dyDescent="0.25">
      <c r="A3118" t="s">
        <v>3285</v>
      </c>
      <c r="B3118" t="s">
        <v>191</v>
      </c>
      <c r="C3118" t="s">
        <v>126</v>
      </c>
      <c r="D3118" t="s">
        <v>90</v>
      </c>
      <c r="E3118" t="s">
        <v>138</v>
      </c>
      <c r="F3118" s="1">
        <v>42867</v>
      </c>
      <c r="G3118" s="1">
        <v>42908</v>
      </c>
      <c r="H3118">
        <v>5698</v>
      </c>
      <c r="I3118" t="str">
        <f>IF(COUNTIF(Products!$A$2:$A$8,C3118)=0,C3118,"")</f>
        <v/>
      </c>
      <c r="J3118">
        <f>IF(OR(E3118="Prospecting",E3118="Engaging"),VLOOKUP(C3118,Products!$A$2:$C$8,3,FALSE),0)</f>
        <v>0</v>
      </c>
    </row>
    <row r="3119" spans="1:10" x14ac:dyDescent="0.25">
      <c r="A3119" t="s">
        <v>3286</v>
      </c>
      <c r="B3119" t="s">
        <v>217</v>
      </c>
      <c r="C3119" t="s">
        <v>120</v>
      </c>
      <c r="D3119" t="s">
        <v>88</v>
      </c>
      <c r="E3119" t="s">
        <v>138</v>
      </c>
      <c r="F3119" s="1">
        <v>42867</v>
      </c>
      <c r="G3119" s="1">
        <v>42877</v>
      </c>
      <c r="H3119">
        <v>595</v>
      </c>
      <c r="I3119" t="str">
        <f>IF(COUNTIF(Products!$A$2:$A$8,C3119)=0,C3119,"")</f>
        <v/>
      </c>
      <c r="J3119">
        <f>IF(OR(E3119="Prospecting",E3119="Engaging"),VLOOKUP(C3119,Products!$A$2:$C$8,3,FALSE),0)</f>
        <v>0</v>
      </c>
    </row>
    <row r="3120" spans="1:10" x14ac:dyDescent="0.25">
      <c r="A3120" t="s">
        <v>3287</v>
      </c>
      <c r="B3120" t="s">
        <v>205</v>
      </c>
      <c r="C3120" t="s">
        <v>126</v>
      </c>
      <c r="D3120" t="s">
        <v>26</v>
      </c>
      <c r="E3120" t="s">
        <v>159</v>
      </c>
      <c r="F3120" s="1">
        <v>42867</v>
      </c>
      <c r="G3120" s="1">
        <v>42959</v>
      </c>
      <c r="H3120">
        <v>0</v>
      </c>
      <c r="I3120" t="str">
        <f>IF(COUNTIF(Products!$A$2:$A$8,C3120)=0,C3120,"")</f>
        <v/>
      </c>
      <c r="J3120">
        <f>IF(OR(E3120="Prospecting",E3120="Engaging"),VLOOKUP(C3120,Products!$A$2:$C$8,3,FALSE),0)</f>
        <v>0</v>
      </c>
    </row>
    <row r="3121" spans="1:10" x14ac:dyDescent="0.25">
      <c r="A3121" t="s">
        <v>3288</v>
      </c>
      <c r="B3121" t="s">
        <v>162</v>
      </c>
      <c r="C3121" t="s">
        <v>127</v>
      </c>
      <c r="D3121" t="s">
        <v>78</v>
      </c>
      <c r="E3121" t="s">
        <v>138</v>
      </c>
      <c r="F3121" s="1">
        <v>42867</v>
      </c>
      <c r="G3121" s="1">
        <v>42970</v>
      </c>
      <c r="H3121">
        <v>1144</v>
      </c>
      <c r="I3121" t="str">
        <f>IF(COUNTIF(Products!$A$2:$A$8,C3121)=0,C3121,"")</f>
        <v/>
      </c>
      <c r="J3121">
        <f>IF(OR(E3121="Prospecting",E3121="Engaging"),VLOOKUP(C3121,Products!$A$2:$C$8,3,FALSE),0)</f>
        <v>0</v>
      </c>
    </row>
    <row r="3122" spans="1:10" x14ac:dyDescent="0.25">
      <c r="A3122" t="s">
        <v>3289</v>
      </c>
      <c r="B3122" t="s">
        <v>137</v>
      </c>
      <c r="C3122" t="s">
        <v>123</v>
      </c>
      <c r="D3122" t="s">
        <v>42</v>
      </c>
      <c r="E3122" t="s">
        <v>138</v>
      </c>
      <c r="F3122" s="1">
        <v>42867</v>
      </c>
      <c r="G3122" s="1">
        <v>42993</v>
      </c>
      <c r="H3122">
        <v>61</v>
      </c>
      <c r="I3122" t="str">
        <f>IF(COUNTIF(Products!$A$2:$A$8,C3122)=0,C3122,"")</f>
        <v/>
      </c>
      <c r="J3122">
        <f>IF(OR(E3122="Prospecting",E3122="Engaging"),VLOOKUP(C3122,Products!$A$2:$C$8,3,FALSE),0)</f>
        <v>0</v>
      </c>
    </row>
    <row r="3123" spans="1:10" x14ac:dyDescent="0.25">
      <c r="A3123" t="s">
        <v>3290</v>
      </c>
      <c r="B3123" t="s">
        <v>193</v>
      </c>
      <c r="C3123" t="s">
        <v>122</v>
      </c>
      <c r="D3123" t="s">
        <v>7</v>
      </c>
      <c r="E3123" t="s">
        <v>159</v>
      </c>
      <c r="F3123" s="1">
        <v>42867</v>
      </c>
      <c r="G3123" s="1">
        <v>42879</v>
      </c>
      <c r="H3123">
        <v>0</v>
      </c>
      <c r="I3123" t="str">
        <f>IF(COUNTIF(Products!$A$2:$A$8,C3123)=0,C3123,"")</f>
        <v/>
      </c>
      <c r="J3123">
        <f>IF(OR(E3123="Prospecting",E3123="Engaging"),VLOOKUP(C3123,Products!$A$2:$C$8,3,FALSE),0)</f>
        <v>0</v>
      </c>
    </row>
    <row r="3124" spans="1:10" x14ac:dyDescent="0.25">
      <c r="A3124" t="s">
        <v>3291</v>
      </c>
      <c r="B3124" t="s">
        <v>193</v>
      </c>
      <c r="C3124" t="s">
        <v>125</v>
      </c>
      <c r="D3124" t="s">
        <v>69</v>
      </c>
      <c r="E3124" t="s">
        <v>159</v>
      </c>
      <c r="F3124" s="1">
        <v>42867</v>
      </c>
      <c r="G3124" s="1">
        <v>42960</v>
      </c>
      <c r="H3124">
        <v>0</v>
      </c>
      <c r="I3124" t="str">
        <f>IF(COUNTIF(Products!$A$2:$A$8,C3124)=0,C3124,"")</f>
        <v/>
      </c>
      <c r="J3124">
        <f>IF(OR(E3124="Prospecting",E3124="Engaging"),VLOOKUP(C3124,Products!$A$2:$C$8,3,FALSE),0)</f>
        <v>0</v>
      </c>
    </row>
    <row r="3125" spans="1:10" x14ac:dyDescent="0.25">
      <c r="A3125" t="s">
        <v>3292</v>
      </c>
      <c r="B3125" t="s">
        <v>193</v>
      </c>
      <c r="C3125" t="s">
        <v>125</v>
      </c>
      <c r="D3125" t="s">
        <v>84</v>
      </c>
      <c r="E3125" t="s">
        <v>138</v>
      </c>
      <c r="F3125" s="1">
        <v>42867</v>
      </c>
      <c r="G3125" s="1">
        <v>42870</v>
      </c>
      <c r="H3125">
        <v>3510</v>
      </c>
      <c r="I3125" t="str">
        <f>IF(COUNTIF(Products!$A$2:$A$8,C3125)=0,C3125,"")</f>
        <v/>
      </c>
      <c r="J3125">
        <f>IF(OR(E3125="Prospecting",E3125="Engaging"),VLOOKUP(C3125,Products!$A$2:$C$8,3,FALSE),0)</f>
        <v>0</v>
      </c>
    </row>
    <row r="3126" spans="1:10" x14ac:dyDescent="0.25">
      <c r="A3126" t="s">
        <v>3293</v>
      </c>
      <c r="B3126" t="s">
        <v>187</v>
      </c>
      <c r="C3126" t="s">
        <v>120</v>
      </c>
      <c r="D3126" t="s">
        <v>69</v>
      </c>
      <c r="E3126" t="s">
        <v>138</v>
      </c>
      <c r="F3126" s="1">
        <v>42867</v>
      </c>
      <c r="G3126" s="1">
        <v>42951</v>
      </c>
      <c r="H3126">
        <v>513</v>
      </c>
      <c r="I3126" t="str">
        <f>IF(COUNTIF(Products!$A$2:$A$8,C3126)=0,C3126,"")</f>
        <v/>
      </c>
      <c r="J3126">
        <f>IF(OR(E3126="Prospecting",E3126="Engaging"),VLOOKUP(C3126,Products!$A$2:$C$8,3,FALSE),0)</f>
        <v>0</v>
      </c>
    </row>
    <row r="3127" spans="1:10" x14ac:dyDescent="0.25">
      <c r="A3127" t="s">
        <v>3294</v>
      </c>
      <c r="B3127" t="s">
        <v>169</v>
      </c>
      <c r="C3127" t="s">
        <v>125</v>
      </c>
      <c r="D3127" t="s">
        <v>103</v>
      </c>
      <c r="E3127" t="s">
        <v>159</v>
      </c>
      <c r="F3127" s="1">
        <v>42867</v>
      </c>
      <c r="G3127" s="1">
        <v>42961</v>
      </c>
      <c r="H3127">
        <v>0</v>
      </c>
      <c r="I3127" t="str">
        <f>IF(COUNTIF(Products!$A$2:$A$8,C3127)=0,C3127,"")</f>
        <v/>
      </c>
      <c r="J3127">
        <f>IF(OR(E3127="Prospecting",E3127="Engaging"),VLOOKUP(C3127,Products!$A$2:$C$8,3,FALSE),0)</f>
        <v>0</v>
      </c>
    </row>
    <row r="3128" spans="1:10" x14ac:dyDescent="0.25">
      <c r="A3128" t="s">
        <v>3295</v>
      </c>
      <c r="B3128" t="s">
        <v>169</v>
      </c>
      <c r="C3128" t="s">
        <v>127</v>
      </c>
      <c r="D3128" t="s">
        <v>32</v>
      </c>
      <c r="E3128" t="s">
        <v>138</v>
      </c>
      <c r="F3128" s="1">
        <v>42867</v>
      </c>
      <c r="G3128" s="1">
        <v>42958</v>
      </c>
      <c r="H3128">
        <v>1083</v>
      </c>
      <c r="I3128" t="str">
        <f>IF(COUNTIF(Products!$A$2:$A$8,C3128)=0,C3128,"")</f>
        <v/>
      </c>
      <c r="J3128">
        <f>IF(OR(E3128="Prospecting",E3128="Engaging"),VLOOKUP(C3128,Products!$A$2:$C$8,3,FALSE),0)</f>
        <v>0</v>
      </c>
    </row>
    <row r="3129" spans="1:10" x14ac:dyDescent="0.25">
      <c r="A3129" t="s">
        <v>3296</v>
      </c>
      <c r="B3129" t="s">
        <v>148</v>
      </c>
      <c r="C3129" t="s">
        <v>120</v>
      </c>
      <c r="D3129" t="s">
        <v>90</v>
      </c>
      <c r="E3129" t="s">
        <v>159</v>
      </c>
      <c r="F3129" s="1">
        <v>42867</v>
      </c>
      <c r="G3129" s="1">
        <v>42881</v>
      </c>
      <c r="H3129">
        <v>0</v>
      </c>
      <c r="I3129" t="str">
        <f>IF(COUNTIF(Products!$A$2:$A$8,C3129)=0,C3129,"")</f>
        <v/>
      </c>
      <c r="J3129">
        <f>IF(OR(E3129="Prospecting",E3129="Engaging"),VLOOKUP(C3129,Products!$A$2:$C$8,3,FALSE),0)</f>
        <v>0</v>
      </c>
    </row>
    <row r="3130" spans="1:10" x14ac:dyDescent="0.25">
      <c r="A3130" t="s">
        <v>3297</v>
      </c>
      <c r="B3130" t="s">
        <v>148</v>
      </c>
      <c r="C3130" t="s">
        <v>126</v>
      </c>
      <c r="D3130" t="s">
        <v>27</v>
      </c>
      <c r="E3130" t="s">
        <v>138</v>
      </c>
      <c r="F3130" s="1">
        <v>42867</v>
      </c>
      <c r="G3130" s="1">
        <v>42970</v>
      </c>
      <c r="H3130">
        <v>5987</v>
      </c>
      <c r="I3130" t="str">
        <f>IF(COUNTIF(Products!$A$2:$A$8,C3130)=0,C3130,"")</f>
        <v/>
      </c>
      <c r="J3130">
        <f>IF(OR(E3130="Prospecting",E3130="Engaging"),VLOOKUP(C3130,Products!$A$2:$C$8,3,FALSE),0)</f>
        <v>0</v>
      </c>
    </row>
    <row r="3131" spans="1:10" x14ac:dyDescent="0.25">
      <c r="A3131" t="s">
        <v>3298</v>
      </c>
      <c r="B3131" t="s">
        <v>146</v>
      </c>
      <c r="C3131" t="s">
        <v>127</v>
      </c>
      <c r="D3131" t="s">
        <v>30</v>
      </c>
      <c r="E3131" t="s">
        <v>138</v>
      </c>
      <c r="F3131" s="1">
        <v>42868</v>
      </c>
      <c r="G3131" s="1">
        <v>42914</v>
      </c>
      <c r="H3131">
        <v>1041</v>
      </c>
      <c r="I3131" t="str">
        <f>IF(COUNTIF(Products!$A$2:$A$8,C3131)=0,C3131,"")</f>
        <v/>
      </c>
      <c r="J3131">
        <f>IF(OR(E3131="Prospecting",E3131="Engaging"),VLOOKUP(C3131,Products!$A$2:$C$8,3,FALSE),0)</f>
        <v>0</v>
      </c>
    </row>
    <row r="3132" spans="1:10" x14ac:dyDescent="0.25">
      <c r="A3132" t="s">
        <v>3299</v>
      </c>
      <c r="B3132" t="s">
        <v>146</v>
      </c>
      <c r="C3132" t="s">
        <v>123</v>
      </c>
      <c r="D3132" t="s">
        <v>46</v>
      </c>
      <c r="E3132" t="s">
        <v>138</v>
      </c>
      <c r="F3132" s="1">
        <v>42868</v>
      </c>
      <c r="G3132" s="1">
        <v>42951</v>
      </c>
      <c r="H3132">
        <v>54</v>
      </c>
      <c r="I3132" t="str">
        <f>IF(COUNTIF(Products!$A$2:$A$8,C3132)=0,C3132,"")</f>
        <v/>
      </c>
      <c r="J3132">
        <f>IF(OR(E3132="Prospecting",E3132="Engaging"),VLOOKUP(C3132,Products!$A$2:$C$8,3,FALSE),0)</f>
        <v>0</v>
      </c>
    </row>
    <row r="3133" spans="1:10" x14ac:dyDescent="0.25">
      <c r="A3133" t="s">
        <v>3300</v>
      </c>
      <c r="B3133" t="s">
        <v>222</v>
      </c>
      <c r="C3133" t="s">
        <v>125</v>
      </c>
      <c r="D3133" t="s">
        <v>25</v>
      </c>
      <c r="E3133" t="s">
        <v>138</v>
      </c>
      <c r="F3133" s="1">
        <v>42868</v>
      </c>
      <c r="G3133" s="1">
        <v>42887</v>
      </c>
      <c r="H3133">
        <v>2677</v>
      </c>
      <c r="I3133" t="str">
        <f>IF(COUNTIF(Products!$A$2:$A$8,C3133)=0,C3133,"")</f>
        <v/>
      </c>
      <c r="J3133">
        <f>IF(OR(E3133="Prospecting",E3133="Engaging"),VLOOKUP(C3133,Products!$A$2:$C$8,3,FALSE),0)</f>
        <v>0</v>
      </c>
    </row>
    <row r="3134" spans="1:10" x14ac:dyDescent="0.25">
      <c r="A3134" t="s">
        <v>3301</v>
      </c>
      <c r="B3134" t="s">
        <v>264</v>
      </c>
      <c r="C3134" t="s">
        <v>125</v>
      </c>
      <c r="D3134" t="s">
        <v>89</v>
      </c>
      <c r="E3134" t="s">
        <v>138</v>
      </c>
      <c r="F3134" s="1">
        <v>42868</v>
      </c>
      <c r="G3134" s="1">
        <v>42882</v>
      </c>
      <c r="H3134">
        <v>3558</v>
      </c>
      <c r="I3134" t="str">
        <f>IF(COUNTIF(Products!$A$2:$A$8,C3134)=0,C3134,"")</f>
        <v/>
      </c>
      <c r="J3134">
        <f>IF(OR(E3134="Prospecting",E3134="Engaging"),VLOOKUP(C3134,Products!$A$2:$C$8,3,FALSE),0)</f>
        <v>0</v>
      </c>
    </row>
    <row r="3135" spans="1:10" x14ac:dyDescent="0.25">
      <c r="A3135" t="s">
        <v>3302</v>
      </c>
      <c r="B3135" t="s">
        <v>239</v>
      </c>
      <c r="C3135" t="s">
        <v>125</v>
      </c>
      <c r="E3135" t="s">
        <v>155</v>
      </c>
      <c r="F3135" s="1">
        <v>42868</v>
      </c>
      <c r="I3135" t="str">
        <f>IF(COUNTIF(Products!$A$2:$A$8,C3135)=0,C3135,"")</f>
        <v/>
      </c>
      <c r="J3135">
        <f>IF(OR(E3135="Prospecting",E3135="Engaging"),VLOOKUP(C3135,Products!$A$2:$C$8,3,FALSE),0)</f>
        <v>3393</v>
      </c>
    </row>
    <row r="3136" spans="1:10" x14ac:dyDescent="0.25">
      <c r="A3136" t="s">
        <v>3303</v>
      </c>
      <c r="B3136" t="s">
        <v>239</v>
      </c>
      <c r="C3136" t="s">
        <v>120</v>
      </c>
      <c r="D3136" t="s">
        <v>98</v>
      </c>
      <c r="E3136" t="s">
        <v>159</v>
      </c>
      <c r="F3136" s="1">
        <v>42868</v>
      </c>
      <c r="G3136" s="1">
        <v>42955</v>
      </c>
      <c r="H3136">
        <v>0</v>
      </c>
      <c r="I3136" t="str">
        <f>IF(COUNTIF(Products!$A$2:$A$8,C3136)=0,C3136,"")</f>
        <v/>
      </c>
      <c r="J3136">
        <f>IF(OR(E3136="Prospecting",E3136="Engaging"),VLOOKUP(C3136,Products!$A$2:$C$8,3,FALSE),0)</f>
        <v>0</v>
      </c>
    </row>
    <row r="3137" spans="1:10" x14ac:dyDescent="0.25">
      <c r="A3137" t="s">
        <v>3304</v>
      </c>
      <c r="B3137" t="s">
        <v>239</v>
      </c>
      <c r="C3137" t="s">
        <v>127</v>
      </c>
      <c r="D3137" t="s">
        <v>84</v>
      </c>
      <c r="E3137" t="s">
        <v>138</v>
      </c>
      <c r="F3137" s="1">
        <v>42868</v>
      </c>
      <c r="G3137" s="1">
        <v>42967</v>
      </c>
      <c r="H3137">
        <v>866</v>
      </c>
      <c r="I3137" t="str">
        <f>IF(COUNTIF(Products!$A$2:$A$8,C3137)=0,C3137,"")</f>
        <v/>
      </c>
      <c r="J3137">
        <f>IF(OR(E3137="Prospecting",E3137="Engaging"),VLOOKUP(C3137,Products!$A$2:$C$8,3,FALSE),0)</f>
        <v>0</v>
      </c>
    </row>
    <row r="3138" spans="1:10" x14ac:dyDescent="0.25">
      <c r="A3138" t="s">
        <v>3305</v>
      </c>
      <c r="B3138" t="s">
        <v>140</v>
      </c>
      <c r="C3138" t="s">
        <v>127</v>
      </c>
      <c r="D3138" t="s">
        <v>27</v>
      </c>
      <c r="E3138" t="s">
        <v>138</v>
      </c>
      <c r="F3138" s="1">
        <v>42868</v>
      </c>
      <c r="G3138" s="1">
        <v>42971</v>
      </c>
      <c r="H3138">
        <v>987</v>
      </c>
      <c r="I3138" t="str">
        <f>IF(COUNTIF(Products!$A$2:$A$8,C3138)=0,C3138,"")</f>
        <v/>
      </c>
      <c r="J3138">
        <f>IF(OR(E3138="Prospecting",E3138="Engaging"),VLOOKUP(C3138,Products!$A$2:$C$8,3,FALSE),0)</f>
        <v>0</v>
      </c>
    </row>
    <row r="3139" spans="1:10" x14ac:dyDescent="0.25">
      <c r="A3139" t="s">
        <v>3306</v>
      </c>
      <c r="B3139" t="s">
        <v>140</v>
      </c>
      <c r="C3139" t="s">
        <v>125</v>
      </c>
      <c r="D3139" t="s">
        <v>36</v>
      </c>
      <c r="E3139" t="s">
        <v>138</v>
      </c>
      <c r="F3139" s="1">
        <v>42868</v>
      </c>
      <c r="G3139" s="1">
        <v>42962</v>
      </c>
      <c r="H3139">
        <v>3290</v>
      </c>
      <c r="I3139" t="str">
        <f>IF(COUNTIF(Products!$A$2:$A$8,C3139)=0,C3139,"")</f>
        <v/>
      </c>
      <c r="J3139">
        <f>IF(OR(E3139="Prospecting",E3139="Engaging"),VLOOKUP(C3139,Products!$A$2:$C$8,3,FALSE),0)</f>
        <v>0</v>
      </c>
    </row>
    <row r="3140" spans="1:10" x14ac:dyDescent="0.25">
      <c r="A3140" t="s">
        <v>3307</v>
      </c>
      <c r="B3140" t="s">
        <v>224</v>
      </c>
      <c r="C3140" t="s">
        <v>126</v>
      </c>
      <c r="D3140" t="s">
        <v>108</v>
      </c>
      <c r="E3140" t="s">
        <v>159</v>
      </c>
      <c r="F3140" s="1">
        <v>42868</v>
      </c>
      <c r="G3140" s="1">
        <v>42956</v>
      </c>
      <c r="H3140">
        <v>0</v>
      </c>
      <c r="I3140" t="str">
        <f>IF(COUNTIF(Products!$A$2:$A$8,C3140)=0,C3140,"")</f>
        <v/>
      </c>
      <c r="J3140">
        <f>IF(OR(E3140="Prospecting",E3140="Engaging"),VLOOKUP(C3140,Products!$A$2:$C$8,3,FALSE),0)</f>
        <v>0</v>
      </c>
    </row>
    <row r="3141" spans="1:10" x14ac:dyDescent="0.25">
      <c r="A3141" t="s">
        <v>3308</v>
      </c>
      <c r="B3141" t="s">
        <v>224</v>
      </c>
      <c r="C3141" t="s">
        <v>125</v>
      </c>
      <c r="D3141" t="s">
        <v>35</v>
      </c>
      <c r="E3141" t="s">
        <v>159</v>
      </c>
      <c r="F3141" s="1">
        <v>42868</v>
      </c>
      <c r="G3141" s="1">
        <v>42874</v>
      </c>
      <c r="H3141">
        <v>0</v>
      </c>
      <c r="I3141" t="str">
        <f>IF(COUNTIF(Products!$A$2:$A$8,C3141)=0,C3141,"")</f>
        <v/>
      </c>
      <c r="J3141">
        <f>IF(OR(E3141="Prospecting",E3141="Engaging"),VLOOKUP(C3141,Products!$A$2:$C$8,3,FALSE),0)</f>
        <v>0</v>
      </c>
    </row>
    <row r="3142" spans="1:10" x14ac:dyDescent="0.25">
      <c r="A3142" t="s">
        <v>3309</v>
      </c>
      <c r="B3142" t="s">
        <v>224</v>
      </c>
      <c r="C3142" t="s">
        <v>125</v>
      </c>
      <c r="D3142" t="s">
        <v>73</v>
      </c>
      <c r="E3142" t="s">
        <v>159</v>
      </c>
      <c r="F3142" s="1">
        <v>42868</v>
      </c>
      <c r="G3142" s="1">
        <v>42872</v>
      </c>
      <c r="H3142">
        <v>0</v>
      </c>
      <c r="I3142" t="str">
        <f>IF(COUNTIF(Products!$A$2:$A$8,C3142)=0,C3142,"")</f>
        <v/>
      </c>
      <c r="J3142">
        <f>IF(OR(E3142="Prospecting",E3142="Engaging"),VLOOKUP(C3142,Products!$A$2:$C$8,3,FALSE),0)</f>
        <v>0</v>
      </c>
    </row>
    <row r="3143" spans="1:10" x14ac:dyDescent="0.25">
      <c r="A3143" t="s">
        <v>3310</v>
      </c>
      <c r="B3143" t="s">
        <v>173</v>
      </c>
      <c r="C3143" t="s">
        <v>123</v>
      </c>
      <c r="D3143" t="s">
        <v>39</v>
      </c>
      <c r="E3143" t="s">
        <v>138</v>
      </c>
      <c r="F3143" s="1">
        <v>42868</v>
      </c>
      <c r="G3143" s="1">
        <v>42991</v>
      </c>
      <c r="H3143">
        <v>54</v>
      </c>
      <c r="I3143" t="str">
        <f>IF(COUNTIF(Products!$A$2:$A$8,C3143)=0,C3143,"")</f>
        <v/>
      </c>
      <c r="J3143">
        <f>IF(OR(E3143="Prospecting",E3143="Engaging"),VLOOKUP(C3143,Products!$A$2:$C$8,3,FALSE),0)</f>
        <v>0</v>
      </c>
    </row>
    <row r="3144" spans="1:10" x14ac:dyDescent="0.25">
      <c r="A3144" t="s">
        <v>3311</v>
      </c>
      <c r="B3144" t="s">
        <v>164</v>
      </c>
      <c r="C3144" t="s">
        <v>125</v>
      </c>
      <c r="D3144" t="s">
        <v>39</v>
      </c>
      <c r="E3144" t="s">
        <v>155</v>
      </c>
      <c r="F3144" s="1">
        <v>42868</v>
      </c>
      <c r="I3144" t="str">
        <f>IF(COUNTIF(Products!$A$2:$A$8,C3144)=0,C3144,"")</f>
        <v/>
      </c>
      <c r="J3144">
        <f>IF(OR(E3144="Prospecting",E3144="Engaging"),VLOOKUP(C3144,Products!$A$2:$C$8,3,FALSE),0)</f>
        <v>3393</v>
      </c>
    </row>
    <row r="3145" spans="1:10" x14ac:dyDescent="0.25">
      <c r="A3145" t="s">
        <v>3312</v>
      </c>
      <c r="B3145" t="s">
        <v>164</v>
      </c>
      <c r="C3145" t="s">
        <v>126</v>
      </c>
      <c r="D3145" t="s">
        <v>93</v>
      </c>
      <c r="E3145" t="s">
        <v>138</v>
      </c>
      <c r="F3145" s="1">
        <v>42868</v>
      </c>
      <c r="G3145" s="1">
        <v>42872</v>
      </c>
      <c r="H3145">
        <v>4627</v>
      </c>
      <c r="I3145" t="str">
        <f>IF(COUNTIF(Products!$A$2:$A$8,C3145)=0,C3145,"")</f>
        <v/>
      </c>
      <c r="J3145">
        <f>IF(OR(E3145="Prospecting",E3145="Engaging"),VLOOKUP(C3145,Products!$A$2:$C$8,3,FALSE),0)</f>
        <v>0</v>
      </c>
    </row>
    <row r="3146" spans="1:10" x14ac:dyDescent="0.25">
      <c r="A3146" t="s">
        <v>3313</v>
      </c>
      <c r="B3146" t="s">
        <v>154</v>
      </c>
      <c r="C3146" t="s">
        <v>120</v>
      </c>
      <c r="D3146" t="s">
        <v>57</v>
      </c>
      <c r="E3146" t="s">
        <v>159</v>
      </c>
      <c r="F3146" s="1">
        <v>42868</v>
      </c>
      <c r="G3146" s="1">
        <v>42969</v>
      </c>
      <c r="H3146">
        <v>0</v>
      </c>
      <c r="I3146" t="str">
        <f>IF(COUNTIF(Products!$A$2:$A$8,C3146)=0,C3146,"")</f>
        <v/>
      </c>
      <c r="J3146">
        <f>IF(OR(E3146="Prospecting",E3146="Engaging"),VLOOKUP(C3146,Products!$A$2:$C$8,3,FALSE),0)</f>
        <v>0</v>
      </c>
    </row>
    <row r="3147" spans="1:10" x14ac:dyDescent="0.25">
      <c r="A3147" t="s">
        <v>3314</v>
      </c>
      <c r="B3147" t="s">
        <v>303</v>
      </c>
      <c r="C3147" t="s">
        <v>122</v>
      </c>
      <c r="D3147" t="s">
        <v>26</v>
      </c>
      <c r="E3147" t="s">
        <v>138</v>
      </c>
      <c r="F3147" s="1">
        <v>42868</v>
      </c>
      <c r="G3147" s="1">
        <v>42984</v>
      </c>
      <c r="H3147">
        <v>5625</v>
      </c>
      <c r="I3147" t="str">
        <f>IF(COUNTIF(Products!$A$2:$A$8,C3147)=0,C3147,"")</f>
        <v/>
      </c>
      <c r="J3147">
        <f>IF(OR(E3147="Prospecting",E3147="Engaging"),VLOOKUP(C3147,Products!$A$2:$C$8,3,FALSE),0)</f>
        <v>0</v>
      </c>
    </row>
    <row r="3148" spans="1:10" x14ac:dyDescent="0.25">
      <c r="A3148" t="s">
        <v>3315</v>
      </c>
      <c r="B3148" t="s">
        <v>217</v>
      </c>
      <c r="C3148" t="s">
        <v>120</v>
      </c>
      <c r="D3148" t="s">
        <v>51</v>
      </c>
      <c r="E3148" t="s">
        <v>159</v>
      </c>
      <c r="F3148" s="1">
        <v>42868</v>
      </c>
      <c r="G3148" s="1">
        <v>42870</v>
      </c>
      <c r="H3148">
        <v>0</v>
      </c>
      <c r="I3148" t="str">
        <f>IF(COUNTIF(Products!$A$2:$A$8,C3148)=0,C3148,"")</f>
        <v/>
      </c>
      <c r="J3148">
        <f>IF(OR(E3148="Prospecting",E3148="Engaging"),VLOOKUP(C3148,Products!$A$2:$C$8,3,FALSE),0)</f>
        <v>0</v>
      </c>
    </row>
    <row r="3149" spans="1:10" x14ac:dyDescent="0.25">
      <c r="A3149" t="s">
        <v>3316</v>
      </c>
      <c r="B3149" t="s">
        <v>150</v>
      </c>
      <c r="C3149" t="s">
        <v>123</v>
      </c>
      <c r="D3149" t="s">
        <v>93</v>
      </c>
      <c r="E3149" t="s">
        <v>138</v>
      </c>
      <c r="F3149" s="1">
        <v>42868</v>
      </c>
      <c r="G3149" s="1">
        <v>42970</v>
      </c>
      <c r="H3149">
        <v>57</v>
      </c>
      <c r="I3149" t="str">
        <f>IF(COUNTIF(Products!$A$2:$A$8,C3149)=0,C3149,"")</f>
        <v/>
      </c>
      <c r="J3149">
        <f>IF(OR(E3149="Prospecting",E3149="Engaging"),VLOOKUP(C3149,Products!$A$2:$C$8,3,FALSE),0)</f>
        <v>0</v>
      </c>
    </row>
    <row r="3150" spans="1:10" x14ac:dyDescent="0.25">
      <c r="A3150" t="s">
        <v>3317</v>
      </c>
      <c r="B3150" t="s">
        <v>152</v>
      </c>
      <c r="C3150" t="s">
        <v>127</v>
      </c>
      <c r="D3150" t="s">
        <v>36</v>
      </c>
      <c r="E3150" t="s">
        <v>159</v>
      </c>
      <c r="F3150" s="1">
        <v>42868</v>
      </c>
      <c r="G3150" s="1">
        <v>42971</v>
      </c>
      <c r="H3150">
        <v>0</v>
      </c>
      <c r="I3150" t="str">
        <f>IF(COUNTIF(Products!$A$2:$A$8,C3150)=0,C3150,"")</f>
        <v/>
      </c>
      <c r="J3150">
        <f>IF(OR(E3150="Prospecting",E3150="Engaging"),VLOOKUP(C3150,Products!$A$2:$C$8,3,FALSE),0)</f>
        <v>0</v>
      </c>
    </row>
    <row r="3151" spans="1:10" x14ac:dyDescent="0.25">
      <c r="A3151" t="s">
        <v>3318</v>
      </c>
      <c r="B3151" t="s">
        <v>166</v>
      </c>
      <c r="C3151" t="s">
        <v>127</v>
      </c>
      <c r="D3151" t="s">
        <v>93</v>
      </c>
      <c r="E3151" t="s">
        <v>138</v>
      </c>
      <c r="F3151" s="1">
        <v>42868</v>
      </c>
      <c r="G3151" s="1">
        <v>42948</v>
      </c>
      <c r="H3151">
        <v>1032</v>
      </c>
      <c r="I3151" t="str">
        <f>IF(COUNTIF(Products!$A$2:$A$8,C3151)=0,C3151,"")</f>
        <v/>
      </c>
      <c r="J3151">
        <f>IF(OR(E3151="Prospecting",E3151="Engaging"),VLOOKUP(C3151,Products!$A$2:$C$8,3,FALSE),0)</f>
        <v>0</v>
      </c>
    </row>
    <row r="3152" spans="1:10" x14ac:dyDescent="0.25">
      <c r="A3152" t="s">
        <v>3319</v>
      </c>
      <c r="B3152" t="s">
        <v>187</v>
      </c>
      <c r="C3152" t="s">
        <v>120</v>
      </c>
      <c r="D3152" t="s">
        <v>81</v>
      </c>
      <c r="E3152" t="s">
        <v>138</v>
      </c>
      <c r="F3152" s="1">
        <v>42868</v>
      </c>
      <c r="G3152" s="1">
        <v>42872</v>
      </c>
      <c r="H3152">
        <v>567</v>
      </c>
      <c r="I3152" t="str">
        <f>IF(COUNTIF(Products!$A$2:$A$8,C3152)=0,C3152,"")</f>
        <v/>
      </c>
      <c r="J3152">
        <f>IF(OR(E3152="Prospecting",E3152="Engaging"),VLOOKUP(C3152,Products!$A$2:$C$8,3,FALSE),0)</f>
        <v>0</v>
      </c>
    </row>
    <row r="3153" spans="1:10" x14ac:dyDescent="0.25">
      <c r="A3153" t="s">
        <v>3320</v>
      </c>
      <c r="B3153" t="s">
        <v>169</v>
      </c>
      <c r="C3153" t="s">
        <v>123</v>
      </c>
      <c r="D3153" t="s">
        <v>36</v>
      </c>
      <c r="E3153" t="s">
        <v>138</v>
      </c>
      <c r="F3153" s="1">
        <v>42868</v>
      </c>
      <c r="G3153" s="1">
        <v>42874</v>
      </c>
      <c r="H3153">
        <v>58</v>
      </c>
      <c r="I3153" t="str">
        <f>IF(COUNTIF(Products!$A$2:$A$8,C3153)=0,C3153,"")</f>
        <v/>
      </c>
      <c r="J3153">
        <f>IF(OR(E3153="Prospecting",E3153="Engaging"),VLOOKUP(C3153,Products!$A$2:$C$8,3,FALSE),0)</f>
        <v>0</v>
      </c>
    </row>
    <row r="3154" spans="1:10" x14ac:dyDescent="0.25">
      <c r="A3154" t="s">
        <v>3321</v>
      </c>
      <c r="B3154" t="s">
        <v>146</v>
      </c>
      <c r="C3154" t="s">
        <v>126</v>
      </c>
      <c r="D3154" t="s">
        <v>55</v>
      </c>
      <c r="E3154" t="s">
        <v>159</v>
      </c>
      <c r="F3154" s="1">
        <v>42869</v>
      </c>
      <c r="G3154" s="1">
        <v>42972</v>
      </c>
      <c r="H3154">
        <v>0</v>
      </c>
      <c r="I3154" t="str">
        <f>IF(COUNTIF(Products!$A$2:$A$8,C3154)=0,C3154,"")</f>
        <v/>
      </c>
      <c r="J3154">
        <f>IF(OR(E3154="Prospecting",E3154="Engaging"),VLOOKUP(C3154,Products!$A$2:$C$8,3,FALSE),0)</f>
        <v>0</v>
      </c>
    </row>
    <row r="3155" spans="1:10" x14ac:dyDescent="0.25">
      <c r="A3155" t="s">
        <v>3322</v>
      </c>
      <c r="B3155" t="s">
        <v>146</v>
      </c>
      <c r="C3155" t="s">
        <v>123</v>
      </c>
      <c r="D3155" t="s">
        <v>89</v>
      </c>
      <c r="E3155" t="s">
        <v>138</v>
      </c>
      <c r="F3155" s="1">
        <v>42869</v>
      </c>
      <c r="G3155" s="1">
        <v>42877</v>
      </c>
      <c r="H3155">
        <v>50</v>
      </c>
      <c r="I3155" t="str">
        <f>IF(COUNTIF(Products!$A$2:$A$8,C3155)=0,C3155,"")</f>
        <v/>
      </c>
      <c r="J3155">
        <f>IF(OR(E3155="Prospecting",E3155="Engaging"),VLOOKUP(C3155,Products!$A$2:$C$8,3,FALSE),0)</f>
        <v>0</v>
      </c>
    </row>
    <row r="3156" spans="1:10" x14ac:dyDescent="0.25">
      <c r="A3156" t="s">
        <v>3323</v>
      </c>
      <c r="B3156" t="s">
        <v>222</v>
      </c>
      <c r="C3156" t="s">
        <v>125</v>
      </c>
      <c r="D3156" t="s">
        <v>103</v>
      </c>
      <c r="E3156" t="s">
        <v>155</v>
      </c>
      <c r="F3156" s="1">
        <v>42869</v>
      </c>
      <c r="I3156" t="str">
        <f>IF(COUNTIF(Products!$A$2:$A$8,C3156)=0,C3156,"")</f>
        <v/>
      </c>
      <c r="J3156">
        <f>IF(OR(E3156="Prospecting",E3156="Engaging"),VLOOKUP(C3156,Products!$A$2:$C$8,3,FALSE),0)</f>
        <v>3393</v>
      </c>
    </row>
    <row r="3157" spans="1:10" x14ac:dyDescent="0.25">
      <c r="A3157" t="s">
        <v>3324</v>
      </c>
      <c r="B3157" t="s">
        <v>207</v>
      </c>
      <c r="C3157" t="s">
        <v>127</v>
      </c>
      <c r="E3157" t="s">
        <v>155</v>
      </c>
      <c r="F3157" s="1">
        <v>42869</v>
      </c>
      <c r="I3157" t="str">
        <f>IF(COUNTIF(Products!$A$2:$A$8,C3157)=0,C3157,"")</f>
        <v/>
      </c>
      <c r="J3157">
        <f>IF(OR(E3157="Prospecting",E3157="Engaging"),VLOOKUP(C3157,Products!$A$2:$C$8,3,FALSE),0)</f>
        <v>1096</v>
      </c>
    </row>
    <row r="3158" spans="1:10" x14ac:dyDescent="0.25">
      <c r="A3158" t="s">
        <v>3325</v>
      </c>
      <c r="B3158" t="s">
        <v>207</v>
      </c>
      <c r="C3158" t="s">
        <v>120</v>
      </c>
      <c r="D3158" t="s">
        <v>73</v>
      </c>
      <c r="E3158" t="s">
        <v>159</v>
      </c>
      <c r="F3158" s="1">
        <v>42869</v>
      </c>
      <c r="G3158" s="1">
        <v>42949</v>
      </c>
      <c r="H3158">
        <v>0</v>
      </c>
      <c r="I3158" t="str">
        <f>IF(COUNTIF(Products!$A$2:$A$8,C3158)=0,C3158,"")</f>
        <v/>
      </c>
      <c r="J3158">
        <f>IF(OR(E3158="Prospecting",E3158="Engaging"),VLOOKUP(C3158,Products!$A$2:$C$8,3,FALSE),0)</f>
        <v>0</v>
      </c>
    </row>
    <row r="3159" spans="1:10" x14ac:dyDescent="0.25">
      <c r="A3159" t="s">
        <v>3326</v>
      </c>
      <c r="B3159" t="s">
        <v>171</v>
      </c>
      <c r="C3159" t="s">
        <v>120</v>
      </c>
      <c r="D3159" t="s">
        <v>20</v>
      </c>
      <c r="E3159" t="s">
        <v>159</v>
      </c>
      <c r="F3159" s="1">
        <v>42869</v>
      </c>
      <c r="G3159" s="1">
        <v>42887</v>
      </c>
      <c r="H3159">
        <v>0</v>
      </c>
      <c r="I3159" t="str">
        <f>IF(COUNTIF(Products!$A$2:$A$8,C3159)=0,C3159,"")</f>
        <v/>
      </c>
      <c r="J3159">
        <f>IF(OR(E3159="Prospecting",E3159="Engaging"),VLOOKUP(C3159,Products!$A$2:$C$8,3,FALSE),0)</f>
        <v>0</v>
      </c>
    </row>
    <row r="3160" spans="1:10" x14ac:dyDescent="0.25">
      <c r="A3160" t="s">
        <v>3327</v>
      </c>
      <c r="B3160" t="s">
        <v>140</v>
      </c>
      <c r="C3160" t="s">
        <v>123</v>
      </c>
      <c r="D3160" t="s">
        <v>55</v>
      </c>
      <c r="E3160" t="s">
        <v>138</v>
      </c>
      <c r="F3160" s="1">
        <v>42869</v>
      </c>
      <c r="G3160" s="1">
        <v>42910</v>
      </c>
      <c r="H3160">
        <v>59</v>
      </c>
      <c r="I3160" t="str">
        <f>IF(COUNTIF(Products!$A$2:$A$8,C3160)=0,C3160,"")</f>
        <v/>
      </c>
      <c r="J3160">
        <f>IF(OR(E3160="Prospecting",E3160="Engaging"),VLOOKUP(C3160,Products!$A$2:$C$8,3,FALSE),0)</f>
        <v>0</v>
      </c>
    </row>
    <row r="3161" spans="1:10" x14ac:dyDescent="0.25">
      <c r="A3161" t="s">
        <v>3328</v>
      </c>
      <c r="B3161" t="s">
        <v>224</v>
      </c>
      <c r="C3161" t="s">
        <v>126</v>
      </c>
      <c r="D3161" t="s">
        <v>105</v>
      </c>
      <c r="E3161" t="s">
        <v>159</v>
      </c>
      <c r="F3161" s="1">
        <v>42869</v>
      </c>
      <c r="G3161" s="1">
        <v>42961</v>
      </c>
      <c r="H3161">
        <v>0</v>
      </c>
      <c r="I3161" t="str">
        <f>IF(COUNTIF(Products!$A$2:$A$8,C3161)=0,C3161,"")</f>
        <v/>
      </c>
      <c r="J3161">
        <f>IF(OR(E3161="Prospecting",E3161="Engaging"),VLOOKUP(C3161,Products!$A$2:$C$8,3,FALSE),0)</f>
        <v>0</v>
      </c>
    </row>
    <row r="3162" spans="1:10" x14ac:dyDescent="0.25">
      <c r="A3162" t="s">
        <v>3329</v>
      </c>
      <c r="B3162" t="s">
        <v>224</v>
      </c>
      <c r="C3162" t="s">
        <v>120</v>
      </c>
      <c r="D3162" t="s">
        <v>19</v>
      </c>
      <c r="E3162" t="s">
        <v>138</v>
      </c>
      <c r="F3162" s="1">
        <v>42869</v>
      </c>
      <c r="G3162" s="1">
        <v>42953</v>
      </c>
      <c r="H3162">
        <v>525</v>
      </c>
      <c r="I3162" t="str">
        <f>IF(COUNTIF(Products!$A$2:$A$8,C3162)=0,C3162,"")</f>
        <v/>
      </c>
      <c r="J3162">
        <f>IF(OR(E3162="Prospecting",E3162="Engaging"),VLOOKUP(C3162,Products!$A$2:$C$8,3,FALSE),0)</f>
        <v>0</v>
      </c>
    </row>
    <row r="3163" spans="1:10" x14ac:dyDescent="0.25">
      <c r="A3163" t="s">
        <v>3330</v>
      </c>
      <c r="B3163" t="s">
        <v>154</v>
      </c>
      <c r="C3163" t="s">
        <v>126</v>
      </c>
      <c r="D3163" t="s">
        <v>68</v>
      </c>
      <c r="E3163" t="s">
        <v>155</v>
      </c>
      <c r="F3163" s="1">
        <v>42869</v>
      </c>
      <c r="I3163" t="str">
        <f>IF(COUNTIF(Products!$A$2:$A$8,C3163)=0,C3163,"")</f>
        <v/>
      </c>
      <c r="J3163">
        <f>IF(OR(E3163="Prospecting",E3163="Engaging"),VLOOKUP(C3163,Products!$A$2:$C$8,3,FALSE),0)</f>
        <v>5482</v>
      </c>
    </row>
    <row r="3164" spans="1:10" x14ac:dyDescent="0.25">
      <c r="A3164" t="s">
        <v>3331</v>
      </c>
      <c r="B3164" t="s">
        <v>154</v>
      </c>
      <c r="C3164" t="s">
        <v>126</v>
      </c>
      <c r="D3164" t="s">
        <v>93</v>
      </c>
      <c r="E3164" t="s">
        <v>138</v>
      </c>
      <c r="F3164" s="1">
        <v>42869</v>
      </c>
      <c r="G3164" s="1">
        <v>42949</v>
      </c>
      <c r="H3164">
        <v>5525</v>
      </c>
      <c r="I3164" t="str">
        <f>IF(COUNTIF(Products!$A$2:$A$8,C3164)=0,C3164,"")</f>
        <v/>
      </c>
      <c r="J3164">
        <f>IF(OR(E3164="Prospecting",E3164="Engaging"),VLOOKUP(C3164,Products!$A$2:$C$8,3,FALSE),0)</f>
        <v>0</v>
      </c>
    </row>
    <row r="3165" spans="1:10" x14ac:dyDescent="0.25">
      <c r="A3165" t="s">
        <v>3332</v>
      </c>
      <c r="B3165" t="s">
        <v>162</v>
      </c>
      <c r="C3165" t="s">
        <v>120</v>
      </c>
      <c r="E3165" t="s">
        <v>155</v>
      </c>
      <c r="F3165" s="1">
        <v>42869</v>
      </c>
      <c r="I3165" t="str">
        <f>IF(COUNTIF(Products!$A$2:$A$8,C3165)=0,C3165,"")</f>
        <v/>
      </c>
      <c r="J3165">
        <f>IF(OR(E3165="Prospecting",E3165="Engaging"),VLOOKUP(C3165,Products!$A$2:$C$8,3,FALSE),0)</f>
        <v>550</v>
      </c>
    </row>
    <row r="3166" spans="1:10" x14ac:dyDescent="0.25">
      <c r="A3166" t="s">
        <v>3333</v>
      </c>
      <c r="B3166" t="s">
        <v>162</v>
      </c>
      <c r="C3166" t="s">
        <v>127</v>
      </c>
      <c r="D3166" t="s">
        <v>81</v>
      </c>
      <c r="E3166" t="s">
        <v>155</v>
      </c>
      <c r="F3166" s="1">
        <v>42869</v>
      </c>
      <c r="I3166" t="str">
        <f>IF(COUNTIF(Products!$A$2:$A$8,C3166)=0,C3166,"")</f>
        <v/>
      </c>
      <c r="J3166">
        <f>IF(OR(E3166="Prospecting",E3166="Engaging"),VLOOKUP(C3166,Products!$A$2:$C$8,3,FALSE),0)</f>
        <v>1096</v>
      </c>
    </row>
    <row r="3167" spans="1:10" x14ac:dyDescent="0.25">
      <c r="A3167" t="s">
        <v>3334</v>
      </c>
      <c r="B3167" t="s">
        <v>162</v>
      </c>
      <c r="C3167" t="s">
        <v>120</v>
      </c>
      <c r="D3167" t="s">
        <v>114</v>
      </c>
      <c r="E3167" t="s">
        <v>138</v>
      </c>
      <c r="F3167" s="1">
        <v>42869</v>
      </c>
      <c r="G3167" s="1">
        <v>42883</v>
      </c>
      <c r="H3167">
        <v>628</v>
      </c>
      <c r="I3167" t="str">
        <f>IF(COUNTIF(Products!$A$2:$A$8,C3167)=0,C3167,"")</f>
        <v/>
      </c>
      <c r="J3167">
        <f>IF(OR(E3167="Prospecting",E3167="Engaging"),VLOOKUP(C3167,Products!$A$2:$C$8,3,FALSE),0)</f>
        <v>0</v>
      </c>
    </row>
    <row r="3168" spans="1:10" x14ac:dyDescent="0.25">
      <c r="A3168" t="s">
        <v>3335</v>
      </c>
      <c r="B3168" t="s">
        <v>162</v>
      </c>
      <c r="C3168" t="s">
        <v>127</v>
      </c>
      <c r="D3168" t="s">
        <v>61</v>
      </c>
      <c r="E3168" t="s">
        <v>138</v>
      </c>
      <c r="F3168" s="1">
        <v>42869</v>
      </c>
      <c r="G3168" s="1">
        <v>42877</v>
      </c>
      <c r="H3168">
        <v>902</v>
      </c>
      <c r="I3168" t="str">
        <f>IF(COUNTIF(Products!$A$2:$A$8,C3168)=0,C3168,"")</f>
        <v/>
      </c>
      <c r="J3168">
        <f>IF(OR(E3168="Prospecting",E3168="Engaging"),VLOOKUP(C3168,Products!$A$2:$C$8,3,FALSE),0)</f>
        <v>0</v>
      </c>
    </row>
    <row r="3169" spans="1:10" x14ac:dyDescent="0.25">
      <c r="A3169" t="s">
        <v>3336</v>
      </c>
      <c r="B3169" t="s">
        <v>152</v>
      </c>
      <c r="C3169" t="s">
        <v>127</v>
      </c>
      <c r="D3169" t="s">
        <v>94</v>
      </c>
      <c r="E3169" t="s">
        <v>138</v>
      </c>
      <c r="F3169" s="1">
        <v>42869</v>
      </c>
      <c r="G3169" s="1">
        <v>42893</v>
      </c>
      <c r="H3169">
        <v>1064</v>
      </c>
      <c r="I3169" t="str">
        <f>IF(COUNTIF(Products!$A$2:$A$8,C3169)=0,C3169,"")</f>
        <v/>
      </c>
      <c r="J3169">
        <f>IF(OR(E3169="Prospecting",E3169="Engaging"),VLOOKUP(C3169,Products!$A$2:$C$8,3,FALSE),0)</f>
        <v>0</v>
      </c>
    </row>
    <row r="3170" spans="1:10" x14ac:dyDescent="0.25">
      <c r="A3170" t="s">
        <v>3337</v>
      </c>
      <c r="B3170" t="s">
        <v>193</v>
      </c>
      <c r="C3170" t="s">
        <v>126</v>
      </c>
      <c r="D3170" t="s">
        <v>115</v>
      </c>
      <c r="E3170" t="s">
        <v>138</v>
      </c>
      <c r="F3170" s="1">
        <v>42869</v>
      </c>
      <c r="G3170" s="1">
        <v>42967</v>
      </c>
      <c r="H3170">
        <v>6346</v>
      </c>
      <c r="I3170" t="str">
        <f>IF(COUNTIF(Products!$A$2:$A$8,C3170)=0,C3170,"")</f>
        <v/>
      </c>
      <c r="J3170">
        <f>IF(OR(E3170="Prospecting",E3170="Engaging"),VLOOKUP(C3170,Products!$A$2:$C$8,3,FALSE),0)</f>
        <v>0</v>
      </c>
    </row>
    <row r="3171" spans="1:10" x14ac:dyDescent="0.25">
      <c r="A3171" t="s">
        <v>3338</v>
      </c>
      <c r="B3171" t="s">
        <v>193</v>
      </c>
      <c r="C3171" t="s">
        <v>125</v>
      </c>
      <c r="D3171" t="s">
        <v>108</v>
      </c>
      <c r="E3171" t="s">
        <v>138</v>
      </c>
      <c r="F3171" s="1">
        <v>42869</v>
      </c>
      <c r="G3171" s="1">
        <v>42879</v>
      </c>
      <c r="H3171">
        <v>3089</v>
      </c>
      <c r="I3171" t="str">
        <f>IF(COUNTIF(Products!$A$2:$A$8,C3171)=0,C3171,"")</f>
        <v/>
      </c>
      <c r="J3171">
        <f>IF(OR(E3171="Prospecting",E3171="Engaging"),VLOOKUP(C3171,Products!$A$2:$C$8,3,FALSE),0)</f>
        <v>0</v>
      </c>
    </row>
    <row r="3172" spans="1:10" x14ac:dyDescent="0.25">
      <c r="A3172" t="s">
        <v>3339</v>
      </c>
      <c r="B3172" t="s">
        <v>166</v>
      </c>
      <c r="C3172" t="s">
        <v>125</v>
      </c>
      <c r="D3172" t="s">
        <v>41</v>
      </c>
      <c r="E3172" t="s">
        <v>138</v>
      </c>
      <c r="F3172" s="1">
        <v>42869</v>
      </c>
      <c r="G3172" s="1">
        <v>42873</v>
      </c>
      <c r="H3172">
        <v>3484</v>
      </c>
      <c r="I3172" t="str">
        <f>IF(COUNTIF(Products!$A$2:$A$8,C3172)=0,C3172,"")</f>
        <v/>
      </c>
      <c r="J3172">
        <f>IF(OR(E3172="Prospecting",E3172="Engaging"),VLOOKUP(C3172,Products!$A$2:$C$8,3,FALSE),0)</f>
        <v>0</v>
      </c>
    </row>
    <row r="3173" spans="1:10" x14ac:dyDescent="0.25">
      <c r="A3173" t="s">
        <v>3340</v>
      </c>
      <c r="B3173" t="s">
        <v>169</v>
      </c>
      <c r="C3173" t="s">
        <v>123</v>
      </c>
      <c r="D3173" t="s">
        <v>64</v>
      </c>
      <c r="E3173" t="s">
        <v>159</v>
      </c>
      <c r="F3173" s="1">
        <v>42869</v>
      </c>
      <c r="G3173" s="1">
        <v>42971</v>
      </c>
      <c r="H3173">
        <v>0</v>
      </c>
      <c r="I3173" t="str">
        <f>IF(COUNTIF(Products!$A$2:$A$8,C3173)=0,C3173,"")</f>
        <v/>
      </c>
      <c r="J3173">
        <f>IF(OR(E3173="Prospecting",E3173="Engaging"),VLOOKUP(C3173,Products!$A$2:$C$8,3,FALSE),0)</f>
        <v>0</v>
      </c>
    </row>
    <row r="3174" spans="1:10" x14ac:dyDescent="0.25">
      <c r="A3174" t="s">
        <v>3341</v>
      </c>
      <c r="B3174" t="s">
        <v>169</v>
      </c>
      <c r="C3174" t="s">
        <v>123</v>
      </c>
      <c r="D3174" t="s">
        <v>89</v>
      </c>
      <c r="E3174" t="s">
        <v>159</v>
      </c>
      <c r="F3174" s="1">
        <v>42869</v>
      </c>
      <c r="G3174" s="1">
        <v>42953</v>
      </c>
      <c r="H3174">
        <v>0</v>
      </c>
      <c r="I3174" t="str">
        <f>IF(COUNTIF(Products!$A$2:$A$8,C3174)=0,C3174,"")</f>
        <v/>
      </c>
      <c r="J3174">
        <f>IF(OR(E3174="Prospecting",E3174="Engaging"),VLOOKUP(C3174,Products!$A$2:$C$8,3,FALSE),0)</f>
        <v>0</v>
      </c>
    </row>
    <row r="3175" spans="1:10" x14ac:dyDescent="0.25">
      <c r="A3175" t="s">
        <v>3342</v>
      </c>
      <c r="B3175" t="s">
        <v>169</v>
      </c>
      <c r="C3175" t="s">
        <v>123</v>
      </c>
      <c r="D3175" t="s">
        <v>12</v>
      </c>
      <c r="E3175" t="s">
        <v>138</v>
      </c>
      <c r="F3175" s="1">
        <v>42869</v>
      </c>
      <c r="G3175" s="1">
        <v>42871</v>
      </c>
      <c r="H3175">
        <v>68</v>
      </c>
      <c r="I3175" t="str">
        <f>IF(COUNTIF(Products!$A$2:$A$8,C3175)=0,C3175,"")</f>
        <v/>
      </c>
      <c r="J3175">
        <f>IF(OR(E3175="Prospecting",E3175="Engaging"),VLOOKUP(C3175,Products!$A$2:$C$8,3,FALSE),0)</f>
        <v>0</v>
      </c>
    </row>
    <row r="3176" spans="1:10" x14ac:dyDescent="0.25">
      <c r="A3176" t="s">
        <v>3343</v>
      </c>
      <c r="B3176" t="s">
        <v>148</v>
      </c>
      <c r="C3176" t="s">
        <v>120</v>
      </c>
      <c r="E3176" t="s">
        <v>155</v>
      </c>
      <c r="F3176" s="1">
        <v>42869</v>
      </c>
      <c r="I3176" t="str">
        <f>IF(COUNTIF(Products!$A$2:$A$8,C3176)=0,C3176,"")</f>
        <v/>
      </c>
      <c r="J3176">
        <f>IF(OR(E3176="Prospecting",E3176="Engaging"),VLOOKUP(C3176,Products!$A$2:$C$8,3,FALSE),0)</f>
        <v>550</v>
      </c>
    </row>
    <row r="3177" spans="1:10" x14ac:dyDescent="0.25">
      <c r="A3177" t="s">
        <v>3344</v>
      </c>
      <c r="B3177" t="s">
        <v>148</v>
      </c>
      <c r="C3177" t="s">
        <v>120</v>
      </c>
      <c r="D3177" t="s">
        <v>38</v>
      </c>
      <c r="E3177" t="s">
        <v>138</v>
      </c>
      <c r="F3177" s="1">
        <v>42869</v>
      </c>
      <c r="G3177" s="1">
        <v>42963</v>
      </c>
      <c r="H3177">
        <v>575</v>
      </c>
      <c r="I3177" t="str">
        <f>IF(COUNTIF(Products!$A$2:$A$8,C3177)=0,C3177,"")</f>
        <v/>
      </c>
      <c r="J3177">
        <f>IF(OR(E3177="Prospecting",E3177="Engaging"),VLOOKUP(C3177,Products!$A$2:$C$8,3,FALSE),0)</f>
        <v>0</v>
      </c>
    </row>
    <row r="3178" spans="1:10" x14ac:dyDescent="0.25">
      <c r="A3178" t="s">
        <v>3345</v>
      </c>
      <c r="B3178" t="s">
        <v>177</v>
      </c>
      <c r="C3178" t="s">
        <v>125</v>
      </c>
      <c r="D3178" t="s">
        <v>108</v>
      </c>
      <c r="E3178" t="s">
        <v>138</v>
      </c>
      <c r="F3178" s="1">
        <v>42869</v>
      </c>
      <c r="G3178" s="1">
        <v>42872</v>
      </c>
      <c r="H3178">
        <v>3720</v>
      </c>
      <c r="I3178" t="str">
        <f>IF(COUNTIF(Products!$A$2:$A$8,C3178)=0,C3178,"")</f>
        <v/>
      </c>
      <c r="J3178">
        <f>IF(OR(E3178="Prospecting",E3178="Engaging"),VLOOKUP(C3178,Products!$A$2:$C$8,3,FALSE),0)</f>
        <v>0</v>
      </c>
    </row>
    <row r="3179" spans="1:10" x14ac:dyDescent="0.25">
      <c r="A3179" t="s">
        <v>3346</v>
      </c>
      <c r="B3179" t="s">
        <v>196</v>
      </c>
      <c r="C3179" t="s">
        <v>122</v>
      </c>
      <c r="E3179" t="s">
        <v>155</v>
      </c>
      <c r="F3179" s="1">
        <v>42869</v>
      </c>
      <c r="I3179" t="str">
        <f>IF(COUNTIF(Products!$A$2:$A$8,C3179)=0,C3179,"")</f>
        <v/>
      </c>
      <c r="J3179">
        <f>IF(OR(E3179="Prospecting",E3179="Engaging"),VLOOKUP(C3179,Products!$A$2:$C$8,3,FALSE),0)</f>
        <v>4821</v>
      </c>
    </row>
    <row r="3180" spans="1:10" x14ac:dyDescent="0.25">
      <c r="A3180" t="s">
        <v>3347</v>
      </c>
      <c r="B3180" t="s">
        <v>144</v>
      </c>
      <c r="C3180" t="s">
        <v>126</v>
      </c>
      <c r="D3180" t="s">
        <v>61</v>
      </c>
      <c r="E3180" t="s">
        <v>159</v>
      </c>
      <c r="F3180" s="1">
        <v>42869</v>
      </c>
      <c r="G3180" s="1">
        <v>42882</v>
      </c>
      <c r="H3180">
        <v>0</v>
      </c>
      <c r="I3180" t="str">
        <f>IF(COUNTIF(Products!$A$2:$A$8,C3180)=0,C3180,"")</f>
        <v/>
      </c>
      <c r="J3180">
        <f>IF(OR(E3180="Prospecting",E3180="Engaging"),VLOOKUP(C3180,Products!$A$2:$C$8,3,FALSE),0)</f>
        <v>0</v>
      </c>
    </row>
    <row r="3181" spans="1:10" x14ac:dyDescent="0.25">
      <c r="A3181" t="s">
        <v>3348</v>
      </c>
      <c r="B3181" t="s">
        <v>207</v>
      </c>
      <c r="C3181" t="s">
        <v>125</v>
      </c>
      <c r="D3181" t="s">
        <v>27</v>
      </c>
      <c r="E3181" t="s">
        <v>155</v>
      </c>
      <c r="F3181" s="1">
        <v>42870</v>
      </c>
      <c r="I3181" t="str">
        <f>IF(COUNTIF(Products!$A$2:$A$8,C3181)=0,C3181,"")</f>
        <v/>
      </c>
      <c r="J3181">
        <f>IF(OR(E3181="Prospecting",E3181="Engaging"),VLOOKUP(C3181,Products!$A$2:$C$8,3,FALSE),0)</f>
        <v>3393</v>
      </c>
    </row>
    <row r="3182" spans="1:10" x14ac:dyDescent="0.25">
      <c r="A3182" t="s">
        <v>3349</v>
      </c>
      <c r="B3182" t="s">
        <v>207</v>
      </c>
      <c r="C3182" t="s">
        <v>127</v>
      </c>
      <c r="D3182" t="s">
        <v>19</v>
      </c>
      <c r="E3182" t="s">
        <v>138</v>
      </c>
      <c r="F3182" s="1">
        <v>42870</v>
      </c>
      <c r="G3182" s="1">
        <v>42913</v>
      </c>
      <c r="H3182">
        <v>1078</v>
      </c>
      <c r="I3182" t="str">
        <f>IF(COUNTIF(Products!$A$2:$A$8,C3182)=0,C3182,"")</f>
        <v/>
      </c>
      <c r="J3182">
        <f>IF(OR(E3182="Prospecting",E3182="Engaging"),VLOOKUP(C3182,Products!$A$2:$C$8,3,FALSE),0)</f>
        <v>0</v>
      </c>
    </row>
    <row r="3183" spans="1:10" x14ac:dyDescent="0.25">
      <c r="A3183" t="s">
        <v>3350</v>
      </c>
      <c r="B3183" t="s">
        <v>207</v>
      </c>
      <c r="C3183" t="s">
        <v>122</v>
      </c>
      <c r="D3183" t="s">
        <v>98</v>
      </c>
      <c r="E3183" t="s">
        <v>138</v>
      </c>
      <c r="F3183" s="1">
        <v>42870</v>
      </c>
      <c r="G3183" s="1">
        <v>42878</v>
      </c>
      <c r="H3183">
        <v>3717</v>
      </c>
      <c r="I3183" t="str">
        <f>IF(COUNTIF(Products!$A$2:$A$8,C3183)=0,C3183,"")</f>
        <v/>
      </c>
      <c r="J3183">
        <f>IF(OR(E3183="Prospecting",E3183="Engaging"),VLOOKUP(C3183,Products!$A$2:$C$8,3,FALSE),0)</f>
        <v>0</v>
      </c>
    </row>
    <row r="3184" spans="1:10" x14ac:dyDescent="0.25">
      <c r="A3184" t="s">
        <v>3351</v>
      </c>
      <c r="B3184" t="s">
        <v>264</v>
      </c>
      <c r="C3184" t="s">
        <v>127</v>
      </c>
      <c r="D3184" t="s">
        <v>61</v>
      </c>
      <c r="E3184" t="s">
        <v>138</v>
      </c>
      <c r="F3184" s="1">
        <v>42870</v>
      </c>
      <c r="G3184" s="1">
        <v>42885</v>
      </c>
      <c r="H3184">
        <v>1129</v>
      </c>
      <c r="I3184" t="str">
        <f>IF(COUNTIF(Products!$A$2:$A$8,C3184)=0,C3184,"")</f>
        <v/>
      </c>
      <c r="J3184">
        <f>IF(OR(E3184="Prospecting",E3184="Engaging"),VLOOKUP(C3184,Products!$A$2:$C$8,3,FALSE),0)</f>
        <v>0</v>
      </c>
    </row>
    <row r="3185" spans="1:10" x14ac:dyDescent="0.25">
      <c r="A3185" t="s">
        <v>3352</v>
      </c>
      <c r="B3185" t="s">
        <v>171</v>
      </c>
      <c r="C3185" t="s">
        <v>126</v>
      </c>
      <c r="D3185" t="s">
        <v>71</v>
      </c>
      <c r="E3185" t="s">
        <v>155</v>
      </c>
      <c r="F3185" s="1">
        <v>42870</v>
      </c>
      <c r="I3185" t="str">
        <f>IF(COUNTIF(Products!$A$2:$A$8,C3185)=0,C3185,"")</f>
        <v/>
      </c>
      <c r="J3185">
        <f>IF(OR(E3185="Prospecting",E3185="Engaging"),VLOOKUP(C3185,Products!$A$2:$C$8,3,FALSE),0)</f>
        <v>5482</v>
      </c>
    </row>
    <row r="3186" spans="1:10" x14ac:dyDescent="0.25">
      <c r="A3186" t="s">
        <v>3353</v>
      </c>
      <c r="B3186" t="s">
        <v>171</v>
      </c>
      <c r="C3186" t="s">
        <v>120</v>
      </c>
      <c r="D3186" t="s">
        <v>105</v>
      </c>
      <c r="E3186" t="s">
        <v>138</v>
      </c>
      <c r="F3186" s="1">
        <v>42870</v>
      </c>
      <c r="G3186" s="1">
        <v>42993</v>
      </c>
      <c r="H3186">
        <v>536</v>
      </c>
      <c r="I3186" t="str">
        <f>IF(COUNTIF(Products!$A$2:$A$8,C3186)=0,C3186,"")</f>
        <v/>
      </c>
      <c r="J3186">
        <f>IF(OR(E3186="Prospecting",E3186="Engaging"),VLOOKUP(C3186,Products!$A$2:$C$8,3,FALSE),0)</f>
        <v>0</v>
      </c>
    </row>
    <row r="3187" spans="1:10" x14ac:dyDescent="0.25">
      <c r="A3187" t="s">
        <v>3354</v>
      </c>
      <c r="B3187" t="s">
        <v>171</v>
      </c>
      <c r="C3187" t="s">
        <v>122</v>
      </c>
      <c r="D3187" t="s">
        <v>7</v>
      </c>
      <c r="E3187" t="s">
        <v>138</v>
      </c>
      <c r="F3187" s="1">
        <v>42870</v>
      </c>
      <c r="G3187" s="1">
        <v>42911</v>
      </c>
      <c r="H3187">
        <v>5857</v>
      </c>
      <c r="I3187" t="str">
        <f>IF(COUNTIF(Products!$A$2:$A$8,C3187)=0,C3187,"")</f>
        <v/>
      </c>
      <c r="J3187">
        <f>IF(OR(E3187="Prospecting",E3187="Engaging"),VLOOKUP(C3187,Products!$A$2:$C$8,3,FALSE),0)</f>
        <v>0</v>
      </c>
    </row>
    <row r="3188" spans="1:10" x14ac:dyDescent="0.25">
      <c r="A3188" t="s">
        <v>3355</v>
      </c>
      <c r="B3188" t="s">
        <v>173</v>
      </c>
      <c r="C3188" t="s">
        <v>123</v>
      </c>
      <c r="E3188" t="s">
        <v>155</v>
      </c>
      <c r="F3188" s="1">
        <v>42870</v>
      </c>
      <c r="I3188" t="str">
        <f>IF(COUNTIF(Products!$A$2:$A$8,C3188)=0,C3188,"")</f>
        <v/>
      </c>
      <c r="J3188">
        <f>IF(OR(E3188="Prospecting",E3188="Engaging"),VLOOKUP(C3188,Products!$A$2:$C$8,3,FALSE),0)</f>
        <v>55</v>
      </c>
    </row>
    <row r="3189" spans="1:10" x14ac:dyDescent="0.25">
      <c r="A3189" t="s">
        <v>3356</v>
      </c>
      <c r="B3189" t="s">
        <v>164</v>
      </c>
      <c r="C3189" t="s">
        <v>123</v>
      </c>
      <c r="D3189" t="s">
        <v>17</v>
      </c>
      <c r="E3189" t="s">
        <v>159</v>
      </c>
      <c r="F3189" s="1">
        <v>42870</v>
      </c>
      <c r="G3189" s="1">
        <v>42986</v>
      </c>
      <c r="H3189">
        <v>0</v>
      </c>
      <c r="I3189" t="str">
        <f>IF(COUNTIF(Products!$A$2:$A$8,C3189)=0,C3189,"")</f>
        <v/>
      </c>
      <c r="J3189">
        <f>IF(OR(E3189="Prospecting",E3189="Engaging"),VLOOKUP(C3189,Products!$A$2:$C$8,3,FALSE),0)</f>
        <v>0</v>
      </c>
    </row>
    <row r="3190" spans="1:10" x14ac:dyDescent="0.25">
      <c r="A3190" t="s">
        <v>3357</v>
      </c>
      <c r="B3190" t="s">
        <v>191</v>
      </c>
      <c r="C3190" t="s">
        <v>120</v>
      </c>
      <c r="E3190" t="s">
        <v>155</v>
      </c>
      <c r="F3190" s="1">
        <v>42870</v>
      </c>
      <c r="I3190" t="str">
        <f>IF(COUNTIF(Products!$A$2:$A$8,C3190)=0,C3190,"")</f>
        <v/>
      </c>
      <c r="J3190">
        <f>IF(OR(E3190="Prospecting",E3190="Engaging"),VLOOKUP(C3190,Products!$A$2:$C$8,3,FALSE),0)</f>
        <v>550</v>
      </c>
    </row>
    <row r="3191" spans="1:10" x14ac:dyDescent="0.25">
      <c r="A3191" t="s">
        <v>3358</v>
      </c>
      <c r="B3191" t="s">
        <v>191</v>
      </c>
      <c r="C3191" t="s">
        <v>120</v>
      </c>
      <c r="D3191" t="s">
        <v>109</v>
      </c>
      <c r="E3191" t="s">
        <v>138</v>
      </c>
      <c r="F3191" s="1">
        <v>42870</v>
      </c>
      <c r="G3191" s="1">
        <v>42880</v>
      </c>
      <c r="H3191">
        <v>549</v>
      </c>
      <c r="I3191" t="str">
        <f>IF(COUNTIF(Products!$A$2:$A$8,C3191)=0,C3191,"")</f>
        <v/>
      </c>
      <c r="J3191">
        <f>IF(OR(E3191="Prospecting",E3191="Engaging"),VLOOKUP(C3191,Products!$A$2:$C$8,3,FALSE),0)</f>
        <v>0</v>
      </c>
    </row>
    <row r="3192" spans="1:10" x14ac:dyDescent="0.25">
      <c r="A3192" t="s">
        <v>3359</v>
      </c>
      <c r="B3192" t="s">
        <v>217</v>
      </c>
      <c r="C3192" t="s">
        <v>123</v>
      </c>
      <c r="D3192" t="s">
        <v>96</v>
      </c>
      <c r="E3192" t="s">
        <v>138</v>
      </c>
      <c r="F3192" s="1">
        <v>42870</v>
      </c>
      <c r="G3192" s="1">
        <v>42985</v>
      </c>
      <c r="H3192">
        <v>61</v>
      </c>
      <c r="I3192" t="str">
        <f>IF(COUNTIF(Products!$A$2:$A$8,C3192)=0,C3192,"")</f>
        <v/>
      </c>
      <c r="J3192">
        <f>IF(OR(E3192="Prospecting",E3192="Engaging"),VLOOKUP(C3192,Products!$A$2:$C$8,3,FALSE),0)</f>
        <v>0</v>
      </c>
    </row>
    <row r="3193" spans="1:10" x14ac:dyDescent="0.25">
      <c r="A3193" t="s">
        <v>3360</v>
      </c>
      <c r="B3193" t="s">
        <v>150</v>
      </c>
      <c r="C3193" t="s">
        <v>126</v>
      </c>
      <c r="D3193" t="s">
        <v>90</v>
      </c>
      <c r="E3193" t="s">
        <v>159</v>
      </c>
      <c r="F3193" s="1">
        <v>42870</v>
      </c>
      <c r="G3193" s="1">
        <v>42954</v>
      </c>
      <c r="H3193">
        <v>0</v>
      </c>
      <c r="I3193" t="str">
        <f>IF(COUNTIF(Products!$A$2:$A$8,C3193)=0,C3193,"")</f>
        <v/>
      </c>
      <c r="J3193">
        <f>IF(OR(E3193="Prospecting",E3193="Engaging"),VLOOKUP(C3193,Products!$A$2:$C$8,3,FALSE),0)</f>
        <v>0</v>
      </c>
    </row>
    <row r="3194" spans="1:10" x14ac:dyDescent="0.25">
      <c r="A3194" t="s">
        <v>3361</v>
      </c>
      <c r="B3194" t="s">
        <v>205</v>
      </c>
      <c r="C3194" t="s">
        <v>123</v>
      </c>
      <c r="D3194" t="s">
        <v>103</v>
      </c>
      <c r="E3194" t="s">
        <v>159</v>
      </c>
      <c r="F3194" s="1">
        <v>42870</v>
      </c>
      <c r="G3194" s="1">
        <v>42957</v>
      </c>
      <c r="H3194">
        <v>0</v>
      </c>
      <c r="I3194" t="str">
        <f>IF(COUNTIF(Products!$A$2:$A$8,C3194)=0,C3194,"")</f>
        <v/>
      </c>
      <c r="J3194">
        <f>IF(OR(E3194="Prospecting",E3194="Engaging"),VLOOKUP(C3194,Products!$A$2:$C$8,3,FALSE),0)</f>
        <v>0</v>
      </c>
    </row>
    <row r="3195" spans="1:10" x14ac:dyDescent="0.25">
      <c r="A3195" t="s">
        <v>3362</v>
      </c>
      <c r="B3195" t="s">
        <v>205</v>
      </c>
      <c r="C3195" t="s">
        <v>125</v>
      </c>
      <c r="D3195" t="s">
        <v>22</v>
      </c>
      <c r="E3195" t="s">
        <v>159</v>
      </c>
      <c r="F3195" s="1">
        <v>42870</v>
      </c>
      <c r="G3195" s="1">
        <v>42968</v>
      </c>
      <c r="H3195">
        <v>0</v>
      </c>
      <c r="I3195" t="str">
        <f>IF(COUNTIF(Products!$A$2:$A$8,C3195)=0,C3195,"")</f>
        <v/>
      </c>
      <c r="J3195">
        <f>IF(OR(E3195="Prospecting",E3195="Engaging"),VLOOKUP(C3195,Products!$A$2:$C$8,3,FALSE),0)</f>
        <v>0</v>
      </c>
    </row>
    <row r="3196" spans="1:10" x14ac:dyDescent="0.25">
      <c r="A3196" t="s">
        <v>3363</v>
      </c>
      <c r="B3196" t="s">
        <v>162</v>
      </c>
      <c r="C3196" t="s">
        <v>120</v>
      </c>
      <c r="D3196" t="s">
        <v>38</v>
      </c>
      <c r="E3196" t="s">
        <v>159</v>
      </c>
      <c r="F3196" s="1">
        <v>42870</v>
      </c>
      <c r="G3196" s="1">
        <v>42960</v>
      </c>
      <c r="H3196">
        <v>0</v>
      </c>
      <c r="I3196" t="str">
        <f>IF(COUNTIF(Products!$A$2:$A$8,C3196)=0,C3196,"")</f>
        <v/>
      </c>
      <c r="J3196">
        <f>IF(OR(E3196="Prospecting",E3196="Engaging"),VLOOKUP(C3196,Products!$A$2:$C$8,3,FALSE),0)</f>
        <v>0</v>
      </c>
    </row>
    <row r="3197" spans="1:10" x14ac:dyDescent="0.25">
      <c r="A3197" t="s">
        <v>3364</v>
      </c>
      <c r="B3197" t="s">
        <v>162</v>
      </c>
      <c r="C3197" t="s">
        <v>127</v>
      </c>
      <c r="D3197" t="s">
        <v>17</v>
      </c>
      <c r="E3197" t="s">
        <v>138</v>
      </c>
      <c r="F3197" s="1">
        <v>42870</v>
      </c>
      <c r="G3197" s="1">
        <v>42988</v>
      </c>
      <c r="H3197">
        <v>1101</v>
      </c>
      <c r="I3197" t="str">
        <f>IF(COUNTIF(Products!$A$2:$A$8,C3197)=0,C3197,"")</f>
        <v/>
      </c>
      <c r="J3197">
        <f>IF(OR(E3197="Prospecting",E3197="Engaging"),VLOOKUP(C3197,Products!$A$2:$C$8,3,FALSE),0)</f>
        <v>0</v>
      </c>
    </row>
    <row r="3198" spans="1:10" x14ac:dyDescent="0.25">
      <c r="A3198" t="s">
        <v>3365</v>
      </c>
      <c r="B3198" t="s">
        <v>152</v>
      </c>
      <c r="C3198" t="s">
        <v>120</v>
      </c>
      <c r="D3198" t="s">
        <v>32</v>
      </c>
      <c r="E3198" t="s">
        <v>159</v>
      </c>
      <c r="F3198" s="1">
        <v>42870</v>
      </c>
      <c r="G3198" s="1">
        <v>42958</v>
      </c>
      <c r="H3198">
        <v>0</v>
      </c>
      <c r="I3198" t="str">
        <f>IF(COUNTIF(Products!$A$2:$A$8,C3198)=0,C3198,"")</f>
        <v/>
      </c>
      <c r="J3198">
        <f>IF(OR(E3198="Prospecting",E3198="Engaging"),VLOOKUP(C3198,Products!$A$2:$C$8,3,FALSE),0)</f>
        <v>0</v>
      </c>
    </row>
    <row r="3199" spans="1:10" x14ac:dyDescent="0.25">
      <c r="A3199" t="s">
        <v>3366</v>
      </c>
      <c r="B3199" t="s">
        <v>152</v>
      </c>
      <c r="C3199" t="s">
        <v>120</v>
      </c>
      <c r="D3199" t="s">
        <v>36</v>
      </c>
      <c r="E3199" t="s">
        <v>138</v>
      </c>
      <c r="F3199" s="1">
        <v>42870</v>
      </c>
      <c r="G3199" s="1">
        <v>42913</v>
      </c>
      <c r="H3199">
        <v>603</v>
      </c>
      <c r="I3199" t="str">
        <f>IF(COUNTIF(Products!$A$2:$A$8,C3199)=0,C3199,"")</f>
        <v/>
      </c>
      <c r="J3199">
        <f>IF(OR(E3199="Prospecting",E3199="Engaging"),VLOOKUP(C3199,Products!$A$2:$C$8,3,FALSE),0)</f>
        <v>0</v>
      </c>
    </row>
    <row r="3200" spans="1:10" x14ac:dyDescent="0.25">
      <c r="A3200" t="s">
        <v>3367</v>
      </c>
      <c r="B3200" t="s">
        <v>152</v>
      </c>
      <c r="C3200" t="s">
        <v>120</v>
      </c>
      <c r="D3200" t="s">
        <v>32</v>
      </c>
      <c r="E3200" t="s">
        <v>138</v>
      </c>
      <c r="F3200" s="1">
        <v>42870</v>
      </c>
      <c r="G3200" s="1">
        <v>42983</v>
      </c>
      <c r="H3200">
        <v>545</v>
      </c>
      <c r="I3200" t="str">
        <f>IF(COUNTIF(Products!$A$2:$A$8,C3200)=0,C3200,"")</f>
        <v/>
      </c>
      <c r="J3200">
        <f>IF(OR(E3200="Prospecting",E3200="Engaging"),VLOOKUP(C3200,Products!$A$2:$C$8,3,FALSE),0)</f>
        <v>0</v>
      </c>
    </row>
    <row r="3201" spans="1:10" x14ac:dyDescent="0.25">
      <c r="A3201" t="s">
        <v>3368</v>
      </c>
      <c r="B3201" t="s">
        <v>193</v>
      </c>
      <c r="C3201" t="s">
        <v>125</v>
      </c>
      <c r="D3201" t="s">
        <v>106</v>
      </c>
      <c r="E3201" t="s">
        <v>159</v>
      </c>
      <c r="F3201" s="1">
        <v>42870</v>
      </c>
      <c r="G3201" s="1">
        <v>42885</v>
      </c>
      <c r="H3201">
        <v>0</v>
      </c>
      <c r="I3201" t="str">
        <f>IF(COUNTIF(Products!$A$2:$A$8,C3201)=0,C3201,"")</f>
        <v/>
      </c>
      <c r="J3201">
        <f>IF(OR(E3201="Prospecting",E3201="Engaging"),VLOOKUP(C3201,Products!$A$2:$C$8,3,FALSE),0)</f>
        <v>0</v>
      </c>
    </row>
    <row r="3202" spans="1:10" x14ac:dyDescent="0.25">
      <c r="A3202" t="s">
        <v>3369</v>
      </c>
      <c r="B3202" t="s">
        <v>166</v>
      </c>
      <c r="C3202" t="s">
        <v>125</v>
      </c>
      <c r="E3202" t="s">
        <v>155</v>
      </c>
      <c r="F3202" s="1">
        <v>42870</v>
      </c>
      <c r="I3202" t="str">
        <f>IF(COUNTIF(Products!$A$2:$A$8,C3202)=0,C3202,"")</f>
        <v/>
      </c>
      <c r="J3202">
        <f>IF(OR(E3202="Prospecting",E3202="Engaging"),VLOOKUP(C3202,Products!$A$2:$C$8,3,FALSE),0)</f>
        <v>3393</v>
      </c>
    </row>
    <row r="3203" spans="1:10" x14ac:dyDescent="0.25">
      <c r="A3203" t="s">
        <v>3370</v>
      </c>
      <c r="B3203" t="s">
        <v>187</v>
      </c>
      <c r="C3203" t="s">
        <v>126</v>
      </c>
      <c r="D3203" t="s">
        <v>110</v>
      </c>
      <c r="E3203" t="s">
        <v>159</v>
      </c>
      <c r="F3203" s="1">
        <v>42870</v>
      </c>
      <c r="G3203" s="1">
        <v>42881</v>
      </c>
      <c r="H3203">
        <v>0</v>
      </c>
      <c r="I3203" t="str">
        <f>IF(COUNTIF(Products!$A$2:$A$8,C3203)=0,C3203,"")</f>
        <v/>
      </c>
      <c r="J3203">
        <f>IF(OR(E3203="Prospecting",E3203="Engaging"),VLOOKUP(C3203,Products!$A$2:$C$8,3,FALSE),0)</f>
        <v>0</v>
      </c>
    </row>
    <row r="3204" spans="1:10" x14ac:dyDescent="0.25">
      <c r="A3204" t="s">
        <v>3371</v>
      </c>
      <c r="B3204" t="s">
        <v>148</v>
      </c>
      <c r="C3204" t="s">
        <v>127</v>
      </c>
      <c r="D3204" t="s">
        <v>38</v>
      </c>
      <c r="E3204" t="s">
        <v>138</v>
      </c>
      <c r="F3204" s="1">
        <v>42870</v>
      </c>
      <c r="G3204" s="1">
        <v>42972</v>
      </c>
      <c r="H3204">
        <v>959</v>
      </c>
      <c r="I3204" t="str">
        <f>IF(COUNTIF(Products!$A$2:$A$8,C3204)=0,C3204,"")</f>
        <v/>
      </c>
      <c r="J3204">
        <f>IF(OR(E3204="Prospecting",E3204="Engaging"),VLOOKUP(C3204,Products!$A$2:$C$8,3,FALSE),0)</f>
        <v>0</v>
      </c>
    </row>
    <row r="3205" spans="1:10" x14ac:dyDescent="0.25">
      <c r="A3205" t="s">
        <v>3372</v>
      </c>
      <c r="B3205" t="s">
        <v>148</v>
      </c>
      <c r="C3205" t="s">
        <v>127</v>
      </c>
      <c r="D3205" t="s">
        <v>69</v>
      </c>
      <c r="E3205" t="s">
        <v>138</v>
      </c>
      <c r="F3205" s="1">
        <v>42870</v>
      </c>
      <c r="G3205" s="1">
        <v>42889</v>
      </c>
      <c r="H3205">
        <v>1208</v>
      </c>
      <c r="I3205" t="str">
        <f>IF(COUNTIF(Products!$A$2:$A$8,C3205)=0,C3205,"")</f>
        <v/>
      </c>
      <c r="J3205">
        <f>IF(OR(E3205="Prospecting",E3205="Engaging"),VLOOKUP(C3205,Products!$A$2:$C$8,3,FALSE),0)</f>
        <v>0</v>
      </c>
    </row>
    <row r="3206" spans="1:10" x14ac:dyDescent="0.25">
      <c r="A3206" t="s">
        <v>3373</v>
      </c>
      <c r="B3206" t="s">
        <v>148</v>
      </c>
      <c r="C3206" t="s">
        <v>122</v>
      </c>
      <c r="D3206" t="s">
        <v>56</v>
      </c>
      <c r="E3206" t="s">
        <v>138</v>
      </c>
      <c r="F3206" s="1">
        <v>42870</v>
      </c>
      <c r="G3206" s="1">
        <v>42966</v>
      </c>
      <c r="H3206">
        <v>4246</v>
      </c>
      <c r="I3206" t="str">
        <f>IF(COUNTIF(Products!$A$2:$A$8,C3206)=0,C3206,"")</f>
        <v/>
      </c>
      <c r="J3206">
        <f>IF(OR(E3206="Prospecting",E3206="Engaging"),VLOOKUP(C3206,Products!$A$2:$C$8,3,FALSE),0)</f>
        <v>0</v>
      </c>
    </row>
    <row r="3207" spans="1:10" x14ac:dyDescent="0.25">
      <c r="A3207" t="s">
        <v>3374</v>
      </c>
      <c r="B3207" t="s">
        <v>177</v>
      </c>
      <c r="C3207" t="s">
        <v>125</v>
      </c>
      <c r="D3207" t="s">
        <v>115</v>
      </c>
      <c r="E3207" t="s">
        <v>138</v>
      </c>
      <c r="F3207" s="1">
        <v>42870</v>
      </c>
      <c r="G3207" s="1">
        <v>43004</v>
      </c>
      <c r="H3207">
        <v>3061</v>
      </c>
      <c r="I3207" t="str">
        <f>IF(COUNTIF(Products!$A$2:$A$8,C3207)=0,C3207,"")</f>
        <v/>
      </c>
      <c r="J3207">
        <f>IF(OR(E3207="Prospecting",E3207="Engaging"),VLOOKUP(C3207,Products!$A$2:$C$8,3,FALSE),0)</f>
        <v>0</v>
      </c>
    </row>
    <row r="3208" spans="1:10" x14ac:dyDescent="0.25">
      <c r="A3208" t="s">
        <v>3375</v>
      </c>
      <c r="B3208" t="s">
        <v>144</v>
      </c>
      <c r="C3208" t="s">
        <v>122</v>
      </c>
      <c r="D3208" t="s">
        <v>87</v>
      </c>
      <c r="E3208" t="s">
        <v>159</v>
      </c>
      <c r="F3208" s="1">
        <v>42870</v>
      </c>
      <c r="G3208" s="1">
        <v>42907</v>
      </c>
      <c r="H3208">
        <v>0</v>
      </c>
      <c r="I3208" t="str">
        <f>IF(COUNTIF(Products!$A$2:$A$8,C3208)=0,C3208,"")</f>
        <v/>
      </c>
      <c r="J3208">
        <f>IF(OR(E3208="Prospecting",E3208="Engaging"),VLOOKUP(C3208,Products!$A$2:$C$8,3,FALSE),0)</f>
        <v>0</v>
      </c>
    </row>
    <row r="3209" spans="1:10" x14ac:dyDescent="0.25">
      <c r="A3209" t="s">
        <v>3376</v>
      </c>
      <c r="B3209" t="s">
        <v>207</v>
      </c>
      <c r="C3209" t="s">
        <v>122</v>
      </c>
      <c r="D3209" t="s">
        <v>27</v>
      </c>
      <c r="E3209" t="s">
        <v>159</v>
      </c>
      <c r="F3209" s="1">
        <v>42871</v>
      </c>
      <c r="G3209" s="1">
        <v>42960</v>
      </c>
      <c r="H3209">
        <v>0</v>
      </c>
      <c r="I3209" t="str">
        <f>IF(COUNTIF(Products!$A$2:$A$8,C3209)=0,C3209,"")</f>
        <v/>
      </c>
      <c r="J3209">
        <f>IF(OR(E3209="Prospecting",E3209="Engaging"),VLOOKUP(C3209,Products!$A$2:$C$8,3,FALSE),0)</f>
        <v>0</v>
      </c>
    </row>
    <row r="3210" spans="1:10" x14ac:dyDescent="0.25">
      <c r="A3210" t="s">
        <v>3377</v>
      </c>
      <c r="B3210" t="s">
        <v>239</v>
      </c>
      <c r="C3210" t="s">
        <v>125</v>
      </c>
      <c r="E3210" t="s">
        <v>155</v>
      </c>
      <c r="F3210" s="1">
        <v>42871</v>
      </c>
      <c r="I3210" t="str">
        <f>IF(COUNTIF(Products!$A$2:$A$8,C3210)=0,C3210,"")</f>
        <v/>
      </c>
      <c r="J3210">
        <f>IF(OR(E3210="Prospecting",E3210="Engaging"),VLOOKUP(C3210,Products!$A$2:$C$8,3,FALSE),0)</f>
        <v>3393</v>
      </c>
    </row>
    <row r="3211" spans="1:10" x14ac:dyDescent="0.25">
      <c r="A3211" t="s">
        <v>3378</v>
      </c>
      <c r="B3211" t="s">
        <v>224</v>
      </c>
      <c r="C3211" t="s">
        <v>125</v>
      </c>
      <c r="D3211" t="s">
        <v>25</v>
      </c>
      <c r="E3211" t="s">
        <v>138</v>
      </c>
      <c r="F3211" s="1">
        <v>42871</v>
      </c>
      <c r="G3211" s="1">
        <v>42960</v>
      </c>
      <c r="H3211">
        <v>3351</v>
      </c>
      <c r="I3211" t="str">
        <f>IF(COUNTIF(Products!$A$2:$A$8,C3211)=0,C3211,"")</f>
        <v/>
      </c>
      <c r="J3211">
        <f>IF(OR(E3211="Prospecting",E3211="Engaging"),VLOOKUP(C3211,Products!$A$2:$C$8,3,FALSE),0)</f>
        <v>0</v>
      </c>
    </row>
    <row r="3212" spans="1:10" x14ac:dyDescent="0.25">
      <c r="A3212" t="s">
        <v>3379</v>
      </c>
      <c r="B3212" t="s">
        <v>173</v>
      </c>
      <c r="C3212" t="s">
        <v>120</v>
      </c>
      <c r="E3212" t="s">
        <v>155</v>
      </c>
      <c r="F3212" s="1">
        <v>42871</v>
      </c>
      <c r="I3212" t="str">
        <f>IF(COUNTIF(Products!$A$2:$A$8,C3212)=0,C3212,"")</f>
        <v/>
      </c>
      <c r="J3212">
        <f>IF(OR(E3212="Prospecting",E3212="Engaging"),VLOOKUP(C3212,Products!$A$2:$C$8,3,FALSE),0)</f>
        <v>550</v>
      </c>
    </row>
    <row r="3213" spans="1:10" x14ac:dyDescent="0.25">
      <c r="A3213" t="s">
        <v>3380</v>
      </c>
      <c r="B3213" t="s">
        <v>164</v>
      </c>
      <c r="C3213" t="s">
        <v>125</v>
      </c>
      <c r="D3213" t="s">
        <v>61</v>
      </c>
      <c r="E3213" t="s">
        <v>138</v>
      </c>
      <c r="F3213" s="1">
        <v>42871</v>
      </c>
      <c r="G3213" s="1">
        <v>42885</v>
      </c>
      <c r="H3213">
        <v>3153</v>
      </c>
      <c r="I3213" t="str">
        <f>IF(COUNTIF(Products!$A$2:$A$8,C3213)=0,C3213,"")</f>
        <v/>
      </c>
      <c r="J3213">
        <f>IF(OR(E3213="Prospecting",E3213="Engaging"),VLOOKUP(C3213,Products!$A$2:$C$8,3,FALSE),0)</f>
        <v>0</v>
      </c>
    </row>
    <row r="3214" spans="1:10" x14ac:dyDescent="0.25">
      <c r="A3214" t="s">
        <v>3381</v>
      </c>
      <c r="B3214" t="s">
        <v>154</v>
      </c>
      <c r="C3214" t="s">
        <v>127</v>
      </c>
      <c r="D3214" t="s">
        <v>69</v>
      </c>
      <c r="E3214" t="s">
        <v>159</v>
      </c>
      <c r="F3214" s="1">
        <v>42871</v>
      </c>
      <c r="G3214" s="1">
        <v>42875</v>
      </c>
      <c r="H3214">
        <v>0</v>
      </c>
      <c r="I3214" t="str">
        <f>IF(COUNTIF(Products!$A$2:$A$8,C3214)=0,C3214,"")</f>
        <v/>
      </c>
      <c r="J3214">
        <f>IF(OR(E3214="Prospecting",E3214="Engaging"),VLOOKUP(C3214,Products!$A$2:$C$8,3,FALSE),0)</f>
        <v>0</v>
      </c>
    </row>
    <row r="3215" spans="1:10" x14ac:dyDescent="0.25">
      <c r="A3215" t="s">
        <v>3382</v>
      </c>
      <c r="B3215" t="s">
        <v>154</v>
      </c>
      <c r="C3215" t="s">
        <v>126</v>
      </c>
      <c r="D3215" t="s">
        <v>66</v>
      </c>
      <c r="E3215" t="s">
        <v>159</v>
      </c>
      <c r="F3215" s="1">
        <v>42871</v>
      </c>
      <c r="G3215" s="1">
        <v>42882</v>
      </c>
      <c r="H3215">
        <v>0</v>
      </c>
      <c r="I3215" t="str">
        <f>IF(COUNTIF(Products!$A$2:$A$8,C3215)=0,C3215,"")</f>
        <v/>
      </c>
      <c r="J3215">
        <f>IF(OR(E3215="Prospecting",E3215="Engaging"),VLOOKUP(C3215,Products!$A$2:$C$8,3,FALSE),0)</f>
        <v>0</v>
      </c>
    </row>
    <row r="3216" spans="1:10" x14ac:dyDescent="0.25">
      <c r="A3216" t="s">
        <v>3383</v>
      </c>
      <c r="B3216" t="s">
        <v>180</v>
      </c>
      <c r="C3216" t="s">
        <v>120</v>
      </c>
      <c r="D3216" t="s">
        <v>61</v>
      </c>
      <c r="E3216" t="s">
        <v>159</v>
      </c>
      <c r="F3216" s="1">
        <v>42871</v>
      </c>
      <c r="G3216" s="1">
        <v>42969</v>
      </c>
      <c r="H3216">
        <v>0</v>
      </c>
      <c r="I3216" t="str">
        <f>IF(COUNTIF(Products!$A$2:$A$8,C3216)=0,C3216,"")</f>
        <v/>
      </c>
      <c r="J3216">
        <f>IF(OR(E3216="Prospecting",E3216="Engaging"),VLOOKUP(C3216,Products!$A$2:$C$8,3,FALSE),0)</f>
        <v>0</v>
      </c>
    </row>
    <row r="3217" spans="1:10" x14ac:dyDescent="0.25">
      <c r="A3217" t="s">
        <v>3384</v>
      </c>
      <c r="B3217" t="s">
        <v>180</v>
      </c>
      <c r="C3217" t="s">
        <v>120</v>
      </c>
      <c r="D3217" t="s">
        <v>61</v>
      </c>
      <c r="E3217" t="s">
        <v>138</v>
      </c>
      <c r="F3217" s="1">
        <v>42871</v>
      </c>
      <c r="G3217" s="1">
        <v>42892</v>
      </c>
      <c r="H3217">
        <v>533</v>
      </c>
      <c r="I3217" t="str">
        <f>IF(COUNTIF(Products!$A$2:$A$8,C3217)=0,C3217,"")</f>
        <v/>
      </c>
      <c r="J3217">
        <f>IF(OR(E3217="Prospecting",E3217="Engaging"),VLOOKUP(C3217,Products!$A$2:$C$8,3,FALSE),0)</f>
        <v>0</v>
      </c>
    </row>
    <row r="3218" spans="1:10" x14ac:dyDescent="0.25">
      <c r="A3218" t="s">
        <v>3385</v>
      </c>
      <c r="B3218" t="s">
        <v>217</v>
      </c>
      <c r="C3218" t="s">
        <v>120</v>
      </c>
      <c r="D3218" t="s">
        <v>14</v>
      </c>
      <c r="E3218" t="s">
        <v>159</v>
      </c>
      <c r="F3218" s="1">
        <v>42871</v>
      </c>
      <c r="G3218" s="1">
        <v>42971</v>
      </c>
      <c r="H3218">
        <v>0</v>
      </c>
      <c r="I3218" t="str">
        <f>IF(COUNTIF(Products!$A$2:$A$8,C3218)=0,C3218,"")</f>
        <v/>
      </c>
      <c r="J3218">
        <f>IF(OR(E3218="Prospecting",E3218="Engaging"),VLOOKUP(C3218,Products!$A$2:$C$8,3,FALSE),0)</f>
        <v>0</v>
      </c>
    </row>
    <row r="3219" spans="1:10" x14ac:dyDescent="0.25">
      <c r="A3219" t="s">
        <v>3386</v>
      </c>
      <c r="B3219" t="s">
        <v>217</v>
      </c>
      <c r="C3219" t="s">
        <v>123</v>
      </c>
      <c r="D3219" t="s">
        <v>51</v>
      </c>
      <c r="E3219" t="s">
        <v>138</v>
      </c>
      <c r="F3219" s="1">
        <v>42871</v>
      </c>
      <c r="G3219" s="1">
        <v>42887</v>
      </c>
      <c r="H3219">
        <v>56</v>
      </c>
      <c r="I3219" t="str">
        <f>IF(COUNTIF(Products!$A$2:$A$8,C3219)=0,C3219,"")</f>
        <v/>
      </c>
      <c r="J3219">
        <f>IF(OR(E3219="Prospecting",E3219="Engaging"),VLOOKUP(C3219,Products!$A$2:$C$8,3,FALSE),0)</f>
        <v>0</v>
      </c>
    </row>
    <row r="3220" spans="1:10" x14ac:dyDescent="0.25">
      <c r="A3220" t="s">
        <v>3387</v>
      </c>
      <c r="B3220" t="s">
        <v>205</v>
      </c>
      <c r="C3220" t="s">
        <v>127</v>
      </c>
      <c r="D3220" t="s">
        <v>95</v>
      </c>
      <c r="E3220" t="s">
        <v>159</v>
      </c>
      <c r="F3220" s="1">
        <v>42871</v>
      </c>
      <c r="G3220" s="1">
        <v>42879</v>
      </c>
      <c r="H3220">
        <v>0</v>
      </c>
      <c r="I3220" t="str">
        <f>IF(COUNTIF(Products!$A$2:$A$8,C3220)=0,C3220,"")</f>
        <v/>
      </c>
      <c r="J3220">
        <f>IF(OR(E3220="Prospecting",E3220="Engaging"),VLOOKUP(C3220,Products!$A$2:$C$8,3,FALSE),0)</f>
        <v>0</v>
      </c>
    </row>
    <row r="3221" spans="1:10" x14ac:dyDescent="0.25">
      <c r="A3221" t="s">
        <v>3388</v>
      </c>
      <c r="B3221" t="s">
        <v>162</v>
      </c>
      <c r="C3221" t="s">
        <v>120</v>
      </c>
      <c r="D3221" t="s">
        <v>44</v>
      </c>
      <c r="E3221" t="s">
        <v>138</v>
      </c>
      <c r="F3221" s="1">
        <v>42871</v>
      </c>
      <c r="G3221" s="1">
        <v>42951</v>
      </c>
      <c r="H3221">
        <v>522</v>
      </c>
      <c r="I3221" t="str">
        <f>IF(COUNTIF(Products!$A$2:$A$8,C3221)=0,C3221,"")</f>
        <v/>
      </c>
      <c r="J3221">
        <f>IF(OR(E3221="Prospecting",E3221="Engaging"),VLOOKUP(C3221,Products!$A$2:$C$8,3,FALSE),0)</f>
        <v>0</v>
      </c>
    </row>
    <row r="3222" spans="1:10" x14ac:dyDescent="0.25">
      <c r="A3222" t="s">
        <v>3389</v>
      </c>
      <c r="B3222" t="s">
        <v>166</v>
      </c>
      <c r="C3222" t="s">
        <v>127</v>
      </c>
      <c r="E3222" t="s">
        <v>155</v>
      </c>
      <c r="F3222" s="1">
        <v>42871</v>
      </c>
      <c r="I3222" t="str">
        <f>IF(COUNTIF(Products!$A$2:$A$8,C3222)=0,C3222,"")</f>
        <v/>
      </c>
      <c r="J3222">
        <f>IF(OR(E3222="Prospecting",E3222="Engaging"),VLOOKUP(C3222,Products!$A$2:$C$8,3,FALSE),0)</f>
        <v>1096</v>
      </c>
    </row>
    <row r="3223" spans="1:10" x14ac:dyDescent="0.25">
      <c r="A3223" t="s">
        <v>3390</v>
      </c>
      <c r="B3223" t="s">
        <v>166</v>
      </c>
      <c r="C3223" t="s">
        <v>123</v>
      </c>
      <c r="D3223" t="s">
        <v>56</v>
      </c>
      <c r="E3223" t="s">
        <v>138</v>
      </c>
      <c r="F3223" s="1">
        <v>42871</v>
      </c>
      <c r="G3223" s="1">
        <v>42967</v>
      </c>
      <c r="H3223">
        <v>54</v>
      </c>
      <c r="I3223" t="str">
        <f>IF(COUNTIF(Products!$A$2:$A$8,C3223)=0,C3223,"")</f>
        <v/>
      </c>
      <c r="J3223">
        <f>IF(OR(E3223="Prospecting",E3223="Engaging"),VLOOKUP(C3223,Products!$A$2:$C$8,3,FALSE),0)</f>
        <v>0</v>
      </c>
    </row>
    <row r="3224" spans="1:10" x14ac:dyDescent="0.25">
      <c r="A3224" t="s">
        <v>3391</v>
      </c>
      <c r="B3224" t="s">
        <v>187</v>
      </c>
      <c r="C3224" t="s">
        <v>120</v>
      </c>
      <c r="E3224" t="s">
        <v>155</v>
      </c>
      <c r="F3224" s="1">
        <v>42871</v>
      </c>
      <c r="I3224" t="str">
        <f>IF(COUNTIF(Products!$A$2:$A$8,C3224)=0,C3224,"")</f>
        <v/>
      </c>
      <c r="J3224">
        <f>IF(OR(E3224="Prospecting",E3224="Engaging"),VLOOKUP(C3224,Products!$A$2:$C$8,3,FALSE),0)</f>
        <v>550</v>
      </c>
    </row>
    <row r="3225" spans="1:10" x14ac:dyDescent="0.25">
      <c r="A3225" t="s">
        <v>3392</v>
      </c>
      <c r="B3225" t="s">
        <v>148</v>
      </c>
      <c r="C3225" t="s">
        <v>125</v>
      </c>
      <c r="D3225" t="s">
        <v>60</v>
      </c>
      <c r="E3225" t="s">
        <v>159</v>
      </c>
      <c r="F3225" s="1">
        <v>42871</v>
      </c>
      <c r="G3225" s="1">
        <v>42882</v>
      </c>
      <c r="H3225">
        <v>0</v>
      </c>
      <c r="I3225" t="str">
        <f>IF(COUNTIF(Products!$A$2:$A$8,C3225)=0,C3225,"")</f>
        <v/>
      </c>
      <c r="J3225">
        <f>IF(OR(E3225="Prospecting",E3225="Engaging"),VLOOKUP(C3225,Products!$A$2:$C$8,3,FALSE),0)</f>
        <v>0</v>
      </c>
    </row>
    <row r="3226" spans="1:10" x14ac:dyDescent="0.25">
      <c r="A3226" t="s">
        <v>3393</v>
      </c>
      <c r="B3226" t="s">
        <v>148</v>
      </c>
      <c r="C3226" t="s">
        <v>122</v>
      </c>
      <c r="D3226" t="s">
        <v>87</v>
      </c>
      <c r="E3226" t="s">
        <v>138</v>
      </c>
      <c r="F3226" s="1">
        <v>42871</v>
      </c>
      <c r="G3226" s="1">
        <v>42985</v>
      </c>
      <c r="H3226">
        <v>5154</v>
      </c>
      <c r="I3226" t="str">
        <f>IF(COUNTIF(Products!$A$2:$A$8,C3226)=0,C3226,"")</f>
        <v/>
      </c>
      <c r="J3226">
        <f>IF(OR(E3226="Prospecting",E3226="Engaging"),VLOOKUP(C3226,Products!$A$2:$C$8,3,FALSE),0)</f>
        <v>0</v>
      </c>
    </row>
    <row r="3227" spans="1:10" x14ac:dyDescent="0.25">
      <c r="A3227" t="s">
        <v>3394</v>
      </c>
      <c r="B3227" t="s">
        <v>177</v>
      </c>
      <c r="C3227" t="s">
        <v>123</v>
      </c>
      <c r="D3227" t="s">
        <v>7</v>
      </c>
      <c r="E3227" t="s">
        <v>159</v>
      </c>
      <c r="F3227" s="1">
        <v>42871</v>
      </c>
      <c r="G3227" s="1">
        <v>42963</v>
      </c>
      <c r="H3227">
        <v>0</v>
      </c>
      <c r="I3227" t="str">
        <f>IF(COUNTIF(Products!$A$2:$A$8,C3227)=0,C3227,"")</f>
        <v/>
      </c>
      <c r="J3227">
        <f>IF(OR(E3227="Prospecting",E3227="Engaging"),VLOOKUP(C3227,Products!$A$2:$C$8,3,FALSE),0)</f>
        <v>0</v>
      </c>
    </row>
    <row r="3228" spans="1:10" x14ac:dyDescent="0.25">
      <c r="A3228" t="s">
        <v>3395</v>
      </c>
      <c r="B3228" t="s">
        <v>196</v>
      </c>
      <c r="C3228" t="s">
        <v>125</v>
      </c>
      <c r="D3228" t="s">
        <v>50</v>
      </c>
      <c r="E3228" t="s">
        <v>138</v>
      </c>
      <c r="F3228" s="1">
        <v>42871</v>
      </c>
      <c r="G3228" s="1">
        <v>42994</v>
      </c>
      <c r="H3228">
        <v>3483</v>
      </c>
      <c r="I3228" t="str">
        <f>IF(COUNTIF(Products!$A$2:$A$8,C3228)=0,C3228,"")</f>
        <v/>
      </c>
      <c r="J3228">
        <f>IF(OR(E3228="Prospecting",E3228="Engaging"),VLOOKUP(C3228,Products!$A$2:$C$8,3,FALSE),0)</f>
        <v>0</v>
      </c>
    </row>
    <row r="3229" spans="1:10" x14ac:dyDescent="0.25">
      <c r="A3229" t="s">
        <v>3396</v>
      </c>
      <c r="B3229" t="s">
        <v>207</v>
      </c>
      <c r="C3229" t="s">
        <v>127</v>
      </c>
      <c r="E3229" t="s">
        <v>155</v>
      </c>
      <c r="F3229" s="1">
        <v>42872</v>
      </c>
      <c r="I3229" t="str">
        <f>IF(COUNTIF(Products!$A$2:$A$8,C3229)=0,C3229,"")</f>
        <v/>
      </c>
      <c r="J3229">
        <f>IF(OR(E3229="Prospecting",E3229="Engaging"),VLOOKUP(C3229,Products!$A$2:$C$8,3,FALSE),0)</f>
        <v>1096</v>
      </c>
    </row>
    <row r="3230" spans="1:10" x14ac:dyDescent="0.25">
      <c r="A3230" t="s">
        <v>3397</v>
      </c>
      <c r="B3230" t="s">
        <v>207</v>
      </c>
      <c r="C3230" t="s">
        <v>123</v>
      </c>
      <c r="D3230" t="s">
        <v>20</v>
      </c>
      <c r="E3230" t="s">
        <v>159</v>
      </c>
      <c r="F3230" s="1">
        <v>42872</v>
      </c>
      <c r="G3230" s="1">
        <v>42880</v>
      </c>
      <c r="H3230">
        <v>0</v>
      </c>
      <c r="I3230" t="str">
        <f>IF(COUNTIF(Products!$A$2:$A$8,C3230)=0,C3230,"")</f>
        <v/>
      </c>
      <c r="J3230">
        <f>IF(OR(E3230="Prospecting",E3230="Engaging"),VLOOKUP(C3230,Products!$A$2:$C$8,3,FALSE),0)</f>
        <v>0</v>
      </c>
    </row>
    <row r="3231" spans="1:10" x14ac:dyDescent="0.25">
      <c r="A3231" t="s">
        <v>3398</v>
      </c>
      <c r="B3231" t="s">
        <v>140</v>
      </c>
      <c r="C3231" t="s">
        <v>127</v>
      </c>
      <c r="D3231" t="s">
        <v>42</v>
      </c>
      <c r="E3231" t="s">
        <v>138</v>
      </c>
      <c r="F3231" s="1">
        <v>42872</v>
      </c>
      <c r="G3231" s="1">
        <v>42958</v>
      </c>
      <c r="H3231">
        <v>1110</v>
      </c>
      <c r="I3231" t="str">
        <f>IF(COUNTIF(Products!$A$2:$A$8,C3231)=0,C3231,"")</f>
        <v/>
      </c>
      <c r="J3231">
        <f>IF(OR(E3231="Prospecting",E3231="Engaging"),VLOOKUP(C3231,Products!$A$2:$C$8,3,FALSE),0)</f>
        <v>0</v>
      </c>
    </row>
    <row r="3232" spans="1:10" x14ac:dyDescent="0.25">
      <c r="A3232" t="s">
        <v>3399</v>
      </c>
      <c r="B3232" t="s">
        <v>224</v>
      </c>
      <c r="C3232" t="s">
        <v>120</v>
      </c>
      <c r="D3232" t="s">
        <v>105</v>
      </c>
      <c r="E3232" t="s">
        <v>138</v>
      </c>
      <c r="F3232" s="1">
        <v>42872</v>
      </c>
      <c r="G3232" s="1">
        <v>42882</v>
      </c>
      <c r="H3232">
        <v>441</v>
      </c>
      <c r="I3232" t="str">
        <f>IF(COUNTIF(Products!$A$2:$A$8,C3232)=0,C3232,"")</f>
        <v/>
      </c>
      <c r="J3232">
        <f>IF(OR(E3232="Prospecting",E3232="Engaging"),VLOOKUP(C3232,Products!$A$2:$C$8,3,FALSE),0)</f>
        <v>0</v>
      </c>
    </row>
    <row r="3233" spans="1:10" x14ac:dyDescent="0.25">
      <c r="A3233" t="s">
        <v>3400</v>
      </c>
      <c r="B3233" t="s">
        <v>173</v>
      </c>
      <c r="C3233" t="s">
        <v>126</v>
      </c>
      <c r="E3233" t="s">
        <v>155</v>
      </c>
      <c r="F3233" s="1">
        <v>42872</v>
      </c>
      <c r="I3233" t="str">
        <f>IF(COUNTIF(Products!$A$2:$A$8,C3233)=0,C3233,"")</f>
        <v/>
      </c>
      <c r="J3233">
        <f>IF(OR(E3233="Prospecting",E3233="Engaging"),VLOOKUP(C3233,Products!$A$2:$C$8,3,FALSE),0)</f>
        <v>5482</v>
      </c>
    </row>
    <row r="3234" spans="1:10" x14ac:dyDescent="0.25">
      <c r="A3234" t="s">
        <v>3401</v>
      </c>
      <c r="B3234" t="s">
        <v>173</v>
      </c>
      <c r="C3234" t="s">
        <v>120</v>
      </c>
      <c r="D3234" t="s">
        <v>61</v>
      </c>
      <c r="E3234" t="s">
        <v>138</v>
      </c>
      <c r="F3234" s="1">
        <v>42872</v>
      </c>
      <c r="G3234" s="1">
        <v>42955</v>
      </c>
      <c r="H3234">
        <v>553</v>
      </c>
      <c r="I3234" t="str">
        <f>IF(COUNTIF(Products!$A$2:$A$8,C3234)=0,C3234,"")</f>
        <v/>
      </c>
      <c r="J3234">
        <f>IF(OR(E3234="Prospecting",E3234="Engaging"),VLOOKUP(C3234,Products!$A$2:$C$8,3,FALSE),0)</f>
        <v>0</v>
      </c>
    </row>
    <row r="3235" spans="1:10" x14ac:dyDescent="0.25">
      <c r="A3235" t="s">
        <v>3402</v>
      </c>
      <c r="B3235" t="s">
        <v>164</v>
      </c>
      <c r="C3235" t="s">
        <v>125</v>
      </c>
      <c r="D3235" t="s">
        <v>90</v>
      </c>
      <c r="E3235" t="s">
        <v>138</v>
      </c>
      <c r="F3235" s="1">
        <v>42872</v>
      </c>
      <c r="G3235" s="1">
        <v>42890</v>
      </c>
      <c r="H3235">
        <v>3624</v>
      </c>
      <c r="I3235" t="str">
        <f>IF(COUNTIF(Products!$A$2:$A$8,C3235)=0,C3235,"")</f>
        <v/>
      </c>
      <c r="J3235">
        <f>IF(OR(E3235="Prospecting",E3235="Engaging"),VLOOKUP(C3235,Products!$A$2:$C$8,3,FALSE),0)</f>
        <v>0</v>
      </c>
    </row>
    <row r="3236" spans="1:10" x14ac:dyDescent="0.25">
      <c r="A3236" t="s">
        <v>3403</v>
      </c>
      <c r="B3236" t="s">
        <v>303</v>
      </c>
      <c r="C3236" t="s">
        <v>120</v>
      </c>
      <c r="D3236" t="s">
        <v>51</v>
      </c>
      <c r="E3236" t="s">
        <v>159</v>
      </c>
      <c r="F3236" s="1">
        <v>42872</v>
      </c>
      <c r="G3236" s="1">
        <v>42886</v>
      </c>
      <c r="H3236">
        <v>0</v>
      </c>
      <c r="I3236" t="str">
        <f>IF(COUNTIF(Products!$A$2:$A$8,C3236)=0,C3236,"")</f>
        <v/>
      </c>
      <c r="J3236">
        <f>IF(OR(E3236="Prospecting",E3236="Engaging"),VLOOKUP(C3236,Products!$A$2:$C$8,3,FALSE),0)</f>
        <v>0</v>
      </c>
    </row>
    <row r="3237" spans="1:10" x14ac:dyDescent="0.25">
      <c r="A3237" t="s">
        <v>3404</v>
      </c>
      <c r="B3237" t="s">
        <v>180</v>
      </c>
      <c r="C3237" t="s">
        <v>122</v>
      </c>
      <c r="D3237" t="s">
        <v>39</v>
      </c>
      <c r="E3237" t="s">
        <v>159</v>
      </c>
      <c r="F3237" s="1">
        <v>42872</v>
      </c>
      <c r="G3237" s="1">
        <v>42969</v>
      </c>
      <c r="H3237">
        <v>0</v>
      </c>
      <c r="I3237" t="str">
        <f>IF(COUNTIF(Products!$A$2:$A$8,C3237)=0,C3237,"")</f>
        <v/>
      </c>
      <c r="J3237">
        <f>IF(OR(E3237="Prospecting",E3237="Engaging"),VLOOKUP(C3237,Products!$A$2:$C$8,3,FALSE),0)</f>
        <v>0</v>
      </c>
    </row>
    <row r="3238" spans="1:10" x14ac:dyDescent="0.25">
      <c r="A3238" t="s">
        <v>3405</v>
      </c>
      <c r="B3238" t="s">
        <v>191</v>
      </c>
      <c r="C3238" t="s">
        <v>125</v>
      </c>
      <c r="D3238" t="s">
        <v>107</v>
      </c>
      <c r="E3238" t="s">
        <v>155</v>
      </c>
      <c r="F3238" s="1">
        <v>42872</v>
      </c>
      <c r="I3238" t="str">
        <f>IF(COUNTIF(Products!$A$2:$A$8,C3238)=0,C3238,"")</f>
        <v/>
      </c>
      <c r="J3238">
        <f>IF(OR(E3238="Prospecting",E3238="Engaging"),VLOOKUP(C3238,Products!$A$2:$C$8,3,FALSE),0)</f>
        <v>3393</v>
      </c>
    </row>
    <row r="3239" spans="1:10" x14ac:dyDescent="0.25">
      <c r="A3239" t="s">
        <v>3406</v>
      </c>
      <c r="B3239" t="s">
        <v>217</v>
      </c>
      <c r="C3239" t="s">
        <v>123</v>
      </c>
      <c r="D3239" t="s">
        <v>30</v>
      </c>
      <c r="E3239" t="s">
        <v>159</v>
      </c>
      <c r="F3239" s="1">
        <v>42872</v>
      </c>
      <c r="G3239" s="1">
        <v>42955</v>
      </c>
      <c r="H3239">
        <v>0</v>
      </c>
      <c r="I3239" t="str">
        <f>IF(COUNTIF(Products!$A$2:$A$8,C3239)=0,C3239,"")</f>
        <v/>
      </c>
      <c r="J3239">
        <f>IF(OR(E3239="Prospecting",E3239="Engaging"),VLOOKUP(C3239,Products!$A$2:$C$8,3,FALSE),0)</f>
        <v>0</v>
      </c>
    </row>
    <row r="3240" spans="1:10" x14ac:dyDescent="0.25">
      <c r="A3240" t="s">
        <v>3407</v>
      </c>
      <c r="B3240" t="s">
        <v>150</v>
      </c>
      <c r="C3240" t="s">
        <v>122</v>
      </c>
      <c r="D3240" t="s">
        <v>71</v>
      </c>
      <c r="E3240" t="s">
        <v>155</v>
      </c>
      <c r="F3240" s="1">
        <v>42872</v>
      </c>
      <c r="I3240" t="str">
        <f>IF(COUNTIF(Products!$A$2:$A$8,C3240)=0,C3240,"")</f>
        <v/>
      </c>
      <c r="J3240">
        <f>IF(OR(E3240="Prospecting",E3240="Engaging"),VLOOKUP(C3240,Products!$A$2:$C$8,3,FALSE),0)</f>
        <v>4821</v>
      </c>
    </row>
    <row r="3241" spans="1:10" x14ac:dyDescent="0.25">
      <c r="A3241" t="s">
        <v>3408</v>
      </c>
      <c r="B3241" t="s">
        <v>150</v>
      </c>
      <c r="C3241" t="s">
        <v>122</v>
      </c>
      <c r="D3241" t="s">
        <v>69</v>
      </c>
      <c r="E3241" t="s">
        <v>159</v>
      </c>
      <c r="F3241" s="1">
        <v>42872</v>
      </c>
      <c r="G3241" s="1">
        <v>42959</v>
      </c>
      <c r="H3241">
        <v>0</v>
      </c>
      <c r="I3241" t="str">
        <f>IF(COUNTIF(Products!$A$2:$A$8,C3241)=0,C3241,"")</f>
        <v/>
      </c>
      <c r="J3241">
        <f>IF(OR(E3241="Prospecting",E3241="Engaging"),VLOOKUP(C3241,Products!$A$2:$C$8,3,FALSE),0)</f>
        <v>0</v>
      </c>
    </row>
    <row r="3242" spans="1:10" x14ac:dyDescent="0.25">
      <c r="A3242" t="s">
        <v>3409</v>
      </c>
      <c r="B3242" t="s">
        <v>150</v>
      </c>
      <c r="C3242" t="s">
        <v>123</v>
      </c>
      <c r="D3242" t="s">
        <v>66</v>
      </c>
      <c r="E3242" t="s">
        <v>159</v>
      </c>
      <c r="F3242" s="1">
        <v>42872</v>
      </c>
      <c r="G3242" s="1">
        <v>42965</v>
      </c>
      <c r="H3242">
        <v>0</v>
      </c>
      <c r="I3242" t="str">
        <f>IF(COUNTIF(Products!$A$2:$A$8,C3242)=0,C3242,"")</f>
        <v/>
      </c>
      <c r="J3242">
        <f>IF(OR(E3242="Prospecting",E3242="Engaging"),VLOOKUP(C3242,Products!$A$2:$C$8,3,FALSE),0)</f>
        <v>0</v>
      </c>
    </row>
    <row r="3243" spans="1:10" x14ac:dyDescent="0.25">
      <c r="A3243" t="s">
        <v>3410</v>
      </c>
      <c r="B3243" t="s">
        <v>150</v>
      </c>
      <c r="C3243" t="s">
        <v>122</v>
      </c>
      <c r="D3243" t="s">
        <v>82</v>
      </c>
      <c r="E3243" t="s">
        <v>138</v>
      </c>
      <c r="F3243" s="1">
        <v>42872</v>
      </c>
      <c r="G3243" s="1">
        <v>42965</v>
      </c>
      <c r="H3243">
        <v>4644</v>
      </c>
      <c r="I3243" t="str">
        <f>IF(COUNTIF(Products!$A$2:$A$8,C3243)=0,C3243,"")</f>
        <v/>
      </c>
      <c r="J3243">
        <f>IF(OR(E3243="Prospecting",E3243="Engaging"),VLOOKUP(C3243,Products!$A$2:$C$8,3,FALSE),0)</f>
        <v>0</v>
      </c>
    </row>
    <row r="3244" spans="1:10" x14ac:dyDescent="0.25">
      <c r="A3244" t="s">
        <v>3411</v>
      </c>
      <c r="B3244" t="s">
        <v>187</v>
      </c>
      <c r="C3244" t="s">
        <v>123</v>
      </c>
      <c r="D3244" t="s">
        <v>105</v>
      </c>
      <c r="E3244" t="s">
        <v>159</v>
      </c>
      <c r="F3244" s="1">
        <v>42872</v>
      </c>
      <c r="G3244" s="1">
        <v>42884</v>
      </c>
      <c r="H3244">
        <v>0</v>
      </c>
      <c r="I3244" t="str">
        <f>IF(COUNTIF(Products!$A$2:$A$8,C3244)=0,C3244,"")</f>
        <v/>
      </c>
      <c r="J3244">
        <f>IF(OR(E3244="Prospecting",E3244="Engaging"),VLOOKUP(C3244,Products!$A$2:$C$8,3,FALSE),0)</f>
        <v>0</v>
      </c>
    </row>
    <row r="3245" spans="1:10" x14ac:dyDescent="0.25">
      <c r="A3245" t="s">
        <v>3412</v>
      </c>
      <c r="B3245" t="s">
        <v>169</v>
      </c>
      <c r="C3245" t="s">
        <v>123</v>
      </c>
      <c r="D3245" t="s">
        <v>26</v>
      </c>
      <c r="E3245" t="s">
        <v>138</v>
      </c>
      <c r="F3245" s="1">
        <v>42872</v>
      </c>
      <c r="G3245" s="1">
        <v>42998</v>
      </c>
      <c r="H3245">
        <v>51</v>
      </c>
      <c r="I3245" t="str">
        <f>IF(COUNTIF(Products!$A$2:$A$8,C3245)=0,C3245,"")</f>
        <v/>
      </c>
      <c r="J3245">
        <f>IF(OR(E3245="Prospecting",E3245="Engaging"),VLOOKUP(C3245,Products!$A$2:$C$8,3,FALSE),0)</f>
        <v>0</v>
      </c>
    </row>
    <row r="3246" spans="1:10" x14ac:dyDescent="0.25">
      <c r="A3246" t="s">
        <v>3413</v>
      </c>
      <c r="B3246" t="s">
        <v>148</v>
      </c>
      <c r="C3246" t="s">
        <v>122</v>
      </c>
      <c r="D3246" t="s">
        <v>47</v>
      </c>
      <c r="E3246" t="s">
        <v>138</v>
      </c>
      <c r="F3246" s="1">
        <v>42872</v>
      </c>
      <c r="G3246" s="1">
        <v>42986</v>
      </c>
      <c r="H3246">
        <v>4573</v>
      </c>
      <c r="I3246" t="str">
        <f>IF(COUNTIF(Products!$A$2:$A$8,C3246)=0,C3246,"")</f>
        <v/>
      </c>
      <c r="J3246">
        <f>IF(OR(E3246="Prospecting",E3246="Engaging"),VLOOKUP(C3246,Products!$A$2:$C$8,3,FALSE),0)</f>
        <v>0</v>
      </c>
    </row>
    <row r="3247" spans="1:10" x14ac:dyDescent="0.25">
      <c r="A3247" t="s">
        <v>3414</v>
      </c>
      <c r="B3247" t="s">
        <v>177</v>
      </c>
      <c r="C3247" t="s">
        <v>125</v>
      </c>
      <c r="D3247" t="s">
        <v>92</v>
      </c>
      <c r="E3247" t="s">
        <v>138</v>
      </c>
      <c r="F3247" s="1">
        <v>42872</v>
      </c>
      <c r="G3247" s="1">
        <v>42948</v>
      </c>
      <c r="H3247">
        <v>3033</v>
      </c>
      <c r="I3247" t="str">
        <f>IF(COUNTIF(Products!$A$2:$A$8,C3247)=0,C3247,"")</f>
        <v/>
      </c>
      <c r="J3247">
        <f>IF(OR(E3247="Prospecting",E3247="Engaging"),VLOOKUP(C3247,Products!$A$2:$C$8,3,FALSE),0)</f>
        <v>0</v>
      </c>
    </row>
    <row r="3248" spans="1:10" x14ac:dyDescent="0.25">
      <c r="A3248" t="s">
        <v>3415</v>
      </c>
      <c r="B3248" t="s">
        <v>144</v>
      </c>
      <c r="C3248" t="s">
        <v>123</v>
      </c>
      <c r="D3248" t="s">
        <v>60</v>
      </c>
      <c r="E3248" t="s">
        <v>159</v>
      </c>
      <c r="F3248" s="1">
        <v>42872</v>
      </c>
      <c r="G3248" s="1">
        <v>42881</v>
      </c>
      <c r="H3248">
        <v>0</v>
      </c>
      <c r="I3248" t="str">
        <f>IF(COUNTIF(Products!$A$2:$A$8,C3248)=0,C3248,"")</f>
        <v/>
      </c>
      <c r="J3248">
        <f>IF(OR(E3248="Prospecting",E3248="Engaging"),VLOOKUP(C3248,Products!$A$2:$C$8,3,FALSE),0)</f>
        <v>0</v>
      </c>
    </row>
    <row r="3249" spans="1:10" x14ac:dyDescent="0.25">
      <c r="A3249" t="s">
        <v>3416</v>
      </c>
      <c r="B3249" t="s">
        <v>146</v>
      </c>
      <c r="C3249" t="s">
        <v>123</v>
      </c>
      <c r="D3249" t="s">
        <v>77</v>
      </c>
      <c r="E3249" t="s">
        <v>159</v>
      </c>
      <c r="F3249" s="1">
        <v>42873</v>
      </c>
      <c r="G3249" s="1">
        <v>42879</v>
      </c>
      <c r="H3249">
        <v>0</v>
      </c>
      <c r="I3249" t="str">
        <f>IF(COUNTIF(Products!$A$2:$A$8,C3249)=0,C3249,"")</f>
        <v/>
      </c>
      <c r="J3249">
        <f>IF(OR(E3249="Prospecting",E3249="Engaging"),VLOOKUP(C3249,Products!$A$2:$C$8,3,FALSE),0)</f>
        <v>0</v>
      </c>
    </row>
    <row r="3250" spans="1:10" x14ac:dyDescent="0.25">
      <c r="A3250" t="s">
        <v>3417</v>
      </c>
      <c r="B3250" t="s">
        <v>146</v>
      </c>
      <c r="C3250" t="s">
        <v>123</v>
      </c>
      <c r="D3250" t="s">
        <v>88</v>
      </c>
      <c r="E3250" t="s">
        <v>138</v>
      </c>
      <c r="F3250" s="1">
        <v>42873</v>
      </c>
      <c r="G3250" s="1">
        <v>42888</v>
      </c>
      <c r="H3250">
        <v>58</v>
      </c>
      <c r="I3250" t="str">
        <f>IF(COUNTIF(Products!$A$2:$A$8,C3250)=0,C3250,"")</f>
        <v/>
      </c>
      <c r="J3250">
        <f>IF(OR(E3250="Prospecting",E3250="Engaging"),VLOOKUP(C3250,Products!$A$2:$C$8,3,FALSE),0)</f>
        <v>0</v>
      </c>
    </row>
    <row r="3251" spans="1:10" x14ac:dyDescent="0.25">
      <c r="A3251" t="s">
        <v>3418</v>
      </c>
      <c r="B3251" t="s">
        <v>146</v>
      </c>
      <c r="C3251" t="s">
        <v>123</v>
      </c>
      <c r="D3251" t="s">
        <v>96</v>
      </c>
      <c r="E3251" t="s">
        <v>138</v>
      </c>
      <c r="F3251" s="1">
        <v>42873</v>
      </c>
      <c r="G3251" s="1">
        <v>42993</v>
      </c>
      <c r="H3251">
        <v>51</v>
      </c>
      <c r="I3251" t="str">
        <f>IF(COUNTIF(Products!$A$2:$A$8,C3251)=0,C3251,"")</f>
        <v/>
      </c>
      <c r="J3251">
        <f>IF(OR(E3251="Prospecting",E3251="Engaging"),VLOOKUP(C3251,Products!$A$2:$C$8,3,FALSE),0)</f>
        <v>0</v>
      </c>
    </row>
    <row r="3252" spans="1:10" x14ac:dyDescent="0.25">
      <c r="A3252" t="s">
        <v>3419</v>
      </c>
      <c r="B3252" t="s">
        <v>207</v>
      </c>
      <c r="C3252" t="s">
        <v>122</v>
      </c>
      <c r="D3252" t="s">
        <v>25</v>
      </c>
      <c r="E3252" t="s">
        <v>138</v>
      </c>
      <c r="F3252" s="1">
        <v>42873</v>
      </c>
      <c r="G3252" s="1">
        <v>42949</v>
      </c>
      <c r="H3252">
        <v>4873</v>
      </c>
      <c r="I3252" t="str">
        <f>IF(COUNTIF(Products!$A$2:$A$8,C3252)=0,C3252,"")</f>
        <v/>
      </c>
      <c r="J3252">
        <f>IF(OR(E3252="Prospecting",E3252="Engaging"),VLOOKUP(C3252,Products!$A$2:$C$8,3,FALSE),0)</f>
        <v>0</v>
      </c>
    </row>
    <row r="3253" spans="1:10" x14ac:dyDescent="0.25">
      <c r="A3253" t="s">
        <v>3420</v>
      </c>
      <c r="B3253" t="s">
        <v>239</v>
      </c>
      <c r="C3253" t="s">
        <v>120</v>
      </c>
      <c r="D3253" t="s">
        <v>35</v>
      </c>
      <c r="E3253" t="s">
        <v>155</v>
      </c>
      <c r="F3253" s="1">
        <v>42873</v>
      </c>
      <c r="I3253" t="str">
        <f>IF(COUNTIF(Products!$A$2:$A$8,C3253)=0,C3253,"")</f>
        <v/>
      </c>
      <c r="J3253">
        <f>IF(OR(E3253="Prospecting",E3253="Engaging"),VLOOKUP(C3253,Products!$A$2:$C$8,3,FALSE),0)</f>
        <v>550</v>
      </c>
    </row>
    <row r="3254" spans="1:10" x14ac:dyDescent="0.25">
      <c r="A3254" t="s">
        <v>3421</v>
      </c>
      <c r="B3254" t="s">
        <v>140</v>
      </c>
      <c r="C3254" t="s">
        <v>122</v>
      </c>
      <c r="D3254" t="s">
        <v>64</v>
      </c>
      <c r="E3254" t="s">
        <v>138</v>
      </c>
      <c r="F3254" s="1">
        <v>42873</v>
      </c>
      <c r="G3254" s="1">
        <v>42893</v>
      </c>
      <c r="H3254">
        <v>4606</v>
      </c>
      <c r="I3254" t="str">
        <f>IF(COUNTIF(Products!$A$2:$A$8,C3254)=0,C3254,"")</f>
        <v/>
      </c>
      <c r="J3254">
        <f>IF(OR(E3254="Prospecting",E3254="Engaging"),VLOOKUP(C3254,Products!$A$2:$C$8,3,FALSE),0)</f>
        <v>0</v>
      </c>
    </row>
    <row r="3255" spans="1:10" x14ac:dyDescent="0.25">
      <c r="A3255" t="s">
        <v>3422</v>
      </c>
      <c r="B3255" t="s">
        <v>224</v>
      </c>
      <c r="C3255" t="s">
        <v>127</v>
      </c>
      <c r="D3255" t="s">
        <v>65</v>
      </c>
      <c r="E3255" t="s">
        <v>138</v>
      </c>
      <c r="F3255" s="1">
        <v>42873</v>
      </c>
      <c r="G3255" s="1">
        <v>42983</v>
      </c>
      <c r="H3255">
        <v>995</v>
      </c>
      <c r="I3255" t="str">
        <f>IF(COUNTIF(Products!$A$2:$A$8,C3255)=0,C3255,"")</f>
        <v/>
      </c>
      <c r="J3255">
        <f>IF(OR(E3255="Prospecting",E3255="Engaging"),VLOOKUP(C3255,Products!$A$2:$C$8,3,FALSE),0)</f>
        <v>0</v>
      </c>
    </row>
    <row r="3256" spans="1:10" x14ac:dyDescent="0.25">
      <c r="A3256" t="s">
        <v>3423</v>
      </c>
      <c r="B3256" t="s">
        <v>224</v>
      </c>
      <c r="C3256" t="s">
        <v>122</v>
      </c>
      <c r="D3256" t="s">
        <v>105</v>
      </c>
      <c r="E3256" t="s">
        <v>138</v>
      </c>
      <c r="F3256" s="1">
        <v>42873</v>
      </c>
      <c r="G3256" s="1">
        <v>42957</v>
      </c>
      <c r="H3256">
        <v>4581</v>
      </c>
      <c r="I3256" t="str">
        <f>IF(COUNTIF(Products!$A$2:$A$8,C3256)=0,C3256,"")</f>
        <v/>
      </c>
      <c r="J3256">
        <f>IF(OR(E3256="Prospecting",E3256="Engaging"),VLOOKUP(C3256,Products!$A$2:$C$8,3,FALSE),0)</f>
        <v>0</v>
      </c>
    </row>
    <row r="3257" spans="1:10" x14ac:dyDescent="0.25">
      <c r="A3257" t="s">
        <v>3424</v>
      </c>
      <c r="B3257" t="s">
        <v>198</v>
      </c>
      <c r="C3257" t="s">
        <v>122</v>
      </c>
      <c r="D3257" t="s">
        <v>25</v>
      </c>
      <c r="E3257" t="s">
        <v>138</v>
      </c>
      <c r="F3257" s="1">
        <v>42873</v>
      </c>
      <c r="G3257" s="1">
        <v>42961</v>
      </c>
      <c r="H3257">
        <v>4671</v>
      </c>
      <c r="I3257" t="str">
        <f>IF(COUNTIF(Products!$A$2:$A$8,C3257)=0,C3257,"")</f>
        <v/>
      </c>
      <c r="J3257">
        <f>IF(OR(E3257="Prospecting",E3257="Engaging"),VLOOKUP(C3257,Products!$A$2:$C$8,3,FALSE),0)</f>
        <v>0</v>
      </c>
    </row>
    <row r="3258" spans="1:10" x14ac:dyDescent="0.25">
      <c r="A3258" t="s">
        <v>3425</v>
      </c>
      <c r="B3258" t="s">
        <v>164</v>
      </c>
      <c r="C3258" t="s">
        <v>126</v>
      </c>
      <c r="D3258" t="s">
        <v>46</v>
      </c>
      <c r="E3258" t="s">
        <v>155</v>
      </c>
      <c r="F3258" s="1">
        <v>42873</v>
      </c>
      <c r="I3258" t="str">
        <f>IF(COUNTIF(Products!$A$2:$A$8,C3258)=0,C3258,"")</f>
        <v/>
      </c>
      <c r="J3258">
        <f>IF(OR(E3258="Prospecting",E3258="Engaging"),VLOOKUP(C3258,Products!$A$2:$C$8,3,FALSE),0)</f>
        <v>5482</v>
      </c>
    </row>
    <row r="3259" spans="1:10" x14ac:dyDescent="0.25">
      <c r="A3259" t="s">
        <v>3426</v>
      </c>
      <c r="B3259" t="s">
        <v>164</v>
      </c>
      <c r="C3259" t="s">
        <v>125</v>
      </c>
      <c r="E3259" t="s">
        <v>155</v>
      </c>
      <c r="F3259" s="1">
        <v>42873</v>
      </c>
      <c r="I3259" t="str">
        <f>IF(COUNTIF(Products!$A$2:$A$8,C3259)=0,C3259,"")</f>
        <v/>
      </c>
      <c r="J3259">
        <f>IF(OR(E3259="Prospecting",E3259="Engaging"),VLOOKUP(C3259,Products!$A$2:$C$8,3,FALSE),0)</f>
        <v>3393</v>
      </c>
    </row>
    <row r="3260" spans="1:10" x14ac:dyDescent="0.25">
      <c r="A3260" t="s">
        <v>3427</v>
      </c>
      <c r="B3260" t="s">
        <v>154</v>
      </c>
      <c r="C3260" t="s">
        <v>126</v>
      </c>
      <c r="D3260" t="s">
        <v>35</v>
      </c>
      <c r="E3260" t="s">
        <v>155</v>
      </c>
      <c r="F3260" s="1">
        <v>42873</v>
      </c>
      <c r="I3260" t="str">
        <f>IF(COUNTIF(Products!$A$2:$A$8,C3260)=0,C3260,"")</f>
        <v/>
      </c>
      <c r="J3260">
        <f>IF(OR(E3260="Prospecting",E3260="Engaging"),VLOOKUP(C3260,Products!$A$2:$C$8,3,FALSE),0)</f>
        <v>5482</v>
      </c>
    </row>
    <row r="3261" spans="1:10" x14ac:dyDescent="0.25">
      <c r="A3261" t="s">
        <v>3428</v>
      </c>
      <c r="B3261" t="s">
        <v>154</v>
      </c>
      <c r="C3261" t="s">
        <v>126</v>
      </c>
      <c r="E3261" t="s">
        <v>155</v>
      </c>
      <c r="F3261" s="1">
        <v>42873</v>
      </c>
      <c r="I3261" t="str">
        <f>IF(COUNTIF(Products!$A$2:$A$8,C3261)=0,C3261,"")</f>
        <v/>
      </c>
      <c r="J3261">
        <f>IF(OR(E3261="Prospecting",E3261="Engaging"),VLOOKUP(C3261,Products!$A$2:$C$8,3,FALSE),0)</f>
        <v>5482</v>
      </c>
    </row>
    <row r="3262" spans="1:10" x14ac:dyDescent="0.25">
      <c r="A3262" t="s">
        <v>3429</v>
      </c>
      <c r="B3262" t="s">
        <v>191</v>
      </c>
      <c r="C3262" t="s">
        <v>127</v>
      </c>
      <c r="D3262" t="s">
        <v>59</v>
      </c>
      <c r="E3262" t="s">
        <v>155</v>
      </c>
      <c r="F3262" s="1">
        <v>42873</v>
      </c>
      <c r="I3262" t="str">
        <f>IF(COUNTIF(Products!$A$2:$A$8,C3262)=0,C3262,"")</f>
        <v/>
      </c>
      <c r="J3262">
        <f>IF(OR(E3262="Prospecting",E3262="Engaging"),VLOOKUP(C3262,Products!$A$2:$C$8,3,FALSE),0)</f>
        <v>1096</v>
      </c>
    </row>
    <row r="3263" spans="1:10" x14ac:dyDescent="0.25">
      <c r="A3263" t="s">
        <v>3430</v>
      </c>
      <c r="B3263" t="s">
        <v>150</v>
      </c>
      <c r="C3263" t="s">
        <v>128</v>
      </c>
      <c r="E3263" t="s">
        <v>155</v>
      </c>
      <c r="F3263" s="1">
        <v>42873</v>
      </c>
      <c r="I3263" t="str">
        <f>IF(COUNTIF(Products!$A$2:$A$8,C3263)=0,C3263,"")</f>
        <v/>
      </c>
      <c r="J3263">
        <f>IF(OR(E3263="Prospecting",E3263="Engaging"),VLOOKUP(C3263,Products!$A$2:$C$8,3,FALSE),0)</f>
        <v>26768</v>
      </c>
    </row>
    <row r="3264" spans="1:10" x14ac:dyDescent="0.25">
      <c r="A3264" t="s">
        <v>3431</v>
      </c>
      <c r="B3264" t="s">
        <v>205</v>
      </c>
      <c r="C3264" t="s">
        <v>123</v>
      </c>
      <c r="D3264" t="s">
        <v>14</v>
      </c>
      <c r="E3264" t="s">
        <v>159</v>
      </c>
      <c r="F3264" s="1">
        <v>42873</v>
      </c>
      <c r="G3264" s="1">
        <v>42988</v>
      </c>
      <c r="H3264">
        <v>0</v>
      </c>
      <c r="I3264" t="str">
        <f>IF(COUNTIF(Products!$A$2:$A$8,C3264)=0,C3264,"")</f>
        <v/>
      </c>
      <c r="J3264">
        <f>IF(OR(E3264="Prospecting",E3264="Engaging"),VLOOKUP(C3264,Products!$A$2:$C$8,3,FALSE),0)</f>
        <v>0</v>
      </c>
    </row>
    <row r="3265" spans="1:10" x14ac:dyDescent="0.25">
      <c r="A3265" t="s">
        <v>3432</v>
      </c>
      <c r="B3265" t="s">
        <v>205</v>
      </c>
      <c r="C3265" t="s">
        <v>126</v>
      </c>
      <c r="D3265" t="s">
        <v>33</v>
      </c>
      <c r="E3265" t="s">
        <v>138</v>
      </c>
      <c r="F3265" s="1">
        <v>42873</v>
      </c>
      <c r="G3265" s="1">
        <v>42897</v>
      </c>
      <c r="H3265">
        <v>5241</v>
      </c>
      <c r="I3265" t="str">
        <f>IF(COUNTIF(Products!$A$2:$A$8,C3265)=0,C3265,"")</f>
        <v/>
      </c>
      <c r="J3265">
        <f>IF(OR(E3265="Prospecting",E3265="Engaging"),VLOOKUP(C3265,Products!$A$2:$C$8,3,FALSE),0)</f>
        <v>0</v>
      </c>
    </row>
    <row r="3266" spans="1:10" x14ac:dyDescent="0.25">
      <c r="A3266" t="s">
        <v>3433</v>
      </c>
      <c r="B3266" t="s">
        <v>162</v>
      </c>
      <c r="C3266" t="s">
        <v>127</v>
      </c>
      <c r="D3266" t="s">
        <v>75</v>
      </c>
      <c r="E3266" t="s">
        <v>138</v>
      </c>
      <c r="F3266" s="1">
        <v>42873</v>
      </c>
      <c r="G3266" s="1">
        <v>42877</v>
      </c>
      <c r="H3266">
        <v>1082</v>
      </c>
      <c r="I3266" t="str">
        <f>IF(COUNTIF(Products!$A$2:$A$8,C3266)=0,C3266,"")</f>
        <v/>
      </c>
      <c r="J3266">
        <f>IF(OR(E3266="Prospecting",E3266="Engaging"),VLOOKUP(C3266,Products!$A$2:$C$8,3,FALSE),0)</f>
        <v>0</v>
      </c>
    </row>
    <row r="3267" spans="1:10" x14ac:dyDescent="0.25">
      <c r="A3267" t="s">
        <v>3434</v>
      </c>
      <c r="B3267" t="s">
        <v>152</v>
      </c>
      <c r="C3267" t="s">
        <v>120</v>
      </c>
      <c r="D3267" t="s">
        <v>89</v>
      </c>
      <c r="E3267" t="s">
        <v>138</v>
      </c>
      <c r="F3267" s="1">
        <v>42873</v>
      </c>
      <c r="G3267" s="1">
        <v>42891</v>
      </c>
      <c r="H3267">
        <v>616</v>
      </c>
      <c r="I3267" t="str">
        <f>IF(COUNTIF(Products!$A$2:$A$8,C3267)=0,C3267,"")</f>
        <v/>
      </c>
      <c r="J3267">
        <f>IF(OR(E3267="Prospecting",E3267="Engaging"),VLOOKUP(C3267,Products!$A$2:$C$8,3,FALSE),0)</f>
        <v>0</v>
      </c>
    </row>
    <row r="3268" spans="1:10" x14ac:dyDescent="0.25">
      <c r="A3268" t="s">
        <v>3435</v>
      </c>
      <c r="B3268" t="s">
        <v>166</v>
      </c>
      <c r="C3268" t="s">
        <v>123</v>
      </c>
      <c r="E3268" t="s">
        <v>155</v>
      </c>
      <c r="F3268" s="1">
        <v>42873</v>
      </c>
      <c r="I3268" t="str">
        <f>IF(COUNTIF(Products!$A$2:$A$8,C3268)=0,C3268,"")</f>
        <v/>
      </c>
      <c r="J3268">
        <f>IF(OR(E3268="Prospecting",E3268="Engaging"),VLOOKUP(C3268,Products!$A$2:$C$8,3,FALSE),0)</f>
        <v>55</v>
      </c>
    </row>
    <row r="3269" spans="1:10" x14ac:dyDescent="0.25">
      <c r="A3269" t="s">
        <v>3436</v>
      </c>
      <c r="B3269" t="s">
        <v>187</v>
      </c>
      <c r="C3269" t="s">
        <v>123</v>
      </c>
      <c r="D3269" t="s">
        <v>112</v>
      </c>
      <c r="E3269" t="s">
        <v>159</v>
      </c>
      <c r="F3269" s="1">
        <v>42873</v>
      </c>
      <c r="G3269" s="1">
        <v>42961</v>
      </c>
      <c r="H3269">
        <v>0</v>
      </c>
      <c r="I3269" t="str">
        <f>IF(COUNTIF(Products!$A$2:$A$8,C3269)=0,C3269,"")</f>
        <v/>
      </c>
      <c r="J3269">
        <f>IF(OR(E3269="Prospecting",E3269="Engaging"),VLOOKUP(C3269,Products!$A$2:$C$8,3,FALSE),0)</f>
        <v>0</v>
      </c>
    </row>
    <row r="3270" spans="1:10" x14ac:dyDescent="0.25">
      <c r="A3270" t="s">
        <v>3437</v>
      </c>
      <c r="B3270" t="s">
        <v>169</v>
      </c>
      <c r="C3270" t="s">
        <v>123</v>
      </c>
      <c r="D3270" t="s">
        <v>42</v>
      </c>
      <c r="E3270" t="s">
        <v>159</v>
      </c>
      <c r="F3270" s="1">
        <v>42873</v>
      </c>
      <c r="G3270" s="1">
        <v>42879</v>
      </c>
      <c r="H3270">
        <v>0</v>
      </c>
      <c r="I3270" t="str">
        <f>IF(COUNTIF(Products!$A$2:$A$8,C3270)=0,C3270,"")</f>
        <v/>
      </c>
      <c r="J3270">
        <f>IF(OR(E3270="Prospecting",E3270="Engaging"),VLOOKUP(C3270,Products!$A$2:$C$8,3,FALSE),0)</f>
        <v>0</v>
      </c>
    </row>
    <row r="3271" spans="1:10" x14ac:dyDescent="0.25">
      <c r="A3271" t="s">
        <v>3438</v>
      </c>
      <c r="B3271" t="s">
        <v>196</v>
      </c>
      <c r="C3271" t="s">
        <v>123</v>
      </c>
      <c r="E3271" t="s">
        <v>155</v>
      </c>
      <c r="F3271" s="1">
        <v>42873</v>
      </c>
      <c r="I3271" t="str">
        <f>IF(COUNTIF(Products!$A$2:$A$8,C3271)=0,C3271,"")</f>
        <v/>
      </c>
      <c r="J3271">
        <f>IF(OR(E3271="Prospecting",E3271="Engaging"),VLOOKUP(C3271,Products!$A$2:$C$8,3,FALSE),0)</f>
        <v>55</v>
      </c>
    </row>
    <row r="3272" spans="1:10" x14ac:dyDescent="0.25">
      <c r="A3272" t="s">
        <v>3439</v>
      </c>
      <c r="B3272" t="s">
        <v>144</v>
      </c>
      <c r="C3272" t="s">
        <v>120</v>
      </c>
      <c r="E3272" t="s">
        <v>155</v>
      </c>
      <c r="F3272" s="1">
        <v>42873</v>
      </c>
      <c r="I3272" t="str">
        <f>IF(COUNTIF(Products!$A$2:$A$8,C3272)=0,C3272,"")</f>
        <v/>
      </c>
      <c r="J3272">
        <f>IF(OR(E3272="Prospecting",E3272="Engaging"),VLOOKUP(C3272,Products!$A$2:$C$8,3,FALSE),0)</f>
        <v>550</v>
      </c>
    </row>
    <row r="3273" spans="1:10" x14ac:dyDescent="0.25">
      <c r="A3273" t="s">
        <v>3440</v>
      </c>
      <c r="B3273" t="s">
        <v>144</v>
      </c>
      <c r="C3273" t="s">
        <v>120</v>
      </c>
      <c r="D3273" t="s">
        <v>109</v>
      </c>
      <c r="E3273" t="s">
        <v>159</v>
      </c>
      <c r="F3273" s="1">
        <v>42873</v>
      </c>
      <c r="G3273" s="1">
        <v>42911</v>
      </c>
      <c r="H3273">
        <v>0</v>
      </c>
      <c r="I3273" t="str">
        <f>IF(COUNTIF(Products!$A$2:$A$8,C3273)=0,C3273,"")</f>
        <v/>
      </c>
      <c r="J3273">
        <f>IF(OR(E3273="Prospecting",E3273="Engaging"),VLOOKUP(C3273,Products!$A$2:$C$8,3,FALSE),0)</f>
        <v>0</v>
      </c>
    </row>
    <row r="3274" spans="1:10" x14ac:dyDescent="0.25">
      <c r="A3274" t="s">
        <v>3441</v>
      </c>
      <c r="B3274" t="s">
        <v>144</v>
      </c>
      <c r="C3274" t="s">
        <v>123</v>
      </c>
      <c r="D3274" t="s">
        <v>72</v>
      </c>
      <c r="E3274" t="s">
        <v>159</v>
      </c>
      <c r="F3274" s="1">
        <v>42873</v>
      </c>
      <c r="G3274" s="1">
        <v>42878</v>
      </c>
      <c r="H3274">
        <v>0</v>
      </c>
      <c r="I3274" t="str">
        <f>IF(COUNTIF(Products!$A$2:$A$8,C3274)=0,C3274,"")</f>
        <v/>
      </c>
      <c r="J3274">
        <f>IF(OR(E3274="Prospecting",E3274="Engaging"),VLOOKUP(C3274,Products!$A$2:$C$8,3,FALSE),0)</f>
        <v>0</v>
      </c>
    </row>
    <row r="3275" spans="1:10" x14ac:dyDescent="0.25">
      <c r="A3275" t="s">
        <v>3442</v>
      </c>
      <c r="B3275" t="s">
        <v>144</v>
      </c>
      <c r="C3275" t="s">
        <v>122</v>
      </c>
      <c r="D3275" t="s">
        <v>27</v>
      </c>
      <c r="E3275" t="s">
        <v>138</v>
      </c>
      <c r="F3275" s="1">
        <v>42873</v>
      </c>
      <c r="G3275" s="1">
        <v>42889</v>
      </c>
      <c r="H3275">
        <v>4642</v>
      </c>
      <c r="I3275" t="str">
        <f>IF(COUNTIF(Products!$A$2:$A$8,C3275)=0,C3275,"")</f>
        <v/>
      </c>
      <c r="J3275">
        <f>IF(OR(E3275="Prospecting",E3275="Engaging"),VLOOKUP(C3275,Products!$A$2:$C$8,3,FALSE),0)</f>
        <v>0</v>
      </c>
    </row>
    <row r="3276" spans="1:10" x14ac:dyDescent="0.25">
      <c r="A3276" t="s">
        <v>3443</v>
      </c>
      <c r="B3276" t="s">
        <v>146</v>
      </c>
      <c r="C3276" t="s">
        <v>123</v>
      </c>
      <c r="D3276" t="s">
        <v>14</v>
      </c>
      <c r="E3276" t="s">
        <v>138</v>
      </c>
      <c r="F3276" s="1">
        <v>42874</v>
      </c>
      <c r="G3276" s="1">
        <v>42913</v>
      </c>
      <c r="H3276">
        <v>63</v>
      </c>
      <c r="I3276" t="str">
        <f>IF(COUNTIF(Products!$A$2:$A$8,C3276)=0,C3276,"")</f>
        <v/>
      </c>
      <c r="J3276">
        <f>IF(OR(E3276="Prospecting",E3276="Engaging"),VLOOKUP(C3276,Products!$A$2:$C$8,3,FALSE),0)</f>
        <v>0</v>
      </c>
    </row>
    <row r="3277" spans="1:10" x14ac:dyDescent="0.25">
      <c r="A3277" t="s">
        <v>3444</v>
      </c>
      <c r="B3277" t="s">
        <v>222</v>
      </c>
      <c r="C3277" t="s">
        <v>125</v>
      </c>
      <c r="D3277" t="s">
        <v>69</v>
      </c>
      <c r="E3277" t="s">
        <v>159</v>
      </c>
      <c r="F3277" s="1">
        <v>42874</v>
      </c>
      <c r="G3277" s="1">
        <v>42875</v>
      </c>
      <c r="H3277">
        <v>0</v>
      </c>
      <c r="I3277" t="str">
        <f>IF(COUNTIF(Products!$A$2:$A$8,C3277)=0,C3277,"")</f>
        <v/>
      </c>
      <c r="J3277">
        <f>IF(OR(E3277="Prospecting",E3277="Engaging"),VLOOKUP(C3277,Products!$A$2:$C$8,3,FALSE),0)</f>
        <v>0</v>
      </c>
    </row>
    <row r="3278" spans="1:10" x14ac:dyDescent="0.25">
      <c r="A3278" t="s">
        <v>3445</v>
      </c>
      <c r="B3278" t="s">
        <v>207</v>
      </c>
      <c r="C3278" t="s">
        <v>127</v>
      </c>
      <c r="D3278" t="s">
        <v>112</v>
      </c>
      <c r="E3278" t="s">
        <v>159</v>
      </c>
      <c r="F3278" s="1">
        <v>42874</v>
      </c>
      <c r="G3278" s="1">
        <v>42887</v>
      </c>
      <c r="H3278">
        <v>0</v>
      </c>
      <c r="I3278" t="str">
        <f>IF(COUNTIF(Products!$A$2:$A$8,C3278)=0,C3278,"")</f>
        <v/>
      </c>
      <c r="J3278">
        <f>IF(OR(E3278="Prospecting",E3278="Engaging"),VLOOKUP(C3278,Products!$A$2:$C$8,3,FALSE),0)</f>
        <v>0</v>
      </c>
    </row>
    <row r="3279" spans="1:10" x14ac:dyDescent="0.25">
      <c r="A3279" t="s">
        <v>3446</v>
      </c>
      <c r="B3279" t="s">
        <v>207</v>
      </c>
      <c r="C3279" t="s">
        <v>127</v>
      </c>
      <c r="D3279" t="s">
        <v>10</v>
      </c>
      <c r="E3279" t="s">
        <v>138</v>
      </c>
      <c r="F3279" s="1">
        <v>42874</v>
      </c>
      <c r="G3279" s="1">
        <v>42966</v>
      </c>
      <c r="H3279">
        <v>1131</v>
      </c>
      <c r="I3279" t="str">
        <f>IF(COUNTIF(Products!$A$2:$A$8,C3279)=0,C3279,"")</f>
        <v/>
      </c>
      <c r="J3279">
        <f>IF(OR(E3279="Prospecting",E3279="Engaging"),VLOOKUP(C3279,Products!$A$2:$C$8,3,FALSE),0)</f>
        <v>0</v>
      </c>
    </row>
    <row r="3280" spans="1:10" x14ac:dyDescent="0.25">
      <c r="A3280" t="s">
        <v>3447</v>
      </c>
      <c r="B3280" t="s">
        <v>239</v>
      </c>
      <c r="C3280" t="s">
        <v>120</v>
      </c>
      <c r="D3280" t="s">
        <v>48</v>
      </c>
      <c r="E3280" t="s">
        <v>138</v>
      </c>
      <c r="F3280" s="1">
        <v>42874</v>
      </c>
      <c r="G3280" s="1">
        <v>42982</v>
      </c>
      <c r="H3280">
        <v>503</v>
      </c>
      <c r="I3280" t="str">
        <f>IF(COUNTIF(Products!$A$2:$A$8,C3280)=0,C3280,"")</f>
        <v/>
      </c>
      <c r="J3280">
        <f>IF(OR(E3280="Prospecting",E3280="Engaging"),VLOOKUP(C3280,Products!$A$2:$C$8,3,FALSE),0)</f>
        <v>0</v>
      </c>
    </row>
    <row r="3281" spans="1:10" x14ac:dyDescent="0.25">
      <c r="A3281" t="s">
        <v>3448</v>
      </c>
      <c r="B3281" t="s">
        <v>239</v>
      </c>
      <c r="C3281" t="s">
        <v>120</v>
      </c>
      <c r="D3281" t="s">
        <v>25</v>
      </c>
      <c r="E3281" t="s">
        <v>138</v>
      </c>
      <c r="F3281" s="1">
        <v>42874</v>
      </c>
      <c r="G3281" s="1">
        <v>42950</v>
      </c>
      <c r="H3281">
        <v>516</v>
      </c>
      <c r="I3281" t="str">
        <f>IF(COUNTIF(Products!$A$2:$A$8,C3281)=0,C3281,"")</f>
        <v/>
      </c>
      <c r="J3281">
        <f>IF(OR(E3281="Prospecting",E3281="Engaging"),VLOOKUP(C3281,Products!$A$2:$C$8,3,FALSE),0)</f>
        <v>0</v>
      </c>
    </row>
    <row r="3282" spans="1:10" x14ac:dyDescent="0.25">
      <c r="A3282" t="s">
        <v>3449</v>
      </c>
      <c r="B3282" t="s">
        <v>171</v>
      </c>
      <c r="C3282" t="s">
        <v>120</v>
      </c>
      <c r="D3282" t="s">
        <v>73</v>
      </c>
      <c r="E3282" t="s">
        <v>138</v>
      </c>
      <c r="F3282" s="1">
        <v>42874</v>
      </c>
      <c r="G3282" s="1">
        <v>42979</v>
      </c>
      <c r="H3282">
        <v>592</v>
      </c>
      <c r="I3282" t="str">
        <f>IF(COUNTIF(Products!$A$2:$A$8,C3282)=0,C3282,"")</f>
        <v/>
      </c>
      <c r="J3282">
        <f>IF(OR(E3282="Prospecting",E3282="Engaging"),VLOOKUP(C3282,Products!$A$2:$C$8,3,FALSE),0)</f>
        <v>0</v>
      </c>
    </row>
    <row r="3283" spans="1:10" x14ac:dyDescent="0.25">
      <c r="A3283" t="s">
        <v>3450</v>
      </c>
      <c r="B3283" t="s">
        <v>140</v>
      </c>
      <c r="C3283" t="s">
        <v>122</v>
      </c>
      <c r="D3283" t="s">
        <v>103</v>
      </c>
      <c r="E3283" t="s">
        <v>159</v>
      </c>
      <c r="F3283" s="1">
        <v>42874</v>
      </c>
      <c r="G3283" s="1">
        <v>42974</v>
      </c>
      <c r="H3283">
        <v>0</v>
      </c>
      <c r="I3283" t="str">
        <f>IF(COUNTIF(Products!$A$2:$A$8,C3283)=0,C3283,"")</f>
        <v/>
      </c>
      <c r="J3283">
        <f>IF(OR(E3283="Prospecting",E3283="Engaging"),VLOOKUP(C3283,Products!$A$2:$C$8,3,FALSE),0)</f>
        <v>0</v>
      </c>
    </row>
    <row r="3284" spans="1:10" x14ac:dyDescent="0.25">
      <c r="A3284" t="s">
        <v>3451</v>
      </c>
      <c r="B3284" t="s">
        <v>140</v>
      </c>
      <c r="C3284" t="s">
        <v>122</v>
      </c>
      <c r="D3284" t="s">
        <v>77</v>
      </c>
      <c r="E3284" t="s">
        <v>138</v>
      </c>
      <c r="F3284" s="1">
        <v>42874</v>
      </c>
      <c r="G3284" s="1">
        <v>42989</v>
      </c>
      <c r="H3284">
        <v>4914</v>
      </c>
      <c r="I3284" t="str">
        <f>IF(COUNTIF(Products!$A$2:$A$8,C3284)=0,C3284,"")</f>
        <v/>
      </c>
      <c r="J3284">
        <f>IF(OR(E3284="Prospecting",E3284="Engaging"),VLOOKUP(C3284,Products!$A$2:$C$8,3,FALSE),0)</f>
        <v>0</v>
      </c>
    </row>
    <row r="3285" spans="1:10" x14ac:dyDescent="0.25">
      <c r="A3285" t="s">
        <v>3452</v>
      </c>
      <c r="B3285" t="s">
        <v>224</v>
      </c>
      <c r="C3285" t="s">
        <v>120</v>
      </c>
      <c r="D3285" t="s">
        <v>27</v>
      </c>
      <c r="E3285" t="s">
        <v>138</v>
      </c>
      <c r="F3285" s="1">
        <v>42874</v>
      </c>
      <c r="G3285" s="1">
        <v>42887</v>
      </c>
      <c r="H3285">
        <v>564</v>
      </c>
      <c r="I3285" t="str">
        <f>IF(COUNTIF(Products!$A$2:$A$8,C3285)=0,C3285,"")</f>
        <v/>
      </c>
      <c r="J3285">
        <f>IF(OR(E3285="Prospecting",E3285="Engaging"),VLOOKUP(C3285,Products!$A$2:$C$8,3,FALSE),0)</f>
        <v>0</v>
      </c>
    </row>
    <row r="3286" spans="1:10" x14ac:dyDescent="0.25">
      <c r="A3286" t="s">
        <v>3453</v>
      </c>
      <c r="B3286" t="s">
        <v>173</v>
      </c>
      <c r="C3286" t="s">
        <v>123</v>
      </c>
      <c r="D3286" t="s">
        <v>67</v>
      </c>
      <c r="E3286" t="s">
        <v>159</v>
      </c>
      <c r="F3286" s="1">
        <v>42874</v>
      </c>
      <c r="G3286" s="1">
        <v>42882</v>
      </c>
      <c r="H3286">
        <v>0</v>
      </c>
      <c r="I3286" t="str">
        <f>IF(COUNTIF(Products!$A$2:$A$8,C3286)=0,C3286,"")</f>
        <v/>
      </c>
      <c r="J3286">
        <f>IF(OR(E3286="Prospecting",E3286="Engaging"),VLOOKUP(C3286,Products!$A$2:$C$8,3,FALSE),0)</f>
        <v>0</v>
      </c>
    </row>
    <row r="3287" spans="1:10" x14ac:dyDescent="0.25">
      <c r="A3287" t="s">
        <v>3454</v>
      </c>
      <c r="B3287" t="s">
        <v>164</v>
      </c>
      <c r="C3287" t="s">
        <v>127</v>
      </c>
      <c r="D3287" t="s">
        <v>47</v>
      </c>
      <c r="E3287" t="s">
        <v>138</v>
      </c>
      <c r="F3287" s="1">
        <v>42874</v>
      </c>
      <c r="G3287" s="1">
        <v>42887</v>
      </c>
      <c r="H3287">
        <v>964</v>
      </c>
      <c r="I3287" t="str">
        <f>IF(COUNTIF(Products!$A$2:$A$8,C3287)=0,C3287,"")</f>
        <v/>
      </c>
      <c r="J3287">
        <f>IF(OR(E3287="Prospecting",E3287="Engaging"),VLOOKUP(C3287,Products!$A$2:$C$8,3,FALSE),0)</f>
        <v>0</v>
      </c>
    </row>
    <row r="3288" spans="1:10" x14ac:dyDescent="0.25">
      <c r="A3288" t="s">
        <v>3455</v>
      </c>
      <c r="B3288" t="s">
        <v>303</v>
      </c>
      <c r="C3288" t="s">
        <v>122</v>
      </c>
      <c r="D3288" t="s">
        <v>89</v>
      </c>
      <c r="E3288" t="s">
        <v>159</v>
      </c>
      <c r="F3288" s="1">
        <v>42874</v>
      </c>
      <c r="G3288" s="1">
        <v>42987</v>
      </c>
      <c r="H3288">
        <v>0</v>
      </c>
      <c r="I3288" t="str">
        <f>IF(COUNTIF(Products!$A$2:$A$8,C3288)=0,C3288,"")</f>
        <v/>
      </c>
      <c r="J3288">
        <f>IF(OR(E3288="Prospecting",E3288="Engaging"),VLOOKUP(C3288,Products!$A$2:$C$8,3,FALSE),0)</f>
        <v>0</v>
      </c>
    </row>
    <row r="3289" spans="1:10" x14ac:dyDescent="0.25">
      <c r="A3289" t="s">
        <v>3456</v>
      </c>
      <c r="B3289" t="s">
        <v>303</v>
      </c>
      <c r="C3289" t="s">
        <v>120</v>
      </c>
      <c r="D3289" t="s">
        <v>46</v>
      </c>
      <c r="E3289" t="s">
        <v>138</v>
      </c>
      <c r="F3289" s="1">
        <v>42874</v>
      </c>
      <c r="G3289" s="1">
        <v>42888</v>
      </c>
      <c r="H3289">
        <v>583</v>
      </c>
      <c r="I3289" t="str">
        <f>IF(COUNTIF(Products!$A$2:$A$8,C3289)=0,C3289,"")</f>
        <v/>
      </c>
      <c r="J3289">
        <f>IF(OR(E3289="Prospecting",E3289="Engaging"),VLOOKUP(C3289,Products!$A$2:$C$8,3,FALSE),0)</f>
        <v>0</v>
      </c>
    </row>
    <row r="3290" spans="1:10" x14ac:dyDescent="0.25">
      <c r="A3290" t="s">
        <v>3457</v>
      </c>
      <c r="B3290" t="s">
        <v>180</v>
      </c>
      <c r="C3290" t="s">
        <v>120</v>
      </c>
      <c r="D3290" t="s">
        <v>53</v>
      </c>
      <c r="E3290" t="s">
        <v>155</v>
      </c>
      <c r="F3290" s="1">
        <v>42874</v>
      </c>
      <c r="I3290" t="str">
        <f>IF(COUNTIF(Products!$A$2:$A$8,C3290)=0,C3290,"")</f>
        <v/>
      </c>
      <c r="J3290">
        <f>IF(OR(E3290="Prospecting",E3290="Engaging"),VLOOKUP(C3290,Products!$A$2:$C$8,3,FALSE),0)</f>
        <v>550</v>
      </c>
    </row>
    <row r="3291" spans="1:10" x14ac:dyDescent="0.25">
      <c r="A3291" t="s">
        <v>3458</v>
      </c>
      <c r="B3291" t="s">
        <v>191</v>
      </c>
      <c r="C3291" t="s">
        <v>127</v>
      </c>
      <c r="E3291" t="s">
        <v>155</v>
      </c>
      <c r="F3291" s="1">
        <v>42874</v>
      </c>
      <c r="I3291" t="str">
        <f>IF(COUNTIF(Products!$A$2:$A$8,C3291)=0,C3291,"")</f>
        <v/>
      </c>
      <c r="J3291">
        <f>IF(OR(E3291="Prospecting",E3291="Engaging"),VLOOKUP(C3291,Products!$A$2:$C$8,3,FALSE),0)</f>
        <v>1096</v>
      </c>
    </row>
    <row r="3292" spans="1:10" x14ac:dyDescent="0.25">
      <c r="A3292" t="s">
        <v>3459</v>
      </c>
      <c r="B3292" t="s">
        <v>217</v>
      </c>
      <c r="C3292" t="s">
        <v>120</v>
      </c>
      <c r="D3292" t="s">
        <v>88</v>
      </c>
      <c r="E3292" t="s">
        <v>138</v>
      </c>
      <c r="F3292" s="1">
        <v>42874</v>
      </c>
      <c r="G3292" s="1">
        <v>42962</v>
      </c>
      <c r="H3292">
        <v>440</v>
      </c>
      <c r="I3292" t="str">
        <f>IF(COUNTIF(Products!$A$2:$A$8,C3292)=0,C3292,"")</f>
        <v/>
      </c>
      <c r="J3292">
        <f>IF(OR(E3292="Prospecting",E3292="Engaging"),VLOOKUP(C3292,Products!$A$2:$C$8,3,FALSE),0)</f>
        <v>0</v>
      </c>
    </row>
    <row r="3293" spans="1:10" x14ac:dyDescent="0.25">
      <c r="A3293" t="s">
        <v>3460</v>
      </c>
      <c r="B3293" t="s">
        <v>137</v>
      </c>
      <c r="C3293" t="s">
        <v>123</v>
      </c>
      <c r="D3293" t="s">
        <v>32</v>
      </c>
      <c r="E3293" t="s">
        <v>138</v>
      </c>
      <c r="F3293" s="1">
        <v>42874</v>
      </c>
      <c r="G3293" s="1">
        <v>42978</v>
      </c>
      <c r="H3293">
        <v>58</v>
      </c>
      <c r="I3293" t="str">
        <f>IF(COUNTIF(Products!$A$2:$A$8,C3293)=0,C3293,"")</f>
        <v/>
      </c>
      <c r="J3293">
        <f>IF(OR(E3293="Prospecting",E3293="Engaging"),VLOOKUP(C3293,Products!$A$2:$C$8,3,FALSE),0)</f>
        <v>0</v>
      </c>
    </row>
    <row r="3294" spans="1:10" x14ac:dyDescent="0.25">
      <c r="A3294" t="s">
        <v>3461</v>
      </c>
      <c r="B3294" t="s">
        <v>193</v>
      </c>
      <c r="C3294" t="s">
        <v>127</v>
      </c>
      <c r="D3294" t="s">
        <v>63</v>
      </c>
      <c r="E3294" t="s">
        <v>138</v>
      </c>
      <c r="F3294" s="1">
        <v>42874</v>
      </c>
      <c r="G3294" s="1">
        <v>42881</v>
      </c>
      <c r="H3294">
        <v>1093</v>
      </c>
      <c r="I3294" t="str">
        <f>IF(COUNTIF(Products!$A$2:$A$8,C3294)=0,C3294,"")</f>
        <v/>
      </c>
      <c r="J3294">
        <f>IF(OR(E3294="Prospecting",E3294="Engaging"),VLOOKUP(C3294,Products!$A$2:$C$8,3,FALSE),0)</f>
        <v>0</v>
      </c>
    </row>
    <row r="3295" spans="1:10" x14ac:dyDescent="0.25">
      <c r="A3295" t="s">
        <v>3462</v>
      </c>
      <c r="B3295" t="s">
        <v>177</v>
      </c>
      <c r="C3295" t="s">
        <v>125</v>
      </c>
      <c r="E3295" t="s">
        <v>155</v>
      </c>
      <c r="F3295" s="1">
        <v>42874</v>
      </c>
      <c r="I3295" t="str">
        <f>IF(COUNTIF(Products!$A$2:$A$8,C3295)=0,C3295,"")</f>
        <v/>
      </c>
      <c r="J3295">
        <f>IF(OR(E3295="Prospecting",E3295="Engaging"),VLOOKUP(C3295,Products!$A$2:$C$8,3,FALSE),0)</f>
        <v>3393</v>
      </c>
    </row>
    <row r="3296" spans="1:10" x14ac:dyDescent="0.25">
      <c r="A3296" t="s">
        <v>3463</v>
      </c>
      <c r="B3296" t="s">
        <v>177</v>
      </c>
      <c r="C3296" t="s">
        <v>127</v>
      </c>
      <c r="D3296" t="s">
        <v>35</v>
      </c>
      <c r="E3296" t="s">
        <v>159</v>
      </c>
      <c r="F3296" s="1">
        <v>42874</v>
      </c>
      <c r="G3296" s="1">
        <v>42959</v>
      </c>
      <c r="H3296">
        <v>0</v>
      </c>
      <c r="I3296" t="str">
        <f>IF(COUNTIF(Products!$A$2:$A$8,C3296)=0,C3296,"")</f>
        <v/>
      </c>
      <c r="J3296">
        <f>IF(OR(E3296="Prospecting",E3296="Engaging"),VLOOKUP(C3296,Products!$A$2:$C$8,3,FALSE),0)</f>
        <v>0</v>
      </c>
    </row>
    <row r="3297" spans="1:10" x14ac:dyDescent="0.25">
      <c r="A3297" t="s">
        <v>3464</v>
      </c>
      <c r="B3297" t="s">
        <v>146</v>
      </c>
      <c r="C3297" t="s">
        <v>125</v>
      </c>
      <c r="D3297" t="s">
        <v>85</v>
      </c>
      <c r="E3297" t="s">
        <v>159</v>
      </c>
      <c r="F3297" s="1">
        <v>42875</v>
      </c>
      <c r="G3297" s="1">
        <v>42948</v>
      </c>
      <c r="H3297">
        <v>0</v>
      </c>
      <c r="I3297" t="str">
        <f>IF(COUNTIF(Products!$A$2:$A$8,C3297)=0,C3297,"")</f>
        <v/>
      </c>
      <c r="J3297">
        <f>IF(OR(E3297="Prospecting",E3297="Engaging"),VLOOKUP(C3297,Products!$A$2:$C$8,3,FALSE),0)</f>
        <v>0</v>
      </c>
    </row>
    <row r="3298" spans="1:10" x14ac:dyDescent="0.25">
      <c r="A3298" t="s">
        <v>3465</v>
      </c>
      <c r="B3298" t="s">
        <v>222</v>
      </c>
      <c r="C3298" t="s">
        <v>126</v>
      </c>
      <c r="E3298" t="s">
        <v>155</v>
      </c>
      <c r="F3298" s="1">
        <v>42875</v>
      </c>
      <c r="I3298" t="str">
        <f>IF(COUNTIF(Products!$A$2:$A$8,C3298)=0,C3298,"")</f>
        <v/>
      </c>
      <c r="J3298">
        <f>IF(OR(E3298="Prospecting",E3298="Engaging"),VLOOKUP(C3298,Products!$A$2:$C$8,3,FALSE),0)</f>
        <v>5482</v>
      </c>
    </row>
    <row r="3299" spans="1:10" x14ac:dyDescent="0.25">
      <c r="A3299" t="s">
        <v>3466</v>
      </c>
      <c r="B3299" t="s">
        <v>222</v>
      </c>
      <c r="C3299" t="s">
        <v>120</v>
      </c>
      <c r="D3299" t="s">
        <v>112</v>
      </c>
      <c r="E3299" t="s">
        <v>138</v>
      </c>
      <c r="F3299" s="1">
        <v>42875</v>
      </c>
      <c r="G3299" s="1">
        <v>42882</v>
      </c>
      <c r="H3299">
        <v>529</v>
      </c>
      <c r="I3299" t="str">
        <f>IF(COUNTIF(Products!$A$2:$A$8,C3299)=0,C3299,"")</f>
        <v/>
      </c>
      <c r="J3299">
        <f>IF(OR(E3299="Prospecting",E3299="Engaging"),VLOOKUP(C3299,Products!$A$2:$C$8,3,FALSE),0)</f>
        <v>0</v>
      </c>
    </row>
    <row r="3300" spans="1:10" x14ac:dyDescent="0.25">
      <c r="A3300" t="s">
        <v>3467</v>
      </c>
      <c r="B3300" t="s">
        <v>207</v>
      </c>
      <c r="C3300" t="s">
        <v>122</v>
      </c>
      <c r="D3300" t="s">
        <v>98</v>
      </c>
      <c r="E3300" t="s">
        <v>138</v>
      </c>
      <c r="F3300" s="1">
        <v>42875</v>
      </c>
      <c r="G3300" s="1">
        <v>42879</v>
      </c>
      <c r="H3300">
        <v>4839</v>
      </c>
      <c r="I3300" t="str">
        <f>IF(COUNTIF(Products!$A$2:$A$8,C3300)=0,C3300,"")</f>
        <v/>
      </c>
      <c r="J3300">
        <f>IF(OR(E3300="Prospecting",E3300="Engaging"),VLOOKUP(C3300,Products!$A$2:$C$8,3,FALSE),0)</f>
        <v>0</v>
      </c>
    </row>
    <row r="3301" spans="1:10" x14ac:dyDescent="0.25">
      <c r="A3301" t="s">
        <v>3468</v>
      </c>
      <c r="B3301" t="s">
        <v>239</v>
      </c>
      <c r="C3301" t="s">
        <v>122</v>
      </c>
      <c r="E3301" t="s">
        <v>155</v>
      </c>
      <c r="F3301" s="1">
        <v>42875</v>
      </c>
      <c r="I3301" t="str">
        <f>IF(COUNTIF(Products!$A$2:$A$8,C3301)=0,C3301,"")</f>
        <v/>
      </c>
      <c r="J3301">
        <f>IF(OR(E3301="Prospecting",E3301="Engaging"),VLOOKUP(C3301,Products!$A$2:$C$8,3,FALSE),0)</f>
        <v>4821</v>
      </c>
    </row>
    <row r="3302" spans="1:10" x14ac:dyDescent="0.25">
      <c r="A3302" t="s">
        <v>3469</v>
      </c>
      <c r="B3302" t="s">
        <v>140</v>
      </c>
      <c r="C3302" t="s">
        <v>122</v>
      </c>
      <c r="D3302" t="s">
        <v>22</v>
      </c>
      <c r="E3302" t="s">
        <v>138</v>
      </c>
      <c r="F3302" s="1">
        <v>42875</v>
      </c>
      <c r="G3302" s="1">
        <v>43005</v>
      </c>
      <c r="H3302">
        <v>5961</v>
      </c>
      <c r="I3302" t="str">
        <f>IF(COUNTIF(Products!$A$2:$A$8,C3302)=0,C3302,"")</f>
        <v/>
      </c>
      <c r="J3302">
        <f>IF(OR(E3302="Prospecting",E3302="Engaging"),VLOOKUP(C3302,Products!$A$2:$C$8,3,FALSE),0)</f>
        <v>0</v>
      </c>
    </row>
    <row r="3303" spans="1:10" x14ac:dyDescent="0.25">
      <c r="A3303" t="s">
        <v>3470</v>
      </c>
      <c r="B3303" t="s">
        <v>140</v>
      </c>
      <c r="C3303" t="s">
        <v>122</v>
      </c>
      <c r="D3303" t="s">
        <v>55</v>
      </c>
      <c r="E3303" t="s">
        <v>138</v>
      </c>
      <c r="F3303" s="1">
        <v>42875</v>
      </c>
      <c r="G3303" s="1">
        <v>42956</v>
      </c>
      <c r="H3303">
        <v>5647</v>
      </c>
      <c r="I3303" t="str">
        <f>IF(COUNTIF(Products!$A$2:$A$8,C3303)=0,C3303,"")</f>
        <v/>
      </c>
      <c r="J3303">
        <f>IF(OR(E3303="Prospecting",E3303="Engaging"),VLOOKUP(C3303,Products!$A$2:$C$8,3,FALSE),0)</f>
        <v>0</v>
      </c>
    </row>
    <row r="3304" spans="1:10" x14ac:dyDescent="0.25">
      <c r="A3304" t="s">
        <v>3471</v>
      </c>
      <c r="B3304" t="s">
        <v>140</v>
      </c>
      <c r="C3304" t="s">
        <v>123</v>
      </c>
      <c r="D3304" t="s">
        <v>103</v>
      </c>
      <c r="E3304" t="s">
        <v>138</v>
      </c>
      <c r="F3304" s="1">
        <v>42875</v>
      </c>
      <c r="G3304" s="1">
        <v>42965</v>
      </c>
      <c r="H3304">
        <v>56</v>
      </c>
      <c r="I3304" t="str">
        <f>IF(COUNTIF(Products!$A$2:$A$8,C3304)=0,C3304,"")</f>
        <v/>
      </c>
      <c r="J3304">
        <f>IF(OR(E3304="Prospecting",E3304="Engaging"),VLOOKUP(C3304,Products!$A$2:$C$8,3,FALSE),0)</f>
        <v>0</v>
      </c>
    </row>
    <row r="3305" spans="1:10" x14ac:dyDescent="0.25">
      <c r="A3305" t="s">
        <v>3472</v>
      </c>
      <c r="B3305" t="s">
        <v>224</v>
      </c>
      <c r="C3305" t="s">
        <v>120</v>
      </c>
      <c r="D3305" t="s">
        <v>112</v>
      </c>
      <c r="E3305" t="s">
        <v>159</v>
      </c>
      <c r="F3305" s="1">
        <v>42875</v>
      </c>
      <c r="G3305" s="1">
        <v>42952</v>
      </c>
      <c r="H3305">
        <v>0</v>
      </c>
      <c r="I3305" t="str">
        <f>IF(COUNTIF(Products!$A$2:$A$8,C3305)=0,C3305,"")</f>
        <v/>
      </c>
      <c r="J3305">
        <f>IF(OR(E3305="Prospecting",E3305="Engaging"),VLOOKUP(C3305,Products!$A$2:$C$8,3,FALSE),0)</f>
        <v>0</v>
      </c>
    </row>
    <row r="3306" spans="1:10" x14ac:dyDescent="0.25">
      <c r="A3306" t="s">
        <v>3473</v>
      </c>
      <c r="B3306" t="s">
        <v>224</v>
      </c>
      <c r="C3306" t="s">
        <v>122</v>
      </c>
      <c r="D3306" t="s">
        <v>67</v>
      </c>
      <c r="E3306" t="s">
        <v>159</v>
      </c>
      <c r="F3306" s="1">
        <v>42875</v>
      </c>
      <c r="G3306" s="1">
        <v>42953</v>
      </c>
      <c r="H3306">
        <v>0</v>
      </c>
      <c r="I3306" t="str">
        <f>IF(COUNTIF(Products!$A$2:$A$8,C3306)=0,C3306,"")</f>
        <v/>
      </c>
      <c r="J3306">
        <f>IF(OR(E3306="Prospecting",E3306="Engaging"),VLOOKUP(C3306,Products!$A$2:$C$8,3,FALSE),0)</f>
        <v>0</v>
      </c>
    </row>
    <row r="3307" spans="1:10" x14ac:dyDescent="0.25">
      <c r="A3307" t="s">
        <v>3474</v>
      </c>
      <c r="B3307" t="s">
        <v>198</v>
      </c>
      <c r="C3307" t="s">
        <v>120</v>
      </c>
      <c r="D3307" t="s">
        <v>67</v>
      </c>
      <c r="E3307" t="s">
        <v>138</v>
      </c>
      <c r="F3307" s="1">
        <v>42875</v>
      </c>
      <c r="G3307" s="1">
        <v>42965</v>
      </c>
      <c r="H3307">
        <v>492</v>
      </c>
      <c r="I3307" t="str">
        <f>IF(COUNTIF(Products!$A$2:$A$8,C3307)=0,C3307,"")</f>
        <v/>
      </c>
      <c r="J3307">
        <f>IF(OR(E3307="Prospecting",E3307="Engaging"),VLOOKUP(C3307,Products!$A$2:$C$8,3,FALSE),0)</f>
        <v>0</v>
      </c>
    </row>
    <row r="3308" spans="1:10" x14ac:dyDescent="0.25">
      <c r="A3308" t="s">
        <v>3475</v>
      </c>
      <c r="B3308" t="s">
        <v>158</v>
      </c>
      <c r="C3308" t="s">
        <v>123</v>
      </c>
      <c r="D3308" t="s">
        <v>95</v>
      </c>
      <c r="E3308" t="s">
        <v>138</v>
      </c>
      <c r="F3308" s="1">
        <v>42875</v>
      </c>
      <c r="G3308" s="1">
        <v>42978</v>
      </c>
      <c r="H3308">
        <v>68</v>
      </c>
      <c r="I3308" t="str">
        <f>IF(COUNTIF(Products!$A$2:$A$8,C3308)=0,C3308,"")</f>
        <v/>
      </c>
      <c r="J3308">
        <f>IF(OR(E3308="Prospecting",E3308="Engaging"),VLOOKUP(C3308,Products!$A$2:$C$8,3,FALSE),0)</f>
        <v>0</v>
      </c>
    </row>
    <row r="3309" spans="1:10" x14ac:dyDescent="0.25">
      <c r="A3309" t="s">
        <v>3476</v>
      </c>
      <c r="B3309" t="s">
        <v>164</v>
      </c>
      <c r="C3309" t="s">
        <v>125</v>
      </c>
      <c r="D3309" t="s">
        <v>59</v>
      </c>
      <c r="E3309" t="s">
        <v>138</v>
      </c>
      <c r="F3309" s="1">
        <v>42875</v>
      </c>
      <c r="G3309" s="1">
        <v>42992</v>
      </c>
      <c r="H3309">
        <v>3728</v>
      </c>
      <c r="I3309" t="str">
        <f>IF(COUNTIF(Products!$A$2:$A$8,C3309)=0,C3309,"")</f>
        <v/>
      </c>
      <c r="J3309">
        <f>IF(OR(E3309="Prospecting",E3309="Engaging"),VLOOKUP(C3309,Products!$A$2:$C$8,3,FALSE),0)</f>
        <v>0</v>
      </c>
    </row>
    <row r="3310" spans="1:10" x14ac:dyDescent="0.25">
      <c r="A3310" t="s">
        <v>3477</v>
      </c>
      <c r="B3310" t="s">
        <v>180</v>
      </c>
      <c r="C3310" t="s">
        <v>127</v>
      </c>
      <c r="D3310" t="s">
        <v>83</v>
      </c>
      <c r="E3310" t="s">
        <v>138</v>
      </c>
      <c r="F3310" s="1">
        <v>42875</v>
      </c>
      <c r="G3310" s="1">
        <v>42991</v>
      </c>
      <c r="H3310">
        <v>1082</v>
      </c>
      <c r="I3310" t="str">
        <f>IF(COUNTIF(Products!$A$2:$A$8,C3310)=0,C3310,"")</f>
        <v/>
      </c>
      <c r="J3310">
        <f>IF(OR(E3310="Prospecting",E3310="Engaging"),VLOOKUP(C3310,Products!$A$2:$C$8,3,FALSE),0)</f>
        <v>0</v>
      </c>
    </row>
    <row r="3311" spans="1:10" x14ac:dyDescent="0.25">
      <c r="A3311" t="s">
        <v>3478</v>
      </c>
      <c r="B3311" t="s">
        <v>191</v>
      </c>
      <c r="C3311" t="s">
        <v>127</v>
      </c>
      <c r="D3311" t="s">
        <v>60</v>
      </c>
      <c r="E3311" t="s">
        <v>159</v>
      </c>
      <c r="F3311" s="1">
        <v>42875</v>
      </c>
      <c r="G3311" s="1">
        <v>42968</v>
      </c>
      <c r="H3311">
        <v>0</v>
      </c>
      <c r="I3311" t="str">
        <f>IF(COUNTIF(Products!$A$2:$A$8,C3311)=0,C3311,"")</f>
        <v/>
      </c>
      <c r="J3311">
        <f>IF(OR(E3311="Prospecting",E3311="Engaging"),VLOOKUP(C3311,Products!$A$2:$C$8,3,FALSE),0)</f>
        <v>0</v>
      </c>
    </row>
    <row r="3312" spans="1:10" x14ac:dyDescent="0.25">
      <c r="A3312" t="s">
        <v>3479</v>
      </c>
      <c r="B3312" t="s">
        <v>217</v>
      </c>
      <c r="C3312" t="s">
        <v>120</v>
      </c>
      <c r="D3312" t="s">
        <v>46</v>
      </c>
      <c r="E3312" t="s">
        <v>138</v>
      </c>
      <c r="F3312" s="1">
        <v>42875</v>
      </c>
      <c r="G3312" s="1">
        <v>42952</v>
      </c>
      <c r="H3312">
        <v>557</v>
      </c>
      <c r="I3312" t="str">
        <f>IF(COUNTIF(Products!$A$2:$A$8,C3312)=0,C3312,"")</f>
        <v/>
      </c>
      <c r="J3312">
        <f>IF(OR(E3312="Prospecting",E3312="Engaging"),VLOOKUP(C3312,Products!$A$2:$C$8,3,FALSE),0)</f>
        <v>0</v>
      </c>
    </row>
    <row r="3313" spans="1:10" x14ac:dyDescent="0.25">
      <c r="A3313" t="s">
        <v>3480</v>
      </c>
      <c r="B3313" t="s">
        <v>152</v>
      </c>
      <c r="C3313" t="s">
        <v>123</v>
      </c>
      <c r="D3313" t="s">
        <v>36</v>
      </c>
      <c r="E3313" t="s">
        <v>138</v>
      </c>
      <c r="F3313" s="1">
        <v>42875</v>
      </c>
      <c r="G3313" s="1">
        <v>42956</v>
      </c>
      <c r="H3313">
        <v>60</v>
      </c>
      <c r="I3313" t="str">
        <f>IF(COUNTIF(Products!$A$2:$A$8,C3313)=0,C3313,"")</f>
        <v/>
      </c>
      <c r="J3313">
        <f>IF(OR(E3313="Prospecting",E3313="Engaging"),VLOOKUP(C3313,Products!$A$2:$C$8,3,FALSE),0)</f>
        <v>0</v>
      </c>
    </row>
    <row r="3314" spans="1:10" x14ac:dyDescent="0.25">
      <c r="A3314" t="s">
        <v>3481</v>
      </c>
      <c r="B3314" t="s">
        <v>169</v>
      </c>
      <c r="C3314" t="s">
        <v>126</v>
      </c>
      <c r="D3314" t="s">
        <v>91</v>
      </c>
      <c r="E3314" t="s">
        <v>138</v>
      </c>
      <c r="F3314" s="1">
        <v>42875</v>
      </c>
      <c r="G3314" s="1">
        <v>42880</v>
      </c>
      <c r="H3314">
        <v>5046</v>
      </c>
      <c r="I3314" t="str">
        <f>IF(COUNTIF(Products!$A$2:$A$8,C3314)=0,C3314,"")</f>
        <v/>
      </c>
      <c r="J3314">
        <f>IF(OR(E3314="Prospecting",E3314="Engaging"),VLOOKUP(C3314,Products!$A$2:$C$8,3,FALSE),0)</f>
        <v>0</v>
      </c>
    </row>
    <row r="3315" spans="1:10" x14ac:dyDescent="0.25">
      <c r="A3315" t="s">
        <v>3482</v>
      </c>
      <c r="B3315" t="s">
        <v>169</v>
      </c>
      <c r="C3315" t="s">
        <v>123</v>
      </c>
      <c r="D3315" t="s">
        <v>55</v>
      </c>
      <c r="E3315" t="s">
        <v>138</v>
      </c>
      <c r="F3315" s="1">
        <v>42875</v>
      </c>
      <c r="G3315" s="1">
        <v>42951</v>
      </c>
      <c r="H3315">
        <v>53</v>
      </c>
      <c r="I3315" t="str">
        <f>IF(COUNTIF(Products!$A$2:$A$8,C3315)=0,C3315,"")</f>
        <v/>
      </c>
      <c r="J3315">
        <f>IF(OR(E3315="Prospecting",E3315="Engaging"),VLOOKUP(C3315,Products!$A$2:$C$8,3,FALSE),0)</f>
        <v>0</v>
      </c>
    </row>
    <row r="3316" spans="1:10" x14ac:dyDescent="0.25">
      <c r="A3316" t="s">
        <v>3483</v>
      </c>
      <c r="B3316" t="s">
        <v>169</v>
      </c>
      <c r="C3316" t="s">
        <v>125</v>
      </c>
      <c r="D3316" t="s">
        <v>94</v>
      </c>
      <c r="E3316" t="s">
        <v>138</v>
      </c>
      <c r="F3316" s="1">
        <v>42875</v>
      </c>
      <c r="G3316" s="1">
        <v>42896</v>
      </c>
      <c r="H3316">
        <v>2807</v>
      </c>
      <c r="I3316" t="str">
        <f>IF(COUNTIF(Products!$A$2:$A$8,C3316)=0,C3316,"")</f>
        <v/>
      </c>
      <c r="J3316">
        <f>IF(OR(E3316="Prospecting",E3316="Engaging"),VLOOKUP(C3316,Products!$A$2:$C$8,3,FALSE),0)</f>
        <v>0</v>
      </c>
    </row>
    <row r="3317" spans="1:10" x14ac:dyDescent="0.25">
      <c r="A3317" t="s">
        <v>3484</v>
      </c>
      <c r="B3317" t="s">
        <v>148</v>
      </c>
      <c r="C3317" t="s">
        <v>122</v>
      </c>
      <c r="D3317" t="s">
        <v>82</v>
      </c>
      <c r="E3317" t="s">
        <v>159</v>
      </c>
      <c r="F3317" s="1">
        <v>42875</v>
      </c>
      <c r="G3317" s="1">
        <v>42970</v>
      </c>
      <c r="H3317">
        <v>0</v>
      </c>
      <c r="I3317" t="str">
        <f>IF(COUNTIF(Products!$A$2:$A$8,C3317)=0,C3317,"")</f>
        <v/>
      </c>
      <c r="J3317">
        <f>IF(OR(E3317="Prospecting",E3317="Engaging"),VLOOKUP(C3317,Products!$A$2:$C$8,3,FALSE),0)</f>
        <v>0</v>
      </c>
    </row>
    <row r="3318" spans="1:10" x14ac:dyDescent="0.25">
      <c r="A3318" t="s">
        <v>3485</v>
      </c>
      <c r="B3318" t="s">
        <v>144</v>
      </c>
      <c r="C3318" t="s">
        <v>122</v>
      </c>
      <c r="D3318" t="s">
        <v>83</v>
      </c>
      <c r="E3318" t="s">
        <v>159</v>
      </c>
      <c r="F3318" s="1">
        <v>42875</v>
      </c>
      <c r="G3318" s="1">
        <v>42885</v>
      </c>
      <c r="H3318">
        <v>0</v>
      </c>
      <c r="I3318" t="str">
        <f>IF(COUNTIF(Products!$A$2:$A$8,C3318)=0,C3318,"")</f>
        <v/>
      </c>
      <c r="J3318">
        <f>IF(OR(E3318="Prospecting",E3318="Engaging"),VLOOKUP(C3318,Products!$A$2:$C$8,3,FALSE),0)</f>
        <v>0</v>
      </c>
    </row>
    <row r="3319" spans="1:10" x14ac:dyDescent="0.25">
      <c r="A3319" t="s">
        <v>3486</v>
      </c>
      <c r="B3319" t="s">
        <v>146</v>
      </c>
      <c r="C3319" t="s">
        <v>120</v>
      </c>
      <c r="D3319" t="s">
        <v>14</v>
      </c>
      <c r="E3319" t="s">
        <v>138</v>
      </c>
      <c r="F3319" s="1">
        <v>42876</v>
      </c>
      <c r="G3319" s="1">
        <v>42958</v>
      </c>
      <c r="H3319">
        <v>475</v>
      </c>
      <c r="I3319" t="str">
        <f>IF(COUNTIF(Products!$A$2:$A$8,C3319)=0,C3319,"")</f>
        <v/>
      </c>
      <c r="J3319">
        <f>IF(OR(E3319="Prospecting",E3319="Engaging"),VLOOKUP(C3319,Products!$A$2:$C$8,3,FALSE),0)</f>
        <v>0</v>
      </c>
    </row>
    <row r="3320" spans="1:10" x14ac:dyDescent="0.25">
      <c r="A3320" t="s">
        <v>3487</v>
      </c>
      <c r="B3320" t="s">
        <v>146</v>
      </c>
      <c r="C3320" t="s">
        <v>125</v>
      </c>
      <c r="D3320" t="s">
        <v>88</v>
      </c>
      <c r="E3320" t="s">
        <v>138</v>
      </c>
      <c r="F3320" s="1">
        <v>42876</v>
      </c>
      <c r="G3320" s="1">
        <v>42950</v>
      </c>
      <c r="H3320">
        <v>3031</v>
      </c>
      <c r="I3320" t="str">
        <f>IF(COUNTIF(Products!$A$2:$A$8,C3320)=0,C3320,"")</f>
        <v/>
      </c>
      <c r="J3320">
        <f>IF(OR(E3320="Prospecting",E3320="Engaging"),VLOOKUP(C3320,Products!$A$2:$C$8,3,FALSE),0)</f>
        <v>0</v>
      </c>
    </row>
    <row r="3321" spans="1:10" x14ac:dyDescent="0.25">
      <c r="A3321" t="s">
        <v>3488</v>
      </c>
      <c r="B3321" t="s">
        <v>222</v>
      </c>
      <c r="C3321" t="s">
        <v>123</v>
      </c>
      <c r="D3321" t="s">
        <v>80</v>
      </c>
      <c r="E3321" t="s">
        <v>138</v>
      </c>
      <c r="F3321" s="1">
        <v>42876</v>
      </c>
      <c r="G3321" s="1">
        <v>42956</v>
      </c>
      <c r="H3321">
        <v>53</v>
      </c>
      <c r="I3321" t="str">
        <f>IF(COUNTIF(Products!$A$2:$A$8,C3321)=0,C3321,"")</f>
        <v/>
      </c>
      <c r="J3321">
        <f>IF(OR(E3321="Prospecting",E3321="Engaging"),VLOOKUP(C3321,Products!$A$2:$C$8,3,FALSE),0)</f>
        <v>0</v>
      </c>
    </row>
    <row r="3322" spans="1:10" x14ac:dyDescent="0.25">
      <c r="A3322" t="s">
        <v>3489</v>
      </c>
      <c r="B3322" t="s">
        <v>207</v>
      </c>
      <c r="C3322" t="s">
        <v>127</v>
      </c>
      <c r="D3322" t="s">
        <v>108</v>
      </c>
      <c r="E3322" t="s">
        <v>138</v>
      </c>
      <c r="F3322" s="1">
        <v>42876</v>
      </c>
      <c r="G3322" s="1">
        <v>42890</v>
      </c>
      <c r="H3322">
        <v>1112</v>
      </c>
      <c r="I3322" t="str">
        <f>IF(COUNTIF(Products!$A$2:$A$8,C3322)=0,C3322,"")</f>
        <v/>
      </c>
      <c r="J3322">
        <f>IF(OR(E3322="Prospecting",E3322="Engaging"),VLOOKUP(C3322,Products!$A$2:$C$8,3,FALSE),0)</f>
        <v>0</v>
      </c>
    </row>
    <row r="3323" spans="1:10" x14ac:dyDescent="0.25">
      <c r="A3323" t="s">
        <v>3490</v>
      </c>
      <c r="B3323" t="s">
        <v>239</v>
      </c>
      <c r="C3323" t="s">
        <v>120</v>
      </c>
      <c r="D3323" t="s">
        <v>104</v>
      </c>
      <c r="E3323" t="s">
        <v>155</v>
      </c>
      <c r="F3323" s="1">
        <v>42876</v>
      </c>
      <c r="I3323" t="str">
        <f>IF(COUNTIF(Products!$A$2:$A$8,C3323)=0,C3323,"")</f>
        <v/>
      </c>
      <c r="J3323">
        <f>IF(OR(E3323="Prospecting",E3323="Engaging"),VLOOKUP(C3323,Products!$A$2:$C$8,3,FALSE),0)</f>
        <v>550</v>
      </c>
    </row>
    <row r="3324" spans="1:10" x14ac:dyDescent="0.25">
      <c r="A3324" t="s">
        <v>3491</v>
      </c>
      <c r="B3324" t="s">
        <v>171</v>
      </c>
      <c r="C3324" t="s">
        <v>122</v>
      </c>
      <c r="D3324" t="s">
        <v>110</v>
      </c>
      <c r="E3324" t="s">
        <v>138</v>
      </c>
      <c r="F3324" s="1">
        <v>42876</v>
      </c>
      <c r="G3324" s="1">
        <v>42989</v>
      </c>
      <c r="H3324">
        <v>4491</v>
      </c>
      <c r="I3324" t="str">
        <f>IF(COUNTIF(Products!$A$2:$A$8,C3324)=0,C3324,"")</f>
        <v/>
      </c>
      <c r="J3324">
        <f>IF(OR(E3324="Prospecting",E3324="Engaging"),VLOOKUP(C3324,Products!$A$2:$C$8,3,FALSE),0)</f>
        <v>0</v>
      </c>
    </row>
    <row r="3325" spans="1:10" x14ac:dyDescent="0.25">
      <c r="A3325" t="s">
        <v>3492</v>
      </c>
      <c r="B3325" t="s">
        <v>173</v>
      </c>
      <c r="C3325" t="s">
        <v>120</v>
      </c>
      <c r="D3325" t="s">
        <v>17</v>
      </c>
      <c r="E3325" t="s">
        <v>138</v>
      </c>
      <c r="F3325" s="1">
        <v>42876</v>
      </c>
      <c r="G3325" s="1">
        <v>42892</v>
      </c>
      <c r="H3325">
        <v>562</v>
      </c>
      <c r="I3325" t="str">
        <f>IF(COUNTIF(Products!$A$2:$A$8,C3325)=0,C3325,"")</f>
        <v/>
      </c>
      <c r="J3325">
        <f>IF(OR(E3325="Prospecting",E3325="Engaging"),VLOOKUP(C3325,Products!$A$2:$C$8,3,FALSE),0)</f>
        <v>0</v>
      </c>
    </row>
    <row r="3326" spans="1:10" x14ac:dyDescent="0.25">
      <c r="A3326" t="s">
        <v>3493</v>
      </c>
      <c r="B3326" t="s">
        <v>154</v>
      </c>
      <c r="C3326" t="s">
        <v>120</v>
      </c>
      <c r="D3326" t="s">
        <v>87</v>
      </c>
      <c r="E3326" t="s">
        <v>138</v>
      </c>
      <c r="F3326" s="1">
        <v>42876</v>
      </c>
      <c r="G3326" s="1">
        <v>42890</v>
      </c>
      <c r="H3326">
        <v>593</v>
      </c>
      <c r="I3326" t="str">
        <f>IF(COUNTIF(Products!$A$2:$A$8,C3326)=0,C3326,"")</f>
        <v/>
      </c>
      <c r="J3326">
        <f>IF(OR(E3326="Prospecting",E3326="Engaging"),VLOOKUP(C3326,Products!$A$2:$C$8,3,FALSE),0)</f>
        <v>0</v>
      </c>
    </row>
    <row r="3327" spans="1:10" x14ac:dyDescent="0.25">
      <c r="A3327" t="s">
        <v>3494</v>
      </c>
      <c r="B3327" t="s">
        <v>303</v>
      </c>
      <c r="C3327" t="s">
        <v>122</v>
      </c>
      <c r="D3327" t="s">
        <v>61</v>
      </c>
      <c r="E3327" t="s">
        <v>138</v>
      </c>
      <c r="F3327" s="1">
        <v>42876</v>
      </c>
      <c r="G3327" s="1">
        <v>42977</v>
      </c>
      <c r="H3327">
        <v>4606</v>
      </c>
      <c r="I3327" t="str">
        <f>IF(COUNTIF(Products!$A$2:$A$8,C3327)=0,C3327,"")</f>
        <v/>
      </c>
      <c r="J3327">
        <f>IF(OR(E3327="Prospecting",E3327="Engaging"),VLOOKUP(C3327,Products!$A$2:$C$8,3,FALSE),0)</f>
        <v>0</v>
      </c>
    </row>
    <row r="3328" spans="1:10" x14ac:dyDescent="0.25">
      <c r="A3328" t="s">
        <v>3495</v>
      </c>
      <c r="B3328" t="s">
        <v>180</v>
      </c>
      <c r="C3328" t="s">
        <v>127</v>
      </c>
      <c r="D3328" t="s">
        <v>39</v>
      </c>
      <c r="E3328" t="s">
        <v>138</v>
      </c>
      <c r="F3328" s="1">
        <v>42876</v>
      </c>
      <c r="G3328" s="1">
        <v>42958</v>
      </c>
      <c r="H3328">
        <v>1100</v>
      </c>
      <c r="I3328" t="str">
        <f>IF(COUNTIF(Products!$A$2:$A$8,C3328)=0,C3328,"")</f>
        <v/>
      </c>
      <c r="J3328">
        <f>IF(OR(E3328="Prospecting",E3328="Engaging"),VLOOKUP(C3328,Products!$A$2:$C$8,3,FALSE),0)</f>
        <v>0</v>
      </c>
    </row>
    <row r="3329" spans="1:10" x14ac:dyDescent="0.25">
      <c r="A3329" t="s">
        <v>3496</v>
      </c>
      <c r="B3329" t="s">
        <v>180</v>
      </c>
      <c r="C3329" t="s">
        <v>127</v>
      </c>
      <c r="D3329" t="s">
        <v>90</v>
      </c>
      <c r="E3329" t="s">
        <v>138</v>
      </c>
      <c r="F3329" s="1">
        <v>42876</v>
      </c>
      <c r="G3329" s="1">
        <v>42965</v>
      </c>
      <c r="H3329">
        <v>1198</v>
      </c>
      <c r="I3329" t="str">
        <f>IF(COUNTIF(Products!$A$2:$A$8,C3329)=0,C3329,"")</f>
        <v/>
      </c>
      <c r="J3329">
        <f>IF(OR(E3329="Prospecting",E3329="Engaging"),VLOOKUP(C3329,Products!$A$2:$C$8,3,FALSE),0)</f>
        <v>0</v>
      </c>
    </row>
    <row r="3330" spans="1:10" x14ac:dyDescent="0.25">
      <c r="A3330" t="s">
        <v>3497</v>
      </c>
      <c r="B3330" t="s">
        <v>191</v>
      </c>
      <c r="C3330" t="s">
        <v>120</v>
      </c>
      <c r="E3330" t="s">
        <v>155</v>
      </c>
      <c r="F3330" s="1">
        <v>42876</v>
      </c>
      <c r="I3330" t="str">
        <f>IF(COUNTIF(Products!$A$2:$A$8,C3330)=0,C3330,"")</f>
        <v/>
      </c>
      <c r="J3330">
        <f>IF(OR(E3330="Prospecting",E3330="Engaging"),VLOOKUP(C3330,Products!$A$2:$C$8,3,FALSE),0)</f>
        <v>550</v>
      </c>
    </row>
    <row r="3331" spans="1:10" x14ac:dyDescent="0.25">
      <c r="A3331" t="s">
        <v>3498</v>
      </c>
      <c r="B3331" t="s">
        <v>191</v>
      </c>
      <c r="C3331" t="s">
        <v>126</v>
      </c>
      <c r="E3331" t="s">
        <v>155</v>
      </c>
      <c r="F3331" s="1">
        <v>42876</v>
      </c>
      <c r="I3331" t="str">
        <f>IF(COUNTIF(Products!$A$2:$A$8,C3331)=0,C3331,"")</f>
        <v/>
      </c>
      <c r="J3331">
        <f>IF(OR(E3331="Prospecting",E3331="Engaging"),VLOOKUP(C3331,Products!$A$2:$C$8,3,FALSE),0)</f>
        <v>5482</v>
      </c>
    </row>
    <row r="3332" spans="1:10" x14ac:dyDescent="0.25">
      <c r="A3332" t="s">
        <v>3499</v>
      </c>
      <c r="B3332" t="s">
        <v>217</v>
      </c>
      <c r="C3332" t="s">
        <v>125</v>
      </c>
      <c r="D3332" t="s">
        <v>36</v>
      </c>
      <c r="E3332" t="s">
        <v>138</v>
      </c>
      <c r="F3332" s="1">
        <v>42876</v>
      </c>
      <c r="G3332" s="1">
        <v>42967</v>
      </c>
      <c r="H3332">
        <v>3250</v>
      </c>
      <c r="I3332" t="str">
        <f>IF(COUNTIF(Products!$A$2:$A$8,C3332)=0,C3332,"")</f>
        <v/>
      </c>
      <c r="J3332">
        <f>IF(OR(E3332="Prospecting",E3332="Engaging"),VLOOKUP(C3332,Products!$A$2:$C$8,3,FALSE),0)</f>
        <v>0</v>
      </c>
    </row>
    <row r="3333" spans="1:10" x14ac:dyDescent="0.25">
      <c r="A3333" t="s">
        <v>3500</v>
      </c>
      <c r="B3333" t="s">
        <v>205</v>
      </c>
      <c r="C3333" t="s">
        <v>125</v>
      </c>
      <c r="D3333" t="s">
        <v>104</v>
      </c>
      <c r="E3333" t="s">
        <v>138</v>
      </c>
      <c r="F3333" s="1">
        <v>42876</v>
      </c>
      <c r="G3333" s="1">
        <v>42983</v>
      </c>
      <c r="H3333">
        <v>2785</v>
      </c>
      <c r="I3333" t="str">
        <f>IF(COUNTIF(Products!$A$2:$A$8,C3333)=0,C3333,"")</f>
        <v/>
      </c>
      <c r="J3333">
        <f>IF(OR(E3333="Prospecting",E3333="Engaging"),VLOOKUP(C3333,Products!$A$2:$C$8,3,FALSE),0)</f>
        <v>0</v>
      </c>
    </row>
    <row r="3334" spans="1:10" x14ac:dyDescent="0.25">
      <c r="A3334" t="s">
        <v>3501</v>
      </c>
      <c r="B3334" t="s">
        <v>162</v>
      </c>
      <c r="C3334" t="s">
        <v>123</v>
      </c>
      <c r="D3334" t="s">
        <v>90</v>
      </c>
      <c r="E3334" t="s">
        <v>138</v>
      </c>
      <c r="F3334" s="1">
        <v>42876</v>
      </c>
      <c r="G3334" s="1">
        <v>42958</v>
      </c>
      <c r="H3334">
        <v>49</v>
      </c>
      <c r="I3334" t="str">
        <f>IF(COUNTIF(Products!$A$2:$A$8,C3334)=0,C3334,"")</f>
        <v/>
      </c>
      <c r="J3334">
        <f>IF(OR(E3334="Prospecting",E3334="Engaging"),VLOOKUP(C3334,Products!$A$2:$C$8,3,FALSE),0)</f>
        <v>0</v>
      </c>
    </row>
    <row r="3335" spans="1:10" x14ac:dyDescent="0.25">
      <c r="A3335" t="s">
        <v>3502</v>
      </c>
      <c r="B3335" t="s">
        <v>137</v>
      </c>
      <c r="C3335" t="s">
        <v>125</v>
      </c>
      <c r="D3335" t="s">
        <v>32</v>
      </c>
      <c r="E3335" t="s">
        <v>159</v>
      </c>
      <c r="F3335" s="1">
        <v>42876</v>
      </c>
      <c r="G3335" s="1">
        <v>42880</v>
      </c>
      <c r="H3335">
        <v>0</v>
      </c>
      <c r="I3335" t="str">
        <f>IF(COUNTIF(Products!$A$2:$A$8,C3335)=0,C3335,"")</f>
        <v/>
      </c>
      <c r="J3335">
        <f>IF(OR(E3335="Prospecting",E3335="Engaging"),VLOOKUP(C3335,Products!$A$2:$C$8,3,FALSE),0)</f>
        <v>0</v>
      </c>
    </row>
    <row r="3336" spans="1:10" x14ac:dyDescent="0.25">
      <c r="A3336" t="s">
        <v>3503</v>
      </c>
      <c r="B3336" t="s">
        <v>137</v>
      </c>
      <c r="C3336" t="s">
        <v>120</v>
      </c>
      <c r="D3336" t="s">
        <v>14</v>
      </c>
      <c r="E3336" t="s">
        <v>138</v>
      </c>
      <c r="F3336" s="1">
        <v>42876</v>
      </c>
      <c r="G3336" s="1">
        <v>42993</v>
      </c>
      <c r="H3336">
        <v>547</v>
      </c>
      <c r="I3336" t="str">
        <f>IF(COUNTIF(Products!$A$2:$A$8,C3336)=0,C3336,"")</f>
        <v/>
      </c>
      <c r="J3336">
        <f>IF(OR(E3336="Prospecting",E3336="Engaging"),VLOOKUP(C3336,Products!$A$2:$C$8,3,FALSE),0)</f>
        <v>0</v>
      </c>
    </row>
    <row r="3337" spans="1:10" x14ac:dyDescent="0.25">
      <c r="A3337" t="s">
        <v>3504</v>
      </c>
      <c r="B3337" t="s">
        <v>152</v>
      </c>
      <c r="C3337" t="s">
        <v>123</v>
      </c>
      <c r="D3337" t="s">
        <v>14</v>
      </c>
      <c r="E3337" t="s">
        <v>138</v>
      </c>
      <c r="F3337" s="1">
        <v>42876</v>
      </c>
      <c r="G3337" s="1">
        <v>42948</v>
      </c>
      <c r="H3337">
        <v>57</v>
      </c>
      <c r="I3337" t="str">
        <f>IF(COUNTIF(Products!$A$2:$A$8,C3337)=0,C3337,"")</f>
        <v/>
      </c>
      <c r="J3337">
        <f>IF(OR(E3337="Prospecting",E3337="Engaging"),VLOOKUP(C3337,Products!$A$2:$C$8,3,FALSE),0)</f>
        <v>0</v>
      </c>
    </row>
    <row r="3338" spans="1:10" x14ac:dyDescent="0.25">
      <c r="A3338" t="s">
        <v>3505</v>
      </c>
      <c r="B3338" t="s">
        <v>166</v>
      </c>
      <c r="C3338" t="s">
        <v>123</v>
      </c>
      <c r="D3338" t="s">
        <v>38</v>
      </c>
      <c r="E3338" t="s">
        <v>159</v>
      </c>
      <c r="F3338" s="1">
        <v>42876</v>
      </c>
      <c r="G3338" s="1">
        <v>42955</v>
      </c>
      <c r="H3338">
        <v>0</v>
      </c>
      <c r="I3338" t="str">
        <f>IF(COUNTIF(Products!$A$2:$A$8,C3338)=0,C3338,"")</f>
        <v/>
      </c>
      <c r="J3338">
        <f>IF(OR(E3338="Prospecting",E3338="Engaging"),VLOOKUP(C3338,Products!$A$2:$C$8,3,FALSE),0)</f>
        <v>0</v>
      </c>
    </row>
    <row r="3339" spans="1:10" x14ac:dyDescent="0.25">
      <c r="A3339" t="s">
        <v>3506</v>
      </c>
      <c r="B3339" t="s">
        <v>166</v>
      </c>
      <c r="C3339" t="s">
        <v>123</v>
      </c>
      <c r="D3339" t="s">
        <v>109</v>
      </c>
      <c r="E3339" t="s">
        <v>159</v>
      </c>
      <c r="F3339" s="1">
        <v>42876</v>
      </c>
      <c r="G3339" s="1">
        <v>42953</v>
      </c>
      <c r="H3339">
        <v>0</v>
      </c>
      <c r="I3339" t="str">
        <f>IF(COUNTIF(Products!$A$2:$A$8,C3339)=0,C3339,"")</f>
        <v/>
      </c>
      <c r="J3339">
        <f>IF(OR(E3339="Prospecting",E3339="Engaging"),VLOOKUP(C3339,Products!$A$2:$C$8,3,FALSE),0)</f>
        <v>0</v>
      </c>
    </row>
    <row r="3340" spans="1:10" x14ac:dyDescent="0.25">
      <c r="A3340" t="s">
        <v>3507</v>
      </c>
      <c r="B3340" t="s">
        <v>148</v>
      </c>
      <c r="C3340" t="s">
        <v>125</v>
      </c>
      <c r="D3340" t="s">
        <v>41</v>
      </c>
      <c r="E3340" t="s">
        <v>159</v>
      </c>
      <c r="F3340" s="1">
        <v>42876</v>
      </c>
      <c r="G3340" s="1">
        <v>42878</v>
      </c>
      <c r="H3340">
        <v>0</v>
      </c>
      <c r="I3340" t="str">
        <f>IF(COUNTIF(Products!$A$2:$A$8,C3340)=0,C3340,"")</f>
        <v/>
      </c>
      <c r="J3340">
        <f>IF(OR(E3340="Prospecting",E3340="Engaging"),VLOOKUP(C3340,Products!$A$2:$C$8,3,FALSE),0)</f>
        <v>0</v>
      </c>
    </row>
    <row r="3341" spans="1:10" x14ac:dyDescent="0.25">
      <c r="A3341" t="s">
        <v>3508</v>
      </c>
      <c r="B3341" t="s">
        <v>148</v>
      </c>
      <c r="C3341" t="s">
        <v>120</v>
      </c>
      <c r="D3341" t="s">
        <v>23</v>
      </c>
      <c r="E3341" t="s">
        <v>138</v>
      </c>
      <c r="F3341" s="1">
        <v>42876</v>
      </c>
      <c r="G3341" s="1">
        <v>42952</v>
      </c>
      <c r="H3341">
        <v>572</v>
      </c>
      <c r="I3341" t="str">
        <f>IF(COUNTIF(Products!$A$2:$A$8,C3341)=0,C3341,"")</f>
        <v/>
      </c>
      <c r="J3341">
        <f>IF(OR(E3341="Prospecting",E3341="Engaging"),VLOOKUP(C3341,Products!$A$2:$C$8,3,FALSE),0)</f>
        <v>0</v>
      </c>
    </row>
    <row r="3342" spans="1:10" x14ac:dyDescent="0.25">
      <c r="A3342" t="s">
        <v>3509</v>
      </c>
      <c r="B3342" t="s">
        <v>177</v>
      </c>
      <c r="C3342" t="s">
        <v>123</v>
      </c>
      <c r="D3342" t="s">
        <v>80</v>
      </c>
      <c r="E3342" t="s">
        <v>138</v>
      </c>
      <c r="F3342" s="1">
        <v>42876</v>
      </c>
      <c r="G3342" s="1">
        <v>42896</v>
      </c>
      <c r="H3342">
        <v>48</v>
      </c>
      <c r="I3342" t="str">
        <f>IF(COUNTIF(Products!$A$2:$A$8,C3342)=0,C3342,"")</f>
        <v/>
      </c>
      <c r="J3342">
        <f>IF(OR(E3342="Prospecting",E3342="Engaging"),VLOOKUP(C3342,Products!$A$2:$C$8,3,FALSE),0)</f>
        <v>0</v>
      </c>
    </row>
    <row r="3343" spans="1:10" x14ac:dyDescent="0.25">
      <c r="A3343" t="s">
        <v>3510</v>
      </c>
      <c r="B3343" t="s">
        <v>146</v>
      </c>
      <c r="C3343" t="s">
        <v>126</v>
      </c>
      <c r="D3343" t="s">
        <v>64</v>
      </c>
      <c r="E3343" t="s">
        <v>159</v>
      </c>
      <c r="F3343" s="1">
        <v>42877</v>
      </c>
      <c r="G3343" s="1">
        <v>42886</v>
      </c>
      <c r="H3343">
        <v>0</v>
      </c>
      <c r="I3343" t="str">
        <f>IF(COUNTIF(Products!$A$2:$A$8,C3343)=0,C3343,"")</f>
        <v/>
      </c>
      <c r="J3343">
        <f>IF(OR(E3343="Prospecting",E3343="Engaging"),VLOOKUP(C3343,Products!$A$2:$C$8,3,FALSE),0)</f>
        <v>0</v>
      </c>
    </row>
    <row r="3344" spans="1:10" x14ac:dyDescent="0.25">
      <c r="A3344" t="s">
        <v>3511</v>
      </c>
      <c r="B3344" t="s">
        <v>239</v>
      </c>
      <c r="C3344" t="s">
        <v>127</v>
      </c>
      <c r="D3344" t="s">
        <v>59</v>
      </c>
      <c r="E3344" t="s">
        <v>155</v>
      </c>
      <c r="F3344" s="1">
        <v>42877</v>
      </c>
      <c r="I3344" t="str">
        <f>IF(COUNTIF(Products!$A$2:$A$8,C3344)=0,C3344,"")</f>
        <v/>
      </c>
      <c r="J3344">
        <f>IF(OR(E3344="Prospecting",E3344="Engaging"),VLOOKUP(C3344,Products!$A$2:$C$8,3,FALSE),0)</f>
        <v>1096</v>
      </c>
    </row>
    <row r="3345" spans="1:10" x14ac:dyDescent="0.25">
      <c r="A3345" t="s">
        <v>3512</v>
      </c>
      <c r="B3345" t="s">
        <v>171</v>
      </c>
      <c r="C3345" t="s">
        <v>125</v>
      </c>
      <c r="E3345" t="s">
        <v>155</v>
      </c>
      <c r="F3345" s="1">
        <v>42877</v>
      </c>
      <c r="I3345" t="str">
        <f>IF(COUNTIF(Products!$A$2:$A$8,C3345)=0,C3345,"")</f>
        <v/>
      </c>
      <c r="J3345">
        <f>IF(OR(E3345="Prospecting",E3345="Engaging"),VLOOKUP(C3345,Products!$A$2:$C$8,3,FALSE),0)</f>
        <v>3393</v>
      </c>
    </row>
    <row r="3346" spans="1:10" x14ac:dyDescent="0.25">
      <c r="A3346" t="s">
        <v>3513</v>
      </c>
      <c r="B3346" t="s">
        <v>140</v>
      </c>
      <c r="C3346" t="s">
        <v>125</v>
      </c>
      <c r="D3346" t="s">
        <v>28</v>
      </c>
      <c r="E3346" t="s">
        <v>159</v>
      </c>
      <c r="F3346" s="1">
        <v>42877</v>
      </c>
      <c r="G3346" s="1">
        <v>42986</v>
      </c>
      <c r="H3346">
        <v>0</v>
      </c>
      <c r="I3346" t="str">
        <f>IF(COUNTIF(Products!$A$2:$A$8,C3346)=0,C3346,"")</f>
        <v/>
      </c>
      <c r="J3346">
        <f>IF(OR(E3346="Prospecting",E3346="Engaging"),VLOOKUP(C3346,Products!$A$2:$C$8,3,FALSE),0)</f>
        <v>0</v>
      </c>
    </row>
    <row r="3347" spans="1:10" x14ac:dyDescent="0.25">
      <c r="A3347" t="s">
        <v>3514</v>
      </c>
      <c r="B3347" t="s">
        <v>198</v>
      </c>
      <c r="C3347" t="s">
        <v>120</v>
      </c>
      <c r="D3347" t="s">
        <v>67</v>
      </c>
      <c r="E3347" t="s">
        <v>138</v>
      </c>
      <c r="F3347" s="1">
        <v>42877</v>
      </c>
      <c r="G3347" s="1">
        <v>42892</v>
      </c>
      <c r="H3347">
        <v>555</v>
      </c>
      <c r="I3347" t="str">
        <f>IF(COUNTIF(Products!$A$2:$A$8,C3347)=0,C3347,"")</f>
        <v/>
      </c>
      <c r="J3347">
        <f>IF(OR(E3347="Prospecting",E3347="Engaging"),VLOOKUP(C3347,Products!$A$2:$C$8,3,FALSE),0)</f>
        <v>0</v>
      </c>
    </row>
    <row r="3348" spans="1:10" x14ac:dyDescent="0.25">
      <c r="A3348" t="s">
        <v>3515</v>
      </c>
      <c r="B3348" t="s">
        <v>198</v>
      </c>
      <c r="C3348" t="s">
        <v>120</v>
      </c>
      <c r="D3348" t="s">
        <v>69</v>
      </c>
      <c r="E3348" t="s">
        <v>138</v>
      </c>
      <c r="F3348" s="1">
        <v>42877</v>
      </c>
      <c r="G3348" s="1">
        <v>42980</v>
      </c>
      <c r="H3348">
        <v>476</v>
      </c>
      <c r="I3348" t="str">
        <f>IF(COUNTIF(Products!$A$2:$A$8,C3348)=0,C3348,"")</f>
        <v/>
      </c>
      <c r="J3348">
        <f>IF(OR(E3348="Prospecting",E3348="Engaging"),VLOOKUP(C3348,Products!$A$2:$C$8,3,FALSE),0)</f>
        <v>0</v>
      </c>
    </row>
    <row r="3349" spans="1:10" x14ac:dyDescent="0.25">
      <c r="A3349" t="s">
        <v>3516</v>
      </c>
      <c r="B3349" t="s">
        <v>164</v>
      </c>
      <c r="C3349" t="s">
        <v>125</v>
      </c>
      <c r="E3349" t="s">
        <v>155</v>
      </c>
      <c r="F3349" s="1">
        <v>42877</v>
      </c>
      <c r="I3349" t="str">
        <f>IF(COUNTIF(Products!$A$2:$A$8,C3349)=0,C3349,"")</f>
        <v/>
      </c>
      <c r="J3349">
        <f>IF(OR(E3349="Prospecting",E3349="Engaging"),VLOOKUP(C3349,Products!$A$2:$C$8,3,FALSE),0)</f>
        <v>3393</v>
      </c>
    </row>
    <row r="3350" spans="1:10" x14ac:dyDescent="0.25">
      <c r="A3350" t="s">
        <v>3517</v>
      </c>
      <c r="B3350" t="s">
        <v>154</v>
      </c>
      <c r="C3350" t="s">
        <v>127</v>
      </c>
      <c r="D3350" t="s">
        <v>71</v>
      </c>
      <c r="E3350" t="s">
        <v>138</v>
      </c>
      <c r="F3350" s="1">
        <v>42877</v>
      </c>
      <c r="G3350" s="1">
        <v>42900</v>
      </c>
      <c r="H3350">
        <v>1090</v>
      </c>
      <c r="I3350" t="str">
        <f>IF(COUNTIF(Products!$A$2:$A$8,C3350)=0,C3350,"")</f>
        <v/>
      </c>
      <c r="J3350">
        <f>IF(OR(E3350="Prospecting",E3350="Engaging"),VLOOKUP(C3350,Products!$A$2:$C$8,3,FALSE),0)</f>
        <v>0</v>
      </c>
    </row>
    <row r="3351" spans="1:10" x14ac:dyDescent="0.25">
      <c r="A3351" t="s">
        <v>3518</v>
      </c>
      <c r="B3351" t="s">
        <v>191</v>
      </c>
      <c r="C3351" t="s">
        <v>123</v>
      </c>
      <c r="D3351" t="s">
        <v>81</v>
      </c>
      <c r="E3351" t="s">
        <v>155</v>
      </c>
      <c r="F3351" s="1">
        <v>42877</v>
      </c>
      <c r="I3351" t="str">
        <f>IF(COUNTIF(Products!$A$2:$A$8,C3351)=0,C3351,"")</f>
        <v/>
      </c>
      <c r="J3351">
        <f>IF(OR(E3351="Prospecting",E3351="Engaging"),VLOOKUP(C3351,Products!$A$2:$C$8,3,FALSE),0)</f>
        <v>55</v>
      </c>
    </row>
    <row r="3352" spans="1:10" x14ac:dyDescent="0.25">
      <c r="A3352" t="s">
        <v>3519</v>
      </c>
      <c r="B3352" t="s">
        <v>191</v>
      </c>
      <c r="C3352" t="s">
        <v>120</v>
      </c>
      <c r="D3352" t="s">
        <v>27</v>
      </c>
      <c r="E3352" t="s">
        <v>138</v>
      </c>
      <c r="F3352" s="1">
        <v>42877</v>
      </c>
      <c r="G3352" s="1">
        <v>43003</v>
      </c>
      <c r="H3352">
        <v>584</v>
      </c>
      <c r="I3352" t="str">
        <f>IF(COUNTIF(Products!$A$2:$A$8,C3352)=0,C3352,"")</f>
        <v/>
      </c>
      <c r="J3352">
        <f>IF(OR(E3352="Prospecting",E3352="Engaging"),VLOOKUP(C3352,Products!$A$2:$C$8,3,FALSE),0)</f>
        <v>0</v>
      </c>
    </row>
    <row r="3353" spans="1:10" x14ac:dyDescent="0.25">
      <c r="A3353" t="s">
        <v>3520</v>
      </c>
      <c r="B3353" t="s">
        <v>150</v>
      </c>
      <c r="C3353" t="s">
        <v>126</v>
      </c>
      <c r="E3353" t="s">
        <v>155</v>
      </c>
      <c r="F3353" s="1">
        <v>42877</v>
      </c>
      <c r="I3353" t="str">
        <f>IF(COUNTIF(Products!$A$2:$A$8,C3353)=0,C3353,"")</f>
        <v/>
      </c>
      <c r="J3353">
        <f>IF(OR(E3353="Prospecting",E3353="Engaging"),VLOOKUP(C3353,Products!$A$2:$C$8,3,FALSE),0)</f>
        <v>5482</v>
      </c>
    </row>
    <row r="3354" spans="1:10" x14ac:dyDescent="0.25">
      <c r="A3354" t="s">
        <v>3521</v>
      </c>
      <c r="B3354" t="s">
        <v>150</v>
      </c>
      <c r="C3354" t="s">
        <v>128</v>
      </c>
      <c r="D3354" t="s">
        <v>44</v>
      </c>
      <c r="E3354" t="s">
        <v>138</v>
      </c>
      <c r="F3354" s="1">
        <v>42877</v>
      </c>
      <c r="G3354" s="1">
        <v>42961</v>
      </c>
      <c r="H3354">
        <v>24745</v>
      </c>
      <c r="I3354" t="str">
        <f>IF(COUNTIF(Products!$A$2:$A$8,C3354)=0,C3354,"")</f>
        <v/>
      </c>
      <c r="J3354">
        <f>IF(OR(E3354="Prospecting",E3354="Engaging"),VLOOKUP(C3354,Products!$A$2:$C$8,3,FALSE),0)</f>
        <v>0</v>
      </c>
    </row>
    <row r="3355" spans="1:10" x14ac:dyDescent="0.25">
      <c r="A3355" t="s">
        <v>3522</v>
      </c>
      <c r="B3355" t="s">
        <v>162</v>
      </c>
      <c r="C3355" t="s">
        <v>127</v>
      </c>
      <c r="E3355" t="s">
        <v>155</v>
      </c>
      <c r="F3355" s="1">
        <v>42877</v>
      </c>
      <c r="I3355" t="str">
        <f>IF(COUNTIF(Products!$A$2:$A$8,C3355)=0,C3355,"")</f>
        <v/>
      </c>
      <c r="J3355">
        <f>IF(OR(E3355="Prospecting",E3355="Engaging"),VLOOKUP(C3355,Products!$A$2:$C$8,3,FALSE),0)</f>
        <v>1096</v>
      </c>
    </row>
    <row r="3356" spans="1:10" x14ac:dyDescent="0.25">
      <c r="A3356" t="s">
        <v>3523</v>
      </c>
      <c r="B3356" t="s">
        <v>193</v>
      </c>
      <c r="C3356" t="s">
        <v>122</v>
      </c>
      <c r="D3356" t="s">
        <v>27</v>
      </c>
      <c r="E3356" t="s">
        <v>159</v>
      </c>
      <c r="F3356" s="1">
        <v>42877</v>
      </c>
      <c r="G3356" s="1">
        <v>42880</v>
      </c>
      <c r="H3356">
        <v>0</v>
      </c>
      <c r="I3356" t="str">
        <f>IF(COUNTIF(Products!$A$2:$A$8,C3356)=0,C3356,"")</f>
        <v/>
      </c>
      <c r="J3356">
        <f>IF(OR(E3356="Prospecting",E3356="Engaging"),VLOOKUP(C3356,Products!$A$2:$C$8,3,FALSE),0)</f>
        <v>0</v>
      </c>
    </row>
    <row r="3357" spans="1:10" x14ac:dyDescent="0.25">
      <c r="A3357" t="s">
        <v>3524</v>
      </c>
      <c r="B3357" t="s">
        <v>193</v>
      </c>
      <c r="C3357" t="s">
        <v>120</v>
      </c>
      <c r="D3357" t="s">
        <v>115</v>
      </c>
      <c r="E3357" t="s">
        <v>138</v>
      </c>
      <c r="F3357" s="1">
        <v>42877</v>
      </c>
      <c r="G3357" s="1">
        <v>42882</v>
      </c>
      <c r="H3357">
        <v>512</v>
      </c>
      <c r="I3357" t="str">
        <f>IF(COUNTIF(Products!$A$2:$A$8,C3357)=0,C3357,"")</f>
        <v/>
      </c>
      <c r="J3357">
        <f>IF(OR(E3357="Prospecting",E3357="Engaging"),VLOOKUP(C3357,Products!$A$2:$C$8,3,FALSE),0)</f>
        <v>0</v>
      </c>
    </row>
    <row r="3358" spans="1:10" x14ac:dyDescent="0.25">
      <c r="A3358" t="s">
        <v>3525</v>
      </c>
      <c r="B3358" t="s">
        <v>187</v>
      </c>
      <c r="C3358" t="s">
        <v>122</v>
      </c>
      <c r="E3358" t="s">
        <v>155</v>
      </c>
      <c r="F3358" s="1">
        <v>42877</v>
      </c>
      <c r="I3358" t="str">
        <f>IF(COUNTIF(Products!$A$2:$A$8,C3358)=0,C3358,"")</f>
        <v/>
      </c>
      <c r="J3358">
        <f>IF(OR(E3358="Prospecting",E3358="Engaging"),VLOOKUP(C3358,Products!$A$2:$C$8,3,FALSE),0)</f>
        <v>4821</v>
      </c>
    </row>
    <row r="3359" spans="1:10" x14ac:dyDescent="0.25">
      <c r="A3359" t="s">
        <v>3526</v>
      </c>
      <c r="B3359" t="s">
        <v>148</v>
      </c>
      <c r="C3359" t="s">
        <v>123</v>
      </c>
      <c r="D3359" t="s">
        <v>114</v>
      </c>
      <c r="E3359" t="s">
        <v>138</v>
      </c>
      <c r="F3359" s="1">
        <v>42877</v>
      </c>
      <c r="G3359" s="1">
        <v>42893</v>
      </c>
      <c r="H3359">
        <v>60</v>
      </c>
      <c r="I3359" t="str">
        <f>IF(COUNTIF(Products!$A$2:$A$8,C3359)=0,C3359,"")</f>
        <v/>
      </c>
      <c r="J3359">
        <f>IF(OR(E3359="Prospecting",E3359="Engaging"),VLOOKUP(C3359,Products!$A$2:$C$8,3,FALSE),0)</f>
        <v>0</v>
      </c>
    </row>
    <row r="3360" spans="1:10" x14ac:dyDescent="0.25">
      <c r="A3360" t="s">
        <v>3527</v>
      </c>
      <c r="B3360" t="s">
        <v>144</v>
      </c>
      <c r="C3360" t="s">
        <v>122</v>
      </c>
      <c r="D3360" t="s">
        <v>61</v>
      </c>
      <c r="E3360" t="s">
        <v>159</v>
      </c>
      <c r="F3360" s="1">
        <v>42877</v>
      </c>
      <c r="G3360" s="1">
        <v>42985</v>
      </c>
      <c r="H3360">
        <v>0</v>
      </c>
      <c r="I3360" t="str">
        <f>IF(COUNTIF(Products!$A$2:$A$8,C3360)=0,C3360,"")</f>
        <v/>
      </c>
      <c r="J3360">
        <f>IF(OR(E3360="Prospecting",E3360="Engaging"),VLOOKUP(C3360,Products!$A$2:$C$8,3,FALSE),0)</f>
        <v>0</v>
      </c>
    </row>
    <row r="3361" spans="1:10" x14ac:dyDescent="0.25">
      <c r="A3361" t="s">
        <v>3528</v>
      </c>
      <c r="B3361" t="s">
        <v>144</v>
      </c>
      <c r="C3361" t="s">
        <v>127</v>
      </c>
      <c r="D3361" t="s">
        <v>29</v>
      </c>
      <c r="E3361" t="s">
        <v>138</v>
      </c>
      <c r="F3361" s="1">
        <v>42877</v>
      </c>
      <c r="G3361" s="1">
        <v>42955</v>
      </c>
      <c r="H3361">
        <v>1088</v>
      </c>
      <c r="I3361" t="str">
        <f>IF(COUNTIF(Products!$A$2:$A$8,C3361)=0,C3361,"")</f>
        <v/>
      </c>
      <c r="J3361">
        <f>IF(OR(E3361="Prospecting",E3361="Engaging"),VLOOKUP(C3361,Products!$A$2:$C$8,3,FALSE),0)</f>
        <v>0</v>
      </c>
    </row>
    <row r="3362" spans="1:10" x14ac:dyDescent="0.25">
      <c r="A3362" t="s">
        <v>3529</v>
      </c>
      <c r="B3362" t="s">
        <v>222</v>
      </c>
      <c r="C3362" t="s">
        <v>127</v>
      </c>
      <c r="E3362" t="s">
        <v>155</v>
      </c>
      <c r="F3362" s="1">
        <v>42878</v>
      </c>
      <c r="I3362" t="str">
        <f>IF(COUNTIF(Products!$A$2:$A$8,C3362)=0,C3362,"")</f>
        <v/>
      </c>
      <c r="J3362">
        <f>IF(OR(E3362="Prospecting",E3362="Engaging"),VLOOKUP(C3362,Products!$A$2:$C$8,3,FALSE),0)</f>
        <v>1096</v>
      </c>
    </row>
    <row r="3363" spans="1:10" x14ac:dyDescent="0.25">
      <c r="A3363" t="s">
        <v>3530</v>
      </c>
      <c r="B3363" t="s">
        <v>222</v>
      </c>
      <c r="C3363" t="s">
        <v>126</v>
      </c>
      <c r="E3363" t="s">
        <v>155</v>
      </c>
      <c r="F3363" s="1">
        <v>42878</v>
      </c>
      <c r="I3363" t="str">
        <f>IF(COUNTIF(Products!$A$2:$A$8,C3363)=0,C3363,"")</f>
        <v/>
      </c>
      <c r="J3363">
        <f>IF(OR(E3363="Prospecting",E3363="Engaging"),VLOOKUP(C3363,Products!$A$2:$C$8,3,FALSE),0)</f>
        <v>5482</v>
      </c>
    </row>
    <row r="3364" spans="1:10" x14ac:dyDescent="0.25">
      <c r="A3364" t="s">
        <v>3531</v>
      </c>
      <c r="B3364" t="s">
        <v>207</v>
      </c>
      <c r="C3364" t="s">
        <v>123</v>
      </c>
      <c r="E3364" t="s">
        <v>155</v>
      </c>
      <c r="F3364" s="1">
        <v>42878</v>
      </c>
      <c r="I3364" t="str">
        <f>IF(COUNTIF(Products!$A$2:$A$8,C3364)=0,C3364,"")</f>
        <v/>
      </c>
      <c r="J3364">
        <f>IF(OR(E3364="Prospecting",E3364="Engaging"),VLOOKUP(C3364,Products!$A$2:$C$8,3,FALSE),0)</f>
        <v>55</v>
      </c>
    </row>
    <row r="3365" spans="1:10" x14ac:dyDescent="0.25">
      <c r="A3365" t="s">
        <v>3532</v>
      </c>
      <c r="B3365" t="s">
        <v>239</v>
      </c>
      <c r="C3365" t="s">
        <v>120</v>
      </c>
      <c r="D3365" t="s">
        <v>102</v>
      </c>
      <c r="E3365" t="s">
        <v>138</v>
      </c>
      <c r="F3365" s="1">
        <v>42878</v>
      </c>
      <c r="G3365" s="1">
        <v>42881</v>
      </c>
      <c r="H3365">
        <v>463</v>
      </c>
      <c r="I3365" t="str">
        <f>IF(COUNTIF(Products!$A$2:$A$8,C3365)=0,C3365,"")</f>
        <v/>
      </c>
      <c r="J3365">
        <f>IF(OR(E3365="Prospecting",E3365="Engaging"),VLOOKUP(C3365,Products!$A$2:$C$8,3,FALSE),0)</f>
        <v>0</v>
      </c>
    </row>
    <row r="3366" spans="1:10" x14ac:dyDescent="0.25">
      <c r="A3366" t="s">
        <v>3533</v>
      </c>
      <c r="B3366" t="s">
        <v>224</v>
      </c>
      <c r="C3366" t="s">
        <v>127</v>
      </c>
      <c r="D3366" t="s">
        <v>50</v>
      </c>
      <c r="E3366" t="s">
        <v>138</v>
      </c>
      <c r="F3366" s="1">
        <v>42878</v>
      </c>
      <c r="G3366" s="1">
        <v>42971</v>
      </c>
      <c r="H3366">
        <v>877</v>
      </c>
      <c r="I3366" t="str">
        <f>IF(COUNTIF(Products!$A$2:$A$8,C3366)=0,C3366,"")</f>
        <v/>
      </c>
      <c r="J3366">
        <f>IF(OR(E3366="Prospecting",E3366="Engaging"),VLOOKUP(C3366,Products!$A$2:$C$8,3,FALSE),0)</f>
        <v>0</v>
      </c>
    </row>
    <row r="3367" spans="1:10" x14ac:dyDescent="0.25">
      <c r="A3367" t="s">
        <v>3534</v>
      </c>
      <c r="B3367" t="s">
        <v>158</v>
      </c>
      <c r="C3367" t="s">
        <v>125</v>
      </c>
      <c r="D3367" t="s">
        <v>61</v>
      </c>
      <c r="E3367" t="s">
        <v>138</v>
      </c>
      <c r="F3367" s="1">
        <v>42878</v>
      </c>
      <c r="G3367" s="1">
        <v>42971</v>
      </c>
      <c r="H3367">
        <v>3339</v>
      </c>
      <c r="I3367" t="str">
        <f>IF(COUNTIF(Products!$A$2:$A$8,C3367)=0,C3367,"")</f>
        <v/>
      </c>
      <c r="J3367">
        <f>IF(OR(E3367="Prospecting",E3367="Engaging"),VLOOKUP(C3367,Products!$A$2:$C$8,3,FALSE),0)</f>
        <v>0</v>
      </c>
    </row>
    <row r="3368" spans="1:10" x14ac:dyDescent="0.25">
      <c r="A3368" t="s">
        <v>3535</v>
      </c>
      <c r="B3368" t="s">
        <v>154</v>
      </c>
      <c r="C3368" t="s">
        <v>127</v>
      </c>
      <c r="D3368" t="s">
        <v>27</v>
      </c>
      <c r="E3368" t="s">
        <v>155</v>
      </c>
      <c r="F3368" s="1">
        <v>42878</v>
      </c>
      <c r="I3368" t="str">
        <f>IF(COUNTIF(Products!$A$2:$A$8,C3368)=0,C3368,"")</f>
        <v/>
      </c>
      <c r="J3368">
        <f>IF(OR(E3368="Prospecting",E3368="Engaging"),VLOOKUP(C3368,Products!$A$2:$C$8,3,FALSE),0)</f>
        <v>1096</v>
      </c>
    </row>
    <row r="3369" spans="1:10" x14ac:dyDescent="0.25">
      <c r="A3369" t="s">
        <v>3536</v>
      </c>
      <c r="B3369" t="s">
        <v>303</v>
      </c>
      <c r="C3369" t="s">
        <v>123</v>
      </c>
      <c r="D3369" t="s">
        <v>42</v>
      </c>
      <c r="E3369" t="s">
        <v>159</v>
      </c>
      <c r="F3369" s="1">
        <v>42878</v>
      </c>
      <c r="G3369" s="1">
        <v>42883</v>
      </c>
      <c r="H3369">
        <v>0</v>
      </c>
      <c r="I3369" t="str">
        <f>IF(COUNTIF(Products!$A$2:$A$8,C3369)=0,C3369,"")</f>
        <v/>
      </c>
      <c r="J3369">
        <f>IF(OR(E3369="Prospecting",E3369="Engaging"),VLOOKUP(C3369,Products!$A$2:$C$8,3,FALSE),0)</f>
        <v>0</v>
      </c>
    </row>
    <row r="3370" spans="1:10" x14ac:dyDescent="0.25">
      <c r="A3370" t="s">
        <v>3537</v>
      </c>
      <c r="B3370" t="s">
        <v>303</v>
      </c>
      <c r="C3370" t="s">
        <v>122</v>
      </c>
      <c r="D3370" t="s">
        <v>46</v>
      </c>
      <c r="E3370" t="s">
        <v>138</v>
      </c>
      <c r="F3370" s="1">
        <v>42878</v>
      </c>
      <c r="G3370" s="1">
        <v>42967</v>
      </c>
      <c r="H3370">
        <v>4180</v>
      </c>
      <c r="I3370" t="str">
        <f>IF(COUNTIF(Products!$A$2:$A$8,C3370)=0,C3370,"")</f>
        <v/>
      </c>
      <c r="J3370">
        <f>IF(OR(E3370="Prospecting",E3370="Engaging"),VLOOKUP(C3370,Products!$A$2:$C$8,3,FALSE),0)</f>
        <v>0</v>
      </c>
    </row>
    <row r="3371" spans="1:10" x14ac:dyDescent="0.25">
      <c r="A3371" t="s">
        <v>3538</v>
      </c>
      <c r="B3371" t="s">
        <v>191</v>
      </c>
      <c r="C3371" t="s">
        <v>127</v>
      </c>
      <c r="D3371" t="s">
        <v>71</v>
      </c>
      <c r="E3371" t="s">
        <v>159</v>
      </c>
      <c r="F3371" s="1">
        <v>42878</v>
      </c>
      <c r="G3371" s="1">
        <v>42949</v>
      </c>
      <c r="H3371">
        <v>0</v>
      </c>
      <c r="I3371" t="str">
        <f>IF(COUNTIF(Products!$A$2:$A$8,C3371)=0,C3371,"")</f>
        <v/>
      </c>
      <c r="J3371">
        <f>IF(OR(E3371="Prospecting",E3371="Engaging"),VLOOKUP(C3371,Products!$A$2:$C$8,3,FALSE),0)</f>
        <v>0</v>
      </c>
    </row>
    <row r="3372" spans="1:10" x14ac:dyDescent="0.25">
      <c r="A3372" t="s">
        <v>3539</v>
      </c>
      <c r="B3372" t="s">
        <v>150</v>
      </c>
      <c r="C3372" t="s">
        <v>120</v>
      </c>
      <c r="D3372" t="s">
        <v>60</v>
      </c>
      <c r="E3372" t="s">
        <v>159</v>
      </c>
      <c r="F3372" s="1">
        <v>42878</v>
      </c>
      <c r="G3372" s="1">
        <v>42881</v>
      </c>
      <c r="H3372">
        <v>0</v>
      </c>
      <c r="I3372" t="str">
        <f>IF(COUNTIF(Products!$A$2:$A$8,C3372)=0,C3372,"")</f>
        <v/>
      </c>
      <c r="J3372">
        <f>IF(OR(E3372="Prospecting",E3372="Engaging"),VLOOKUP(C3372,Products!$A$2:$C$8,3,FALSE),0)</f>
        <v>0</v>
      </c>
    </row>
    <row r="3373" spans="1:10" x14ac:dyDescent="0.25">
      <c r="A3373" t="s">
        <v>3540</v>
      </c>
      <c r="B3373" t="s">
        <v>150</v>
      </c>
      <c r="C3373" t="s">
        <v>126</v>
      </c>
      <c r="D3373" t="s">
        <v>60</v>
      </c>
      <c r="E3373" t="s">
        <v>138</v>
      </c>
      <c r="F3373" s="1">
        <v>42878</v>
      </c>
      <c r="G3373" s="1">
        <v>42961</v>
      </c>
      <c r="H3373">
        <v>4642</v>
      </c>
      <c r="I3373" t="str">
        <f>IF(COUNTIF(Products!$A$2:$A$8,C3373)=0,C3373,"")</f>
        <v/>
      </c>
      <c r="J3373">
        <f>IF(OR(E3373="Prospecting",E3373="Engaging"),VLOOKUP(C3373,Products!$A$2:$C$8,3,FALSE),0)</f>
        <v>0</v>
      </c>
    </row>
    <row r="3374" spans="1:10" x14ac:dyDescent="0.25">
      <c r="A3374" t="s">
        <v>3541</v>
      </c>
      <c r="B3374" t="s">
        <v>205</v>
      </c>
      <c r="C3374" t="s">
        <v>125</v>
      </c>
      <c r="D3374" t="s">
        <v>77</v>
      </c>
      <c r="E3374" t="s">
        <v>159</v>
      </c>
      <c r="F3374" s="1">
        <v>42878</v>
      </c>
      <c r="G3374" s="1">
        <v>42991</v>
      </c>
      <c r="H3374">
        <v>0</v>
      </c>
      <c r="I3374" t="str">
        <f>IF(COUNTIF(Products!$A$2:$A$8,C3374)=0,C3374,"")</f>
        <v/>
      </c>
      <c r="J3374">
        <f>IF(OR(E3374="Prospecting",E3374="Engaging"),VLOOKUP(C3374,Products!$A$2:$C$8,3,FALSE),0)</f>
        <v>0</v>
      </c>
    </row>
    <row r="3375" spans="1:10" x14ac:dyDescent="0.25">
      <c r="A3375" t="s">
        <v>3542</v>
      </c>
      <c r="B3375" t="s">
        <v>152</v>
      </c>
      <c r="C3375" t="s">
        <v>120</v>
      </c>
      <c r="D3375" t="s">
        <v>53</v>
      </c>
      <c r="E3375" t="s">
        <v>138</v>
      </c>
      <c r="F3375" s="1">
        <v>42878</v>
      </c>
      <c r="G3375" s="1">
        <v>42986</v>
      </c>
      <c r="H3375">
        <v>578</v>
      </c>
      <c r="I3375" t="str">
        <f>IF(COUNTIF(Products!$A$2:$A$8,C3375)=0,C3375,"")</f>
        <v/>
      </c>
      <c r="J3375">
        <f>IF(OR(E3375="Prospecting",E3375="Engaging"),VLOOKUP(C3375,Products!$A$2:$C$8,3,FALSE),0)</f>
        <v>0</v>
      </c>
    </row>
    <row r="3376" spans="1:10" x14ac:dyDescent="0.25">
      <c r="A3376" t="s">
        <v>3543</v>
      </c>
      <c r="B3376" t="s">
        <v>169</v>
      </c>
      <c r="C3376" t="s">
        <v>125</v>
      </c>
      <c r="D3376" t="s">
        <v>55</v>
      </c>
      <c r="E3376" t="s">
        <v>138</v>
      </c>
      <c r="F3376" s="1">
        <v>42878</v>
      </c>
      <c r="G3376" s="1">
        <v>42958</v>
      </c>
      <c r="H3376">
        <v>3285</v>
      </c>
      <c r="I3376" t="str">
        <f>IF(COUNTIF(Products!$A$2:$A$8,C3376)=0,C3376,"")</f>
        <v/>
      </c>
      <c r="J3376">
        <f>IF(OR(E3376="Prospecting",E3376="Engaging"),VLOOKUP(C3376,Products!$A$2:$C$8,3,FALSE),0)</f>
        <v>0</v>
      </c>
    </row>
    <row r="3377" spans="1:10" x14ac:dyDescent="0.25">
      <c r="A3377" t="s">
        <v>3544</v>
      </c>
      <c r="B3377" t="s">
        <v>148</v>
      </c>
      <c r="C3377" t="s">
        <v>123</v>
      </c>
      <c r="D3377" t="s">
        <v>82</v>
      </c>
      <c r="E3377" t="s">
        <v>159</v>
      </c>
      <c r="F3377" s="1">
        <v>42878</v>
      </c>
      <c r="G3377" s="1">
        <v>42959</v>
      </c>
      <c r="H3377">
        <v>0</v>
      </c>
      <c r="I3377" t="str">
        <f>IF(COUNTIF(Products!$A$2:$A$8,C3377)=0,C3377,"")</f>
        <v/>
      </c>
      <c r="J3377">
        <f>IF(OR(E3377="Prospecting",E3377="Engaging"),VLOOKUP(C3377,Products!$A$2:$C$8,3,FALSE),0)</f>
        <v>0</v>
      </c>
    </row>
    <row r="3378" spans="1:10" x14ac:dyDescent="0.25">
      <c r="A3378" t="s">
        <v>3545</v>
      </c>
      <c r="B3378" t="s">
        <v>177</v>
      </c>
      <c r="C3378" t="s">
        <v>127</v>
      </c>
      <c r="D3378" t="s">
        <v>108</v>
      </c>
      <c r="E3378" t="s">
        <v>159</v>
      </c>
      <c r="F3378" s="1">
        <v>42878</v>
      </c>
      <c r="G3378" s="1">
        <v>42976</v>
      </c>
      <c r="H3378">
        <v>0</v>
      </c>
      <c r="I3378" t="str">
        <f>IF(COUNTIF(Products!$A$2:$A$8,C3378)=0,C3378,"")</f>
        <v/>
      </c>
      <c r="J3378">
        <f>IF(OR(E3378="Prospecting",E3378="Engaging"),VLOOKUP(C3378,Products!$A$2:$C$8,3,FALSE),0)</f>
        <v>0</v>
      </c>
    </row>
    <row r="3379" spans="1:10" x14ac:dyDescent="0.25">
      <c r="A3379" t="s">
        <v>3546</v>
      </c>
      <c r="B3379" t="s">
        <v>144</v>
      </c>
      <c r="C3379" t="s">
        <v>122</v>
      </c>
      <c r="D3379" t="s">
        <v>23</v>
      </c>
      <c r="E3379" t="s">
        <v>138</v>
      </c>
      <c r="F3379" s="1">
        <v>42878</v>
      </c>
      <c r="G3379" s="1">
        <v>42886</v>
      </c>
      <c r="H3379">
        <v>5212</v>
      </c>
      <c r="I3379" t="str">
        <f>IF(COUNTIF(Products!$A$2:$A$8,C3379)=0,C3379,"")</f>
        <v/>
      </c>
      <c r="J3379">
        <f>IF(OR(E3379="Prospecting",E3379="Engaging"),VLOOKUP(C3379,Products!$A$2:$C$8,3,FALSE),0)</f>
        <v>0</v>
      </c>
    </row>
    <row r="3380" spans="1:10" x14ac:dyDescent="0.25">
      <c r="A3380" t="s">
        <v>3547</v>
      </c>
      <c r="B3380" t="s">
        <v>207</v>
      </c>
      <c r="C3380" t="s">
        <v>120</v>
      </c>
      <c r="D3380" t="s">
        <v>37</v>
      </c>
      <c r="E3380" t="s">
        <v>138</v>
      </c>
      <c r="F3380" s="1">
        <v>42879</v>
      </c>
      <c r="G3380" s="1">
        <v>43002</v>
      </c>
      <c r="H3380">
        <v>614</v>
      </c>
      <c r="I3380" t="str">
        <f>IF(COUNTIF(Products!$A$2:$A$8,C3380)=0,C3380,"")</f>
        <v/>
      </c>
      <c r="J3380">
        <f>IF(OR(E3380="Prospecting",E3380="Engaging"),VLOOKUP(C3380,Products!$A$2:$C$8,3,FALSE),0)</f>
        <v>0</v>
      </c>
    </row>
    <row r="3381" spans="1:10" x14ac:dyDescent="0.25">
      <c r="A3381" t="s">
        <v>3548</v>
      </c>
      <c r="B3381" t="s">
        <v>207</v>
      </c>
      <c r="C3381" t="s">
        <v>126</v>
      </c>
      <c r="D3381" t="s">
        <v>20</v>
      </c>
      <c r="E3381" t="s">
        <v>138</v>
      </c>
      <c r="F3381" s="1">
        <v>42879</v>
      </c>
      <c r="G3381" s="1">
        <v>42991</v>
      </c>
      <c r="H3381">
        <v>5778</v>
      </c>
      <c r="I3381" t="str">
        <f>IF(COUNTIF(Products!$A$2:$A$8,C3381)=0,C3381,"")</f>
        <v/>
      </c>
      <c r="J3381">
        <f>IF(OR(E3381="Prospecting",E3381="Engaging"),VLOOKUP(C3381,Products!$A$2:$C$8,3,FALSE),0)</f>
        <v>0</v>
      </c>
    </row>
    <row r="3382" spans="1:10" x14ac:dyDescent="0.25">
      <c r="A3382" t="s">
        <v>3549</v>
      </c>
      <c r="B3382" t="s">
        <v>239</v>
      </c>
      <c r="C3382" t="s">
        <v>120</v>
      </c>
      <c r="D3382" t="s">
        <v>71</v>
      </c>
      <c r="E3382" t="s">
        <v>155</v>
      </c>
      <c r="F3382" s="1">
        <v>42879</v>
      </c>
      <c r="I3382" t="str">
        <f>IF(COUNTIF(Products!$A$2:$A$8,C3382)=0,C3382,"")</f>
        <v/>
      </c>
      <c r="J3382">
        <f>IF(OR(E3382="Prospecting",E3382="Engaging"),VLOOKUP(C3382,Products!$A$2:$C$8,3,FALSE),0)</f>
        <v>550</v>
      </c>
    </row>
    <row r="3383" spans="1:10" x14ac:dyDescent="0.25">
      <c r="A3383" t="s">
        <v>3550</v>
      </c>
      <c r="B3383" t="s">
        <v>224</v>
      </c>
      <c r="C3383" t="s">
        <v>125</v>
      </c>
      <c r="D3383" t="s">
        <v>20</v>
      </c>
      <c r="E3383" t="s">
        <v>138</v>
      </c>
      <c r="F3383" s="1">
        <v>42879</v>
      </c>
      <c r="G3383" s="1">
        <v>42988</v>
      </c>
      <c r="H3383">
        <v>3521</v>
      </c>
      <c r="I3383" t="str">
        <f>IF(COUNTIF(Products!$A$2:$A$8,C3383)=0,C3383,"")</f>
        <v/>
      </c>
      <c r="J3383">
        <f>IF(OR(E3383="Prospecting",E3383="Engaging"),VLOOKUP(C3383,Products!$A$2:$C$8,3,FALSE),0)</f>
        <v>0</v>
      </c>
    </row>
    <row r="3384" spans="1:10" x14ac:dyDescent="0.25">
      <c r="A3384" t="s">
        <v>3551</v>
      </c>
      <c r="B3384" t="s">
        <v>173</v>
      </c>
      <c r="C3384" t="s">
        <v>122</v>
      </c>
      <c r="E3384" t="s">
        <v>155</v>
      </c>
      <c r="F3384" s="1">
        <v>42879</v>
      </c>
      <c r="I3384" t="str">
        <f>IF(COUNTIF(Products!$A$2:$A$8,C3384)=0,C3384,"")</f>
        <v/>
      </c>
      <c r="J3384">
        <f>IF(OR(E3384="Prospecting",E3384="Engaging"),VLOOKUP(C3384,Products!$A$2:$C$8,3,FALSE),0)</f>
        <v>4821</v>
      </c>
    </row>
    <row r="3385" spans="1:10" x14ac:dyDescent="0.25">
      <c r="A3385" t="s">
        <v>3552</v>
      </c>
      <c r="B3385" t="s">
        <v>198</v>
      </c>
      <c r="C3385" t="s">
        <v>126</v>
      </c>
      <c r="D3385" t="s">
        <v>68</v>
      </c>
      <c r="E3385" t="s">
        <v>159</v>
      </c>
      <c r="F3385" s="1">
        <v>42879</v>
      </c>
      <c r="G3385" s="1">
        <v>42999</v>
      </c>
      <c r="H3385">
        <v>0</v>
      </c>
      <c r="I3385" t="str">
        <f>IF(COUNTIF(Products!$A$2:$A$8,C3385)=0,C3385,"")</f>
        <v/>
      </c>
      <c r="J3385">
        <f>IF(OR(E3385="Prospecting",E3385="Engaging"),VLOOKUP(C3385,Products!$A$2:$C$8,3,FALSE),0)</f>
        <v>0</v>
      </c>
    </row>
    <row r="3386" spans="1:10" x14ac:dyDescent="0.25">
      <c r="A3386" t="s">
        <v>3553</v>
      </c>
      <c r="B3386" t="s">
        <v>158</v>
      </c>
      <c r="C3386" t="s">
        <v>122</v>
      </c>
      <c r="D3386" t="s">
        <v>89</v>
      </c>
      <c r="E3386" t="s">
        <v>138</v>
      </c>
      <c r="F3386" s="1">
        <v>42879</v>
      </c>
      <c r="G3386" s="1">
        <v>42953</v>
      </c>
      <c r="H3386">
        <v>5109</v>
      </c>
      <c r="I3386" t="str">
        <f>IF(COUNTIF(Products!$A$2:$A$8,C3386)=0,C3386,"")</f>
        <v/>
      </c>
      <c r="J3386">
        <f>IF(OR(E3386="Prospecting",E3386="Engaging"),VLOOKUP(C3386,Products!$A$2:$C$8,3,FALSE),0)</f>
        <v>0</v>
      </c>
    </row>
    <row r="3387" spans="1:10" x14ac:dyDescent="0.25">
      <c r="A3387" t="s">
        <v>3554</v>
      </c>
      <c r="B3387" t="s">
        <v>154</v>
      </c>
      <c r="C3387" t="s">
        <v>126</v>
      </c>
      <c r="E3387" t="s">
        <v>155</v>
      </c>
      <c r="F3387" s="1">
        <v>42879</v>
      </c>
      <c r="I3387" t="str">
        <f>IF(COUNTIF(Products!$A$2:$A$8,C3387)=0,C3387,"")</f>
        <v/>
      </c>
      <c r="J3387">
        <f>IF(OR(E3387="Prospecting",E3387="Engaging"),VLOOKUP(C3387,Products!$A$2:$C$8,3,FALSE),0)</f>
        <v>5482</v>
      </c>
    </row>
    <row r="3388" spans="1:10" x14ac:dyDescent="0.25">
      <c r="A3388" t="s">
        <v>3555</v>
      </c>
      <c r="B3388" t="s">
        <v>154</v>
      </c>
      <c r="C3388" t="s">
        <v>120</v>
      </c>
      <c r="D3388" t="s">
        <v>34</v>
      </c>
      <c r="E3388" t="s">
        <v>159</v>
      </c>
      <c r="F3388" s="1">
        <v>42879</v>
      </c>
      <c r="G3388" s="1">
        <v>42906</v>
      </c>
      <c r="H3388">
        <v>0</v>
      </c>
      <c r="I3388" t="str">
        <f>IF(COUNTIF(Products!$A$2:$A$8,C3388)=0,C3388,"")</f>
        <v/>
      </c>
      <c r="J3388">
        <f>IF(OR(E3388="Prospecting",E3388="Engaging"),VLOOKUP(C3388,Products!$A$2:$C$8,3,FALSE),0)</f>
        <v>0</v>
      </c>
    </row>
    <row r="3389" spans="1:10" x14ac:dyDescent="0.25">
      <c r="A3389" t="s">
        <v>3556</v>
      </c>
      <c r="B3389" t="s">
        <v>154</v>
      </c>
      <c r="C3389" t="s">
        <v>126</v>
      </c>
      <c r="D3389" t="s">
        <v>72</v>
      </c>
      <c r="E3389" t="s">
        <v>138</v>
      </c>
      <c r="F3389" s="1">
        <v>42879</v>
      </c>
      <c r="G3389" s="1">
        <v>42996</v>
      </c>
      <c r="H3389">
        <v>5190</v>
      </c>
      <c r="I3389" t="str">
        <f>IF(COUNTIF(Products!$A$2:$A$8,C3389)=0,C3389,"")</f>
        <v/>
      </c>
      <c r="J3389">
        <f>IF(OR(E3389="Prospecting",E3389="Engaging"),VLOOKUP(C3389,Products!$A$2:$C$8,3,FALSE),0)</f>
        <v>0</v>
      </c>
    </row>
    <row r="3390" spans="1:10" x14ac:dyDescent="0.25">
      <c r="A3390" t="s">
        <v>3557</v>
      </c>
      <c r="B3390" t="s">
        <v>191</v>
      </c>
      <c r="C3390" t="s">
        <v>120</v>
      </c>
      <c r="D3390" t="s">
        <v>90</v>
      </c>
      <c r="E3390" t="s">
        <v>159</v>
      </c>
      <c r="F3390" s="1">
        <v>42879</v>
      </c>
      <c r="G3390" s="1">
        <v>42969</v>
      </c>
      <c r="H3390">
        <v>0</v>
      </c>
      <c r="I3390" t="str">
        <f>IF(COUNTIF(Products!$A$2:$A$8,C3390)=0,C3390,"")</f>
        <v/>
      </c>
      <c r="J3390">
        <f>IF(OR(E3390="Prospecting",E3390="Engaging"),VLOOKUP(C3390,Products!$A$2:$C$8,3,FALSE),0)</f>
        <v>0</v>
      </c>
    </row>
    <row r="3391" spans="1:10" x14ac:dyDescent="0.25">
      <c r="A3391" t="s">
        <v>3558</v>
      </c>
      <c r="B3391" t="s">
        <v>191</v>
      </c>
      <c r="C3391" t="s">
        <v>122</v>
      </c>
      <c r="D3391" t="s">
        <v>114</v>
      </c>
      <c r="E3391" t="s">
        <v>159</v>
      </c>
      <c r="F3391" s="1">
        <v>42879</v>
      </c>
      <c r="G3391" s="1">
        <v>42960</v>
      </c>
      <c r="H3391">
        <v>0</v>
      </c>
      <c r="I3391" t="str">
        <f>IF(COUNTIF(Products!$A$2:$A$8,C3391)=0,C3391,"")</f>
        <v/>
      </c>
      <c r="J3391">
        <f>IF(OR(E3391="Prospecting",E3391="Engaging"),VLOOKUP(C3391,Products!$A$2:$C$8,3,FALSE),0)</f>
        <v>0</v>
      </c>
    </row>
    <row r="3392" spans="1:10" x14ac:dyDescent="0.25">
      <c r="A3392" t="s">
        <v>3559</v>
      </c>
      <c r="B3392" t="s">
        <v>217</v>
      </c>
      <c r="C3392" t="s">
        <v>125</v>
      </c>
      <c r="D3392" t="s">
        <v>36</v>
      </c>
      <c r="E3392" t="s">
        <v>159</v>
      </c>
      <c r="F3392" s="1">
        <v>42879</v>
      </c>
      <c r="G3392" s="1">
        <v>42961</v>
      </c>
      <c r="H3392">
        <v>0</v>
      </c>
      <c r="I3392" t="str">
        <f>IF(COUNTIF(Products!$A$2:$A$8,C3392)=0,C3392,"")</f>
        <v/>
      </c>
      <c r="J3392">
        <f>IF(OR(E3392="Prospecting",E3392="Engaging"),VLOOKUP(C3392,Products!$A$2:$C$8,3,FALSE),0)</f>
        <v>0</v>
      </c>
    </row>
    <row r="3393" spans="1:10" x14ac:dyDescent="0.25">
      <c r="A3393" t="s">
        <v>3560</v>
      </c>
      <c r="B3393" t="s">
        <v>150</v>
      </c>
      <c r="C3393" t="s">
        <v>125</v>
      </c>
      <c r="D3393" t="s">
        <v>109</v>
      </c>
      <c r="E3393" t="s">
        <v>155</v>
      </c>
      <c r="F3393" s="1">
        <v>42879</v>
      </c>
      <c r="I3393" t="str">
        <f>IF(COUNTIF(Products!$A$2:$A$8,C3393)=0,C3393,"")</f>
        <v/>
      </c>
      <c r="J3393">
        <f>IF(OR(E3393="Prospecting",E3393="Engaging"),VLOOKUP(C3393,Products!$A$2:$C$8,3,FALSE),0)</f>
        <v>3393</v>
      </c>
    </row>
    <row r="3394" spans="1:10" x14ac:dyDescent="0.25">
      <c r="A3394" t="s">
        <v>3561</v>
      </c>
      <c r="B3394" t="s">
        <v>162</v>
      </c>
      <c r="C3394" t="s">
        <v>123</v>
      </c>
      <c r="E3394" t="s">
        <v>155</v>
      </c>
      <c r="F3394" s="1">
        <v>42879</v>
      </c>
      <c r="I3394" t="str">
        <f>IF(COUNTIF(Products!$A$2:$A$8,C3394)=0,C3394,"")</f>
        <v/>
      </c>
      <c r="J3394">
        <f>IF(OR(E3394="Prospecting",E3394="Engaging"),VLOOKUP(C3394,Products!$A$2:$C$8,3,FALSE),0)</f>
        <v>55</v>
      </c>
    </row>
    <row r="3395" spans="1:10" x14ac:dyDescent="0.25">
      <c r="A3395" t="s">
        <v>3562</v>
      </c>
      <c r="B3395" t="s">
        <v>162</v>
      </c>
      <c r="C3395" t="s">
        <v>127</v>
      </c>
      <c r="D3395" t="s">
        <v>56</v>
      </c>
      <c r="E3395" t="s">
        <v>138</v>
      </c>
      <c r="F3395" s="1">
        <v>42879</v>
      </c>
      <c r="G3395" s="1">
        <v>43005</v>
      </c>
      <c r="H3395">
        <v>940</v>
      </c>
      <c r="I3395" t="str">
        <f>IF(COUNTIF(Products!$A$2:$A$8,C3395)=0,C3395,"")</f>
        <v/>
      </c>
      <c r="J3395">
        <f>IF(OR(E3395="Prospecting",E3395="Engaging"),VLOOKUP(C3395,Products!$A$2:$C$8,3,FALSE),0)</f>
        <v>0</v>
      </c>
    </row>
    <row r="3396" spans="1:10" x14ac:dyDescent="0.25">
      <c r="A3396" t="s">
        <v>3563</v>
      </c>
      <c r="B3396" t="s">
        <v>152</v>
      </c>
      <c r="C3396" t="s">
        <v>122</v>
      </c>
      <c r="D3396" t="s">
        <v>30</v>
      </c>
      <c r="E3396" t="s">
        <v>159</v>
      </c>
      <c r="F3396" s="1">
        <v>42879</v>
      </c>
      <c r="G3396" s="1">
        <v>42973</v>
      </c>
      <c r="H3396">
        <v>0</v>
      </c>
      <c r="I3396" t="str">
        <f>IF(COUNTIF(Products!$A$2:$A$8,C3396)=0,C3396,"")</f>
        <v/>
      </c>
      <c r="J3396">
        <f>IF(OR(E3396="Prospecting",E3396="Engaging"),VLOOKUP(C3396,Products!$A$2:$C$8,3,FALSE),0)</f>
        <v>0</v>
      </c>
    </row>
    <row r="3397" spans="1:10" x14ac:dyDescent="0.25">
      <c r="A3397" t="s">
        <v>3564</v>
      </c>
      <c r="B3397" t="s">
        <v>166</v>
      </c>
      <c r="C3397" t="s">
        <v>120</v>
      </c>
      <c r="D3397" t="s">
        <v>56</v>
      </c>
      <c r="E3397" t="s">
        <v>138</v>
      </c>
      <c r="F3397" s="1">
        <v>42879</v>
      </c>
      <c r="G3397" s="1">
        <v>42953</v>
      </c>
      <c r="H3397">
        <v>647</v>
      </c>
      <c r="I3397" t="str">
        <f>IF(COUNTIF(Products!$A$2:$A$8,C3397)=0,C3397,"")</f>
        <v/>
      </c>
      <c r="J3397">
        <f>IF(OR(E3397="Prospecting",E3397="Engaging"),VLOOKUP(C3397,Products!$A$2:$C$8,3,FALSE),0)</f>
        <v>0</v>
      </c>
    </row>
    <row r="3398" spans="1:10" x14ac:dyDescent="0.25">
      <c r="A3398" t="s">
        <v>3565</v>
      </c>
      <c r="B3398" t="s">
        <v>148</v>
      </c>
      <c r="C3398" t="s">
        <v>126</v>
      </c>
      <c r="D3398" t="s">
        <v>27</v>
      </c>
      <c r="E3398" t="s">
        <v>138</v>
      </c>
      <c r="F3398" s="1">
        <v>42879</v>
      </c>
      <c r="G3398" s="1">
        <v>42964</v>
      </c>
      <c r="H3398">
        <v>6206</v>
      </c>
      <c r="I3398" t="str">
        <f>IF(COUNTIF(Products!$A$2:$A$8,C3398)=0,C3398,"")</f>
        <v/>
      </c>
      <c r="J3398">
        <f>IF(OR(E3398="Prospecting",E3398="Engaging"),VLOOKUP(C3398,Products!$A$2:$C$8,3,FALSE),0)</f>
        <v>0</v>
      </c>
    </row>
    <row r="3399" spans="1:10" x14ac:dyDescent="0.25">
      <c r="A3399" t="s">
        <v>3566</v>
      </c>
      <c r="B3399" t="s">
        <v>177</v>
      </c>
      <c r="C3399" t="s">
        <v>125</v>
      </c>
      <c r="D3399" t="s">
        <v>25</v>
      </c>
      <c r="E3399" t="s">
        <v>138</v>
      </c>
      <c r="F3399" s="1">
        <v>42879</v>
      </c>
      <c r="G3399" s="1">
        <v>42988</v>
      </c>
      <c r="H3399">
        <v>3158</v>
      </c>
      <c r="I3399" t="str">
        <f>IF(COUNTIF(Products!$A$2:$A$8,C3399)=0,C3399,"")</f>
        <v/>
      </c>
      <c r="J3399">
        <f>IF(OR(E3399="Prospecting",E3399="Engaging"),VLOOKUP(C3399,Products!$A$2:$C$8,3,FALSE),0)</f>
        <v>0</v>
      </c>
    </row>
    <row r="3400" spans="1:10" x14ac:dyDescent="0.25">
      <c r="A3400" t="s">
        <v>3567</v>
      </c>
      <c r="B3400" t="s">
        <v>196</v>
      </c>
      <c r="C3400" t="s">
        <v>125</v>
      </c>
      <c r="D3400" t="s">
        <v>37</v>
      </c>
      <c r="E3400" t="s">
        <v>138</v>
      </c>
      <c r="F3400" s="1">
        <v>42879</v>
      </c>
      <c r="G3400" s="1">
        <v>42966</v>
      </c>
      <c r="H3400">
        <v>2699</v>
      </c>
      <c r="I3400" t="str">
        <f>IF(COUNTIF(Products!$A$2:$A$8,C3400)=0,C3400,"")</f>
        <v/>
      </c>
      <c r="J3400">
        <f>IF(OR(E3400="Prospecting",E3400="Engaging"),VLOOKUP(C3400,Products!$A$2:$C$8,3,FALSE),0)</f>
        <v>0</v>
      </c>
    </row>
    <row r="3401" spans="1:10" x14ac:dyDescent="0.25">
      <c r="A3401" t="s">
        <v>3568</v>
      </c>
      <c r="B3401" t="s">
        <v>146</v>
      </c>
      <c r="C3401" t="s">
        <v>123</v>
      </c>
      <c r="D3401" t="s">
        <v>33</v>
      </c>
      <c r="E3401" t="s">
        <v>159</v>
      </c>
      <c r="F3401" s="1">
        <v>42880</v>
      </c>
      <c r="G3401" s="1">
        <v>42960</v>
      </c>
      <c r="H3401">
        <v>0</v>
      </c>
      <c r="I3401" t="str">
        <f>IF(COUNTIF(Products!$A$2:$A$8,C3401)=0,C3401,"")</f>
        <v/>
      </c>
      <c r="J3401">
        <f>IF(OR(E3401="Prospecting",E3401="Engaging"),VLOOKUP(C3401,Products!$A$2:$C$8,3,FALSE),0)</f>
        <v>0</v>
      </c>
    </row>
    <row r="3402" spans="1:10" x14ac:dyDescent="0.25">
      <c r="A3402" t="s">
        <v>3569</v>
      </c>
      <c r="B3402" t="s">
        <v>222</v>
      </c>
      <c r="C3402" t="s">
        <v>127</v>
      </c>
      <c r="D3402" t="s">
        <v>84</v>
      </c>
      <c r="E3402" t="s">
        <v>138</v>
      </c>
      <c r="F3402" s="1">
        <v>42880</v>
      </c>
      <c r="G3402" s="1">
        <v>42951</v>
      </c>
      <c r="H3402">
        <v>1302</v>
      </c>
      <c r="I3402" t="str">
        <f>IF(COUNTIF(Products!$A$2:$A$8,C3402)=0,C3402,"")</f>
        <v/>
      </c>
      <c r="J3402">
        <f>IF(OR(E3402="Prospecting",E3402="Engaging"),VLOOKUP(C3402,Products!$A$2:$C$8,3,FALSE),0)</f>
        <v>0</v>
      </c>
    </row>
    <row r="3403" spans="1:10" x14ac:dyDescent="0.25">
      <c r="A3403" t="s">
        <v>3570</v>
      </c>
      <c r="B3403" t="s">
        <v>207</v>
      </c>
      <c r="C3403" t="s">
        <v>125</v>
      </c>
      <c r="D3403" t="s">
        <v>16</v>
      </c>
      <c r="E3403" t="s">
        <v>138</v>
      </c>
      <c r="F3403" s="1">
        <v>42880</v>
      </c>
      <c r="G3403" s="1">
        <v>42913</v>
      </c>
      <c r="H3403">
        <v>2993</v>
      </c>
      <c r="I3403" t="str">
        <f>IF(COUNTIF(Products!$A$2:$A$8,C3403)=0,C3403,"")</f>
        <v/>
      </c>
      <c r="J3403">
        <f>IF(OR(E3403="Prospecting",E3403="Engaging"),VLOOKUP(C3403,Products!$A$2:$C$8,3,FALSE),0)</f>
        <v>0</v>
      </c>
    </row>
    <row r="3404" spans="1:10" x14ac:dyDescent="0.25">
      <c r="A3404" t="s">
        <v>3571</v>
      </c>
      <c r="B3404" t="s">
        <v>264</v>
      </c>
      <c r="C3404" t="s">
        <v>120</v>
      </c>
      <c r="D3404" t="s">
        <v>12</v>
      </c>
      <c r="E3404" t="s">
        <v>138</v>
      </c>
      <c r="F3404" s="1">
        <v>42880</v>
      </c>
      <c r="G3404" s="1">
        <v>42891</v>
      </c>
      <c r="H3404">
        <v>460</v>
      </c>
      <c r="I3404" t="str">
        <f>IF(COUNTIF(Products!$A$2:$A$8,C3404)=0,C3404,"")</f>
        <v/>
      </c>
      <c r="J3404">
        <f>IF(OR(E3404="Prospecting",E3404="Engaging"),VLOOKUP(C3404,Products!$A$2:$C$8,3,FALSE),0)</f>
        <v>0</v>
      </c>
    </row>
    <row r="3405" spans="1:10" x14ac:dyDescent="0.25">
      <c r="A3405" t="s">
        <v>3572</v>
      </c>
      <c r="B3405" t="s">
        <v>239</v>
      </c>
      <c r="C3405" t="s">
        <v>126</v>
      </c>
      <c r="D3405" t="s">
        <v>32</v>
      </c>
      <c r="E3405" t="s">
        <v>155</v>
      </c>
      <c r="F3405" s="1">
        <v>42880</v>
      </c>
      <c r="I3405" t="str">
        <f>IF(COUNTIF(Products!$A$2:$A$8,C3405)=0,C3405,"")</f>
        <v/>
      </c>
      <c r="J3405">
        <f>IF(OR(E3405="Prospecting",E3405="Engaging"),VLOOKUP(C3405,Products!$A$2:$C$8,3,FALSE),0)</f>
        <v>5482</v>
      </c>
    </row>
    <row r="3406" spans="1:10" x14ac:dyDescent="0.25">
      <c r="A3406" t="s">
        <v>3573</v>
      </c>
      <c r="B3406" t="s">
        <v>239</v>
      </c>
      <c r="C3406" t="s">
        <v>120</v>
      </c>
      <c r="D3406" t="s">
        <v>69</v>
      </c>
      <c r="E3406" t="s">
        <v>138</v>
      </c>
      <c r="F3406" s="1">
        <v>42880</v>
      </c>
      <c r="G3406" s="1">
        <v>43003</v>
      </c>
      <c r="H3406">
        <v>616</v>
      </c>
      <c r="I3406" t="str">
        <f>IF(COUNTIF(Products!$A$2:$A$8,C3406)=0,C3406,"")</f>
        <v/>
      </c>
      <c r="J3406">
        <f>IF(OR(E3406="Prospecting",E3406="Engaging"),VLOOKUP(C3406,Products!$A$2:$C$8,3,FALSE),0)</f>
        <v>0</v>
      </c>
    </row>
    <row r="3407" spans="1:10" x14ac:dyDescent="0.25">
      <c r="A3407" t="s">
        <v>3574</v>
      </c>
      <c r="B3407" t="s">
        <v>140</v>
      </c>
      <c r="C3407" t="s">
        <v>125</v>
      </c>
      <c r="D3407" t="s">
        <v>91</v>
      </c>
      <c r="E3407" t="s">
        <v>159</v>
      </c>
      <c r="F3407" s="1">
        <v>42880</v>
      </c>
      <c r="G3407" s="1">
        <v>42954</v>
      </c>
      <c r="H3407">
        <v>0</v>
      </c>
      <c r="I3407" t="str">
        <f>IF(COUNTIF(Products!$A$2:$A$8,C3407)=0,C3407,"")</f>
        <v/>
      </c>
      <c r="J3407">
        <f>IF(OR(E3407="Prospecting",E3407="Engaging"),VLOOKUP(C3407,Products!$A$2:$C$8,3,FALSE),0)</f>
        <v>0</v>
      </c>
    </row>
    <row r="3408" spans="1:10" x14ac:dyDescent="0.25">
      <c r="A3408" t="s">
        <v>3575</v>
      </c>
      <c r="B3408" t="s">
        <v>140</v>
      </c>
      <c r="C3408" t="s">
        <v>122</v>
      </c>
      <c r="D3408" t="s">
        <v>53</v>
      </c>
      <c r="E3408" t="s">
        <v>138</v>
      </c>
      <c r="F3408" s="1">
        <v>42880</v>
      </c>
      <c r="G3408" s="1">
        <v>42961</v>
      </c>
      <c r="H3408">
        <v>4270</v>
      </c>
      <c r="I3408" t="str">
        <f>IF(COUNTIF(Products!$A$2:$A$8,C3408)=0,C3408,"")</f>
        <v/>
      </c>
      <c r="J3408">
        <f>IF(OR(E3408="Prospecting",E3408="Engaging"),VLOOKUP(C3408,Products!$A$2:$C$8,3,FALSE),0)</f>
        <v>0</v>
      </c>
    </row>
    <row r="3409" spans="1:10" x14ac:dyDescent="0.25">
      <c r="A3409" t="s">
        <v>3576</v>
      </c>
      <c r="B3409" t="s">
        <v>224</v>
      </c>
      <c r="C3409" t="s">
        <v>122</v>
      </c>
      <c r="D3409" t="s">
        <v>80</v>
      </c>
      <c r="E3409" t="s">
        <v>159</v>
      </c>
      <c r="F3409" s="1">
        <v>42880</v>
      </c>
      <c r="G3409" s="1">
        <v>42968</v>
      </c>
      <c r="H3409">
        <v>0</v>
      </c>
      <c r="I3409" t="str">
        <f>IF(COUNTIF(Products!$A$2:$A$8,C3409)=0,C3409,"")</f>
        <v/>
      </c>
      <c r="J3409">
        <f>IF(OR(E3409="Prospecting",E3409="Engaging"),VLOOKUP(C3409,Products!$A$2:$C$8,3,FALSE),0)</f>
        <v>0</v>
      </c>
    </row>
    <row r="3410" spans="1:10" x14ac:dyDescent="0.25">
      <c r="A3410" t="s">
        <v>3577</v>
      </c>
      <c r="B3410" t="s">
        <v>158</v>
      </c>
      <c r="C3410" t="s">
        <v>122</v>
      </c>
      <c r="D3410" t="s">
        <v>104</v>
      </c>
      <c r="E3410" t="s">
        <v>138</v>
      </c>
      <c r="F3410" s="1">
        <v>42880</v>
      </c>
      <c r="G3410" s="1">
        <v>42969</v>
      </c>
      <c r="H3410">
        <v>4787</v>
      </c>
      <c r="I3410" t="str">
        <f>IF(COUNTIF(Products!$A$2:$A$8,C3410)=0,C3410,"")</f>
        <v/>
      </c>
      <c r="J3410">
        <f>IF(OR(E3410="Prospecting",E3410="Engaging"),VLOOKUP(C3410,Products!$A$2:$C$8,3,FALSE),0)</f>
        <v>0</v>
      </c>
    </row>
    <row r="3411" spans="1:10" x14ac:dyDescent="0.25">
      <c r="A3411" t="s">
        <v>3578</v>
      </c>
      <c r="B3411" t="s">
        <v>164</v>
      </c>
      <c r="C3411" t="s">
        <v>125</v>
      </c>
      <c r="E3411" t="s">
        <v>155</v>
      </c>
      <c r="F3411" s="1">
        <v>42880</v>
      </c>
      <c r="I3411" t="str">
        <f>IF(COUNTIF(Products!$A$2:$A$8,C3411)=0,C3411,"")</f>
        <v/>
      </c>
      <c r="J3411">
        <f>IF(OR(E3411="Prospecting",E3411="Engaging"),VLOOKUP(C3411,Products!$A$2:$C$8,3,FALSE),0)</f>
        <v>3393</v>
      </c>
    </row>
    <row r="3412" spans="1:10" x14ac:dyDescent="0.25">
      <c r="A3412" t="s">
        <v>3579</v>
      </c>
      <c r="B3412" t="s">
        <v>303</v>
      </c>
      <c r="C3412" t="s">
        <v>120</v>
      </c>
      <c r="D3412" t="s">
        <v>95</v>
      </c>
      <c r="E3412" t="s">
        <v>159</v>
      </c>
      <c r="F3412" s="1">
        <v>42880</v>
      </c>
      <c r="G3412" s="1">
        <v>42975</v>
      </c>
      <c r="H3412">
        <v>0</v>
      </c>
      <c r="I3412" t="str">
        <f>IF(COUNTIF(Products!$A$2:$A$8,C3412)=0,C3412,"")</f>
        <v/>
      </c>
      <c r="J3412">
        <f>IF(OR(E3412="Prospecting",E3412="Engaging"),VLOOKUP(C3412,Products!$A$2:$C$8,3,FALSE),0)</f>
        <v>0</v>
      </c>
    </row>
    <row r="3413" spans="1:10" x14ac:dyDescent="0.25">
      <c r="A3413" t="s">
        <v>3580</v>
      </c>
      <c r="B3413" t="s">
        <v>303</v>
      </c>
      <c r="C3413" t="s">
        <v>123</v>
      </c>
      <c r="D3413" t="s">
        <v>61</v>
      </c>
      <c r="E3413" t="s">
        <v>138</v>
      </c>
      <c r="F3413" s="1">
        <v>42880</v>
      </c>
      <c r="G3413" s="1">
        <v>42886</v>
      </c>
      <c r="H3413">
        <v>55</v>
      </c>
      <c r="I3413" t="str">
        <f>IF(COUNTIF(Products!$A$2:$A$8,C3413)=0,C3413,"")</f>
        <v/>
      </c>
      <c r="J3413">
        <f>IF(OR(E3413="Prospecting",E3413="Engaging"),VLOOKUP(C3413,Products!$A$2:$C$8,3,FALSE),0)</f>
        <v>0</v>
      </c>
    </row>
    <row r="3414" spans="1:10" x14ac:dyDescent="0.25">
      <c r="A3414" t="s">
        <v>3581</v>
      </c>
      <c r="B3414" t="s">
        <v>303</v>
      </c>
      <c r="C3414" t="s">
        <v>125</v>
      </c>
      <c r="D3414" t="s">
        <v>46</v>
      </c>
      <c r="E3414" t="s">
        <v>138</v>
      </c>
      <c r="F3414" s="1">
        <v>42880</v>
      </c>
      <c r="G3414" s="1">
        <v>42956</v>
      </c>
      <c r="H3414">
        <v>3808</v>
      </c>
      <c r="I3414" t="str">
        <f>IF(COUNTIF(Products!$A$2:$A$8,C3414)=0,C3414,"")</f>
        <v/>
      </c>
      <c r="J3414">
        <f>IF(OR(E3414="Prospecting",E3414="Engaging"),VLOOKUP(C3414,Products!$A$2:$C$8,3,FALSE),0)</f>
        <v>0</v>
      </c>
    </row>
    <row r="3415" spans="1:10" x14ac:dyDescent="0.25">
      <c r="A3415" t="s">
        <v>3582</v>
      </c>
      <c r="B3415" t="s">
        <v>191</v>
      </c>
      <c r="C3415" t="s">
        <v>122</v>
      </c>
      <c r="E3415" t="s">
        <v>155</v>
      </c>
      <c r="F3415" s="1">
        <v>42880</v>
      </c>
      <c r="I3415" t="str">
        <f>IF(COUNTIF(Products!$A$2:$A$8,C3415)=0,C3415,"")</f>
        <v/>
      </c>
      <c r="J3415">
        <f>IF(OR(E3415="Prospecting",E3415="Engaging"),VLOOKUP(C3415,Products!$A$2:$C$8,3,FALSE),0)</f>
        <v>4821</v>
      </c>
    </row>
    <row r="3416" spans="1:10" x14ac:dyDescent="0.25">
      <c r="A3416" t="s">
        <v>3583</v>
      </c>
      <c r="B3416" t="s">
        <v>217</v>
      </c>
      <c r="C3416" t="s">
        <v>120</v>
      </c>
      <c r="D3416" t="s">
        <v>89</v>
      </c>
      <c r="E3416" t="s">
        <v>138</v>
      </c>
      <c r="F3416" s="1">
        <v>42880</v>
      </c>
      <c r="G3416" s="1">
        <v>43001</v>
      </c>
      <c r="H3416">
        <v>483</v>
      </c>
      <c r="I3416" t="str">
        <f>IF(COUNTIF(Products!$A$2:$A$8,C3416)=0,C3416,"")</f>
        <v/>
      </c>
      <c r="J3416">
        <f>IF(OR(E3416="Prospecting",E3416="Engaging"),VLOOKUP(C3416,Products!$A$2:$C$8,3,FALSE),0)</f>
        <v>0</v>
      </c>
    </row>
    <row r="3417" spans="1:10" x14ac:dyDescent="0.25">
      <c r="A3417" t="s">
        <v>3584</v>
      </c>
      <c r="B3417" t="s">
        <v>217</v>
      </c>
      <c r="C3417" t="s">
        <v>125</v>
      </c>
      <c r="D3417" t="s">
        <v>77</v>
      </c>
      <c r="E3417" t="s">
        <v>138</v>
      </c>
      <c r="F3417" s="1">
        <v>42880</v>
      </c>
      <c r="G3417" s="1">
        <v>42994</v>
      </c>
      <c r="H3417">
        <v>3727</v>
      </c>
      <c r="I3417" t="str">
        <f>IF(COUNTIF(Products!$A$2:$A$8,C3417)=0,C3417,"")</f>
        <v/>
      </c>
      <c r="J3417">
        <f>IF(OR(E3417="Prospecting",E3417="Engaging"),VLOOKUP(C3417,Products!$A$2:$C$8,3,FALSE),0)</f>
        <v>0</v>
      </c>
    </row>
    <row r="3418" spans="1:10" x14ac:dyDescent="0.25">
      <c r="A3418" t="s">
        <v>3585</v>
      </c>
      <c r="B3418" t="s">
        <v>150</v>
      </c>
      <c r="C3418" t="s">
        <v>122</v>
      </c>
      <c r="D3418" t="s">
        <v>39</v>
      </c>
      <c r="E3418" t="s">
        <v>138</v>
      </c>
      <c r="F3418" s="1">
        <v>42880</v>
      </c>
      <c r="G3418" s="1">
        <v>42961</v>
      </c>
      <c r="H3418">
        <v>4738</v>
      </c>
      <c r="I3418" t="str">
        <f>IF(COUNTIF(Products!$A$2:$A$8,C3418)=0,C3418,"")</f>
        <v/>
      </c>
      <c r="J3418">
        <f>IF(OR(E3418="Prospecting",E3418="Engaging"),VLOOKUP(C3418,Products!$A$2:$C$8,3,FALSE),0)</f>
        <v>0</v>
      </c>
    </row>
    <row r="3419" spans="1:10" x14ac:dyDescent="0.25">
      <c r="A3419" t="s">
        <v>3586</v>
      </c>
      <c r="B3419" t="s">
        <v>205</v>
      </c>
      <c r="C3419" t="s">
        <v>127</v>
      </c>
      <c r="D3419" t="s">
        <v>88</v>
      </c>
      <c r="E3419" t="s">
        <v>138</v>
      </c>
      <c r="F3419" s="1">
        <v>42880</v>
      </c>
      <c r="G3419" s="1">
        <v>42951</v>
      </c>
      <c r="H3419">
        <v>1275</v>
      </c>
      <c r="I3419" t="str">
        <f>IF(COUNTIF(Products!$A$2:$A$8,C3419)=0,C3419,"")</f>
        <v/>
      </c>
      <c r="J3419">
        <f>IF(OR(E3419="Prospecting",E3419="Engaging"),VLOOKUP(C3419,Products!$A$2:$C$8,3,FALSE),0)</f>
        <v>0</v>
      </c>
    </row>
    <row r="3420" spans="1:10" x14ac:dyDescent="0.25">
      <c r="A3420" t="s">
        <v>3587</v>
      </c>
      <c r="B3420" t="s">
        <v>205</v>
      </c>
      <c r="C3420" t="s">
        <v>125</v>
      </c>
      <c r="D3420" t="s">
        <v>104</v>
      </c>
      <c r="E3420" t="s">
        <v>138</v>
      </c>
      <c r="F3420" s="1">
        <v>42880</v>
      </c>
      <c r="G3420" s="1">
        <v>42966</v>
      </c>
      <c r="H3420">
        <v>3428</v>
      </c>
      <c r="I3420" t="str">
        <f>IF(COUNTIF(Products!$A$2:$A$8,C3420)=0,C3420,"")</f>
        <v/>
      </c>
      <c r="J3420">
        <f>IF(OR(E3420="Prospecting",E3420="Engaging"),VLOOKUP(C3420,Products!$A$2:$C$8,3,FALSE),0)</f>
        <v>0</v>
      </c>
    </row>
    <row r="3421" spans="1:10" x14ac:dyDescent="0.25">
      <c r="A3421" t="s">
        <v>3588</v>
      </c>
      <c r="B3421" t="s">
        <v>137</v>
      </c>
      <c r="C3421" t="s">
        <v>123</v>
      </c>
      <c r="D3421" t="s">
        <v>28</v>
      </c>
      <c r="E3421" t="s">
        <v>159</v>
      </c>
      <c r="F3421" s="1">
        <v>42880</v>
      </c>
      <c r="G3421" s="1">
        <v>42989</v>
      </c>
      <c r="H3421">
        <v>0</v>
      </c>
      <c r="I3421" t="str">
        <f>IF(COUNTIF(Products!$A$2:$A$8,C3421)=0,C3421,"")</f>
        <v/>
      </c>
      <c r="J3421">
        <f>IF(OR(E3421="Prospecting",E3421="Engaging"),VLOOKUP(C3421,Products!$A$2:$C$8,3,FALSE),0)</f>
        <v>0</v>
      </c>
    </row>
    <row r="3422" spans="1:10" x14ac:dyDescent="0.25">
      <c r="A3422" t="s">
        <v>3589</v>
      </c>
      <c r="B3422" t="s">
        <v>193</v>
      </c>
      <c r="C3422" t="s">
        <v>122</v>
      </c>
      <c r="D3422" t="s">
        <v>73</v>
      </c>
      <c r="E3422" t="s">
        <v>138</v>
      </c>
      <c r="F3422" s="1">
        <v>42880</v>
      </c>
      <c r="G3422" s="1">
        <v>42893</v>
      </c>
      <c r="H3422">
        <v>5420</v>
      </c>
      <c r="I3422" t="str">
        <f>IF(COUNTIF(Products!$A$2:$A$8,C3422)=0,C3422,"")</f>
        <v/>
      </c>
      <c r="J3422">
        <f>IF(OR(E3422="Prospecting",E3422="Engaging"),VLOOKUP(C3422,Products!$A$2:$C$8,3,FALSE),0)</f>
        <v>0</v>
      </c>
    </row>
    <row r="3423" spans="1:10" x14ac:dyDescent="0.25">
      <c r="A3423" t="s">
        <v>3590</v>
      </c>
      <c r="B3423" t="s">
        <v>166</v>
      </c>
      <c r="C3423" t="s">
        <v>123</v>
      </c>
      <c r="D3423" t="s">
        <v>29</v>
      </c>
      <c r="E3423" t="s">
        <v>159</v>
      </c>
      <c r="F3423" s="1">
        <v>42880</v>
      </c>
      <c r="G3423" s="1">
        <v>42975</v>
      </c>
      <c r="H3423">
        <v>0</v>
      </c>
      <c r="I3423" t="str">
        <f>IF(COUNTIF(Products!$A$2:$A$8,C3423)=0,C3423,"")</f>
        <v/>
      </c>
      <c r="J3423">
        <f>IF(OR(E3423="Prospecting",E3423="Engaging"),VLOOKUP(C3423,Products!$A$2:$C$8,3,FALSE),0)</f>
        <v>0</v>
      </c>
    </row>
    <row r="3424" spans="1:10" x14ac:dyDescent="0.25">
      <c r="A3424" t="s">
        <v>3591</v>
      </c>
      <c r="B3424" t="s">
        <v>169</v>
      </c>
      <c r="C3424" t="s">
        <v>123</v>
      </c>
      <c r="D3424" t="s">
        <v>36</v>
      </c>
      <c r="E3424" t="s">
        <v>138</v>
      </c>
      <c r="F3424" s="1">
        <v>42880</v>
      </c>
      <c r="G3424" s="1">
        <v>42897</v>
      </c>
      <c r="H3424">
        <v>59</v>
      </c>
      <c r="I3424" t="str">
        <f>IF(COUNTIF(Products!$A$2:$A$8,C3424)=0,C3424,"")</f>
        <v/>
      </c>
      <c r="J3424">
        <f>IF(OR(E3424="Prospecting",E3424="Engaging"),VLOOKUP(C3424,Products!$A$2:$C$8,3,FALSE),0)</f>
        <v>0</v>
      </c>
    </row>
    <row r="3425" spans="1:10" x14ac:dyDescent="0.25">
      <c r="A3425" t="s">
        <v>3592</v>
      </c>
      <c r="B3425" t="s">
        <v>148</v>
      </c>
      <c r="C3425" t="s">
        <v>126</v>
      </c>
      <c r="D3425" t="s">
        <v>93</v>
      </c>
      <c r="E3425" t="s">
        <v>155</v>
      </c>
      <c r="F3425" s="1">
        <v>42880</v>
      </c>
      <c r="I3425" t="str">
        <f>IF(COUNTIF(Products!$A$2:$A$8,C3425)=0,C3425,"")</f>
        <v/>
      </c>
      <c r="J3425">
        <f>IF(OR(E3425="Prospecting",E3425="Engaging"),VLOOKUP(C3425,Products!$A$2:$C$8,3,FALSE),0)</f>
        <v>5482</v>
      </c>
    </row>
    <row r="3426" spans="1:10" x14ac:dyDescent="0.25">
      <c r="A3426" t="s">
        <v>3593</v>
      </c>
      <c r="B3426" t="s">
        <v>148</v>
      </c>
      <c r="C3426" t="s">
        <v>123</v>
      </c>
      <c r="D3426" t="s">
        <v>51</v>
      </c>
      <c r="E3426" t="s">
        <v>155</v>
      </c>
      <c r="F3426" s="1">
        <v>42880</v>
      </c>
      <c r="I3426" t="str">
        <f>IF(COUNTIF(Products!$A$2:$A$8,C3426)=0,C3426,"")</f>
        <v/>
      </c>
      <c r="J3426">
        <f>IF(OR(E3426="Prospecting",E3426="Engaging"),VLOOKUP(C3426,Products!$A$2:$C$8,3,FALSE),0)</f>
        <v>55</v>
      </c>
    </row>
    <row r="3427" spans="1:10" x14ac:dyDescent="0.25">
      <c r="A3427" t="s">
        <v>3594</v>
      </c>
      <c r="B3427" t="s">
        <v>146</v>
      </c>
      <c r="C3427" t="s">
        <v>127</v>
      </c>
      <c r="D3427" t="s">
        <v>36</v>
      </c>
      <c r="E3427" t="s">
        <v>159</v>
      </c>
      <c r="F3427" s="1">
        <v>42881</v>
      </c>
      <c r="G3427" s="1">
        <v>42962</v>
      </c>
      <c r="H3427">
        <v>0</v>
      </c>
      <c r="I3427" t="str">
        <f>IF(COUNTIF(Products!$A$2:$A$8,C3427)=0,C3427,"")</f>
        <v/>
      </c>
      <c r="J3427">
        <f>IF(OR(E3427="Prospecting",E3427="Engaging"),VLOOKUP(C3427,Products!$A$2:$C$8,3,FALSE),0)</f>
        <v>0</v>
      </c>
    </row>
    <row r="3428" spans="1:10" x14ac:dyDescent="0.25">
      <c r="A3428" t="s">
        <v>3595</v>
      </c>
      <c r="B3428" t="s">
        <v>146</v>
      </c>
      <c r="C3428" t="s">
        <v>125</v>
      </c>
      <c r="D3428" t="s">
        <v>85</v>
      </c>
      <c r="E3428" t="s">
        <v>159</v>
      </c>
      <c r="F3428" s="1">
        <v>42881</v>
      </c>
      <c r="G3428" s="1">
        <v>42966</v>
      </c>
      <c r="H3428">
        <v>0</v>
      </c>
      <c r="I3428" t="str">
        <f>IF(COUNTIF(Products!$A$2:$A$8,C3428)=0,C3428,"")</f>
        <v/>
      </c>
      <c r="J3428">
        <f>IF(OR(E3428="Prospecting",E3428="Engaging"),VLOOKUP(C3428,Products!$A$2:$C$8,3,FALSE),0)</f>
        <v>0</v>
      </c>
    </row>
    <row r="3429" spans="1:10" x14ac:dyDescent="0.25">
      <c r="A3429" t="s">
        <v>3596</v>
      </c>
      <c r="B3429" t="s">
        <v>222</v>
      </c>
      <c r="C3429" t="s">
        <v>125</v>
      </c>
      <c r="E3429" t="s">
        <v>155</v>
      </c>
      <c r="F3429" s="1">
        <v>42881</v>
      </c>
      <c r="I3429" t="str">
        <f>IF(COUNTIF(Products!$A$2:$A$8,C3429)=0,C3429,"")</f>
        <v/>
      </c>
      <c r="J3429">
        <f>IF(OR(E3429="Prospecting",E3429="Engaging"),VLOOKUP(C3429,Products!$A$2:$C$8,3,FALSE),0)</f>
        <v>3393</v>
      </c>
    </row>
    <row r="3430" spans="1:10" x14ac:dyDescent="0.25">
      <c r="A3430" t="s">
        <v>3597</v>
      </c>
      <c r="B3430" t="s">
        <v>222</v>
      </c>
      <c r="C3430" t="s">
        <v>120</v>
      </c>
      <c r="D3430" t="s">
        <v>92</v>
      </c>
      <c r="E3430" t="s">
        <v>138</v>
      </c>
      <c r="F3430" s="1">
        <v>42881</v>
      </c>
      <c r="G3430" s="1">
        <v>42993</v>
      </c>
      <c r="H3430">
        <v>561</v>
      </c>
      <c r="I3430" t="str">
        <f>IF(COUNTIF(Products!$A$2:$A$8,C3430)=0,C3430,"")</f>
        <v/>
      </c>
      <c r="J3430">
        <f>IF(OR(E3430="Prospecting",E3430="Engaging"),VLOOKUP(C3430,Products!$A$2:$C$8,3,FALSE),0)</f>
        <v>0</v>
      </c>
    </row>
    <row r="3431" spans="1:10" x14ac:dyDescent="0.25">
      <c r="A3431" t="s">
        <v>3598</v>
      </c>
      <c r="B3431" t="s">
        <v>222</v>
      </c>
      <c r="C3431" t="s">
        <v>127</v>
      </c>
      <c r="D3431" t="s">
        <v>111</v>
      </c>
      <c r="E3431" t="s">
        <v>138</v>
      </c>
      <c r="F3431" s="1">
        <v>42881</v>
      </c>
      <c r="G3431" s="1">
        <v>42957</v>
      </c>
      <c r="H3431">
        <v>1354</v>
      </c>
      <c r="I3431" t="str">
        <f>IF(COUNTIF(Products!$A$2:$A$8,C3431)=0,C3431,"")</f>
        <v/>
      </c>
      <c r="J3431">
        <f>IF(OR(E3431="Prospecting",E3431="Engaging"),VLOOKUP(C3431,Products!$A$2:$C$8,3,FALSE),0)</f>
        <v>0</v>
      </c>
    </row>
    <row r="3432" spans="1:10" x14ac:dyDescent="0.25">
      <c r="A3432" t="s">
        <v>3599</v>
      </c>
      <c r="B3432" t="s">
        <v>207</v>
      </c>
      <c r="C3432" t="s">
        <v>123</v>
      </c>
      <c r="D3432" t="s">
        <v>102</v>
      </c>
      <c r="E3432" t="s">
        <v>138</v>
      </c>
      <c r="F3432" s="1">
        <v>42881</v>
      </c>
      <c r="G3432" s="1">
        <v>42996</v>
      </c>
      <c r="H3432">
        <v>44</v>
      </c>
      <c r="I3432" t="str">
        <f>IF(COUNTIF(Products!$A$2:$A$8,C3432)=0,C3432,"")</f>
        <v/>
      </c>
      <c r="J3432">
        <f>IF(OR(E3432="Prospecting",E3432="Engaging"),VLOOKUP(C3432,Products!$A$2:$C$8,3,FALSE),0)</f>
        <v>0</v>
      </c>
    </row>
    <row r="3433" spans="1:10" x14ac:dyDescent="0.25">
      <c r="A3433" t="s">
        <v>3600</v>
      </c>
      <c r="B3433" t="s">
        <v>239</v>
      </c>
      <c r="C3433" t="s">
        <v>120</v>
      </c>
      <c r="D3433" t="s">
        <v>73</v>
      </c>
      <c r="E3433" t="s">
        <v>138</v>
      </c>
      <c r="F3433" s="1">
        <v>42881</v>
      </c>
      <c r="G3433" s="1">
        <v>42996</v>
      </c>
      <c r="H3433">
        <v>560</v>
      </c>
      <c r="I3433" t="str">
        <f>IF(COUNTIF(Products!$A$2:$A$8,C3433)=0,C3433,"")</f>
        <v/>
      </c>
      <c r="J3433">
        <f>IF(OR(E3433="Prospecting",E3433="Engaging"),VLOOKUP(C3433,Products!$A$2:$C$8,3,FALSE),0)</f>
        <v>0</v>
      </c>
    </row>
    <row r="3434" spans="1:10" x14ac:dyDescent="0.25">
      <c r="A3434" t="s">
        <v>3601</v>
      </c>
      <c r="B3434" t="s">
        <v>239</v>
      </c>
      <c r="C3434" t="s">
        <v>122</v>
      </c>
      <c r="D3434" t="s">
        <v>35</v>
      </c>
      <c r="E3434" t="s">
        <v>138</v>
      </c>
      <c r="F3434" s="1">
        <v>42881</v>
      </c>
      <c r="G3434" s="1">
        <v>42895</v>
      </c>
      <c r="H3434">
        <v>5324</v>
      </c>
      <c r="I3434" t="str">
        <f>IF(COUNTIF(Products!$A$2:$A$8,C3434)=0,C3434,"")</f>
        <v/>
      </c>
      <c r="J3434">
        <f>IF(OR(E3434="Prospecting",E3434="Engaging"),VLOOKUP(C3434,Products!$A$2:$C$8,3,FALSE),0)</f>
        <v>0</v>
      </c>
    </row>
    <row r="3435" spans="1:10" x14ac:dyDescent="0.25">
      <c r="A3435" t="s">
        <v>3602</v>
      </c>
      <c r="B3435" t="s">
        <v>164</v>
      </c>
      <c r="C3435" t="s">
        <v>125</v>
      </c>
      <c r="E3435" t="s">
        <v>155</v>
      </c>
      <c r="F3435" s="1">
        <v>42881</v>
      </c>
      <c r="I3435" t="str">
        <f>IF(COUNTIF(Products!$A$2:$A$8,C3435)=0,C3435,"")</f>
        <v/>
      </c>
      <c r="J3435">
        <f>IF(OR(E3435="Prospecting",E3435="Engaging"),VLOOKUP(C3435,Products!$A$2:$C$8,3,FALSE),0)</f>
        <v>3393</v>
      </c>
    </row>
    <row r="3436" spans="1:10" x14ac:dyDescent="0.25">
      <c r="A3436" t="s">
        <v>3603</v>
      </c>
      <c r="B3436" t="s">
        <v>164</v>
      </c>
      <c r="C3436" t="s">
        <v>125</v>
      </c>
      <c r="E3436" t="s">
        <v>155</v>
      </c>
      <c r="F3436" s="1">
        <v>42881</v>
      </c>
      <c r="I3436" t="str">
        <f>IF(COUNTIF(Products!$A$2:$A$8,C3436)=0,C3436,"")</f>
        <v/>
      </c>
      <c r="J3436">
        <f>IF(OR(E3436="Prospecting",E3436="Engaging"),VLOOKUP(C3436,Products!$A$2:$C$8,3,FALSE),0)</f>
        <v>3393</v>
      </c>
    </row>
    <row r="3437" spans="1:10" x14ac:dyDescent="0.25">
      <c r="A3437" t="s">
        <v>3604</v>
      </c>
      <c r="B3437" t="s">
        <v>154</v>
      </c>
      <c r="C3437" t="s">
        <v>127</v>
      </c>
      <c r="D3437" t="s">
        <v>114</v>
      </c>
      <c r="E3437" t="s">
        <v>155</v>
      </c>
      <c r="F3437" s="1">
        <v>42881</v>
      </c>
      <c r="I3437" t="str">
        <f>IF(COUNTIF(Products!$A$2:$A$8,C3437)=0,C3437,"")</f>
        <v/>
      </c>
      <c r="J3437">
        <f>IF(OR(E3437="Prospecting",E3437="Engaging"),VLOOKUP(C3437,Products!$A$2:$C$8,3,FALSE),0)</f>
        <v>1096</v>
      </c>
    </row>
    <row r="3438" spans="1:10" x14ac:dyDescent="0.25">
      <c r="A3438" t="s">
        <v>3605</v>
      </c>
      <c r="B3438" t="s">
        <v>180</v>
      </c>
      <c r="C3438" t="s">
        <v>122</v>
      </c>
      <c r="D3438" t="s">
        <v>28</v>
      </c>
      <c r="E3438" t="s">
        <v>155</v>
      </c>
      <c r="F3438" s="1">
        <v>42881</v>
      </c>
      <c r="I3438" t="str">
        <f>IF(COUNTIF(Products!$A$2:$A$8,C3438)=0,C3438,"")</f>
        <v/>
      </c>
      <c r="J3438">
        <f>IF(OR(E3438="Prospecting",E3438="Engaging"),VLOOKUP(C3438,Products!$A$2:$C$8,3,FALSE),0)</f>
        <v>4821</v>
      </c>
    </row>
    <row r="3439" spans="1:10" x14ac:dyDescent="0.25">
      <c r="A3439" t="s">
        <v>3606</v>
      </c>
      <c r="B3439" t="s">
        <v>180</v>
      </c>
      <c r="C3439" t="s">
        <v>122</v>
      </c>
      <c r="D3439" t="s">
        <v>39</v>
      </c>
      <c r="E3439" t="s">
        <v>138</v>
      </c>
      <c r="F3439" s="1">
        <v>42881</v>
      </c>
      <c r="G3439" s="1">
        <v>43001</v>
      </c>
      <c r="H3439">
        <v>4924</v>
      </c>
      <c r="I3439" t="str">
        <f>IF(COUNTIF(Products!$A$2:$A$8,C3439)=0,C3439,"")</f>
        <v/>
      </c>
      <c r="J3439">
        <f>IF(OR(E3439="Prospecting",E3439="Engaging"),VLOOKUP(C3439,Products!$A$2:$C$8,3,FALSE),0)</f>
        <v>0</v>
      </c>
    </row>
    <row r="3440" spans="1:10" x14ac:dyDescent="0.25">
      <c r="A3440" t="s">
        <v>3607</v>
      </c>
      <c r="B3440" t="s">
        <v>191</v>
      </c>
      <c r="C3440" t="s">
        <v>120</v>
      </c>
      <c r="D3440" t="s">
        <v>47</v>
      </c>
      <c r="E3440" t="s">
        <v>138</v>
      </c>
      <c r="F3440" s="1">
        <v>42881</v>
      </c>
      <c r="G3440" s="1">
        <v>42954</v>
      </c>
      <c r="H3440">
        <v>571</v>
      </c>
      <c r="I3440" t="str">
        <f>IF(COUNTIF(Products!$A$2:$A$8,C3440)=0,C3440,"")</f>
        <v/>
      </c>
      <c r="J3440">
        <f>IF(OR(E3440="Prospecting",E3440="Engaging"),VLOOKUP(C3440,Products!$A$2:$C$8,3,FALSE),0)</f>
        <v>0</v>
      </c>
    </row>
    <row r="3441" spans="1:10" x14ac:dyDescent="0.25">
      <c r="A3441" t="s">
        <v>3608</v>
      </c>
      <c r="B3441" t="s">
        <v>191</v>
      </c>
      <c r="C3441" t="s">
        <v>125</v>
      </c>
      <c r="D3441" t="s">
        <v>69</v>
      </c>
      <c r="E3441" t="s">
        <v>138</v>
      </c>
      <c r="F3441" s="1">
        <v>42881</v>
      </c>
      <c r="G3441" s="1">
        <v>42959</v>
      </c>
      <c r="H3441">
        <v>4022</v>
      </c>
      <c r="I3441" t="str">
        <f>IF(COUNTIF(Products!$A$2:$A$8,C3441)=0,C3441,"")</f>
        <v/>
      </c>
      <c r="J3441">
        <f>IF(OR(E3441="Prospecting",E3441="Engaging"),VLOOKUP(C3441,Products!$A$2:$C$8,3,FALSE),0)</f>
        <v>0</v>
      </c>
    </row>
    <row r="3442" spans="1:10" x14ac:dyDescent="0.25">
      <c r="A3442" t="s">
        <v>3609</v>
      </c>
      <c r="B3442" t="s">
        <v>217</v>
      </c>
      <c r="C3442" t="s">
        <v>120</v>
      </c>
      <c r="D3442" t="s">
        <v>89</v>
      </c>
      <c r="E3442" t="s">
        <v>159</v>
      </c>
      <c r="F3442" s="1">
        <v>42881</v>
      </c>
      <c r="G3442" s="1">
        <v>42959</v>
      </c>
      <c r="H3442">
        <v>0</v>
      </c>
      <c r="I3442" t="str">
        <f>IF(COUNTIF(Products!$A$2:$A$8,C3442)=0,C3442,"")</f>
        <v/>
      </c>
      <c r="J3442">
        <f>IF(OR(E3442="Prospecting",E3442="Engaging"),VLOOKUP(C3442,Products!$A$2:$C$8,3,FALSE),0)</f>
        <v>0</v>
      </c>
    </row>
    <row r="3443" spans="1:10" x14ac:dyDescent="0.25">
      <c r="A3443" t="s">
        <v>3610</v>
      </c>
      <c r="B3443" t="s">
        <v>162</v>
      </c>
      <c r="C3443" t="s">
        <v>123</v>
      </c>
      <c r="D3443" t="s">
        <v>59</v>
      </c>
      <c r="E3443" t="s">
        <v>159</v>
      </c>
      <c r="F3443" s="1">
        <v>42881</v>
      </c>
      <c r="G3443" s="1">
        <v>42969</v>
      </c>
      <c r="H3443">
        <v>0</v>
      </c>
      <c r="I3443" t="str">
        <f>IF(COUNTIF(Products!$A$2:$A$8,C3443)=0,C3443,"")</f>
        <v/>
      </c>
      <c r="J3443">
        <f>IF(OR(E3443="Prospecting",E3443="Engaging"),VLOOKUP(C3443,Products!$A$2:$C$8,3,FALSE),0)</f>
        <v>0</v>
      </c>
    </row>
    <row r="3444" spans="1:10" x14ac:dyDescent="0.25">
      <c r="A3444" t="s">
        <v>3611</v>
      </c>
      <c r="B3444" t="s">
        <v>162</v>
      </c>
      <c r="C3444" t="s">
        <v>127</v>
      </c>
      <c r="D3444" t="s">
        <v>39</v>
      </c>
      <c r="E3444" t="s">
        <v>138</v>
      </c>
      <c r="F3444" s="1">
        <v>42881</v>
      </c>
      <c r="G3444" s="1">
        <v>42898</v>
      </c>
      <c r="H3444">
        <v>1030</v>
      </c>
      <c r="I3444" t="str">
        <f>IF(COUNTIF(Products!$A$2:$A$8,C3444)=0,C3444,"")</f>
        <v/>
      </c>
      <c r="J3444">
        <f>IF(OR(E3444="Prospecting",E3444="Engaging"),VLOOKUP(C3444,Products!$A$2:$C$8,3,FALSE),0)</f>
        <v>0</v>
      </c>
    </row>
    <row r="3445" spans="1:10" x14ac:dyDescent="0.25">
      <c r="A3445" t="s">
        <v>3612</v>
      </c>
      <c r="B3445" t="s">
        <v>137</v>
      </c>
      <c r="C3445" t="s">
        <v>125</v>
      </c>
      <c r="D3445" t="s">
        <v>14</v>
      </c>
      <c r="E3445" t="s">
        <v>159</v>
      </c>
      <c r="F3445" s="1">
        <v>42881</v>
      </c>
      <c r="G3445" s="1">
        <v>42956</v>
      </c>
      <c r="H3445">
        <v>0</v>
      </c>
      <c r="I3445" t="str">
        <f>IF(COUNTIF(Products!$A$2:$A$8,C3445)=0,C3445,"")</f>
        <v/>
      </c>
      <c r="J3445">
        <f>IF(OR(E3445="Prospecting",E3445="Engaging"),VLOOKUP(C3445,Products!$A$2:$C$8,3,FALSE),0)</f>
        <v>0</v>
      </c>
    </row>
    <row r="3446" spans="1:10" x14ac:dyDescent="0.25">
      <c r="A3446" t="s">
        <v>3613</v>
      </c>
      <c r="B3446" t="s">
        <v>152</v>
      </c>
      <c r="C3446" t="s">
        <v>123</v>
      </c>
      <c r="D3446" t="s">
        <v>96</v>
      </c>
      <c r="E3446" t="s">
        <v>159</v>
      </c>
      <c r="F3446" s="1">
        <v>42881</v>
      </c>
      <c r="G3446" s="1">
        <v>42886</v>
      </c>
      <c r="H3446">
        <v>0</v>
      </c>
      <c r="I3446" t="str">
        <f>IF(COUNTIF(Products!$A$2:$A$8,C3446)=0,C3446,"")</f>
        <v/>
      </c>
      <c r="J3446">
        <f>IF(OR(E3446="Prospecting",E3446="Engaging"),VLOOKUP(C3446,Products!$A$2:$C$8,3,FALSE),0)</f>
        <v>0</v>
      </c>
    </row>
    <row r="3447" spans="1:10" x14ac:dyDescent="0.25">
      <c r="A3447" t="s">
        <v>3614</v>
      </c>
      <c r="B3447" t="s">
        <v>169</v>
      </c>
      <c r="C3447" t="s">
        <v>123</v>
      </c>
      <c r="D3447" t="s">
        <v>26</v>
      </c>
      <c r="E3447" t="s">
        <v>159</v>
      </c>
      <c r="F3447" s="1">
        <v>42881</v>
      </c>
      <c r="G3447" s="1">
        <v>42987</v>
      </c>
      <c r="H3447">
        <v>0</v>
      </c>
      <c r="I3447" t="str">
        <f>IF(COUNTIF(Products!$A$2:$A$8,C3447)=0,C3447,"")</f>
        <v/>
      </c>
      <c r="J3447">
        <f>IF(OR(E3447="Prospecting",E3447="Engaging"),VLOOKUP(C3447,Products!$A$2:$C$8,3,FALSE),0)</f>
        <v>0</v>
      </c>
    </row>
    <row r="3448" spans="1:10" x14ac:dyDescent="0.25">
      <c r="A3448" t="s">
        <v>3615</v>
      </c>
      <c r="B3448" t="s">
        <v>148</v>
      </c>
      <c r="C3448" t="s">
        <v>120</v>
      </c>
      <c r="D3448" t="s">
        <v>60</v>
      </c>
      <c r="E3448" t="s">
        <v>159</v>
      </c>
      <c r="F3448" s="1">
        <v>42881</v>
      </c>
      <c r="G3448" s="1">
        <v>42950</v>
      </c>
      <c r="H3448">
        <v>0</v>
      </c>
      <c r="I3448" t="str">
        <f>IF(COUNTIF(Products!$A$2:$A$8,C3448)=0,C3448,"")</f>
        <v/>
      </c>
      <c r="J3448">
        <f>IF(OR(E3448="Prospecting",E3448="Engaging"),VLOOKUP(C3448,Products!$A$2:$C$8,3,FALSE),0)</f>
        <v>0</v>
      </c>
    </row>
    <row r="3449" spans="1:10" x14ac:dyDescent="0.25">
      <c r="A3449" t="s">
        <v>3616</v>
      </c>
      <c r="B3449" t="s">
        <v>148</v>
      </c>
      <c r="C3449" t="s">
        <v>122</v>
      </c>
      <c r="D3449" t="s">
        <v>67</v>
      </c>
      <c r="E3449" t="s">
        <v>138</v>
      </c>
      <c r="F3449" s="1">
        <v>42881</v>
      </c>
      <c r="G3449" s="1">
        <v>42999</v>
      </c>
      <c r="H3449">
        <v>5074</v>
      </c>
      <c r="I3449" t="str">
        <f>IF(COUNTIF(Products!$A$2:$A$8,C3449)=0,C3449,"")</f>
        <v/>
      </c>
      <c r="J3449">
        <f>IF(OR(E3449="Prospecting",E3449="Engaging"),VLOOKUP(C3449,Products!$A$2:$C$8,3,FALSE),0)</f>
        <v>0</v>
      </c>
    </row>
    <row r="3450" spans="1:10" x14ac:dyDescent="0.25">
      <c r="A3450" t="s">
        <v>3617</v>
      </c>
      <c r="B3450" t="s">
        <v>177</v>
      </c>
      <c r="C3450" t="s">
        <v>123</v>
      </c>
      <c r="D3450" t="s">
        <v>114</v>
      </c>
      <c r="E3450" t="s">
        <v>155</v>
      </c>
      <c r="F3450" s="1">
        <v>42881</v>
      </c>
      <c r="I3450" t="str">
        <f>IF(COUNTIF(Products!$A$2:$A$8,C3450)=0,C3450,"")</f>
        <v/>
      </c>
      <c r="J3450">
        <f>IF(OR(E3450="Prospecting",E3450="Engaging"),VLOOKUP(C3450,Products!$A$2:$C$8,3,FALSE),0)</f>
        <v>55</v>
      </c>
    </row>
    <row r="3451" spans="1:10" x14ac:dyDescent="0.25">
      <c r="A3451" t="s">
        <v>3618</v>
      </c>
      <c r="B3451" t="s">
        <v>196</v>
      </c>
      <c r="C3451" t="s">
        <v>126</v>
      </c>
      <c r="D3451" t="s">
        <v>106</v>
      </c>
      <c r="E3451" t="s">
        <v>138</v>
      </c>
      <c r="F3451" s="1">
        <v>42881</v>
      </c>
      <c r="G3451" s="1">
        <v>43001</v>
      </c>
      <c r="H3451">
        <v>5198</v>
      </c>
      <c r="I3451" t="str">
        <f>IF(COUNTIF(Products!$A$2:$A$8,C3451)=0,C3451,"")</f>
        <v/>
      </c>
      <c r="J3451">
        <f>IF(OR(E3451="Prospecting",E3451="Engaging"),VLOOKUP(C3451,Products!$A$2:$C$8,3,FALSE),0)</f>
        <v>0</v>
      </c>
    </row>
    <row r="3452" spans="1:10" x14ac:dyDescent="0.25">
      <c r="A3452" t="s">
        <v>3619</v>
      </c>
      <c r="B3452" t="s">
        <v>144</v>
      </c>
      <c r="C3452" t="s">
        <v>120</v>
      </c>
      <c r="E3452" t="s">
        <v>155</v>
      </c>
      <c r="F3452" s="1">
        <v>42881</v>
      </c>
      <c r="I3452" t="str">
        <f>IF(COUNTIF(Products!$A$2:$A$8,C3452)=0,C3452,"")</f>
        <v/>
      </c>
      <c r="J3452">
        <f>IF(OR(E3452="Prospecting",E3452="Engaging"),VLOOKUP(C3452,Products!$A$2:$C$8,3,FALSE),0)</f>
        <v>550</v>
      </c>
    </row>
    <row r="3453" spans="1:10" x14ac:dyDescent="0.25">
      <c r="A3453" t="s">
        <v>3620</v>
      </c>
      <c r="B3453" t="s">
        <v>144</v>
      </c>
      <c r="C3453" t="s">
        <v>126</v>
      </c>
      <c r="D3453" t="s">
        <v>39</v>
      </c>
      <c r="E3453" t="s">
        <v>159</v>
      </c>
      <c r="F3453" s="1">
        <v>42881</v>
      </c>
      <c r="G3453" s="1">
        <v>42984</v>
      </c>
      <c r="H3453">
        <v>0</v>
      </c>
      <c r="I3453" t="str">
        <f>IF(COUNTIF(Products!$A$2:$A$8,C3453)=0,C3453,"")</f>
        <v/>
      </c>
      <c r="J3453">
        <f>IF(OR(E3453="Prospecting",E3453="Engaging"),VLOOKUP(C3453,Products!$A$2:$C$8,3,FALSE),0)</f>
        <v>0</v>
      </c>
    </row>
    <row r="3454" spans="1:10" x14ac:dyDescent="0.25">
      <c r="A3454" t="s">
        <v>3621</v>
      </c>
      <c r="B3454" t="s">
        <v>146</v>
      </c>
      <c r="C3454" t="s">
        <v>123</v>
      </c>
      <c r="D3454" t="s">
        <v>12</v>
      </c>
      <c r="E3454" t="s">
        <v>159</v>
      </c>
      <c r="F3454" s="1">
        <v>42882</v>
      </c>
      <c r="G3454" s="1">
        <v>42971</v>
      </c>
      <c r="H3454">
        <v>0</v>
      </c>
      <c r="I3454" t="str">
        <f>IF(COUNTIF(Products!$A$2:$A$8,C3454)=0,C3454,"")</f>
        <v/>
      </c>
      <c r="J3454">
        <f>IF(OR(E3454="Prospecting",E3454="Engaging"),VLOOKUP(C3454,Products!$A$2:$C$8,3,FALSE),0)</f>
        <v>0</v>
      </c>
    </row>
    <row r="3455" spans="1:10" x14ac:dyDescent="0.25">
      <c r="A3455" t="s">
        <v>3622</v>
      </c>
      <c r="B3455" t="s">
        <v>146</v>
      </c>
      <c r="C3455" t="s">
        <v>120</v>
      </c>
      <c r="D3455" t="s">
        <v>28</v>
      </c>
      <c r="E3455" t="s">
        <v>138</v>
      </c>
      <c r="F3455" s="1">
        <v>42882</v>
      </c>
      <c r="G3455" s="1">
        <v>42981</v>
      </c>
      <c r="H3455">
        <v>576</v>
      </c>
      <c r="I3455" t="str">
        <f>IF(COUNTIF(Products!$A$2:$A$8,C3455)=0,C3455,"")</f>
        <v/>
      </c>
      <c r="J3455">
        <f>IF(OR(E3455="Prospecting",E3455="Engaging"),VLOOKUP(C3455,Products!$A$2:$C$8,3,FALSE),0)</f>
        <v>0</v>
      </c>
    </row>
    <row r="3456" spans="1:10" x14ac:dyDescent="0.25">
      <c r="A3456" t="s">
        <v>3623</v>
      </c>
      <c r="B3456" t="s">
        <v>146</v>
      </c>
      <c r="C3456" t="s">
        <v>123</v>
      </c>
      <c r="D3456" t="s">
        <v>94</v>
      </c>
      <c r="E3456" t="s">
        <v>138</v>
      </c>
      <c r="F3456" s="1">
        <v>42882</v>
      </c>
      <c r="G3456" s="1">
        <v>42968</v>
      </c>
      <c r="H3456">
        <v>57</v>
      </c>
      <c r="I3456" t="str">
        <f>IF(COUNTIF(Products!$A$2:$A$8,C3456)=0,C3456,"")</f>
        <v/>
      </c>
      <c r="J3456">
        <f>IF(OR(E3456="Prospecting",E3456="Engaging"),VLOOKUP(C3456,Products!$A$2:$C$8,3,FALSE),0)</f>
        <v>0</v>
      </c>
    </row>
    <row r="3457" spans="1:10" x14ac:dyDescent="0.25">
      <c r="A3457" t="s">
        <v>3624</v>
      </c>
      <c r="B3457" t="s">
        <v>207</v>
      </c>
      <c r="C3457" t="s">
        <v>122</v>
      </c>
      <c r="D3457" t="s">
        <v>69</v>
      </c>
      <c r="E3457" t="s">
        <v>159</v>
      </c>
      <c r="F3457" s="1">
        <v>42882</v>
      </c>
      <c r="G3457" s="1">
        <v>42961</v>
      </c>
      <c r="H3457">
        <v>0</v>
      </c>
      <c r="I3457" t="str">
        <f>IF(COUNTIF(Products!$A$2:$A$8,C3457)=0,C3457,"")</f>
        <v/>
      </c>
      <c r="J3457">
        <f>IF(OR(E3457="Prospecting",E3457="Engaging"),VLOOKUP(C3457,Products!$A$2:$C$8,3,FALSE),0)</f>
        <v>0</v>
      </c>
    </row>
    <row r="3458" spans="1:10" x14ac:dyDescent="0.25">
      <c r="A3458" t="s">
        <v>3625</v>
      </c>
      <c r="B3458" t="s">
        <v>264</v>
      </c>
      <c r="C3458" t="s">
        <v>125</v>
      </c>
      <c r="D3458" t="s">
        <v>27</v>
      </c>
      <c r="E3458" t="s">
        <v>159</v>
      </c>
      <c r="F3458" s="1">
        <v>42882</v>
      </c>
      <c r="G3458" s="1">
        <v>42891</v>
      </c>
      <c r="H3458">
        <v>0</v>
      </c>
      <c r="I3458" t="str">
        <f>IF(COUNTIF(Products!$A$2:$A$8,C3458)=0,C3458,"")</f>
        <v/>
      </c>
      <c r="J3458">
        <f>IF(OR(E3458="Prospecting",E3458="Engaging"),VLOOKUP(C3458,Products!$A$2:$C$8,3,FALSE),0)</f>
        <v>0</v>
      </c>
    </row>
    <row r="3459" spans="1:10" x14ac:dyDescent="0.25">
      <c r="A3459" t="s">
        <v>3626</v>
      </c>
      <c r="B3459" t="s">
        <v>171</v>
      </c>
      <c r="C3459" t="s">
        <v>122</v>
      </c>
      <c r="D3459" t="s">
        <v>36</v>
      </c>
      <c r="E3459" t="s">
        <v>155</v>
      </c>
      <c r="F3459" s="1">
        <v>42882</v>
      </c>
      <c r="I3459" t="str">
        <f>IF(COUNTIF(Products!$A$2:$A$8,C3459)=0,C3459,"")</f>
        <v/>
      </c>
      <c r="J3459">
        <f>IF(OR(E3459="Prospecting",E3459="Engaging"),VLOOKUP(C3459,Products!$A$2:$C$8,3,FALSE),0)</f>
        <v>4821</v>
      </c>
    </row>
    <row r="3460" spans="1:10" x14ac:dyDescent="0.25">
      <c r="A3460" t="s">
        <v>3627</v>
      </c>
      <c r="B3460" t="s">
        <v>171</v>
      </c>
      <c r="C3460" t="s">
        <v>122</v>
      </c>
      <c r="E3460" t="s">
        <v>155</v>
      </c>
      <c r="F3460" s="1">
        <v>42882</v>
      </c>
      <c r="I3460" t="str">
        <f>IF(COUNTIF(Products!$A$2:$A$8,C3460)=0,C3460,"")</f>
        <v/>
      </c>
      <c r="J3460">
        <f>IF(OR(E3460="Prospecting",E3460="Engaging"),VLOOKUP(C3460,Products!$A$2:$C$8,3,FALSE),0)</f>
        <v>4821</v>
      </c>
    </row>
    <row r="3461" spans="1:10" x14ac:dyDescent="0.25">
      <c r="A3461" t="s">
        <v>3628</v>
      </c>
      <c r="B3461" t="s">
        <v>140</v>
      </c>
      <c r="C3461" t="s">
        <v>122</v>
      </c>
      <c r="D3461" t="s">
        <v>26</v>
      </c>
      <c r="E3461" t="s">
        <v>159</v>
      </c>
      <c r="F3461" s="1">
        <v>42882</v>
      </c>
      <c r="G3461" s="1">
        <v>42965</v>
      </c>
      <c r="H3461">
        <v>0</v>
      </c>
      <c r="I3461" t="str">
        <f>IF(COUNTIF(Products!$A$2:$A$8,C3461)=0,C3461,"")</f>
        <v/>
      </c>
      <c r="J3461">
        <f>IF(OR(E3461="Prospecting",E3461="Engaging"),VLOOKUP(C3461,Products!$A$2:$C$8,3,FALSE),0)</f>
        <v>0</v>
      </c>
    </row>
    <row r="3462" spans="1:10" x14ac:dyDescent="0.25">
      <c r="A3462" t="s">
        <v>3629</v>
      </c>
      <c r="B3462" t="s">
        <v>140</v>
      </c>
      <c r="C3462" t="s">
        <v>122</v>
      </c>
      <c r="D3462" t="s">
        <v>91</v>
      </c>
      <c r="E3462" t="s">
        <v>138</v>
      </c>
      <c r="F3462" s="1">
        <v>42882</v>
      </c>
      <c r="G3462" s="1">
        <v>42969</v>
      </c>
      <c r="H3462">
        <v>4432</v>
      </c>
      <c r="I3462" t="str">
        <f>IF(COUNTIF(Products!$A$2:$A$8,C3462)=0,C3462,"")</f>
        <v/>
      </c>
      <c r="J3462">
        <f>IF(OR(E3462="Prospecting",E3462="Engaging"),VLOOKUP(C3462,Products!$A$2:$C$8,3,FALSE),0)</f>
        <v>0</v>
      </c>
    </row>
    <row r="3463" spans="1:10" x14ac:dyDescent="0.25">
      <c r="A3463" t="s">
        <v>3630</v>
      </c>
      <c r="B3463" t="s">
        <v>224</v>
      </c>
      <c r="C3463" t="s">
        <v>120</v>
      </c>
      <c r="D3463" t="s">
        <v>68</v>
      </c>
      <c r="E3463" t="s">
        <v>138</v>
      </c>
      <c r="F3463" s="1">
        <v>42882</v>
      </c>
      <c r="G3463" s="1">
        <v>42980</v>
      </c>
      <c r="H3463">
        <v>481</v>
      </c>
      <c r="I3463" t="str">
        <f>IF(COUNTIF(Products!$A$2:$A$8,C3463)=0,C3463,"")</f>
        <v/>
      </c>
      <c r="J3463">
        <f>IF(OR(E3463="Prospecting",E3463="Engaging"),VLOOKUP(C3463,Products!$A$2:$C$8,3,FALSE),0)</f>
        <v>0</v>
      </c>
    </row>
    <row r="3464" spans="1:10" x14ac:dyDescent="0.25">
      <c r="A3464" t="s">
        <v>3631</v>
      </c>
      <c r="B3464" t="s">
        <v>154</v>
      </c>
      <c r="C3464" t="s">
        <v>126</v>
      </c>
      <c r="D3464" t="s">
        <v>109</v>
      </c>
      <c r="E3464" t="s">
        <v>159</v>
      </c>
      <c r="F3464" s="1">
        <v>42882</v>
      </c>
      <c r="G3464" s="1">
        <v>42969</v>
      </c>
      <c r="H3464">
        <v>0</v>
      </c>
      <c r="I3464" t="str">
        <f>IF(COUNTIF(Products!$A$2:$A$8,C3464)=0,C3464,"")</f>
        <v/>
      </c>
      <c r="J3464">
        <f>IF(OR(E3464="Prospecting",E3464="Engaging"),VLOOKUP(C3464,Products!$A$2:$C$8,3,FALSE),0)</f>
        <v>0</v>
      </c>
    </row>
    <row r="3465" spans="1:10" x14ac:dyDescent="0.25">
      <c r="A3465" t="s">
        <v>3632</v>
      </c>
      <c r="B3465" t="s">
        <v>154</v>
      </c>
      <c r="C3465" t="s">
        <v>122</v>
      </c>
      <c r="D3465" t="s">
        <v>78</v>
      </c>
      <c r="E3465" t="s">
        <v>138</v>
      </c>
      <c r="F3465" s="1">
        <v>42882</v>
      </c>
      <c r="G3465" s="1">
        <v>42975</v>
      </c>
      <c r="H3465">
        <v>5293</v>
      </c>
      <c r="I3465" t="str">
        <f>IF(COUNTIF(Products!$A$2:$A$8,C3465)=0,C3465,"")</f>
        <v/>
      </c>
      <c r="J3465">
        <f>IF(OR(E3465="Prospecting",E3465="Engaging"),VLOOKUP(C3465,Products!$A$2:$C$8,3,FALSE),0)</f>
        <v>0</v>
      </c>
    </row>
    <row r="3466" spans="1:10" x14ac:dyDescent="0.25">
      <c r="A3466" t="s">
        <v>3633</v>
      </c>
      <c r="B3466" t="s">
        <v>303</v>
      </c>
      <c r="C3466" t="s">
        <v>122</v>
      </c>
      <c r="D3466" t="s">
        <v>26</v>
      </c>
      <c r="E3466" t="s">
        <v>159</v>
      </c>
      <c r="F3466" s="1">
        <v>42882</v>
      </c>
      <c r="G3466" s="1">
        <v>42953</v>
      </c>
      <c r="H3466">
        <v>0</v>
      </c>
      <c r="I3466" t="str">
        <f>IF(COUNTIF(Products!$A$2:$A$8,C3466)=0,C3466,"")</f>
        <v/>
      </c>
      <c r="J3466">
        <f>IF(OR(E3466="Prospecting",E3466="Engaging"),VLOOKUP(C3466,Products!$A$2:$C$8,3,FALSE),0)</f>
        <v>0</v>
      </c>
    </row>
    <row r="3467" spans="1:10" x14ac:dyDescent="0.25">
      <c r="A3467" t="s">
        <v>3634</v>
      </c>
      <c r="B3467" t="s">
        <v>303</v>
      </c>
      <c r="C3467" t="s">
        <v>126</v>
      </c>
      <c r="D3467" t="s">
        <v>61</v>
      </c>
      <c r="E3467" t="s">
        <v>138</v>
      </c>
      <c r="F3467" s="1">
        <v>42882</v>
      </c>
      <c r="G3467" s="1">
        <v>42964</v>
      </c>
      <c r="H3467">
        <v>5769</v>
      </c>
      <c r="I3467" t="str">
        <f>IF(COUNTIF(Products!$A$2:$A$8,C3467)=0,C3467,"")</f>
        <v/>
      </c>
      <c r="J3467">
        <f>IF(OR(E3467="Prospecting",E3467="Engaging"),VLOOKUP(C3467,Products!$A$2:$C$8,3,FALSE),0)</f>
        <v>0</v>
      </c>
    </row>
    <row r="3468" spans="1:10" x14ac:dyDescent="0.25">
      <c r="A3468" t="s">
        <v>3635</v>
      </c>
      <c r="B3468" t="s">
        <v>303</v>
      </c>
      <c r="C3468" t="s">
        <v>122</v>
      </c>
      <c r="D3468" t="s">
        <v>53</v>
      </c>
      <c r="E3468" t="s">
        <v>138</v>
      </c>
      <c r="F3468" s="1">
        <v>42882</v>
      </c>
      <c r="G3468" s="1">
        <v>42980</v>
      </c>
      <c r="H3468">
        <v>4929</v>
      </c>
      <c r="I3468" t="str">
        <f>IF(COUNTIF(Products!$A$2:$A$8,C3468)=0,C3468,"")</f>
        <v/>
      </c>
      <c r="J3468">
        <f>IF(OR(E3468="Prospecting",E3468="Engaging"),VLOOKUP(C3468,Products!$A$2:$C$8,3,FALSE),0)</f>
        <v>0</v>
      </c>
    </row>
    <row r="3469" spans="1:10" x14ac:dyDescent="0.25">
      <c r="A3469" t="s">
        <v>3636</v>
      </c>
      <c r="B3469" t="s">
        <v>303</v>
      </c>
      <c r="C3469" t="s">
        <v>122</v>
      </c>
      <c r="D3469" t="s">
        <v>89</v>
      </c>
      <c r="E3469" t="s">
        <v>138</v>
      </c>
      <c r="F3469" s="1">
        <v>42882</v>
      </c>
      <c r="G3469" s="1">
        <v>42952</v>
      </c>
      <c r="H3469">
        <v>4924</v>
      </c>
      <c r="I3469" t="str">
        <f>IF(COUNTIF(Products!$A$2:$A$8,C3469)=0,C3469,"")</f>
        <v/>
      </c>
      <c r="J3469">
        <f>IF(OR(E3469="Prospecting",E3469="Engaging"),VLOOKUP(C3469,Products!$A$2:$C$8,3,FALSE),0)</f>
        <v>0</v>
      </c>
    </row>
    <row r="3470" spans="1:10" x14ac:dyDescent="0.25">
      <c r="A3470" t="s">
        <v>3637</v>
      </c>
      <c r="B3470" t="s">
        <v>180</v>
      </c>
      <c r="C3470" t="s">
        <v>127</v>
      </c>
      <c r="D3470" t="s">
        <v>17</v>
      </c>
      <c r="E3470" t="s">
        <v>159</v>
      </c>
      <c r="F3470" s="1">
        <v>42882</v>
      </c>
      <c r="G3470" s="1">
        <v>42961</v>
      </c>
      <c r="H3470">
        <v>0</v>
      </c>
      <c r="I3470" t="str">
        <f>IF(COUNTIF(Products!$A$2:$A$8,C3470)=0,C3470,"")</f>
        <v/>
      </c>
      <c r="J3470">
        <f>IF(OR(E3470="Prospecting",E3470="Engaging"),VLOOKUP(C3470,Products!$A$2:$C$8,3,FALSE),0)</f>
        <v>0</v>
      </c>
    </row>
    <row r="3471" spans="1:10" x14ac:dyDescent="0.25">
      <c r="A3471" t="s">
        <v>3638</v>
      </c>
      <c r="B3471" t="s">
        <v>191</v>
      </c>
      <c r="C3471" t="s">
        <v>126</v>
      </c>
      <c r="D3471" t="s">
        <v>39</v>
      </c>
      <c r="E3471" t="s">
        <v>138</v>
      </c>
      <c r="F3471" s="1">
        <v>42882</v>
      </c>
      <c r="G3471" s="1">
        <v>42951</v>
      </c>
      <c r="H3471">
        <v>5312</v>
      </c>
      <c r="I3471" t="str">
        <f>IF(COUNTIF(Products!$A$2:$A$8,C3471)=0,C3471,"")</f>
        <v/>
      </c>
      <c r="J3471">
        <f>IF(OR(E3471="Prospecting",E3471="Engaging"),VLOOKUP(C3471,Products!$A$2:$C$8,3,FALSE),0)</f>
        <v>0</v>
      </c>
    </row>
    <row r="3472" spans="1:10" x14ac:dyDescent="0.25">
      <c r="A3472" t="s">
        <v>3639</v>
      </c>
      <c r="B3472" t="s">
        <v>191</v>
      </c>
      <c r="C3472" t="s">
        <v>123</v>
      </c>
      <c r="D3472" t="s">
        <v>75</v>
      </c>
      <c r="E3472" t="s">
        <v>138</v>
      </c>
      <c r="F3472" s="1">
        <v>42882</v>
      </c>
      <c r="G3472" s="1">
        <v>42893</v>
      </c>
      <c r="H3472">
        <v>66</v>
      </c>
      <c r="I3472" t="str">
        <f>IF(COUNTIF(Products!$A$2:$A$8,C3472)=0,C3472,"")</f>
        <v/>
      </c>
      <c r="J3472">
        <f>IF(OR(E3472="Prospecting",E3472="Engaging"),VLOOKUP(C3472,Products!$A$2:$C$8,3,FALSE),0)</f>
        <v>0</v>
      </c>
    </row>
    <row r="3473" spans="1:10" x14ac:dyDescent="0.25">
      <c r="A3473" t="s">
        <v>3640</v>
      </c>
      <c r="B3473" t="s">
        <v>205</v>
      </c>
      <c r="C3473" t="s">
        <v>127</v>
      </c>
      <c r="D3473" t="s">
        <v>103</v>
      </c>
      <c r="E3473" t="s">
        <v>138</v>
      </c>
      <c r="F3473" s="1">
        <v>42882</v>
      </c>
      <c r="G3473" s="1">
        <v>42904</v>
      </c>
      <c r="H3473">
        <v>1115</v>
      </c>
      <c r="I3473" t="str">
        <f>IF(COUNTIF(Products!$A$2:$A$8,C3473)=0,C3473,"")</f>
        <v/>
      </c>
      <c r="J3473">
        <f>IF(OR(E3473="Prospecting",E3473="Engaging"),VLOOKUP(C3473,Products!$A$2:$C$8,3,FALSE),0)</f>
        <v>0</v>
      </c>
    </row>
    <row r="3474" spans="1:10" x14ac:dyDescent="0.25">
      <c r="A3474" t="s">
        <v>3641</v>
      </c>
      <c r="B3474" t="s">
        <v>205</v>
      </c>
      <c r="C3474" t="s">
        <v>125</v>
      </c>
      <c r="D3474" t="s">
        <v>28</v>
      </c>
      <c r="E3474" t="s">
        <v>138</v>
      </c>
      <c r="F3474" s="1">
        <v>42882</v>
      </c>
      <c r="G3474" s="1">
        <v>42970</v>
      </c>
      <c r="H3474">
        <v>3407</v>
      </c>
      <c r="I3474" t="str">
        <f>IF(COUNTIF(Products!$A$2:$A$8,C3474)=0,C3474,"")</f>
        <v/>
      </c>
      <c r="J3474">
        <f>IF(OR(E3474="Prospecting",E3474="Engaging"),VLOOKUP(C3474,Products!$A$2:$C$8,3,FALSE),0)</f>
        <v>0</v>
      </c>
    </row>
    <row r="3475" spans="1:10" x14ac:dyDescent="0.25">
      <c r="A3475" t="s">
        <v>3642</v>
      </c>
      <c r="B3475" t="s">
        <v>152</v>
      </c>
      <c r="C3475" t="s">
        <v>120</v>
      </c>
      <c r="D3475" t="s">
        <v>22</v>
      </c>
      <c r="E3475" t="s">
        <v>138</v>
      </c>
      <c r="F3475" s="1">
        <v>42882</v>
      </c>
      <c r="G3475" s="1">
        <v>42981</v>
      </c>
      <c r="H3475">
        <v>540</v>
      </c>
      <c r="I3475" t="str">
        <f>IF(COUNTIF(Products!$A$2:$A$8,C3475)=0,C3475,"")</f>
        <v/>
      </c>
      <c r="J3475">
        <f>IF(OR(E3475="Prospecting",E3475="Engaging"),VLOOKUP(C3475,Products!$A$2:$C$8,3,FALSE),0)</f>
        <v>0</v>
      </c>
    </row>
    <row r="3476" spans="1:10" x14ac:dyDescent="0.25">
      <c r="A3476" t="s">
        <v>3643</v>
      </c>
      <c r="B3476" t="s">
        <v>193</v>
      </c>
      <c r="C3476" t="s">
        <v>127</v>
      </c>
      <c r="D3476" t="s">
        <v>7</v>
      </c>
      <c r="E3476" t="s">
        <v>138</v>
      </c>
      <c r="F3476" s="1">
        <v>42882</v>
      </c>
      <c r="G3476" s="1">
        <v>42982</v>
      </c>
      <c r="H3476">
        <v>1095</v>
      </c>
      <c r="I3476" t="str">
        <f>IF(COUNTIF(Products!$A$2:$A$8,C3476)=0,C3476,"")</f>
        <v/>
      </c>
      <c r="J3476">
        <f>IF(OR(E3476="Prospecting",E3476="Engaging"),VLOOKUP(C3476,Products!$A$2:$C$8,3,FALSE),0)</f>
        <v>0</v>
      </c>
    </row>
    <row r="3477" spans="1:10" x14ac:dyDescent="0.25">
      <c r="A3477" t="s">
        <v>3644</v>
      </c>
      <c r="B3477" t="s">
        <v>193</v>
      </c>
      <c r="C3477" t="s">
        <v>127</v>
      </c>
      <c r="D3477" t="s">
        <v>92</v>
      </c>
      <c r="E3477" t="s">
        <v>138</v>
      </c>
      <c r="F3477" s="1">
        <v>42882</v>
      </c>
      <c r="G3477" s="1">
        <v>42970</v>
      </c>
      <c r="H3477">
        <v>1019</v>
      </c>
      <c r="I3477" t="str">
        <f>IF(COUNTIF(Products!$A$2:$A$8,C3477)=0,C3477,"")</f>
        <v/>
      </c>
      <c r="J3477">
        <f>IF(OR(E3477="Prospecting",E3477="Engaging"),VLOOKUP(C3477,Products!$A$2:$C$8,3,FALSE),0)</f>
        <v>0</v>
      </c>
    </row>
    <row r="3478" spans="1:10" x14ac:dyDescent="0.25">
      <c r="A3478" t="s">
        <v>3645</v>
      </c>
      <c r="B3478" t="s">
        <v>148</v>
      </c>
      <c r="C3478" t="s">
        <v>127</v>
      </c>
      <c r="D3478" t="s">
        <v>57</v>
      </c>
      <c r="E3478" t="s">
        <v>159</v>
      </c>
      <c r="F3478" s="1">
        <v>42882</v>
      </c>
      <c r="G3478" s="1">
        <v>42885</v>
      </c>
      <c r="H3478">
        <v>0</v>
      </c>
      <c r="I3478" t="str">
        <f>IF(COUNTIF(Products!$A$2:$A$8,C3478)=0,C3478,"")</f>
        <v/>
      </c>
      <c r="J3478">
        <f>IF(OR(E3478="Prospecting",E3478="Engaging"),VLOOKUP(C3478,Products!$A$2:$C$8,3,FALSE),0)</f>
        <v>0</v>
      </c>
    </row>
    <row r="3479" spans="1:10" x14ac:dyDescent="0.25">
      <c r="A3479" t="s">
        <v>3646</v>
      </c>
      <c r="B3479" t="s">
        <v>148</v>
      </c>
      <c r="C3479" t="s">
        <v>122</v>
      </c>
      <c r="D3479" t="s">
        <v>90</v>
      </c>
      <c r="E3479" t="s">
        <v>159</v>
      </c>
      <c r="F3479" s="1">
        <v>42882</v>
      </c>
      <c r="G3479" s="1">
        <v>42964</v>
      </c>
      <c r="H3479">
        <v>0</v>
      </c>
      <c r="I3479" t="str">
        <f>IF(COUNTIF(Products!$A$2:$A$8,C3479)=0,C3479,"")</f>
        <v/>
      </c>
      <c r="J3479">
        <f>IF(OR(E3479="Prospecting",E3479="Engaging"),VLOOKUP(C3479,Products!$A$2:$C$8,3,FALSE),0)</f>
        <v>0</v>
      </c>
    </row>
    <row r="3480" spans="1:10" x14ac:dyDescent="0.25">
      <c r="A3480" t="s">
        <v>3647</v>
      </c>
      <c r="B3480" t="s">
        <v>148</v>
      </c>
      <c r="C3480" t="s">
        <v>122</v>
      </c>
      <c r="D3480" t="s">
        <v>57</v>
      </c>
      <c r="E3480" t="s">
        <v>138</v>
      </c>
      <c r="F3480" s="1">
        <v>42882</v>
      </c>
      <c r="G3480" s="1">
        <v>42992</v>
      </c>
      <c r="H3480">
        <v>4477</v>
      </c>
      <c r="I3480" t="str">
        <f>IF(COUNTIF(Products!$A$2:$A$8,C3480)=0,C3480,"")</f>
        <v/>
      </c>
      <c r="J3480">
        <f>IF(OR(E3480="Prospecting",E3480="Engaging"),VLOOKUP(C3480,Products!$A$2:$C$8,3,FALSE),0)</f>
        <v>0</v>
      </c>
    </row>
    <row r="3481" spans="1:10" x14ac:dyDescent="0.25">
      <c r="A3481" t="s">
        <v>3648</v>
      </c>
      <c r="B3481" t="s">
        <v>148</v>
      </c>
      <c r="C3481" t="s">
        <v>122</v>
      </c>
      <c r="D3481" t="s">
        <v>60</v>
      </c>
      <c r="E3481" t="s">
        <v>138</v>
      </c>
      <c r="F3481" s="1">
        <v>42882</v>
      </c>
      <c r="G3481" s="1">
        <v>42888</v>
      </c>
      <c r="H3481">
        <v>4644</v>
      </c>
      <c r="I3481" t="str">
        <f>IF(COUNTIF(Products!$A$2:$A$8,C3481)=0,C3481,"")</f>
        <v/>
      </c>
      <c r="J3481">
        <f>IF(OR(E3481="Prospecting",E3481="Engaging"),VLOOKUP(C3481,Products!$A$2:$C$8,3,FALSE),0)</f>
        <v>0</v>
      </c>
    </row>
    <row r="3482" spans="1:10" x14ac:dyDescent="0.25">
      <c r="A3482" t="s">
        <v>3649</v>
      </c>
      <c r="B3482" t="s">
        <v>146</v>
      </c>
      <c r="C3482" t="s">
        <v>120</v>
      </c>
      <c r="D3482" t="s">
        <v>42</v>
      </c>
      <c r="E3482" t="s">
        <v>159</v>
      </c>
      <c r="F3482" s="1">
        <v>42883</v>
      </c>
      <c r="G3482" s="1">
        <v>42967</v>
      </c>
      <c r="H3482">
        <v>0</v>
      </c>
      <c r="I3482" t="str">
        <f>IF(COUNTIF(Products!$A$2:$A$8,C3482)=0,C3482,"")</f>
        <v/>
      </c>
      <c r="J3482">
        <f>IF(OR(E3482="Prospecting",E3482="Engaging"),VLOOKUP(C3482,Products!$A$2:$C$8,3,FALSE),0)</f>
        <v>0</v>
      </c>
    </row>
    <row r="3483" spans="1:10" x14ac:dyDescent="0.25">
      <c r="A3483" t="s">
        <v>3650</v>
      </c>
      <c r="B3483" t="s">
        <v>146</v>
      </c>
      <c r="C3483" t="s">
        <v>127</v>
      </c>
      <c r="D3483" t="s">
        <v>22</v>
      </c>
      <c r="E3483" t="s">
        <v>159</v>
      </c>
      <c r="F3483" s="1">
        <v>42883</v>
      </c>
      <c r="G3483" s="1">
        <v>42899</v>
      </c>
      <c r="H3483">
        <v>0</v>
      </c>
      <c r="I3483" t="str">
        <f>IF(COUNTIF(Products!$A$2:$A$8,C3483)=0,C3483,"")</f>
        <v/>
      </c>
      <c r="J3483">
        <f>IF(OR(E3483="Prospecting",E3483="Engaging"),VLOOKUP(C3483,Products!$A$2:$C$8,3,FALSE),0)</f>
        <v>0</v>
      </c>
    </row>
    <row r="3484" spans="1:10" x14ac:dyDescent="0.25">
      <c r="A3484" t="s">
        <v>3651</v>
      </c>
      <c r="B3484" t="s">
        <v>222</v>
      </c>
      <c r="C3484" t="s">
        <v>126</v>
      </c>
      <c r="E3484" t="s">
        <v>155</v>
      </c>
      <c r="F3484" s="1">
        <v>42883</v>
      </c>
      <c r="I3484" t="str">
        <f>IF(COUNTIF(Products!$A$2:$A$8,C3484)=0,C3484,"")</f>
        <v/>
      </c>
      <c r="J3484">
        <f>IF(OR(E3484="Prospecting",E3484="Engaging"),VLOOKUP(C3484,Products!$A$2:$C$8,3,FALSE),0)</f>
        <v>5482</v>
      </c>
    </row>
    <row r="3485" spans="1:10" x14ac:dyDescent="0.25">
      <c r="A3485" t="s">
        <v>3652</v>
      </c>
      <c r="B3485" t="s">
        <v>222</v>
      </c>
      <c r="C3485" t="s">
        <v>127</v>
      </c>
      <c r="D3485" t="s">
        <v>115</v>
      </c>
      <c r="E3485" t="s">
        <v>138</v>
      </c>
      <c r="F3485" s="1">
        <v>42883</v>
      </c>
      <c r="G3485" s="1">
        <v>42894</v>
      </c>
      <c r="H3485">
        <v>940</v>
      </c>
      <c r="I3485" t="str">
        <f>IF(COUNTIF(Products!$A$2:$A$8,C3485)=0,C3485,"")</f>
        <v/>
      </c>
      <c r="J3485">
        <f>IF(OR(E3485="Prospecting",E3485="Engaging"),VLOOKUP(C3485,Products!$A$2:$C$8,3,FALSE),0)</f>
        <v>0</v>
      </c>
    </row>
    <row r="3486" spans="1:10" x14ac:dyDescent="0.25">
      <c r="A3486" t="s">
        <v>3653</v>
      </c>
      <c r="B3486" t="s">
        <v>171</v>
      </c>
      <c r="C3486" t="s">
        <v>122</v>
      </c>
      <c r="D3486" t="s">
        <v>7</v>
      </c>
      <c r="E3486" t="s">
        <v>138</v>
      </c>
      <c r="F3486" s="1">
        <v>42883</v>
      </c>
      <c r="G3486" s="1">
        <v>42893</v>
      </c>
      <c r="H3486">
        <v>5378</v>
      </c>
      <c r="I3486" t="str">
        <f>IF(COUNTIF(Products!$A$2:$A$8,C3486)=0,C3486,"")</f>
        <v/>
      </c>
      <c r="J3486">
        <f>IF(OR(E3486="Prospecting",E3486="Engaging"),VLOOKUP(C3486,Products!$A$2:$C$8,3,FALSE),0)</f>
        <v>0</v>
      </c>
    </row>
    <row r="3487" spans="1:10" x14ac:dyDescent="0.25">
      <c r="A3487" t="s">
        <v>3654</v>
      </c>
      <c r="B3487" t="s">
        <v>171</v>
      </c>
      <c r="C3487" t="s">
        <v>122</v>
      </c>
      <c r="D3487" t="s">
        <v>67</v>
      </c>
      <c r="E3487" t="s">
        <v>138</v>
      </c>
      <c r="F3487" s="1">
        <v>42883</v>
      </c>
      <c r="G3487" s="1">
        <v>42901</v>
      </c>
      <c r="H3487">
        <v>4712</v>
      </c>
      <c r="I3487" t="str">
        <f>IF(COUNTIF(Products!$A$2:$A$8,C3487)=0,C3487,"")</f>
        <v/>
      </c>
      <c r="J3487">
        <f>IF(OR(E3487="Prospecting",E3487="Engaging"),VLOOKUP(C3487,Products!$A$2:$C$8,3,FALSE),0)</f>
        <v>0</v>
      </c>
    </row>
    <row r="3488" spans="1:10" x14ac:dyDescent="0.25">
      <c r="A3488" t="s">
        <v>3655</v>
      </c>
      <c r="B3488" t="s">
        <v>140</v>
      </c>
      <c r="C3488" t="s">
        <v>127</v>
      </c>
      <c r="D3488" t="s">
        <v>14</v>
      </c>
      <c r="E3488" t="s">
        <v>138</v>
      </c>
      <c r="F3488" s="1">
        <v>42883</v>
      </c>
      <c r="G3488" s="1">
        <v>42972</v>
      </c>
      <c r="H3488">
        <v>1118</v>
      </c>
      <c r="I3488" t="str">
        <f>IF(COUNTIF(Products!$A$2:$A$8,C3488)=0,C3488,"")</f>
        <v/>
      </c>
      <c r="J3488">
        <f>IF(OR(E3488="Prospecting",E3488="Engaging"),VLOOKUP(C3488,Products!$A$2:$C$8,3,FALSE),0)</f>
        <v>0</v>
      </c>
    </row>
    <row r="3489" spans="1:10" x14ac:dyDescent="0.25">
      <c r="A3489" t="s">
        <v>3656</v>
      </c>
      <c r="B3489" t="s">
        <v>224</v>
      </c>
      <c r="C3489" t="s">
        <v>126</v>
      </c>
      <c r="D3489" t="s">
        <v>48</v>
      </c>
      <c r="E3489" t="s">
        <v>138</v>
      </c>
      <c r="F3489" s="1">
        <v>42883</v>
      </c>
      <c r="G3489" s="1">
        <v>42958</v>
      </c>
      <c r="H3489">
        <v>5695</v>
      </c>
      <c r="I3489" t="str">
        <f>IF(COUNTIF(Products!$A$2:$A$8,C3489)=0,C3489,"")</f>
        <v/>
      </c>
      <c r="J3489">
        <f>IF(OR(E3489="Prospecting",E3489="Engaging"),VLOOKUP(C3489,Products!$A$2:$C$8,3,FALSE),0)</f>
        <v>0</v>
      </c>
    </row>
    <row r="3490" spans="1:10" x14ac:dyDescent="0.25">
      <c r="A3490" t="s">
        <v>3657</v>
      </c>
      <c r="B3490" t="s">
        <v>224</v>
      </c>
      <c r="C3490" t="s">
        <v>122</v>
      </c>
      <c r="D3490" t="s">
        <v>110</v>
      </c>
      <c r="E3490" t="s">
        <v>138</v>
      </c>
      <c r="F3490" s="1">
        <v>42883</v>
      </c>
      <c r="G3490" s="1">
        <v>42952</v>
      </c>
      <c r="H3490">
        <v>4462</v>
      </c>
      <c r="I3490" t="str">
        <f>IF(COUNTIF(Products!$A$2:$A$8,C3490)=0,C3490,"")</f>
        <v/>
      </c>
      <c r="J3490">
        <f>IF(OR(E3490="Prospecting",E3490="Engaging"),VLOOKUP(C3490,Products!$A$2:$C$8,3,FALSE),0)</f>
        <v>0</v>
      </c>
    </row>
    <row r="3491" spans="1:10" x14ac:dyDescent="0.25">
      <c r="A3491" t="s">
        <v>3658</v>
      </c>
      <c r="B3491" t="s">
        <v>198</v>
      </c>
      <c r="C3491" t="s">
        <v>122</v>
      </c>
      <c r="D3491" t="s">
        <v>84</v>
      </c>
      <c r="E3491" t="s">
        <v>159</v>
      </c>
      <c r="F3491" s="1">
        <v>42883</v>
      </c>
      <c r="G3491" s="1">
        <v>42977</v>
      </c>
      <c r="H3491">
        <v>0</v>
      </c>
      <c r="I3491" t="str">
        <f>IF(COUNTIF(Products!$A$2:$A$8,C3491)=0,C3491,"")</f>
        <v/>
      </c>
      <c r="J3491">
        <f>IF(OR(E3491="Prospecting",E3491="Engaging"),VLOOKUP(C3491,Products!$A$2:$C$8,3,FALSE),0)</f>
        <v>0</v>
      </c>
    </row>
    <row r="3492" spans="1:10" x14ac:dyDescent="0.25">
      <c r="A3492" t="s">
        <v>3659</v>
      </c>
      <c r="B3492" t="s">
        <v>164</v>
      </c>
      <c r="C3492" t="s">
        <v>125</v>
      </c>
      <c r="D3492" t="s">
        <v>93</v>
      </c>
      <c r="E3492" t="s">
        <v>138</v>
      </c>
      <c r="F3492" s="1">
        <v>42883</v>
      </c>
      <c r="G3492" s="1">
        <v>42975</v>
      </c>
      <c r="H3492">
        <v>3701</v>
      </c>
      <c r="I3492" t="str">
        <f>IF(COUNTIF(Products!$A$2:$A$8,C3492)=0,C3492,"")</f>
        <v/>
      </c>
      <c r="J3492">
        <f>IF(OR(E3492="Prospecting",E3492="Engaging"),VLOOKUP(C3492,Products!$A$2:$C$8,3,FALSE),0)</f>
        <v>0</v>
      </c>
    </row>
    <row r="3493" spans="1:10" x14ac:dyDescent="0.25">
      <c r="A3493" t="s">
        <v>3660</v>
      </c>
      <c r="B3493" t="s">
        <v>191</v>
      </c>
      <c r="C3493" t="s">
        <v>127</v>
      </c>
      <c r="D3493" t="s">
        <v>80</v>
      </c>
      <c r="E3493" t="s">
        <v>155</v>
      </c>
      <c r="F3493" s="1">
        <v>42883</v>
      </c>
      <c r="I3493" t="str">
        <f>IF(COUNTIF(Products!$A$2:$A$8,C3493)=0,C3493,"")</f>
        <v/>
      </c>
      <c r="J3493">
        <f>IF(OR(E3493="Prospecting",E3493="Engaging"),VLOOKUP(C3493,Products!$A$2:$C$8,3,FALSE),0)</f>
        <v>1096</v>
      </c>
    </row>
    <row r="3494" spans="1:10" x14ac:dyDescent="0.25">
      <c r="A3494" t="s">
        <v>3661</v>
      </c>
      <c r="B3494" t="s">
        <v>150</v>
      </c>
      <c r="C3494" t="s">
        <v>120</v>
      </c>
      <c r="E3494" t="s">
        <v>155</v>
      </c>
      <c r="F3494" s="1">
        <v>42883</v>
      </c>
      <c r="I3494" t="str">
        <f>IF(COUNTIF(Products!$A$2:$A$8,C3494)=0,C3494,"")</f>
        <v/>
      </c>
      <c r="J3494">
        <f>IF(OR(E3494="Prospecting",E3494="Engaging"),VLOOKUP(C3494,Products!$A$2:$C$8,3,FALSE),0)</f>
        <v>550</v>
      </c>
    </row>
    <row r="3495" spans="1:10" x14ac:dyDescent="0.25">
      <c r="A3495" t="s">
        <v>3662</v>
      </c>
      <c r="B3495" t="s">
        <v>150</v>
      </c>
      <c r="C3495" t="s">
        <v>127</v>
      </c>
      <c r="D3495" t="s">
        <v>66</v>
      </c>
      <c r="E3495" t="s">
        <v>138</v>
      </c>
      <c r="F3495" s="1">
        <v>42883</v>
      </c>
      <c r="G3495" s="1">
        <v>42894</v>
      </c>
      <c r="H3495">
        <v>941</v>
      </c>
      <c r="I3495" t="str">
        <f>IF(COUNTIF(Products!$A$2:$A$8,C3495)=0,C3495,"")</f>
        <v/>
      </c>
      <c r="J3495">
        <f>IF(OR(E3495="Prospecting",E3495="Engaging"),VLOOKUP(C3495,Products!$A$2:$C$8,3,FALSE),0)</f>
        <v>0</v>
      </c>
    </row>
    <row r="3496" spans="1:10" x14ac:dyDescent="0.25">
      <c r="A3496" t="s">
        <v>3663</v>
      </c>
      <c r="B3496" t="s">
        <v>162</v>
      </c>
      <c r="C3496" t="s">
        <v>127</v>
      </c>
      <c r="D3496" t="s">
        <v>60</v>
      </c>
      <c r="E3496" t="s">
        <v>138</v>
      </c>
      <c r="F3496" s="1">
        <v>42883</v>
      </c>
      <c r="G3496" s="1">
        <v>42891</v>
      </c>
      <c r="H3496">
        <v>1171</v>
      </c>
      <c r="I3496" t="str">
        <f>IF(COUNTIF(Products!$A$2:$A$8,C3496)=0,C3496,"")</f>
        <v/>
      </c>
      <c r="J3496">
        <f>IF(OR(E3496="Prospecting",E3496="Engaging"),VLOOKUP(C3496,Products!$A$2:$C$8,3,FALSE),0)</f>
        <v>0</v>
      </c>
    </row>
    <row r="3497" spans="1:10" x14ac:dyDescent="0.25">
      <c r="A3497" t="s">
        <v>3664</v>
      </c>
      <c r="B3497" t="s">
        <v>166</v>
      </c>
      <c r="C3497" t="s">
        <v>128</v>
      </c>
      <c r="D3497" t="s">
        <v>87</v>
      </c>
      <c r="E3497" t="s">
        <v>138</v>
      </c>
      <c r="F3497" s="1">
        <v>42883</v>
      </c>
      <c r="G3497" s="1">
        <v>42975</v>
      </c>
      <c r="H3497">
        <v>24899</v>
      </c>
      <c r="I3497" t="str">
        <f>IF(COUNTIF(Products!$A$2:$A$8,C3497)=0,C3497,"")</f>
        <v/>
      </c>
      <c r="J3497">
        <f>IF(OR(E3497="Prospecting",E3497="Engaging"),VLOOKUP(C3497,Products!$A$2:$C$8,3,FALSE),0)</f>
        <v>0</v>
      </c>
    </row>
    <row r="3498" spans="1:10" x14ac:dyDescent="0.25">
      <c r="A3498" t="s">
        <v>3665</v>
      </c>
      <c r="B3498" t="s">
        <v>166</v>
      </c>
      <c r="C3498" t="s">
        <v>125</v>
      </c>
      <c r="D3498" t="s">
        <v>87</v>
      </c>
      <c r="E3498" t="s">
        <v>138</v>
      </c>
      <c r="F3498" s="1">
        <v>42883</v>
      </c>
      <c r="G3498" s="1">
        <v>42999</v>
      </c>
      <c r="H3498">
        <v>3418</v>
      </c>
      <c r="I3498" t="str">
        <f>IF(COUNTIF(Products!$A$2:$A$8,C3498)=0,C3498,"")</f>
        <v/>
      </c>
      <c r="J3498">
        <f>IF(OR(E3498="Prospecting",E3498="Engaging"),VLOOKUP(C3498,Products!$A$2:$C$8,3,FALSE),0)</f>
        <v>0</v>
      </c>
    </row>
    <row r="3499" spans="1:10" x14ac:dyDescent="0.25">
      <c r="A3499" t="s">
        <v>3666</v>
      </c>
      <c r="B3499" t="s">
        <v>148</v>
      </c>
      <c r="C3499" t="s">
        <v>120</v>
      </c>
      <c r="D3499" t="s">
        <v>61</v>
      </c>
      <c r="E3499" t="s">
        <v>138</v>
      </c>
      <c r="F3499" s="1">
        <v>42883</v>
      </c>
      <c r="G3499" s="1">
        <v>42894</v>
      </c>
      <c r="H3499">
        <v>537</v>
      </c>
      <c r="I3499" t="str">
        <f>IF(COUNTIF(Products!$A$2:$A$8,C3499)=0,C3499,"")</f>
        <v/>
      </c>
      <c r="J3499">
        <f>IF(OR(E3499="Prospecting",E3499="Engaging"),VLOOKUP(C3499,Products!$A$2:$C$8,3,FALSE),0)</f>
        <v>0</v>
      </c>
    </row>
    <row r="3500" spans="1:10" x14ac:dyDescent="0.25">
      <c r="A3500" t="s">
        <v>3667</v>
      </c>
      <c r="B3500" t="s">
        <v>144</v>
      </c>
      <c r="C3500" t="s">
        <v>122</v>
      </c>
      <c r="E3500" t="s">
        <v>155</v>
      </c>
      <c r="F3500" s="1">
        <v>42883</v>
      </c>
      <c r="I3500" t="str">
        <f>IF(COUNTIF(Products!$A$2:$A$8,C3500)=0,C3500,"")</f>
        <v/>
      </c>
      <c r="J3500">
        <f>IF(OR(E3500="Prospecting",E3500="Engaging"),VLOOKUP(C3500,Products!$A$2:$C$8,3,FALSE),0)</f>
        <v>4821</v>
      </c>
    </row>
    <row r="3501" spans="1:10" x14ac:dyDescent="0.25">
      <c r="A3501" t="s">
        <v>3668</v>
      </c>
      <c r="B3501" t="s">
        <v>144</v>
      </c>
      <c r="C3501" t="s">
        <v>127</v>
      </c>
      <c r="D3501" t="s">
        <v>87</v>
      </c>
      <c r="E3501" t="s">
        <v>138</v>
      </c>
      <c r="F3501" s="1">
        <v>42883</v>
      </c>
      <c r="G3501" s="1">
        <v>42951</v>
      </c>
      <c r="H3501">
        <v>1053</v>
      </c>
      <c r="I3501" t="str">
        <f>IF(COUNTIF(Products!$A$2:$A$8,C3501)=0,C3501,"")</f>
        <v/>
      </c>
      <c r="J3501">
        <f>IF(OR(E3501="Prospecting",E3501="Engaging"),VLOOKUP(C3501,Products!$A$2:$C$8,3,FALSE),0)</f>
        <v>0</v>
      </c>
    </row>
    <row r="3502" spans="1:10" x14ac:dyDescent="0.25">
      <c r="A3502" t="s">
        <v>3669</v>
      </c>
      <c r="B3502" t="s">
        <v>146</v>
      </c>
      <c r="C3502" t="s">
        <v>120</v>
      </c>
      <c r="D3502" t="s">
        <v>51</v>
      </c>
      <c r="E3502" t="s">
        <v>138</v>
      </c>
      <c r="F3502" s="1">
        <v>42884</v>
      </c>
      <c r="G3502" s="1">
        <v>42897</v>
      </c>
      <c r="H3502">
        <v>497</v>
      </c>
      <c r="I3502" t="str">
        <f>IF(COUNTIF(Products!$A$2:$A$8,C3502)=0,C3502,"")</f>
        <v/>
      </c>
      <c r="J3502">
        <f>IF(OR(E3502="Prospecting",E3502="Engaging"),VLOOKUP(C3502,Products!$A$2:$C$8,3,FALSE),0)</f>
        <v>0</v>
      </c>
    </row>
    <row r="3503" spans="1:10" x14ac:dyDescent="0.25">
      <c r="A3503" t="s">
        <v>3670</v>
      </c>
      <c r="B3503" t="s">
        <v>222</v>
      </c>
      <c r="C3503" t="s">
        <v>126</v>
      </c>
      <c r="D3503" t="s">
        <v>112</v>
      </c>
      <c r="E3503" t="s">
        <v>138</v>
      </c>
      <c r="F3503" s="1">
        <v>42884</v>
      </c>
      <c r="G3503" s="1">
        <v>42991</v>
      </c>
      <c r="H3503">
        <v>5714</v>
      </c>
      <c r="I3503" t="str">
        <f>IF(COUNTIF(Products!$A$2:$A$8,C3503)=0,C3503,"")</f>
        <v/>
      </c>
      <c r="J3503">
        <f>IF(OR(E3503="Prospecting",E3503="Engaging"),VLOOKUP(C3503,Products!$A$2:$C$8,3,FALSE),0)</f>
        <v>0</v>
      </c>
    </row>
    <row r="3504" spans="1:10" x14ac:dyDescent="0.25">
      <c r="A3504" t="s">
        <v>3671</v>
      </c>
      <c r="B3504" t="s">
        <v>264</v>
      </c>
      <c r="C3504" t="s">
        <v>120</v>
      </c>
      <c r="D3504" t="s">
        <v>14</v>
      </c>
      <c r="E3504" t="s">
        <v>138</v>
      </c>
      <c r="F3504" s="1">
        <v>42884</v>
      </c>
      <c r="G3504" s="1">
        <v>42976</v>
      </c>
      <c r="H3504">
        <v>611</v>
      </c>
      <c r="I3504" t="str">
        <f>IF(COUNTIF(Products!$A$2:$A$8,C3504)=0,C3504,"")</f>
        <v/>
      </c>
      <c r="J3504">
        <f>IF(OR(E3504="Prospecting",E3504="Engaging"),VLOOKUP(C3504,Products!$A$2:$C$8,3,FALSE),0)</f>
        <v>0</v>
      </c>
    </row>
    <row r="3505" spans="1:10" x14ac:dyDescent="0.25">
      <c r="A3505" t="s">
        <v>3672</v>
      </c>
      <c r="B3505" t="s">
        <v>239</v>
      </c>
      <c r="C3505" t="s">
        <v>122</v>
      </c>
      <c r="D3505" t="s">
        <v>111</v>
      </c>
      <c r="E3505" t="s">
        <v>155</v>
      </c>
      <c r="F3505" s="1">
        <v>42884</v>
      </c>
      <c r="I3505" t="str">
        <f>IF(COUNTIF(Products!$A$2:$A$8,C3505)=0,C3505,"")</f>
        <v/>
      </c>
      <c r="J3505">
        <f>IF(OR(E3505="Prospecting",E3505="Engaging"),VLOOKUP(C3505,Products!$A$2:$C$8,3,FALSE),0)</f>
        <v>4821</v>
      </c>
    </row>
    <row r="3506" spans="1:10" x14ac:dyDescent="0.25">
      <c r="A3506" t="s">
        <v>3673</v>
      </c>
      <c r="B3506" t="s">
        <v>239</v>
      </c>
      <c r="C3506" t="s">
        <v>122</v>
      </c>
      <c r="D3506" t="s">
        <v>81</v>
      </c>
      <c r="E3506" t="s">
        <v>138</v>
      </c>
      <c r="F3506" s="1">
        <v>42884</v>
      </c>
      <c r="G3506" s="1">
        <v>42897</v>
      </c>
      <c r="H3506">
        <v>5642</v>
      </c>
      <c r="I3506" t="str">
        <f>IF(COUNTIF(Products!$A$2:$A$8,C3506)=0,C3506,"")</f>
        <v/>
      </c>
      <c r="J3506">
        <f>IF(OR(E3506="Prospecting",E3506="Engaging"),VLOOKUP(C3506,Products!$A$2:$C$8,3,FALSE),0)</f>
        <v>0</v>
      </c>
    </row>
    <row r="3507" spans="1:10" x14ac:dyDescent="0.25">
      <c r="A3507" t="s">
        <v>3674</v>
      </c>
      <c r="B3507" t="s">
        <v>239</v>
      </c>
      <c r="C3507" t="s">
        <v>122</v>
      </c>
      <c r="D3507" t="s">
        <v>105</v>
      </c>
      <c r="E3507" t="s">
        <v>138</v>
      </c>
      <c r="F3507" s="1">
        <v>42884</v>
      </c>
      <c r="G3507" s="1">
        <v>42897</v>
      </c>
      <c r="H3507">
        <v>5081</v>
      </c>
      <c r="I3507" t="str">
        <f>IF(COUNTIF(Products!$A$2:$A$8,C3507)=0,C3507,"")</f>
        <v/>
      </c>
      <c r="J3507">
        <f>IF(OR(E3507="Prospecting",E3507="Engaging"),VLOOKUP(C3507,Products!$A$2:$C$8,3,FALSE),0)</f>
        <v>0</v>
      </c>
    </row>
    <row r="3508" spans="1:10" x14ac:dyDescent="0.25">
      <c r="A3508" t="s">
        <v>3675</v>
      </c>
      <c r="B3508" t="s">
        <v>140</v>
      </c>
      <c r="C3508" t="s">
        <v>122</v>
      </c>
      <c r="D3508" t="s">
        <v>22</v>
      </c>
      <c r="E3508" t="s">
        <v>138</v>
      </c>
      <c r="F3508" s="1">
        <v>42884</v>
      </c>
      <c r="G3508" s="1">
        <v>42949</v>
      </c>
      <c r="H3508">
        <v>3985</v>
      </c>
      <c r="I3508" t="str">
        <f>IF(COUNTIF(Products!$A$2:$A$8,C3508)=0,C3508,"")</f>
        <v/>
      </c>
      <c r="J3508">
        <f>IF(OR(E3508="Prospecting",E3508="Engaging"),VLOOKUP(C3508,Products!$A$2:$C$8,3,FALSE),0)</f>
        <v>0</v>
      </c>
    </row>
    <row r="3509" spans="1:10" x14ac:dyDescent="0.25">
      <c r="A3509" t="s">
        <v>3676</v>
      </c>
      <c r="B3509" t="s">
        <v>224</v>
      </c>
      <c r="C3509" t="s">
        <v>125</v>
      </c>
      <c r="D3509" t="s">
        <v>19</v>
      </c>
      <c r="E3509" t="s">
        <v>138</v>
      </c>
      <c r="F3509" s="1">
        <v>42884</v>
      </c>
      <c r="G3509" s="1">
        <v>42897</v>
      </c>
      <c r="H3509">
        <v>3313</v>
      </c>
      <c r="I3509" t="str">
        <f>IF(COUNTIF(Products!$A$2:$A$8,C3509)=0,C3509,"")</f>
        <v/>
      </c>
      <c r="J3509">
        <f>IF(OR(E3509="Prospecting",E3509="Engaging"),VLOOKUP(C3509,Products!$A$2:$C$8,3,FALSE),0)</f>
        <v>0</v>
      </c>
    </row>
    <row r="3510" spans="1:10" x14ac:dyDescent="0.25">
      <c r="A3510" t="s">
        <v>3677</v>
      </c>
      <c r="B3510" t="s">
        <v>173</v>
      </c>
      <c r="C3510" t="s">
        <v>125</v>
      </c>
      <c r="D3510" t="s">
        <v>82</v>
      </c>
      <c r="E3510" t="s">
        <v>138</v>
      </c>
      <c r="F3510" s="1">
        <v>42884</v>
      </c>
      <c r="G3510" s="1">
        <v>42897</v>
      </c>
      <c r="H3510">
        <v>3850</v>
      </c>
      <c r="I3510" t="str">
        <f>IF(COUNTIF(Products!$A$2:$A$8,C3510)=0,C3510,"")</f>
        <v/>
      </c>
      <c r="J3510">
        <f>IF(OR(E3510="Prospecting",E3510="Engaging"),VLOOKUP(C3510,Products!$A$2:$C$8,3,FALSE),0)</f>
        <v>0</v>
      </c>
    </row>
    <row r="3511" spans="1:10" x14ac:dyDescent="0.25">
      <c r="A3511" t="s">
        <v>3678</v>
      </c>
      <c r="B3511" t="s">
        <v>158</v>
      </c>
      <c r="C3511" t="s">
        <v>127</v>
      </c>
      <c r="D3511" t="s">
        <v>91</v>
      </c>
      <c r="E3511" t="s">
        <v>138</v>
      </c>
      <c r="F3511" s="1">
        <v>42884</v>
      </c>
      <c r="G3511" s="1">
        <v>42953</v>
      </c>
      <c r="H3511">
        <v>917</v>
      </c>
      <c r="I3511" t="str">
        <f>IF(COUNTIF(Products!$A$2:$A$8,C3511)=0,C3511,"")</f>
        <v/>
      </c>
      <c r="J3511">
        <f>IF(OR(E3511="Prospecting",E3511="Engaging"),VLOOKUP(C3511,Products!$A$2:$C$8,3,FALSE),0)</f>
        <v>0</v>
      </c>
    </row>
    <row r="3512" spans="1:10" x14ac:dyDescent="0.25">
      <c r="A3512" t="s">
        <v>3679</v>
      </c>
      <c r="B3512" t="s">
        <v>158</v>
      </c>
      <c r="C3512" t="s">
        <v>123</v>
      </c>
      <c r="D3512" t="s">
        <v>96</v>
      </c>
      <c r="E3512" t="s">
        <v>138</v>
      </c>
      <c r="F3512" s="1">
        <v>42884</v>
      </c>
      <c r="G3512" s="1">
        <v>42955</v>
      </c>
      <c r="H3512">
        <v>56</v>
      </c>
      <c r="I3512" t="str">
        <f>IF(COUNTIF(Products!$A$2:$A$8,C3512)=0,C3512,"")</f>
        <v/>
      </c>
      <c r="J3512">
        <f>IF(OR(E3512="Prospecting",E3512="Engaging"),VLOOKUP(C3512,Products!$A$2:$C$8,3,FALSE),0)</f>
        <v>0</v>
      </c>
    </row>
    <row r="3513" spans="1:10" x14ac:dyDescent="0.25">
      <c r="A3513" t="s">
        <v>3680</v>
      </c>
      <c r="B3513" t="s">
        <v>154</v>
      </c>
      <c r="C3513" t="s">
        <v>120</v>
      </c>
      <c r="E3513" t="s">
        <v>155</v>
      </c>
      <c r="F3513" s="1">
        <v>42884</v>
      </c>
      <c r="I3513" t="str">
        <f>IF(COUNTIF(Products!$A$2:$A$8,C3513)=0,C3513,"")</f>
        <v/>
      </c>
      <c r="J3513">
        <f>IF(OR(E3513="Prospecting",E3513="Engaging"),VLOOKUP(C3513,Products!$A$2:$C$8,3,FALSE),0)</f>
        <v>550</v>
      </c>
    </row>
    <row r="3514" spans="1:10" x14ac:dyDescent="0.25">
      <c r="A3514" t="s">
        <v>3681</v>
      </c>
      <c r="B3514" t="s">
        <v>154</v>
      </c>
      <c r="C3514" t="s">
        <v>125</v>
      </c>
      <c r="D3514" t="s">
        <v>72</v>
      </c>
      <c r="E3514" t="s">
        <v>159</v>
      </c>
      <c r="F3514" s="1">
        <v>42884</v>
      </c>
      <c r="G3514" s="1">
        <v>42965</v>
      </c>
      <c r="H3514">
        <v>0</v>
      </c>
      <c r="I3514" t="str">
        <f>IF(COUNTIF(Products!$A$2:$A$8,C3514)=0,C3514,"")</f>
        <v/>
      </c>
      <c r="J3514">
        <f>IF(OR(E3514="Prospecting",E3514="Engaging"),VLOOKUP(C3514,Products!$A$2:$C$8,3,FALSE),0)</f>
        <v>0</v>
      </c>
    </row>
    <row r="3515" spans="1:10" x14ac:dyDescent="0.25">
      <c r="A3515" t="s">
        <v>3682</v>
      </c>
      <c r="B3515" t="s">
        <v>154</v>
      </c>
      <c r="C3515" t="s">
        <v>122</v>
      </c>
      <c r="D3515" t="s">
        <v>78</v>
      </c>
      <c r="E3515" t="s">
        <v>138</v>
      </c>
      <c r="F3515" s="1">
        <v>42884</v>
      </c>
      <c r="G3515" s="1">
        <v>42954</v>
      </c>
      <c r="H3515">
        <v>5194</v>
      </c>
      <c r="I3515" t="str">
        <f>IF(COUNTIF(Products!$A$2:$A$8,C3515)=0,C3515,"")</f>
        <v/>
      </c>
      <c r="J3515">
        <f>IF(OR(E3515="Prospecting",E3515="Engaging"),VLOOKUP(C3515,Products!$A$2:$C$8,3,FALSE),0)</f>
        <v>0</v>
      </c>
    </row>
    <row r="3516" spans="1:10" x14ac:dyDescent="0.25">
      <c r="A3516" t="s">
        <v>3683</v>
      </c>
      <c r="B3516" t="s">
        <v>303</v>
      </c>
      <c r="C3516" t="s">
        <v>127</v>
      </c>
      <c r="D3516" t="s">
        <v>14</v>
      </c>
      <c r="E3516" t="s">
        <v>159</v>
      </c>
      <c r="F3516" s="1">
        <v>42884</v>
      </c>
      <c r="G3516" s="1">
        <v>42976</v>
      </c>
      <c r="H3516">
        <v>0</v>
      </c>
      <c r="I3516" t="str">
        <f>IF(COUNTIF(Products!$A$2:$A$8,C3516)=0,C3516,"")</f>
        <v/>
      </c>
      <c r="J3516">
        <f>IF(OR(E3516="Prospecting",E3516="Engaging"),VLOOKUP(C3516,Products!$A$2:$C$8,3,FALSE),0)</f>
        <v>0</v>
      </c>
    </row>
    <row r="3517" spans="1:10" x14ac:dyDescent="0.25">
      <c r="A3517" t="s">
        <v>3684</v>
      </c>
      <c r="B3517" t="s">
        <v>180</v>
      </c>
      <c r="C3517" t="s">
        <v>127</v>
      </c>
      <c r="D3517" t="s">
        <v>36</v>
      </c>
      <c r="E3517" t="s">
        <v>155</v>
      </c>
      <c r="F3517" s="1">
        <v>42884</v>
      </c>
      <c r="I3517" t="str">
        <f>IF(COUNTIF(Products!$A$2:$A$8,C3517)=0,C3517,"")</f>
        <v/>
      </c>
      <c r="J3517">
        <f>IF(OR(E3517="Prospecting",E3517="Engaging"),VLOOKUP(C3517,Products!$A$2:$C$8,3,FALSE),0)</f>
        <v>1096</v>
      </c>
    </row>
    <row r="3518" spans="1:10" x14ac:dyDescent="0.25">
      <c r="A3518" t="s">
        <v>3685</v>
      </c>
      <c r="B3518" t="s">
        <v>191</v>
      </c>
      <c r="C3518" t="s">
        <v>122</v>
      </c>
      <c r="E3518" t="s">
        <v>155</v>
      </c>
      <c r="F3518" s="1">
        <v>42884</v>
      </c>
      <c r="I3518" t="str">
        <f>IF(COUNTIF(Products!$A$2:$A$8,C3518)=0,C3518,"")</f>
        <v/>
      </c>
      <c r="J3518">
        <f>IF(OR(E3518="Prospecting",E3518="Engaging"),VLOOKUP(C3518,Products!$A$2:$C$8,3,FALSE),0)</f>
        <v>4821</v>
      </c>
    </row>
    <row r="3519" spans="1:10" x14ac:dyDescent="0.25">
      <c r="A3519" t="s">
        <v>3686</v>
      </c>
      <c r="B3519" t="s">
        <v>191</v>
      </c>
      <c r="C3519" t="s">
        <v>127</v>
      </c>
      <c r="D3519" t="s">
        <v>47</v>
      </c>
      <c r="E3519" t="s">
        <v>138</v>
      </c>
      <c r="F3519" s="1">
        <v>42884</v>
      </c>
      <c r="G3519" s="1">
        <v>42964</v>
      </c>
      <c r="H3519">
        <v>1002</v>
      </c>
      <c r="I3519" t="str">
        <f>IF(COUNTIF(Products!$A$2:$A$8,C3519)=0,C3519,"")</f>
        <v/>
      </c>
      <c r="J3519">
        <f>IF(OR(E3519="Prospecting",E3519="Engaging"),VLOOKUP(C3519,Products!$A$2:$C$8,3,FALSE),0)</f>
        <v>0</v>
      </c>
    </row>
    <row r="3520" spans="1:10" x14ac:dyDescent="0.25">
      <c r="A3520" t="s">
        <v>3687</v>
      </c>
      <c r="B3520" t="s">
        <v>191</v>
      </c>
      <c r="C3520" t="s">
        <v>126</v>
      </c>
      <c r="D3520" t="s">
        <v>61</v>
      </c>
      <c r="E3520" t="s">
        <v>138</v>
      </c>
      <c r="F3520" s="1">
        <v>42884</v>
      </c>
      <c r="G3520" s="1">
        <v>42964</v>
      </c>
      <c r="H3520">
        <v>6042</v>
      </c>
      <c r="I3520" t="str">
        <f>IF(COUNTIF(Products!$A$2:$A$8,C3520)=0,C3520,"")</f>
        <v/>
      </c>
      <c r="J3520">
        <f>IF(OR(E3520="Prospecting",E3520="Engaging"),VLOOKUP(C3520,Products!$A$2:$C$8,3,FALSE),0)</f>
        <v>0</v>
      </c>
    </row>
    <row r="3521" spans="1:10" x14ac:dyDescent="0.25">
      <c r="A3521" t="s">
        <v>3688</v>
      </c>
      <c r="B3521" t="s">
        <v>150</v>
      </c>
      <c r="C3521" t="s">
        <v>126</v>
      </c>
      <c r="D3521" t="s">
        <v>41</v>
      </c>
      <c r="E3521" t="s">
        <v>138</v>
      </c>
      <c r="F3521" s="1">
        <v>42884</v>
      </c>
      <c r="G3521" s="1">
        <v>42901</v>
      </c>
      <c r="H3521">
        <v>4423</v>
      </c>
      <c r="I3521" t="str">
        <f>IF(COUNTIF(Products!$A$2:$A$8,C3521)=0,C3521,"")</f>
        <v/>
      </c>
      <c r="J3521">
        <f>IF(OR(E3521="Prospecting",E3521="Engaging"),VLOOKUP(C3521,Products!$A$2:$C$8,3,FALSE),0)</f>
        <v>0</v>
      </c>
    </row>
    <row r="3522" spans="1:10" x14ac:dyDescent="0.25">
      <c r="A3522" t="s">
        <v>3689</v>
      </c>
      <c r="B3522" t="s">
        <v>150</v>
      </c>
      <c r="C3522" t="s">
        <v>123</v>
      </c>
      <c r="D3522" t="s">
        <v>59</v>
      </c>
      <c r="E3522" t="s">
        <v>138</v>
      </c>
      <c r="F3522" s="1">
        <v>42884</v>
      </c>
      <c r="G3522" s="1">
        <v>42965</v>
      </c>
      <c r="H3522">
        <v>45</v>
      </c>
      <c r="I3522" t="str">
        <f>IF(COUNTIF(Products!$A$2:$A$8,C3522)=0,C3522,"")</f>
        <v/>
      </c>
      <c r="J3522">
        <f>IF(OR(E3522="Prospecting",E3522="Engaging"),VLOOKUP(C3522,Products!$A$2:$C$8,3,FALSE),0)</f>
        <v>0</v>
      </c>
    </row>
    <row r="3523" spans="1:10" x14ac:dyDescent="0.25">
      <c r="A3523" t="s">
        <v>3690</v>
      </c>
      <c r="B3523" t="s">
        <v>166</v>
      </c>
      <c r="C3523" t="s">
        <v>120</v>
      </c>
      <c r="E3523" t="s">
        <v>155</v>
      </c>
      <c r="F3523" s="1">
        <v>42884</v>
      </c>
      <c r="I3523" t="str">
        <f>IF(COUNTIF(Products!$A$2:$A$8,C3523)=0,C3523,"")</f>
        <v/>
      </c>
      <c r="J3523">
        <f>IF(OR(E3523="Prospecting",E3523="Engaging"),VLOOKUP(C3523,Products!$A$2:$C$8,3,FALSE),0)</f>
        <v>550</v>
      </c>
    </row>
    <row r="3524" spans="1:10" x14ac:dyDescent="0.25">
      <c r="A3524" t="s">
        <v>3691</v>
      </c>
      <c r="B3524" t="s">
        <v>166</v>
      </c>
      <c r="C3524" t="s">
        <v>128</v>
      </c>
      <c r="D3524" t="s">
        <v>67</v>
      </c>
      <c r="E3524" t="s">
        <v>138</v>
      </c>
      <c r="F3524" s="1">
        <v>42884</v>
      </c>
      <c r="G3524" s="1">
        <v>42976</v>
      </c>
      <c r="H3524">
        <v>25791</v>
      </c>
      <c r="I3524" t="str">
        <f>IF(COUNTIF(Products!$A$2:$A$8,C3524)=0,C3524,"")</f>
        <v/>
      </c>
      <c r="J3524">
        <f>IF(OR(E3524="Prospecting",E3524="Engaging"),VLOOKUP(C3524,Products!$A$2:$C$8,3,FALSE),0)</f>
        <v>0</v>
      </c>
    </row>
    <row r="3525" spans="1:10" x14ac:dyDescent="0.25">
      <c r="A3525" t="s">
        <v>3692</v>
      </c>
      <c r="B3525" t="s">
        <v>187</v>
      </c>
      <c r="C3525" t="s">
        <v>125</v>
      </c>
      <c r="D3525" t="s">
        <v>73</v>
      </c>
      <c r="E3525" t="s">
        <v>138</v>
      </c>
      <c r="F3525" s="1">
        <v>42884</v>
      </c>
      <c r="G3525" s="1">
        <v>42903</v>
      </c>
      <c r="H3525">
        <v>2918</v>
      </c>
      <c r="I3525" t="str">
        <f>IF(COUNTIF(Products!$A$2:$A$8,C3525)=0,C3525,"")</f>
        <v/>
      </c>
      <c r="J3525">
        <f>IF(OR(E3525="Prospecting",E3525="Engaging"),VLOOKUP(C3525,Products!$A$2:$C$8,3,FALSE),0)</f>
        <v>0</v>
      </c>
    </row>
    <row r="3526" spans="1:10" x14ac:dyDescent="0.25">
      <c r="A3526" t="s">
        <v>3693</v>
      </c>
      <c r="B3526" t="s">
        <v>169</v>
      </c>
      <c r="C3526" t="s">
        <v>127</v>
      </c>
      <c r="D3526" t="s">
        <v>96</v>
      </c>
      <c r="E3526" t="s">
        <v>138</v>
      </c>
      <c r="F3526" s="1">
        <v>42884</v>
      </c>
      <c r="G3526" s="1">
        <v>42997</v>
      </c>
      <c r="H3526">
        <v>959</v>
      </c>
      <c r="I3526" t="str">
        <f>IF(COUNTIF(Products!$A$2:$A$8,C3526)=0,C3526,"")</f>
        <v/>
      </c>
      <c r="J3526">
        <f>IF(OR(E3526="Prospecting",E3526="Engaging"),VLOOKUP(C3526,Products!$A$2:$C$8,3,FALSE),0)</f>
        <v>0</v>
      </c>
    </row>
    <row r="3527" spans="1:10" x14ac:dyDescent="0.25">
      <c r="A3527" t="s">
        <v>3694</v>
      </c>
      <c r="B3527" t="s">
        <v>144</v>
      </c>
      <c r="C3527" t="s">
        <v>122</v>
      </c>
      <c r="E3527" t="s">
        <v>155</v>
      </c>
      <c r="F3527" s="1">
        <v>42884</v>
      </c>
      <c r="I3527" t="str">
        <f>IF(COUNTIF(Products!$A$2:$A$8,C3527)=0,C3527,"")</f>
        <v/>
      </c>
      <c r="J3527">
        <f>IF(OR(E3527="Prospecting",E3527="Engaging"),VLOOKUP(C3527,Products!$A$2:$C$8,3,FALSE),0)</f>
        <v>4821</v>
      </c>
    </row>
    <row r="3528" spans="1:10" x14ac:dyDescent="0.25">
      <c r="A3528" t="s">
        <v>3695</v>
      </c>
      <c r="B3528" t="s">
        <v>144</v>
      </c>
      <c r="C3528" t="s">
        <v>122</v>
      </c>
      <c r="D3528" t="s">
        <v>57</v>
      </c>
      <c r="E3528" t="s">
        <v>138</v>
      </c>
      <c r="F3528" s="1">
        <v>42884</v>
      </c>
      <c r="G3528" s="1">
        <v>42892</v>
      </c>
      <c r="H3528">
        <v>5532</v>
      </c>
      <c r="I3528" t="str">
        <f>IF(COUNTIF(Products!$A$2:$A$8,C3528)=0,C3528,"")</f>
        <v/>
      </c>
      <c r="J3528">
        <f>IF(OR(E3528="Prospecting",E3528="Engaging"),VLOOKUP(C3528,Products!$A$2:$C$8,3,FALSE),0)</f>
        <v>0</v>
      </c>
    </row>
    <row r="3529" spans="1:10" x14ac:dyDescent="0.25">
      <c r="A3529" t="s">
        <v>3696</v>
      </c>
      <c r="B3529" t="s">
        <v>222</v>
      </c>
      <c r="C3529" t="s">
        <v>127</v>
      </c>
      <c r="D3529" t="s">
        <v>80</v>
      </c>
      <c r="E3529" t="s">
        <v>159</v>
      </c>
      <c r="F3529" s="1">
        <v>42885</v>
      </c>
      <c r="G3529" s="1">
        <v>42954</v>
      </c>
      <c r="H3529">
        <v>0</v>
      </c>
      <c r="I3529" t="str">
        <f>IF(COUNTIF(Products!$A$2:$A$8,C3529)=0,C3529,"")</f>
        <v/>
      </c>
      <c r="J3529">
        <f>IF(OR(E3529="Prospecting",E3529="Engaging"),VLOOKUP(C3529,Products!$A$2:$C$8,3,FALSE),0)</f>
        <v>0</v>
      </c>
    </row>
    <row r="3530" spans="1:10" x14ac:dyDescent="0.25">
      <c r="A3530" t="s">
        <v>3697</v>
      </c>
      <c r="B3530" t="s">
        <v>239</v>
      </c>
      <c r="C3530" t="s">
        <v>122</v>
      </c>
      <c r="D3530" t="s">
        <v>108</v>
      </c>
      <c r="E3530" t="s">
        <v>138</v>
      </c>
      <c r="F3530" s="1">
        <v>42885</v>
      </c>
      <c r="G3530" s="1">
        <v>42892</v>
      </c>
      <c r="H3530">
        <v>4687</v>
      </c>
      <c r="I3530" t="str">
        <f>IF(COUNTIF(Products!$A$2:$A$8,C3530)=0,C3530,"")</f>
        <v/>
      </c>
      <c r="J3530">
        <f>IF(OR(E3530="Prospecting",E3530="Engaging"),VLOOKUP(C3530,Products!$A$2:$C$8,3,FALSE),0)</f>
        <v>0</v>
      </c>
    </row>
    <row r="3531" spans="1:10" x14ac:dyDescent="0.25">
      <c r="A3531" t="s">
        <v>3698</v>
      </c>
      <c r="B3531" t="s">
        <v>140</v>
      </c>
      <c r="C3531" t="s">
        <v>120</v>
      </c>
      <c r="D3531" t="s">
        <v>30</v>
      </c>
      <c r="E3531" t="s">
        <v>138</v>
      </c>
      <c r="F3531" s="1">
        <v>42885</v>
      </c>
      <c r="G3531" s="1">
        <v>42907</v>
      </c>
      <c r="H3531">
        <v>602</v>
      </c>
      <c r="I3531" t="str">
        <f>IF(COUNTIF(Products!$A$2:$A$8,C3531)=0,C3531,"")</f>
        <v/>
      </c>
      <c r="J3531">
        <f>IF(OR(E3531="Prospecting",E3531="Engaging"),VLOOKUP(C3531,Products!$A$2:$C$8,3,FALSE),0)</f>
        <v>0</v>
      </c>
    </row>
    <row r="3532" spans="1:10" x14ac:dyDescent="0.25">
      <c r="A3532" t="s">
        <v>3699</v>
      </c>
      <c r="B3532" t="s">
        <v>224</v>
      </c>
      <c r="C3532" t="s">
        <v>120</v>
      </c>
      <c r="D3532" t="s">
        <v>27</v>
      </c>
      <c r="E3532" t="s">
        <v>138</v>
      </c>
      <c r="F3532" s="1">
        <v>42885</v>
      </c>
      <c r="G3532" s="1">
        <v>42957</v>
      </c>
      <c r="H3532">
        <v>595</v>
      </c>
      <c r="I3532" t="str">
        <f>IF(COUNTIF(Products!$A$2:$A$8,C3532)=0,C3532,"")</f>
        <v/>
      </c>
      <c r="J3532">
        <f>IF(OR(E3532="Prospecting",E3532="Engaging"),VLOOKUP(C3532,Products!$A$2:$C$8,3,FALSE),0)</f>
        <v>0</v>
      </c>
    </row>
    <row r="3533" spans="1:10" x14ac:dyDescent="0.25">
      <c r="A3533" t="s">
        <v>3700</v>
      </c>
      <c r="B3533" t="s">
        <v>158</v>
      </c>
      <c r="C3533" t="s">
        <v>122</v>
      </c>
      <c r="D3533" t="s">
        <v>46</v>
      </c>
      <c r="E3533" t="s">
        <v>159</v>
      </c>
      <c r="F3533" s="1">
        <v>42885</v>
      </c>
      <c r="G3533" s="1">
        <v>42984</v>
      </c>
      <c r="H3533">
        <v>0</v>
      </c>
      <c r="I3533" t="str">
        <f>IF(COUNTIF(Products!$A$2:$A$8,C3533)=0,C3533,"")</f>
        <v/>
      </c>
      <c r="J3533">
        <f>IF(OR(E3533="Prospecting",E3533="Engaging"),VLOOKUP(C3533,Products!$A$2:$C$8,3,FALSE),0)</f>
        <v>0</v>
      </c>
    </row>
    <row r="3534" spans="1:10" x14ac:dyDescent="0.25">
      <c r="A3534" t="s">
        <v>3701</v>
      </c>
      <c r="B3534" t="s">
        <v>180</v>
      </c>
      <c r="C3534" t="s">
        <v>120</v>
      </c>
      <c r="D3534" t="s">
        <v>114</v>
      </c>
      <c r="E3534" t="s">
        <v>159</v>
      </c>
      <c r="F3534" s="1">
        <v>42885</v>
      </c>
      <c r="G3534" s="1">
        <v>42952</v>
      </c>
      <c r="H3534">
        <v>0</v>
      </c>
      <c r="I3534" t="str">
        <f>IF(COUNTIF(Products!$A$2:$A$8,C3534)=0,C3534,"")</f>
        <v/>
      </c>
      <c r="J3534">
        <f>IF(OR(E3534="Prospecting",E3534="Engaging"),VLOOKUP(C3534,Products!$A$2:$C$8,3,FALSE),0)</f>
        <v>0</v>
      </c>
    </row>
    <row r="3535" spans="1:10" x14ac:dyDescent="0.25">
      <c r="A3535" t="s">
        <v>3702</v>
      </c>
      <c r="B3535" t="s">
        <v>191</v>
      </c>
      <c r="C3535" t="s">
        <v>125</v>
      </c>
      <c r="D3535" t="s">
        <v>17</v>
      </c>
      <c r="E3535" t="s">
        <v>138</v>
      </c>
      <c r="F3535" s="1">
        <v>42885</v>
      </c>
      <c r="G3535" s="1">
        <v>42981</v>
      </c>
      <c r="H3535">
        <v>2868</v>
      </c>
      <c r="I3535" t="str">
        <f>IF(COUNTIF(Products!$A$2:$A$8,C3535)=0,C3535,"")</f>
        <v/>
      </c>
      <c r="J3535">
        <f>IF(OR(E3535="Prospecting",E3535="Engaging"),VLOOKUP(C3535,Products!$A$2:$C$8,3,FALSE),0)</f>
        <v>0</v>
      </c>
    </row>
    <row r="3536" spans="1:10" x14ac:dyDescent="0.25">
      <c r="A3536" t="s">
        <v>3703</v>
      </c>
      <c r="B3536" t="s">
        <v>205</v>
      </c>
      <c r="C3536" t="s">
        <v>125</v>
      </c>
      <c r="D3536" t="s">
        <v>42</v>
      </c>
      <c r="E3536" t="s">
        <v>138</v>
      </c>
      <c r="F3536" s="1">
        <v>42885</v>
      </c>
      <c r="G3536" s="1">
        <v>42889</v>
      </c>
      <c r="H3536">
        <v>3236</v>
      </c>
      <c r="I3536" t="str">
        <f>IF(COUNTIF(Products!$A$2:$A$8,C3536)=0,C3536,"")</f>
        <v/>
      </c>
      <c r="J3536">
        <f>IF(OR(E3536="Prospecting",E3536="Engaging"),VLOOKUP(C3536,Products!$A$2:$C$8,3,FALSE),0)</f>
        <v>0</v>
      </c>
    </row>
    <row r="3537" spans="1:10" x14ac:dyDescent="0.25">
      <c r="A3537" t="s">
        <v>3704</v>
      </c>
      <c r="B3537" t="s">
        <v>193</v>
      </c>
      <c r="C3537" t="s">
        <v>122</v>
      </c>
      <c r="D3537" t="s">
        <v>48</v>
      </c>
      <c r="E3537" t="s">
        <v>159</v>
      </c>
      <c r="F3537" s="1">
        <v>42885</v>
      </c>
      <c r="G3537" s="1">
        <v>42886</v>
      </c>
      <c r="H3537">
        <v>0</v>
      </c>
      <c r="I3537" t="str">
        <f>IF(COUNTIF(Products!$A$2:$A$8,C3537)=0,C3537,"")</f>
        <v/>
      </c>
      <c r="J3537">
        <f>IF(OR(E3537="Prospecting",E3537="Engaging"),VLOOKUP(C3537,Products!$A$2:$C$8,3,FALSE),0)</f>
        <v>0</v>
      </c>
    </row>
    <row r="3538" spans="1:10" x14ac:dyDescent="0.25">
      <c r="A3538" t="s">
        <v>3705</v>
      </c>
      <c r="B3538" t="s">
        <v>148</v>
      </c>
      <c r="C3538" t="s">
        <v>120</v>
      </c>
      <c r="D3538" t="s">
        <v>47</v>
      </c>
      <c r="E3538" t="s">
        <v>138</v>
      </c>
      <c r="F3538" s="1">
        <v>42885</v>
      </c>
      <c r="G3538" s="1">
        <v>42962</v>
      </c>
      <c r="H3538">
        <v>524</v>
      </c>
      <c r="I3538" t="str">
        <f>IF(COUNTIF(Products!$A$2:$A$8,C3538)=0,C3538,"")</f>
        <v/>
      </c>
      <c r="J3538">
        <f>IF(OR(E3538="Prospecting",E3538="Engaging"),VLOOKUP(C3538,Products!$A$2:$C$8,3,FALSE),0)</f>
        <v>0</v>
      </c>
    </row>
    <row r="3539" spans="1:10" x14ac:dyDescent="0.25">
      <c r="A3539" t="s">
        <v>3706</v>
      </c>
      <c r="B3539" t="s">
        <v>148</v>
      </c>
      <c r="C3539" t="s">
        <v>126</v>
      </c>
      <c r="D3539" t="s">
        <v>47</v>
      </c>
      <c r="E3539" t="s">
        <v>138</v>
      </c>
      <c r="F3539" s="1">
        <v>42885</v>
      </c>
      <c r="G3539" s="1">
        <v>42962</v>
      </c>
      <c r="H3539">
        <v>5631</v>
      </c>
      <c r="I3539" t="str">
        <f>IF(COUNTIF(Products!$A$2:$A$8,C3539)=0,C3539,"")</f>
        <v/>
      </c>
      <c r="J3539">
        <f>IF(OR(E3539="Prospecting",E3539="Engaging"),VLOOKUP(C3539,Products!$A$2:$C$8,3,FALSE),0)</f>
        <v>0</v>
      </c>
    </row>
    <row r="3540" spans="1:10" x14ac:dyDescent="0.25">
      <c r="A3540" t="s">
        <v>3707</v>
      </c>
      <c r="B3540" t="s">
        <v>196</v>
      </c>
      <c r="C3540" t="s">
        <v>125</v>
      </c>
      <c r="E3540" t="s">
        <v>155</v>
      </c>
      <c r="F3540" s="1">
        <v>42885</v>
      </c>
      <c r="I3540" t="str">
        <f>IF(COUNTIF(Products!$A$2:$A$8,C3540)=0,C3540,"")</f>
        <v/>
      </c>
      <c r="J3540">
        <f>IF(OR(E3540="Prospecting",E3540="Engaging"),VLOOKUP(C3540,Products!$A$2:$C$8,3,FALSE),0)</f>
        <v>3393</v>
      </c>
    </row>
    <row r="3541" spans="1:10" x14ac:dyDescent="0.25">
      <c r="A3541" t="s">
        <v>3708</v>
      </c>
      <c r="B3541" t="s">
        <v>144</v>
      </c>
      <c r="C3541" t="s">
        <v>126</v>
      </c>
      <c r="D3541" t="s">
        <v>41</v>
      </c>
      <c r="E3541" t="s">
        <v>138</v>
      </c>
      <c r="F3541" s="1">
        <v>42885</v>
      </c>
      <c r="G3541" s="1">
        <v>42969</v>
      </c>
      <c r="H3541">
        <v>5572</v>
      </c>
      <c r="I3541" t="str">
        <f>IF(COUNTIF(Products!$A$2:$A$8,C3541)=0,C3541,"")</f>
        <v/>
      </c>
      <c r="J3541">
        <f>IF(OR(E3541="Prospecting",E3541="Engaging"),VLOOKUP(C3541,Products!$A$2:$C$8,3,FALSE),0)</f>
        <v>0</v>
      </c>
    </row>
    <row r="3542" spans="1:10" x14ac:dyDescent="0.25">
      <c r="A3542" t="s">
        <v>3709</v>
      </c>
      <c r="B3542" t="s">
        <v>144</v>
      </c>
      <c r="C3542" t="s">
        <v>122</v>
      </c>
      <c r="D3542" t="s">
        <v>27</v>
      </c>
      <c r="E3542" t="s">
        <v>138</v>
      </c>
      <c r="F3542" s="1">
        <v>42885</v>
      </c>
      <c r="G3542" s="1">
        <v>42891</v>
      </c>
      <c r="H3542">
        <v>5644</v>
      </c>
      <c r="I3542" t="str">
        <f>IF(COUNTIF(Products!$A$2:$A$8,C3542)=0,C3542,"")</f>
        <v/>
      </c>
      <c r="J3542">
        <f>IF(OR(E3542="Prospecting",E3542="Engaging"),VLOOKUP(C3542,Products!$A$2:$C$8,3,FALSE),0)</f>
        <v>0</v>
      </c>
    </row>
    <row r="3543" spans="1:10" x14ac:dyDescent="0.25">
      <c r="A3543" t="s">
        <v>3710</v>
      </c>
      <c r="B3543" t="s">
        <v>264</v>
      </c>
      <c r="C3543" t="s">
        <v>126</v>
      </c>
      <c r="D3543" t="s">
        <v>116</v>
      </c>
      <c r="E3543" t="s">
        <v>159</v>
      </c>
      <c r="F3543" s="1">
        <v>42886</v>
      </c>
      <c r="G3543" s="1">
        <v>42952</v>
      </c>
      <c r="H3543">
        <v>0</v>
      </c>
      <c r="I3543" t="str">
        <f>IF(COUNTIF(Products!$A$2:$A$8,C3543)=0,C3543,"")</f>
        <v/>
      </c>
      <c r="J3543">
        <f>IF(OR(E3543="Prospecting",E3543="Engaging"),VLOOKUP(C3543,Products!$A$2:$C$8,3,FALSE),0)</f>
        <v>0</v>
      </c>
    </row>
    <row r="3544" spans="1:10" x14ac:dyDescent="0.25">
      <c r="A3544" t="s">
        <v>3711</v>
      </c>
      <c r="B3544" t="s">
        <v>171</v>
      </c>
      <c r="C3544" t="s">
        <v>126</v>
      </c>
      <c r="D3544" t="s">
        <v>35</v>
      </c>
      <c r="E3544" t="s">
        <v>159</v>
      </c>
      <c r="F3544" s="1">
        <v>42886</v>
      </c>
      <c r="G3544" s="1">
        <v>42902</v>
      </c>
      <c r="H3544">
        <v>0</v>
      </c>
      <c r="I3544" t="str">
        <f>IF(COUNTIF(Products!$A$2:$A$8,C3544)=0,C3544,"")</f>
        <v/>
      </c>
      <c r="J3544">
        <f>IF(OR(E3544="Prospecting",E3544="Engaging"),VLOOKUP(C3544,Products!$A$2:$C$8,3,FALSE),0)</f>
        <v>0</v>
      </c>
    </row>
    <row r="3545" spans="1:10" x14ac:dyDescent="0.25">
      <c r="A3545" t="s">
        <v>3712</v>
      </c>
      <c r="B3545" t="s">
        <v>140</v>
      </c>
      <c r="C3545" t="s">
        <v>122</v>
      </c>
      <c r="D3545" t="s">
        <v>32</v>
      </c>
      <c r="E3545" t="s">
        <v>138</v>
      </c>
      <c r="F3545" s="1">
        <v>42886</v>
      </c>
      <c r="G3545" s="1">
        <v>42890</v>
      </c>
      <c r="H3545">
        <v>4192</v>
      </c>
      <c r="I3545" t="str">
        <f>IF(COUNTIF(Products!$A$2:$A$8,C3545)=0,C3545,"")</f>
        <v/>
      </c>
      <c r="J3545">
        <f>IF(OR(E3545="Prospecting",E3545="Engaging"),VLOOKUP(C3545,Products!$A$2:$C$8,3,FALSE),0)</f>
        <v>0</v>
      </c>
    </row>
    <row r="3546" spans="1:10" x14ac:dyDescent="0.25">
      <c r="A3546" t="s">
        <v>3713</v>
      </c>
      <c r="B3546" t="s">
        <v>173</v>
      </c>
      <c r="C3546" t="s">
        <v>123</v>
      </c>
      <c r="D3546" t="s">
        <v>38</v>
      </c>
      <c r="E3546" t="s">
        <v>159</v>
      </c>
      <c r="F3546" s="1">
        <v>42886</v>
      </c>
      <c r="G3546" s="1">
        <v>42983</v>
      </c>
      <c r="H3546">
        <v>0</v>
      </c>
      <c r="I3546" t="str">
        <f>IF(COUNTIF(Products!$A$2:$A$8,C3546)=0,C3546,"")</f>
        <v/>
      </c>
      <c r="J3546">
        <f>IF(OR(E3546="Prospecting",E3546="Engaging"),VLOOKUP(C3546,Products!$A$2:$C$8,3,FALSE),0)</f>
        <v>0</v>
      </c>
    </row>
    <row r="3547" spans="1:10" x14ac:dyDescent="0.25">
      <c r="A3547" t="s">
        <v>3714</v>
      </c>
      <c r="B3547" t="s">
        <v>173</v>
      </c>
      <c r="C3547" t="s">
        <v>125</v>
      </c>
      <c r="D3547" t="s">
        <v>17</v>
      </c>
      <c r="E3547" t="s">
        <v>159</v>
      </c>
      <c r="F3547" s="1">
        <v>42886</v>
      </c>
      <c r="G3547" s="1">
        <v>42973</v>
      </c>
      <c r="H3547">
        <v>0</v>
      </c>
      <c r="I3547" t="str">
        <f>IF(COUNTIF(Products!$A$2:$A$8,C3547)=0,C3547,"")</f>
        <v/>
      </c>
      <c r="J3547">
        <f>IF(OR(E3547="Prospecting",E3547="Engaging"),VLOOKUP(C3547,Products!$A$2:$C$8,3,FALSE),0)</f>
        <v>0</v>
      </c>
    </row>
    <row r="3548" spans="1:10" x14ac:dyDescent="0.25">
      <c r="A3548" t="s">
        <v>3715</v>
      </c>
      <c r="B3548" t="s">
        <v>173</v>
      </c>
      <c r="C3548" t="s">
        <v>123</v>
      </c>
      <c r="D3548" t="s">
        <v>41</v>
      </c>
      <c r="E3548" t="s">
        <v>138</v>
      </c>
      <c r="F3548" s="1">
        <v>42886</v>
      </c>
      <c r="G3548" s="1">
        <v>42896</v>
      </c>
      <c r="H3548">
        <v>56</v>
      </c>
      <c r="I3548" t="str">
        <f>IF(COUNTIF(Products!$A$2:$A$8,C3548)=0,C3548,"")</f>
        <v/>
      </c>
      <c r="J3548">
        <f>IF(OR(E3548="Prospecting",E3548="Engaging"),VLOOKUP(C3548,Products!$A$2:$C$8,3,FALSE),0)</f>
        <v>0</v>
      </c>
    </row>
    <row r="3549" spans="1:10" x14ac:dyDescent="0.25">
      <c r="A3549" t="s">
        <v>3716</v>
      </c>
      <c r="B3549" t="s">
        <v>198</v>
      </c>
      <c r="C3549" t="s">
        <v>120</v>
      </c>
      <c r="D3549" t="s">
        <v>50</v>
      </c>
      <c r="E3549" t="s">
        <v>138</v>
      </c>
      <c r="F3549" s="1">
        <v>42886</v>
      </c>
      <c r="G3549" s="1">
        <v>42952</v>
      </c>
      <c r="H3549">
        <v>607</v>
      </c>
      <c r="I3549" t="str">
        <f>IF(COUNTIF(Products!$A$2:$A$8,C3549)=0,C3549,"")</f>
        <v/>
      </c>
      <c r="J3549">
        <f>IF(OR(E3549="Prospecting",E3549="Engaging"),VLOOKUP(C3549,Products!$A$2:$C$8,3,FALSE),0)</f>
        <v>0</v>
      </c>
    </row>
    <row r="3550" spans="1:10" x14ac:dyDescent="0.25">
      <c r="A3550" t="s">
        <v>3717</v>
      </c>
      <c r="B3550" t="s">
        <v>158</v>
      </c>
      <c r="C3550" t="s">
        <v>123</v>
      </c>
      <c r="D3550" t="s">
        <v>27</v>
      </c>
      <c r="E3550" t="s">
        <v>138</v>
      </c>
      <c r="F3550" s="1">
        <v>42886</v>
      </c>
      <c r="G3550" s="1">
        <v>42895</v>
      </c>
      <c r="H3550">
        <v>48</v>
      </c>
      <c r="I3550" t="str">
        <f>IF(COUNTIF(Products!$A$2:$A$8,C3550)=0,C3550,"")</f>
        <v/>
      </c>
      <c r="J3550">
        <f>IF(OR(E3550="Prospecting",E3550="Engaging"),VLOOKUP(C3550,Products!$A$2:$C$8,3,FALSE),0)</f>
        <v>0</v>
      </c>
    </row>
    <row r="3551" spans="1:10" x14ac:dyDescent="0.25">
      <c r="A3551" t="s">
        <v>3718</v>
      </c>
      <c r="B3551" t="s">
        <v>164</v>
      </c>
      <c r="C3551" t="s">
        <v>127</v>
      </c>
      <c r="D3551" t="s">
        <v>75</v>
      </c>
      <c r="E3551" t="s">
        <v>155</v>
      </c>
      <c r="F3551" s="1">
        <v>42886</v>
      </c>
      <c r="I3551" t="str">
        <f>IF(COUNTIF(Products!$A$2:$A$8,C3551)=0,C3551,"")</f>
        <v/>
      </c>
      <c r="J3551">
        <f>IF(OR(E3551="Prospecting",E3551="Engaging"),VLOOKUP(C3551,Products!$A$2:$C$8,3,FALSE),0)</f>
        <v>1096</v>
      </c>
    </row>
    <row r="3552" spans="1:10" x14ac:dyDescent="0.25">
      <c r="A3552" t="s">
        <v>3719</v>
      </c>
      <c r="B3552" t="s">
        <v>154</v>
      </c>
      <c r="C3552" t="s">
        <v>120</v>
      </c>
      <c r="D3552" t="s">
        <v>93</v>
      </c>
      <c r="E3552" t="s">
        <v>159</v>
      </c>
      <c r="F3552" s="1">
        <v>42886</v>
      </c>
      <c r="G3552" s="1">
        <v>42965</v>
      </c>
      <c r="H3552">
        <v>0</v>
      </c>
      <c r="I3552" t="str">
        <f>IF(COUNTIF(Products!$A$2:$A$8,C3552)=0,C3552,"")</f>
        <v/>
      </c>
      <c r="J3552">
        <f>IF(OR(E3552="Prospecting",E3552="Engaging"),VLOOKUP(C3552,Products!$A$2:$C$8,3,FALSE),0)</f>
        <v>0</v>
      </c>
    </row>
    <row r="3553" spans="1:10" x14ac:dyDescent="0.25">
      <c r="A3553" t="s">
        <v>3720</v>
      </c>
      <c r="B3553" t="s">
        <v>154</v>
      </c>
      <c r="C3553" t="s">
        <v>120</v>
      </c>
      <c r="D3553" t="s">
        <v>17</v>
      </c>
      <c r="E3553" t="s">
        <v>138</v>
      </c>
      <c r="F3553" s="1">
        <v>42886</v>
      </c>
      <c r="G3553" s="1">
        <v>42970</v>
      </c>
      <c r="H3553">
        <v>570</v>
      </c>
      <c r="I3553" t="str">
        <f>IF(COUNTIF(Products!$A$2:$A$8,C3553)=0,C3553,"")</f>
        <v/>
      </c>
      <c r="J3553">
        <f>IF(OR(E3553="Prospecting",E3553="Engaging"),VLOOKUP(C3553,Products!$A$2:$C$8,3,FALSE),0)</f>
        <v>0</v>
      </c>
    </row>
    <row r="3554" spans="1:10" x14ac:dyDescent="0.25">
      <c r="A3554" t="s">
        <v>3721</v>
      </c>
      <c r="B3554" t="s">
        <v>154</v>
      </c>
      <c r="C3554" t="s">
        <v>127</v>
      </c>
      <c r="D3554" t="s">
        <v>93</v>
      </c>
      <c r="E3554" t="s">
        <v>138</v>
      </c>
      <c r="F3554" s="1">
        <v>42886</v>
      </c>
      <c r="G3554" s="1">
        <v>42890</v>
      </c>
      <c r="H3554">
        <v>1056</v>
      </c>
      <c r="I3554" t="str">
        <f>IF(COUNTIF(Products!$A$2:$A$8,C3554)=0,C3554,"")</f>
        <v/>
      </c>
      <c r="J3554">
        <f>IF(OR(E3554="Prospecting",E3554="Engaging"),VLOOKUP(C3554,Products!$A$2:$C$8,3,FALSE),0)</f>
        <v>0</v>
      </c>
    </row>
    <row r="3555" spans="1:10" x14ac:dyDescent="0.25">
      <c r="A3555" t="s">
        <v>3722</v>
      </c>
      <c r="B3555" t="s">
        <v>180</v>
      </c>
      <c r="C3555" t="s">
        <v>120</v>
      </c>
      <c r="E3555" t="s">
        <v>155</v>
      </c>
      <c r="F3555" s="1">
        <v>42886</v>
      </c>
      <c r="I3555" t="str">
        <f>IF(COUNTIF(Products!$A$2:$A$8,C3555)=0,C3555,"")</f>
        <v/>
      </c>
      <c r="J3555">
        <f>IF(OR(E3555="Prospecting",E3555="Engaging"),VLOOKUP(C3555,Products!$A$2:$C$8,3,FALSE),0)</f>
        <v>550</v>
      </c>
    </row>
    <row r="3556" spans="1:10" x14ac:dyDescent="0.25">
      <c r="A3556" t="s">
        <v>3723</v>
      </c>
      <c r="B3556" t="s">
        <v>180</v>
      </c>
      <c r="C3556" t="s">
        <v>120</v>
      </c>
      <c r="D3556" t="s">
        <v>72</v>
      </c>
      <c r="E3556" t="s">
        <v>138</v>
      </c>
      <c r="F3556" s="1">
        <v>42886</v>
      </c>
      <c r="G3556" s="1">
        <v>42981</v>
      </c>
      <c r="H3556">
        <v>560</v>
      </c>
      <c r="I3556" t="str">
        <f>IF(COUNTIF(Products!$A$2:$A$8,C3556)=0,C3556,"")</f>
        <v/>
      </c>
      <c r="J3556">
        <f>IF(OR(E3556="Prospecting",E3556="Engaging"),VLOOKUP(C3556,Products!$A$2:$C$8,3,FALSE),0)</f>
        <v>0</v>
      </c>
    </row>
    <row r="3557" spans="1:10" x14ac:dyDescent="0.25">
      <c r="A3557" t="s">
        <v>3724</v>
      </c>
      <c r="B3557" t="s">
        <v>191</v>
      </c>
      <c r="C3557" t="s">
        <v>126</v>
      </c>
      <c r="D3557" t="s">
        <v>82</v>
      </c>
      <c r="E3557" t="s">
        <v>159</v>
      </c>
      <c r="F3557" s="1">
        <v>42886</v>
      </c>
      <c r="G3557" s="1">
        <v>42950</v>
      </c>
      <c r="H3557">
        <v>0</v>
      </c>
      <c r="I3557" t="str">
        <f>IF(COUNTIF(Products!$A$2:$A$8,C3557)=0,C3557,"")</f>
        <v/>
      </c>
      <c r="J3557">
        <f>IF(OR(E3557="Prospecting",E3557="Engaging"),VLOOKUP(C3557,Products!$A$2:$C$8,3,FALSE),0)</f>
        <v>0</v>
      </c>
    </row>
    <row r="3558" spans="1:10" x14ac:dyDescent="0.25">
      <c r="A3558" t="s">
        <v>3725</v>
      </c>
      <c r="B3558" t="s">
        <v>191</v>
      </c>
      <c r="C3558" t="s">
        <v>120</v>
      </c>
      <c r="D3558" t="s">
        <v>59</v>
      </c>
      <c r="E3558" t="s">
        <v>138</v>
      </c>
      <c r="F3558" s="1">
        <v>42886</v>
      </c>
      <c r="G3558" s="1">
        <v>42907</v>
      </c>
      <c r="H3558">
        <v>588</v>
      </c>
      <c r="I3558" t="str">
        <f>IF(COUNTIF(Products!$A$2:$A$8,C3558)=0,C3558,"")</f>
        <v/>
      </c>
      <c r="J3558">
        <f>IF(OR(E3558="Prospecting",E3558="Engaging"),VLOOKUP(C3558,Products!$A$2:$C$8,3,FALSE),0)</f>
        <v>0</v>
      </c>
    </row>
    <row r="3559" spans="1:10" x14ac:dyDescent="0.25">
      <c r="A3559" t="s">
        <v>3726</v>
      </c>
      <c r="B3559" t="s">
        <v>191</v>
      </c>
      <c r="C3559" t="s">
        <v>122</v>
      </c>
      <c r="D3559" t="s">
        <v>109</v>
      </c>
      <c r="E3559" t="s">
        <v>138</v>
      </c>
      <c r="F3559" s="1">
        <v>42886</v>
      </c>
      <c r="G3559" s="1">
        <v>42980</v>
      </c>
      <c r="H3559">
        <v>4356</v>
      </c>
      <c r="I3559" t="str">
        <f>IF(COUNTIF(Products!$A$2:$A$8,C3559)=0,C3559,"")</f>
        <v/>
      </c>
      <c r="J3559">
        <f>IF(OR(E3559="Prospecting",E3559="Engaging"),VLOOKUP(C3559,Products!$A$2:$C$8,3,FALSE),0)</f>
        <v>0</v>
      </c>
    </row>
    <row r="3560" spans="1:10" x14ac:dyDescent="0.25">
      <c r="A3560" t="s">
        <v>3727</v>
      </c>
      <c r="B3560" t="s">
        <v>191</v>
      </c>
      <c r="C3560" t="s">
        <v>123</v>
      </c>
      <c r="D3560" t="s">
        <v>71</v>
      </c>
      <c r="E3560" t="s">
        <v>138</v>
      </c>
      <c r="F3560" s="1">
        <v>42886</v>
      </c>
      <c r="G3560" s="1">
        <v>42962</v>
      </c>
      <c r="H3560">
        <v>69</v>
      </c>
      <c r="I3560" t="str">
        <f>IF(COUNTIF(Products!$A$2:$A$8,C3560)=0,C3560,"")</f>
        <v/>
      </c>
      <c r="J3560">
        <f>IF(OR(E3560="Prospecting",E3560="Engaging"),VLOOKUP(C3560,Products!$A$2:$C$8,3,FALSE),0)</f>
        <v>0</v>
      </c>
    </row>
    <row r="3561" spans="1:10" x14ac:dyDescent="0.25">
      <c r="A3561" t="s">
        <v>3728</v>
      </c>
      <c r="B3561" t="s">
        <v>217</v>
      </c>
      <c r="C3561" t="s">
        <v>120</v>
      </c>
      <c r="D3561" t="s">
        <v>85</v>
      </c>
      <c r="E3561" t="s">
        <v>138</v>
      </c>
      <c r="F3561" s="1">
        <v>42886</v>
      </c>
      <c r="G3561" s="1">
        <v>42949</v>
      </c>
      <c r="H3561">
        <v>505</v>
      </c>
      <c r="I3561" t="str">
        <f>IF(COUNTIF(Products!$A$2:$A$8,C3561)=0,C3561,"")</f>
        <v/>
      </c>
      <c r="J3561">
        <f>IF(OR(E3561="Prospecting",E3561="Engaging"),VLOOKUP(C3561,Products!$A$2:$C$8,3,FALSE),0)</f>
        <v>0</v>
      </c>
    </row>
    <row r="3562" spans="1:10" x14ac:dyDescent="0.25">
      <c r="A3562" t="s">
        <v>3729</v>
      </c>
      <c r="B3562" t="s">
        <v>150</v>
      </c>
      <c r="C3562" t="s">
        <v>120</v>
      </c>
      <c r="D3562" t="s">
        <v>41</v>
      </c>
      <c r="E3562" t="s">
        <v>138</v>
      </c>
      <c r="F3562" s="1">
        <v>42886</v>
      </c>
      <c r="G3562" s="1">
        <v>43001</v>
      </c>
      <c r="H3562">
        <v>510</v>
      </c>
      <c r="I3562" t="str">
        <f>IF(COUNTIF(Products!$A$2:$A$8,C3562)=0,C3562,"")</f>
        <v/>
      </c>
      <c r="J3562">
        <f>IF(OR(E3562="Prospecting",E3562="Engaging"),VLOOKUP(C3562,Products!$A$2:$C$8,3,FALSE),0)</f>
        <v>0</v>
      </c>
    </row>
    <row r="3563" spans="1:10" x14ac:dyDescent="0.25">
      <c r="A3563" t="s">
        <v>3730</v>
      </c>
      <c r="B3563" t="s">
        <v>150</v>
      </c>
      <c r="C3563" t="s">
        <v>125</v>
      </c>
      <c r="D3563" t="s">
        <v>114</v>
      </c>
      <c r="E3563" t="s">
        <v>138</v>
      </c>
      <c r="F3563" s="1">
        <v>42886</v>
      </c>
      <c r="G3563" s="1">
        <v>43001</v>
      </c>
      <c r="H3563">
        <v>3722</v>
      </c>
      <c r="I3563" t="str">
        <f>IF(COUNTIF(Products!$A$2:$A$8,C3563)=0,C3563,"")</f>
        <v/>
      </c>
      <c r="J3563">
        <f>IF(OR(E3563="Prospecting",E3563="Engaging"),VLOOKUP(C3563,Products!$A$2:$C$8,3,FALSE),0)</f>
        <v>0</v>
      </c>
    </row>
    <row r="3564" spans="1:10" x14ac:dyDescent="0.25">
      <c r="A3564" t="s">
        <v>3731</v>
      </c>
      <c r="B3564" t="s">
        <v>162</v>
      </c>
      <c r="C3564" t="s">
        <v>123</v>
      </c>
      <c r="E3564" t="s">
        <v>155</v>
      </c>
      <c r="F3564" s="1">
        <v>42886</v>
      </c>
      <c r="I3564" t="str">
        <f>IF(COUNTIF(Products!$A$2:$A$8,C3564)=0,C3564,"")</f>
        <v/>
      </c>
      <c r="J3564">
        <f>IF(OR(E3564="Prospecting",E3564="Engaging"),VLOOKUP(C3564,Products!$A$2:$C$8,3,FALSE),0)</f>
        <v>55</v>
      </c>
    </row>
    <row r="3565" spans="1:10" x14ac:dyDescent="0.25">
      <c r="A3565" t="s">
        <v>3732</v>
      </c>
      <c r="B3565" t="s">
        <v>162</v>
      </c>
      <c r="C3565" t="s">
        <v>127</v>
      </c>
      <c r="D3565" t="s">
        <v>44</v>
      </c>
      <c r="E3565" t="s">
        <v>138</v>
      </c>
      <c r="F3565" s="1">
        <v>42886</v>
      </c>
      <c r="G3565" s="1">
        <v>42949</v>
      </c>
      <c r="H3565">
        <v>1145</v>
      </c>
      <c r="I3565" t="str">
        <f>IF(COUNTIF(Products!$A$2:$A$8,C3565)=0,C3565,"")</f>
        <v/>
      </c>
      <c r="J3565">
        <f>IF(OR(E3565="Prospecting",E3565="Engaging"),VLOOKUP(C3565,Products!$A$2:$C$8,3,FALSE),0)</f>
        <v>0</v>
      </c>
    </row>
    <row r="3566" spans="1:10" x14ac:dyDescent="0.25">
      <c r="A3566" t="s">
        <v>3733</v>
      </c>
      <c r="B3566" t="s">
        <v>137</v>
      </c>
      <c r="C3566" t="s">
        <v>123</v>
      </c>
      <c r="D3566" t="s">
        <v>96</v>
      </c>
      <c r="E3566" t="s">
        <v>138</v>
      </c>
      <c r="F3566" s="1">
        <v>42886</v>
      </c>
      <c r="G3566" s="1">
        <v>42974</v>
      </c>
      <c r="H3566">
        <v>53</v>
      </c>
      <c r="I3566" t="str">
        <f>IF(COUNTIF(Products!$A$2:$A$8,C3566)=0,C3566,"")</f>
        <v/>
      </c>
      <c r="J3566">
        <f>IF(OR(E3566="Prospecting",E3566="Engaging"),VLOOKUP(C3566,Products!$A$2:$C$8,3,FALSE),0)</f>
        <v>0</v>
      </c>
    </row>
    <row r="3567" spans="1:10" x14ac:dyDescent="0.25">
      <c r="A3567" t="s">
        <v>3734</v>
      </c>
      <c r="B3567" t="s">
        <v>193</v>
      </c>
      <c r="C3567" t="s">
        <v>127</v>
      </c>
      <c r="D3567" t="s">
        <v>67</v>
      </c>
      <c r="E3567" t="s">
        <v>138</v>
      </c>
      <c r="F3567" s="1">
        <v>42886</v>
      </c>
      <c r="G3567" s="1">
        <v>42901</v>
      </c>
      <c r="H3567">
        <v>1120</v>
      </c>
      <c r="I3567" t="str">
        <f>IF(COUNTIF(Products!$A$2:$A$8,C3567)=0,C3567,"")</f>
        <v/>
      </c>
      <c r="J3567">
        <f>IF(OR(E3567="Prospecting",E3567="Engaging"),VLOOKUP(C3567,Products!$A$2:$C$8,3,FALSE),0)</f>
        <v>0</v>
      </c>
    </row>
    <row r="3568" spans="1:10" x14ac:dyDescent="0.25">
      <c r="A3568" t="s">
        <v>3735</v>
      </c>
      <c r="B3568" t="s">
        <v>193</v>
      </c>
      <c r="C3568" t="s">
        <v>125</v>
      </c>
      <c r="D3568" t="s">
        <v>63</v>
      </c>
      <c r="E3568" t="s">
        <v>138</v>
      </c>
      <c r="F3568" s="1">
        <v>42886</v>
      </c>
      <c r="G3568" s="1">
        <v>43000</v>
      </c>
      <c r="H3568">
        <v>3404</v>
      </c>
      <c r="I3568" t="str">
        <f>IF(COUNTIF(Products!$A$2:$A$8,C3568)=0,C3568,"")</f>
        <v/>
      </c>
      <c r="J3568">
        <f>IF(OR(E3568="Prospecting",E3568="Engaging"),VLOOKUP(C3568,Products!$A$2:$C$8,3,FALSE),0)</f>
        <v>0</v>
      </c>
    </row>
    <row r="3569" spans="1:10" x14ac:dyDescent="0.25">
      <c r="A3569" t="s">
        <v>3736</v>
      </c>
      <c r="B3569" t="s">
        <v>169</v>
      </c>
      <c r="C3569" t="s">
        <v>125</v>
      </c>
      <c r="D3569" t="s">
        <v>116</v>
      </c>
      <c r="E3569" t="s">
        <v>159</v>
      </c>
      <c r="F3569" s="1">
        <v>42886</v>
      </c>
      <c r="G3569" s="1">
        <v>42894</v>
      </c>
      <c r="H3569">
        <v>0</v>
      </c>
      <c r="I3569" t="str">
        <f>IF(COUNTIF(Products!$A$2:$A$8,C3569)=0,C3569,"")</f>
        <v/>
      </c>
      <c r="J3569">
        <f>IF(OR(E3569="Prospecting",E3569="Engaging"),VLOOKUP(C3569,Products!$A$2:$C$8,3,FALSE),0)</f>
        <v>0</v>
      </c>
    </row>
    <row r="3570" spans="1:10" x14ac:dyDescent="0.25">
      <c r="A3570" t="s">
        <v>3737</v>
      </c>
      <c r="B3570" t="s">
        <v>169</v>
      </c>
      <c r="C3570" t="s">
        <v>123</v>
      </c>
      <c r="D3570" t="s">
        <v>88</v>
      </c>
      <c r="E3570" t="s">
        <v>138</v>
      </c>
      <c r="F3570" s="1">
        <v>42886</v>
      </c>
      <c r="G3570" s="1">
        <v>42899</v>
      </c>
      <c r="H3570">
        <v>46</v>
      </c>
      <c r="I3570" t="str">
        <f>IF(COUNTIF(Products!$A$2:$A$8,C3570)=0,C3570,"")</f>
        <v/>
      </c>
      <c r="J3570">
        <f>IF(OR(E3570="Prospecting",E3570="Engaging"),VLOOKUP(C3570,Products!$A$2:$C$8,3,FALSE),0)</f>
        <v>0</v>
      </c>
    </row>
    <row r="3571" spans="1:10" x14ac:dyDescent="0.25">
      <c r="A3571" t="s">
        <v>3738</v>
      </c>
      <c r="B3571" t="s">
        <v>196</v>
      </c>
      <c r="C3571" t="s">
        <v>123</v>
      </c>
      <c r="D3571" t="s">
        <v>102</v>
      </c>
      <c r="E3571" t="s">
        <v>138</v>
      </c>
      <c r="F3571" s="1">
        <v>42886</v>
      </c>
      <c r="G3571" s="1">
        <v>42900</v>
      </c>
      <c r="H3571">
        <v>53</v>
      </c>
      <c r="I3571" t="str">
        <f>IF(COUNTIF(Products!$A$2:$A$8,C3571)=0,C3571,"")</f>
        <v/>
      </c>
      <c r="J3571">
        <f>IF(OR(E3571="Prospecting",E3571="Engaging"),VLOOKUP(C3571,Products!$A$2:$C$8,3,FALSE),0)</f>
        <v>0</v>
      </c>
    </row>
    <row r="3572" spans="1:10" x14ac:dyDescent="0.25">
      <c r="A3572" t="s">
        <v>3739</v>
      </c>
      <c r="B3572" t="s">
        <v>144</v>
      </c>
      <c r="C3572" t="s">
        <v>120</v>
      </c>
      <c r="D3572" t="s">
        <v>93</v>
      </c>
      <c r="E3572" t="s">
        <v>159</v>
      </c>
      <c r="F3572" s="1">
        <v>42886</v>
      </c>
      <c r="G3572" s="1">
        <v>42967</v>
      </c>
      <c r="H3572">
        <v>0</v>
      </c>
      <c r="I3572" t="str">
        <f>IF(COUNTIF(Products!$A$2:$A$8,C3572)=0,C3572,"")</f>
        <v/>
      </c>
      <c r="J3572">
        <f>IF(OR(E3572="Prospecting",E3572="Engaging"),VLOOKUP(C3572,Products!$A$2:$C$8,3,FALSE),0)</f>
        <v>0</v>
      </c>
    </row>
    <row r="3573" spans="1:10" x14ac:dyDescent="0.25">
      <c r="A3573" t="s">
        <v>3740</v>
      </c>
      <c r="B3573" t="s">
        <v>144</v>
      </c>
      <c r="C3573" t="s">
        <v>122</v>
      </c>
      <c r="D3573" t="s">
        <v>27</v>
      </c>
      <c r="E3573" t="s">
        <v>138</v>
      </c>
      <c r="F3573" s="1">
        <v>42886</v>
      </c>
      <c r="G3573" s="1">
        <v>42891</v>
      </c>
      <c r="H3573">
        <v>4988</v>
      </c>
      <c r="I3573" t="str">
        <f>IF(COUNTIF(Products!$A$2:$A$8,C3573)=0,C3573,"")</f>
        <v/>
      </c>
      <c r="J3573">
        <f>IF(OR(E3573="Prospecting",E3573="Engaging"),VLOOKUP(C3573,Products!$A$2:$C$8,3,FALSE),0)</f>
        <v>0</v>
      </c>
    </row>
    <row r="3574" spans="1:10" x14ac:dyDescent="0.25">
      <c r="A3574" t="s">
        <v>3741</v>
      </c>
      <c r="B3574" t="s">
        <v>144</v>
      </c>
      <c r="C3574" t="s">
        <v>123</v>
      </c>
      <c r="D3574" t="s">
        <v>87</v>
      </c>
      <c r="E3574" t="s">
        <v>138</v>
      </c>
      <c r="F3574" s="1">
        <v>42886</v>
      </c>
      <c r="G3574" s="1">
        <v>42959</v>
      </c>
      <c r="H3574">
        <v>53</v>
      </c>
      <c r="I3574" t="str">
        <f>IF(COUNTIF(Products!$A$2:$A$8,C3574)=0,C3574,"")</f>
        <v/>
      </c>
      <c r="J3574">
        <f>IF(OR(E3574="Prospecting",E3574="Engaging"),VLOOKUP(C3574,Products!$A$2:$C$8,3,FALSE),0)</f>
        <v>0</v>
      </c>
    </row>
    <row r="3575" spans="1:10" x14ac:dyDescent="0.25">
      <c r="A3575" t="s">
        <v>3742</v>
      </c>
      <c r="B3575" t="s">
        <v>146</v>
      </c>
      <c r="C3575" t="s">
        <v>120</v>
      </c>
      <c r="D3575" t="s">
        <v>64</v>
      </c>
      <c r="E3575" t="s">
        <v>138</v>
      </c>
      <c r="F3575" s="1">
        <v>42887</v>
      </c>
      <c r="G3575" s="1">
        <v>42894</v>
      </c>
      <c r="H3575">
        <v>523</v>
      </c>
      <c r="I3575" t="str">
        <f>IF(COUNTIF(Products!$A$2:$A$8,C3575)=0,C3575,"")</f>
        <v/>
      </c>
      <c r="J3575">
        <f>IF(OR(E3575="Prospecting",E3575="Engaging"),VLOOKUP(C3575,Products!$A$2:$C$8,3,FALSE),0)</f>
        <v>0</v>
      </c>
    </row>
    <row r="3576" spans="1:10" x14ac:dyDescent="0.25">
      <c r="A3576" t="s">
        <v>3743</v>
      </c>
      <c r="B3576" t="s">
        <v>146</v>
      </c>
      <c r="C3576" t="s">
        <v>123</v>
      </c>
      <c r="D3576" t="s">
        <v>61</v>
      </c>
      <c r="E3576" t="s">
        <v>138</v>
      </c>
      <c r="F3576" s="1">
        <v>42887</v>
      </c>
      <c r="G3576" s="1">
        <v>42897</v>
      </c>
      <c r="H3576">
        <v>63</v>
      </c>
      <c r="I3576" t="str">
        <f>IF(COUNTIF(Products!$A$2:$A$8,C3576)=0,C3576,"")</f>
        <v/>
      </c>
      <c r="J3576">
        <f>IF(OR(E3576="Prospecting",E3576="Engaging"),VLOOKUP(C3576,Products!$A$2:$C$8,3,FALSE),0)</f>
        <v>0</v>
      </c>
    </row>
    <row r="3577" spans="1:10" x14ac:dyDescent="0.25">
      <c r="A3577" t="s">
        <v>3744</v>
      </c>
      <c r="B3577" t="s">
        <v>146</v>
      </c>
      <c r="C3577" t="s">
        <v>123</v>
      </c>
      <c r="D3577" t="s">
        <v>94</v>
      </c>
      <c r="E3577" t="s">
        <v>138</v>
      </c>
      <c r="F3577" s="1">
        <v>42887</v>
      </c>
      <c r="G3577" s="1">
        <v>42975</v>
      </c>
      <c r="H3577">
        <v>54</v>
      </c>
      <c r="I3577" t="str">
        <f>IF(COUNTIF(Products!$A$2:$A$8,C3577)=0,C3577,"")</f>
        <v/>
      </c>
      <c r="J3577">
        <f>IF(OR(E3577="Prospecting",E3577="Engaging"),VLOOKUP(C3577,Products!$A$2:$C$8,3,FALSE),0)</f>
        <v>0</v>
      </c>
    </row>
    <row r="3578" spans="1:10" x14ac:dyDescent="0.25">
      <c r="A3578" t="s">
        <v>3745</v>
      </c>
      <c r="B3578" t="s">
        <v>222</v>
      </c>
      <c r="C3578" t="s">
        <v>126</v>
      </c>
      <c r="D3578" t="s">
        <v>110</v>
      </c>
      <c r="E3578" t="s">
        <v>138</v>
      </c>
      <c r="F3578" s="1">
        <v>42887</v>
      </c>
      <c r="G3578" s="1">
        <v>42985</v>
      </c>
      <c r="H3578">
        <v>6117</v>
      </c>
      <c r="I3578" t="str">
        <f>IF(COUNTIF(Products!$A$2:$A$8,C3578)=0,C3578,"")</f>
        <v/>
      </c>
      <c r="J3578">
        <f>IF(OR(E3578="Prospecting",E3578="Engaging"),VLOOKUP(C3578,Products!$A$2:$C$8,3,FALSE),0)</f>
        <v>0</v>
      </c>
    </row>
    <row r="3579" spans="1:10" x14ac:dyDescent="0.25">
      <c r="A3579" t="s">
        <v>3746</v>
      </c>
      <c r="B3579" t="s">
        <v>207</v>
      </c>
      <c r="C3579" t="s">
        <v>126</v>
      </c>
      <c r="D3579" t="s">
        <v>80</v>
      </c>
      <c r="E3579" t="s">
        <v>138</v>
      </c>
      <c r="F3579" s="1">
        <v>42887</v>
      </c>
      <c r="G3579" s="1">
        <v>42895</v>
      </c>
      <c r="H3579">
        <v>5112</v>
      </c>
      <c r="I3579" t="str">
        <f>IF(COUNTIF(Products!$A$2:$A$8,C3579)=0,C3579,"")</f>
        <v/>
      </c>
      <c r="J3579">
        <f>IF(OR(E3579="Prospecting",E3579="Engaging"),VLOOKUP(C3579,Products!$A$2:$C$8,3,FALSE),0)</f>
        <v>0</v>
      </c>
    </row>
    <row r="3580" spans="1:10" x14ac:dyDescent="0.25">
      <c r="A3580" t="s">
        <v>3747</v>
      </c>
      <c r="B3580" t="s">
        <v>239</v>
      </c>
      <c r="C3580" t="s">
        <v>125</v>
      </c>
      <c r="D3580" t="s">
        <v>67</v>
      </c>
      <c r="E3580" t="s">
        <v>138</v>
      </c>
      <c r="F3580" s="1">
        <v>42887</v>
      </c>
      <c r="G3580" s="1">
        <v>42981</v>
      </c>
      <c r="H3580">
        <v>3527</v>
      </c>
      <c r="I3580" t="str">
        <f>IF(COUNTIF(Products!$A$2:$A$8,C3580)=0,C3580,"")</f>
        <v/>
      </c>
      <c r="J3580">
        <f>IF(OR(E3580="Prospecting",E3580="Engaging"),VLOOKUP(C3580,Products!$A$2:$C$8,3,FALSE),0)</f>
        <v>0</v>
      </c>
    </row>
    <row r="3581" spans="1:10" x14ac:dyDescent="0.25">
      <c r="A3581" t="s">
        <v>3748</v>
      </c>
      <c r="B3581" t="s">
        <v>171</v>
      </c>
      <c r="C3581" t="s">
        <v>122</v>
      </c>
      <c r="E3581" t="s">
        <v>155</v>
      </c>
      <c r="F3581" s="1">
        <v>42887</v>
      </c>
      <c r="I3581" t="str">
        <f>IF(COUNTIF(Products!$A$2:$A$8,C3581)=0,C3581,"")</f>
        <v/>
      </c>
      <c r="J3581">
        <f>IF(OR(E3581="Prospecting",E3581="Engaging"),VLOOKUP(C3581,Products!$A$2:$C$8,3,FALSE),0)</f>
        <v>4821</v>
      </c>
    </row>
    <row r="3582" spans="1:10" x14ac:dyDescent="0.25">
      <c r="A3582" t="s">
        <v>3749</v>
      </c>
      <c r="B3582" t="s">
        <v>140</v>
      </c>
      <c r="C3582" t="s">
        <v>126</v>
      </c>
      <c r="D3582" t="s">
        <v>70</v>
      </c>
      <c r="E3582" t="s">
        <v>159</v>
      </c>
      <c r="F3582" s="1">
        <v>42887</v>
      </c>
      <c r="G3582" s="1">
        <v>42897</v>
      </c>
      <c r="H3582">
        <v>0</v>
      </c>
      <c r="I3582" t="str">
        <f>IF(COUNTIF(Products!$A$2:$A$8,C3582)=0,C3582,"")</f>
        <v/>
      </c>
      <c r="J3582">
        <f>IF(OR(E3582="Prospecting",E3582="Engaging"),VLOOKUP(C3582,Products!$A$2:$C$8,3,FALSE),0)</f>
        <v>0</v>
      </c>
    </row>
    <row r="3583" spans="1:10" x14ac:dyDescent="0.25">
      <c r="A3583" t="s">
        <v>3750</v>
      </c>
      <c r="B3583" t="s">
        <v>140</v>
      </c>
      <c r="C3583" t="s">
        <v>123</v>
      </c>
      <c r="D3583" t="s">
        <v>42</v>
      </c>
      <c r="E3583" t="s">
        <v>159</v>
      </c>
      <c r="F3583" s="1">
        <v>42887</v>
      </c>
      <c r="G3583" s="1">
        <v>42971</v>
      </c>
      <c r="H3583">
        <v>0</v>
      </c>
      <c r="I3583" t="str">
        <f>IF(COUNTIF(Products!$A$2:$A$8,C3583)=0,C3583,"")</f>
        <v/>
      </c>
      <c r="J3583">
        <f>IF(OR(E3583="Prospecting",E3583="Engaging"),VLOOKUP(C3583,Products!$A$2:$C$8,3,FALSE),0)</f>
        <v>0</v>
      </c>
    </row>
    <row r="3584" spans="1:10" x14ac:dyDescent="0.25">
      <c r="A3584" t="s">
        <v>3751</v>
      </c>
      <c r="B3584" t="s">
        <v>140</v>
      </c>
      <c r="C3584" t="s">
        <v>125</v>
      </c>
      <c r="D3584" t="s">
        <v>77</v>
      </c>
      <c r="E3584" t="s">
        <v>159</v>
      </c>
      <c r="F3584" s="1">
        <v>42887</v>
      </c>
      <c r="G3584" s="1">
        <v>42954</v>
      </c>
      <c r="H3584">
        <v>0</v>
      </c>
      <c r="I3584" t="str">
        <f>IF(COUNTIF(Products!$A$2:$A$8,C3584)=0,C3584,"")</f>
        <v/>
      </c>
      <c r="J3584">
        <f>IF(OR(E3584="Prospecting",E3584="Engaging"),VLOOKUP(C3584,Products!$A$2:$C$8,3,FALSE),0)</f>
        <v>0</v>
      </c>
    </row>
    <row r="3585" spans="1:10" x14ac:dyDescent="0.25">
      <c r="A3585" t="s">
        <v>3752</v>
      </c>
      <c r="B3585" t="s">
        <v>140</v>
      </c>
      <c r="C3585" t="s">
        <v>120</v>
      </c>
      <c r="D3585" t="s">
        <v>32</v>
      </c>
      <c r="E3585" t="s">
        <v>138</v>
      </c>
      <c r="F3585" s="1">
        <v>42887</v>
      </c>
      <c r="G3585" s="1">
        <v>42900</v>
      </c>
      <c r="H3585">
        <v>565</v>
      </c>
      <c r="I3585" t="str">
        <f>IF(COUNTIF(Products!$A$2:$A$8,C3585)=0,C3585,"")</f>
        <v/>
      </c>
      <c r="J3585">
        <f>IF(OR(E3585="Prospecting",E3585="Engaging"),VLOOKUP(C3585,Products!$A$2:$C$8,3,FALSE),0)</f>
        <v>0</v>
      </c>
    </row>
    <row r="3586" spans="1:10" x14ac:dyDescent="0.25">
      <c r="A3586" t="s">
        <v>3753</v>
      </c>
      <c r="B3586" t="s">
        <v>140</v>
      </c>
      <c r="C3586" t="s">
        <v>125</v>
      </c>
      <c r="D3586" t="s">
        <v>88</v>
      </c>
      <c r="E3586" t="s">
        <v>138</v>
      </c>
      <c r="F3586" s="1">
        <v>42887</v>
      </c>
      <c r="G3586" s="1">
        <v>42895</v>
      </c>
      <c r="H3586">
        <v>3771</v>
      </c>
      <c r="I3586" t="str">
        <f>IF(COUNTIF(Products!$A$2:$A$8,C3586)=0,C3586,"")</f>
        <v/>
      </c>
      <c r="J3586">
        <f>IF(OR(E3586="Prospecting",E3586="Engaging"),VLOOKUP(C3586,Products!$A$2:$C$8,3,FALSE),0)</f>
        <v>0</v>
      </c>
    </row>
    <row r="3587" spans="1:10" x14ac:dyDescent="0.25">
      <c r="A3587" t="s">
        <v>3754</v>
      </c>
      <c r="B3587" t="s">
        <v>173</v>
      </c>
      <c r="C3587" t="s">
        <v>125</v>
      </c>
      <c r="D3587" t="s">
        <v>38</v>
      </c>
      <c r="E3587" t="s">
        <v>159</v>
      </c>
      <c r="F3587" s="1">
        <v>42887</v>
      </c>
      <c r="G3587" s="1">
        <v>42956</v>
      </c>
      <c r="H3587">
        <v>0</v>
      </c>
      <c r="I3587" t="str">
        <f>IF(COUNTIF(Products!$A$2:$A$8,C3587)=0,C3587,"")</f>
        <v/>
      </c>
      <c r="J3587">
        <f>IF(OR(E3587="Prospecting",E3587="Engaging"),VLOOKUP(C3587,Products!$A$2:$C$8,3,FALSE),0)</f>
        <v>0</v>
      </c>
    </row>
    <row r="3588" spans="1:10" x14ac:dyDescent="0.25">
      <c r="A3588" t="s">
        <v>3755</v>
      </c>
      <c r="B3588" t="s">
        <v>158</v>
      </c>
      <c r="C3588" t="s">
        <v>126</v>
      </c>
      <c r="D3588" t="s">
        <v>91</v>
      </c>
      <c r="E3588" t="s">
        <v>138</v>
      </c>
      <c r="F3588" s="1">
        <v>42887</v>
      </c>
      <c r="G3588" s="1">
        <v>42980</v>
      </c>
      <c r="H3588">
        <v>6274</v>
      </c>
      <c r="I3588" t="str">
        <f>IF(COUNTIF(Products!$A$2:$A$8,C3588)=0,C3588,"")</f>
        <v/>
      </c>
      <c r="J3588">
        <f>IF(OR(E3588="Prospecting",E3588="Engaging"),VLOOKUP(C3588,Products!$A$2:$C$8,3,FALSE),0)</f>
        <v>0</v>
      </c>
    </row>
    <row r="3589" spans="1:10" x14ac:dyDescent="0.25">
      <c r="A3589" t="s">
        <v>3756</v>
      </c>
      <c r="B3589" t="s">
        <v>164</v>
      </c>
      <c r="C3589" t="s">
        <v>125</v>
      </c>
      <c r="D3589" t="s">
        <v>82</v>
      </c>
      <c r="E3589" t="s">
        <v>159</v>
      </c>
      <c r="F3589" s="1">
        <v>42887</v>
      </c>
      <c r="G3589" s="1">
        <v>42950</v>
      </c>
      <c r="H3589">
        <v>0</v>
      </c>
      <c r="I3589" t="str">
        <f>IF(COUNTIF(Products!$A$2:$A$8,C3589)=0,C3589,"")</f>
        <v/>
      </c>
      <c r="J3589">
        <f>IF(OR(E3589="Prospecting",E3589="Engaging"),VLOOKUP(C3589,Products!$A$2:$C$8,3,FALSE),0)</f>
        <v>0</v>
      </c>
    </row>
    <row r="3590" spans="1:10" x14ac:dyDescent="0.25">
      <c r="A3590" t="s">
        <v>3757</v>
      </c>
      <c r="B3590" t="s">
        <v>164</v>
      </c>
      <c r="C3590" t="s">
        <v>125</v>
      </c>
      <c r="D3590" t="s">
        <v>100</v>
      </c>
      <c r="E3590" t="s">
        <v>138</v>
      </c>
      <c r="F3590" s="1">
        <v>42887</v>
      </c>
      <c r="G3590" s="1">
        <v>42964</v>
      </c>
      <c r="H3590">
        <v>3480</v>
      </c>
      <c r="I3590" t="str">
        <f>IF(COUNTIF(Products!$A$2:$A$8,C3590)=0,C3590,"")</f>
        <v/>
      </c>
      <c r="J3590">
        <f>IF(OR(E3590="Prospecting",E3590="Engaging"),VLOOKUP(C3590,Products!$A$2:$C$8,3,FALSE),0)</f>
        <v>0</v>
      </c>
    </row>
    <row r="3591" spans="1:10" x14ac:dyDescent="0.25">
      <c r="A3591" t="s">
        <v>3758</v>
      </c>
      <c r="B3591" t="s">
        <v>154</v>
      </c>
      <c r="C3591" t="s">
        <v>126</v>
      </c>
      <c r="D3591" t="s">
        <v>38</v>
      </c>
      <c r="E3591" t="s">
        <v>138</v>
      </c>
      <c r="F3591" s="1">
        <v>42887</v>
      </c>
      <c r="G3591" s="1">
        <v>42963</v>
      </c>
      <c r="H3591">
        <v>5770</v>
      </c>
      <c r="I3591" t="str">
        <f>IF(COUNTIF(Products!$A$2:$A$8,C3591)=0,C3591,"")</f>
        <v/>
      </c>
      <c r="J3591">
        <f>IF(OR(E3591="Prospecting",E3591="Engaging"),VLOOKUP(C3591,Products!$A$2:$C$8,3,FALSE),0)</f>
        <v>0</v>
      </c>
    </row>
    <row r="3592" spans="1:10" x14ac:dyDescent="0.25">
      <c r="A3592" t="s">
        <v>3759</v>
      </c>
      <c r="B3592" t="s">
        <v>191</v>
      </c>
      <c r="C3592" t="s">
        <v>125</v>
      </c>
      <c r="D3592" t="s">
        <v>61</v>
      </c>
      <c r="E3592" t="s">
        <v>159</v>
      </c>
      <c r="F3592" s="1">
        <v>42887</v>
      </c>
      <c r="G3592" s="1">
        <v>42990</v>
      </c>
      <c r="H3592">
        <v>0</v>
      </c>
      <c r="I3592" t="str">
        <f>IF(COUNTIF(Products!$A$2:$A$8,C3592)=0,C3592,"")</f>
        <v/>
      </c>
      <c r="J3592">
        <f>IF(OR(E3592="Prospecting",E3592="Engaging"),VLOOKUP(C3592,Products!$A$2:$C$8,3,FALSE),0)</f>
        <v>0</v>
      </c>
    </row>
    <row r="3593" spans="1:10" x14ac:dyDescent="0.25">
      <c r="A3593" t="s">
        <v>3760</v>
      </c>
      <c r="B3593" t="s">
        <v>217</v>
      </c>
      <c r="C3593" t="s">
        <v>126</v>
      </c>
      <c r="D3593" t="s">
        <v>95</v>
      </c>
      <c r="E3593" t="s">
        <v>159</v>
      </c>
      <c r="F3593" s="1">
        <v>42887</v>
      </c>
      <c r="G3593" s="1">
        <v>42976</v>
      </c>
      <c r="H3593">
        <v>0</v>
      </c>
      <c r="I3593" t="str">
        <f>IF(COUNTIF(Products!$A$2:$A$8,C3593)=0,C3593,"")</f>
        <v/>
      </c>
      <c r="J3593">
        <f>IF(OR(E3593="Prospecting",E3593="Engaging"),VLOOKUP(C3593,Products!$A$2:$C$8,3,FALSE),0)</f>
        <v>0</v>
      </c>
    </row>
    <row r="3594" spans="1:10" x14ac:dyDescent="0.25">
      <c r="A3594" t="s">
        <v>3761</v>
      </c>
      <c r="B3594" t="s">
        <v>137</v>
      </c>
      <c r="C3594" t="s">
        <v>120</v>
      </c>
      <c r="D3594" t="s">
        <v>85</v>
      </c>
      <c r="E3594" t="s">
        <v>159</v>
      </c>
      <c r="F3594" s="1">
        <v>42887</v>
      </c>
      <c r="G3594" s="1">
        <v>42948</v>
      </c>
      <c r="H3594">
        <v>0</v>
      </c>
      <c r="I3594" t="str">
        <f>IF(COUNTIF(Products!$A$2:$A$8,C3594)=0,C3594,"")</f>
        <v/>
      </c>
      <c r="J3594">
        <f>IF(OR(E3594="Prospecting",E3594="Engaging"),VLOOKUP(C3594,Products!$A$2:$C$8,3,FALSE),0)</f>
        <v>0</v>
      </c>
    </row>
    <row r="3595" spans="1:10" x14ac:dyDescent="0.25">
      <c r="A3595" t="s">
        <v>3762</v>
      </c>
      <c r="B3595" t="s">
        <v>152</v>
      </c>
      <c r="C3595" t="s">
        <v>120</v>
      </c>
      <c r="D3595" t="s">
        <v>33</v>
      </c>
      <c r="E3595" t="s">
        <v>159</v>
      </c>
      <c r="F3595" s="1">
        <v>42887</v>
      </c>
      <c r="G3595" s="1">
        <v>42999</v>
      </c>
      <c r="H3595">
        <v>0</v>
      </c>
      <c r="I3595" t="str">
        <f>IF(COUNTIF(Products!$A$2:$A$8,C3595)=0,C3595,"")</f>
        <v/>
      </c>
      <c r="J3595">
        <f>IF(OR(E3595="Prospecting",E3595="Engaging"),VLOOKUP(C3595,Products!$A$2:$C$8,3,FALSE),0)</f>
        <v>0</v>
      </c>
    </row>
    <row r="3596" spans="1:10" x14ac:dyDescent="0.25">
      <c r="A3596" t="s">
        <v>3763</v>
      </c>
      <c r="B3596" t="s">
        <v>152</v>
      </c>
      <c r="C3596" t="s">
        <v>120</v>
      </c>
      <c r="D3596" t="s">
        <v>88</v>
      </c>
      <c r="E3596" t="s">
        <v>159</v>
      </c>
      <c r="F3596" s="1">
        <v>42887</v>
      </c>
      <c r="G3596" s="1">
        <v>43003</v>
      </c>
      <c r="H3596">
        <v>0</v>
      </c>
      <c r="I3596" t="str">
        <f>IF(COUNTIF(Products!$A$2:$A$8,C3596)=0,C3596,"")</f>
        <v/>
      </c>
      <c r="J3596">
        <f>IF(OR(E3596="Prospecting",E3596="Engaging"),VLOOKUP(C3596,Products!$A$2:$C$8,3,FALSE),0)</f>
        <v>0</v>
      </c>
    </row>
    <row r="3597" spans="1:10" x14ac:dyDescent="0.25">
      <c r="A3597" t="s">
        <v>3764</v>
      </c>
      <c r="B3597" t="s">
        <v>193</v>
      </c>
      <c r="C3597" t="s">
        <v>120</v>
      </c>
      <c r="D3597" t="s">
        <v>69</v>
      </c>
      <c r="E3597" t="s">
        <v>138</v>
      </c>
      <c r="F3597" s="1">
        <v>42887</v>
      </c>
      <c r="G3597" s="1">
        <v>42898</v>
      </c>
      <c r="H3597">
        <v>562</v>
      </c>
      <c r="I3597" t="str">
        <f>IF(COUNTIF(Products!$A$2:$A$8,C3597)=0,C3597,"")</f>
        <v/>
      </c>
      <c r="J3597">
        <f>IF(OR(E3597="Prospecting",E3597="Engaging"),VLOOKUP(C3597,Products!$A$2:$C$8,3,FALSE),0)</f>
        <v>0</v>
      </c>
    </row>
    <row r="3598" spans="1:10" x14ac:dyDescent="0.25">
      <c r="A3598" t="s">
        <v>3765</v>
      </c>
      <c r="B3598" t="s">
        <v>166</v>
      </c>
      <c r="C3598" t="s">
        <v>123</v>
      </c>
      <c r="E3598" t="s">
        <v>155</v>
      </c>
      <c r="F3598" s="1">
        <v>42887</v>
      </c>
      <c r="I3598" t="str">
        <f>IF(COUNTIF(Products!$A$2:$A$8,C3598)=0,C3598,"")</f>
        <v/>
      </c>
      <c r="J3598">
        <f>IF(OR(E3598="Prospecting",E3598="Engaging"),VLOOKUP(C3598,Products!$A$2:$C$8,3,FALSE),0)</f>
        <v>55</v>
      </c>
    </row>
    <row r="3599" spans="1:10" x14ac:dyDescent="0.25">
      <c r="A3599" t="s">
        <v>3766</v>
      </c>
      <c r="B3599" t="s">
        <v>187</v>
      </c>
      <c r="C3599" t="s">
        <v>122</v>
      </c>
      <c r="D3599" t="s">
        <v>73</v>
      </c>
      <c r="E3599" t="s">
        <v>138</v>
      </c>
      <c r="F3599" s="1">
        <v>42887</v>
      </c>
      <c r="G3599" s="1">
        <v>42950</v>
      </c>
      <c r="H3599">
        <v>4686</v>
      </c>
      <c r="I3599" t="str">
        <f>IF(COUNTIF(Products!$A$2:$A$8,C3599)=0,C3599,"")</f>
        <v/>
      </c>
      <c r="J3599">
        <f>IF(OR(E3599="Prospecting",E3599="Engaging"),VLOOKUP(C3599,Products!$A$2:$C$8,3,FALSE),0)</f>
        <v>0</v>
      </c>
    </row>
    <row r="3600" spans="1:10" x14ac:dyDescent="0.25">
      <c r="A3600" t="s">
        <v>3767</v>
      </c>
      <c r="B3600" t="s">
        <v>148</v>
      </c>
      <c r="C3600" t="s">
        <v>125</v>
      </c>
      <c r="D3600" t="s">
        <v>78</v>
      </c>
      <c r="E3600" t="s">
        <v>159</v>
      </c>
      <c r="F3600" s="1">
        <v>42887</v>
      </c>
      <c r="G3600" s="1">
        <v>42969</v>
      </c>
      <c r="H3600">
        <v>0</v>
      </c>
      <c r="I3600" t="str">
        <f>IF(COUNTIF(Products!$A$2:$A$8,C3600)=0,C3600,"")</f>
        <v/>
      </c>
      <c r="J3600">
        <f>IF(OR(E3600="Prospecting",E3600="Engaging"),VLOOKUP(C3600,Products!$A$2:$C$8,3,FALSE),0)</f>
        <v>0</v>
      </c>
    </row>
    <row r="3601" spans="1:10" x14ac:dyDescent="0.25">
      <c r="A3601" t="s">
        <v>3768</v>
      </c>
      <c r="B3601" t="s">
        <v>177</v>
      </c>
      <c r="C3601" t="s">
        <v>123</v>
      </c>
      <c r="D3601" t="s">
        <v>81</v>
      </c>
      <c r="E3601" t="s">
        <v>138</v>
      </c>
      <c r="F3601" s="1">
        <v>42887</v>
      </c>
      <c r="G3601" s="1">
        <v>42980</v>
      </c>
      <c r="H3601">
        <v>38</v>
      </c>
      <c r="I3601" t="str">
        <f>IF(COUNTIF(Products!$A$2:$A$8,C3601)=0,C3601,"")</f>
        <v/>
      </c>
      <c r="J3601">
        <f>IF(OR(E3601="Prospecting",E3601="Engaging"),VLOOKUP(C3601,Products!$A$2:$C$8,3,FALSE),0)</f>
        <v>0</v>
      </c>
    </row>
    <row r="3602" spans="1:10" x14ac:dyDescent="0.25">
      <c r="A3602" t="s">
        <v>3769</v>
      </c>
      <c r="B3602" t="s">
        <v>144</v>
      </c>
      <c r="C3602" t="s">
        <v>125</v>
      </c>
      <c r="D3602" t="s">
        <v>44</v>
      </c>
      <c r="E3602" t="s">
        <v>138</v>
      </c>
      <c r="F3602" s="1">
        <v>42887</v>
      </c>
      <c r="G3602" s="1">
        <v>42952</v>
      </c>
      <c r="H3602">
        <v>3184</v>
      </c>
      <c r="I3602" t="str">
        <f>IF(COUNTIF(Products!$A$2:$A$8,C3602)=0,C3602,"")</f>
        <v/>
      </c>
      <c r="J3602">
        <f>IF(OR(E3602="Prospecting",E3602="Engaging"),VLOOKUP(C3602,Products!$A$2:$C$8,3,FALSE),0)</f>
        <v>0</v>
      </c>
    </row>
    <row r="3603" spans="1:10" x14ac:dyDescent="0.25">
      <c r="A3603" t="s">
        <v>3770</v>
      </c>
      <c r="B3603" t="s">
        <v>146</v>
      </c>
      <c r="C3603" t="s">
        <v>126</v>
      </c>
      <c r="D3603" t="s">
        <v>89</v>
      </c>
      <c r="E3603" t="s">
        <v>138</v>
      </c>
      <c r="F3603" s="1">
        <v>42888</v>
      </c>
      <c r="G3603" s="1">
        <v>42995</v>
      </c>
      <c r="H3603">
        <v>5373</v>
      </c>
      <c r="I3603" t="str">
        <f>IF(COUNTIF(Products!$A$2:$A$8,C3603)=0,C3603,"")</f>
        <v/>
      </c>
      <c r="J3603">
        <f>IF(OR(E3603="Prospecting",E3603="Engaging"),VLOOKUP(C3603,Products!$A$2:$C$8,3,FALSE),0)</f>
        <v>0</v>
      </c>
    </row>
    <row r="3604" spans="1:10" x14ac:dyDescent="0.25">
      <c r="A3604" t="s">
        <v>3771</v>
      </c>
      <c r="B3604" t="s">
        <v>222</v>
      </c>
      <c r="C3604" t="s">
        <v>127</v>
      </c>
      <c r="D3604" t="s">
        <v>19</v>
      </c>
      <c r="E3604" t="s">
        <v>138</v>
      </c>
      <c r="F3604" s="1">
        <v>42888</v>
      </c>
      <c r="G3604" s="1">
        <v>42983</v>
      </c>
      <c r="H3604">
        <v>1239</v>
      </c>
      <c r="I3604" t="str">
        <f>IF(COUNTIF(Products!$A$2:$A$8,C3604)=0,C3604,"")</f>
        <v/>
      </c>
      <c r="J3604">
        <f>IF(OR(E3604="Prospecting",E3604="Engaging"),VLOOKUP(C3604,Products!$A$2:$C$8,3,FALSE),0)</f>
        <v>0</v>
      </c>
    </row>
    <row r="3605" spans="1:10" x14ac:dyDescent="0.25">
      <c r="A3605" t="s">
        <v>3772</v>
      </c>
      <c r="B3605" t="s">
        <v>207</v>
      </c>
      <c r="C3605" t="s">
        <v>125</v>
      </c>
      <c r="E3605" t="s">
        <v>155</v>
      </c>
      <c r="F3605" s="1">
        <v>42888</v>
      </c>
      <c r="I3605" t="str">
        <f>IF(COUNTIF(Products!$A$2:$A$8,C3605)=0,C3605,"")</f>
        <v/>
      </c>
      <c r="J3605">
        <f>IF(OR(E3605="Prospecting",E3605="Engaging"),VLOOKUP(C3605,Products!$A$2:$C$8,3,FALSE),0)</f>
        <v>3393</v>
      </c>
    </row>
    <row r="3606" spans="1:10" x14ac:dyDescent="0.25">
      <c r="A3606" t="s">
        <v>3773</v>
      </c>
      <c r="B3606" t="s">
        <v>264</v>
      </c>
      <c r="C3606" t="s">
        <v>125</v>
      </c>
      <c r="D3606" t="s">
        <v>64</v>
      </c>
      <c r="E3606" t="s">
        <v>159</v>
      </c>
      <c r="F3606" s="1">
        <v>42888</v>
      </c>
      <c r="G3606" s="1">
        <v>42904</v>
      </c>
      <c r="H3606">
        <v>0</v>
      </c>
      <c r="I3606" t="str">
        <f>IF(COUNTIF(Products!$A$2:$A$8,C3606)=0,C3606,"")</f>
        <v/>
      </c>
      <c r="J3606">
        <f>IF(OR(E3606="Prospecting",E3606="Engaging"),VLOOKUP(C3606,Products!$A$2:$C$8,3,FALSE),0)</f>
        <v>0</v>
      </c>
    </row>
    <row r="3607" spans="1:10" x14ac:dyDescent="0.25">
      <c r="A3607" t="s">
        <v>3774</v>
      </c>
      <c r="B3607" t="s">
        <v>264</v>
      </c>
      <c r="C3607" t="s">
        <v>123</v>
      </c>
      <c r="D3607" t="s">
        <v>96</v>
      </c>
      <c r="E3607" t="s">
        <v>138</v>
      </c>
      <c r="F3607" s="1">
        <v>42888</v>
      </c>
      <c r="G3607" s="1">
        <v>42898</v>
      </c>
      <c r="H3607">
        <v>52</v>
      </c>
      <c r="I3607" t="str">
        <f>IF(COUNTIF(Products!$A$2:$A$8,C3607)=0,C3607,"")</f>
        <v/>
      </c>
      <c r="J3607">
        <f>IF(OR(E3607="Prospecting",E3607="Engaging"),VLOOKUP(C3607,Products!$A$2:$C$8,3,FALSE),0)</f>
        <v>0</v>
      </c>
    </row>
    <row r="3608" spans="1:10" x14ac:dyDescent="0.25">
      <c r="A3608" t="s">
        <v>3775</v>
      </c>
      <c r="B3608" t="s">
        <v>239</v>
      </c>
      <c r="C3608" t="s">
        <v>120</v>
      </c>
      <c r="D3608" t="s">
        <v>48</v>
      </c>
      <c r="E3608" t="s">
        <v>138</v>
      </c>
      <c r="F3608" s="1">
        <v>42888</v>
      </c>
      <c r="G3608" s="1">
        <v>42997</v>
      </c>
      <c r="H3608">
        <v>651</v>
      </c>
      <c r="I3608" t="str">
        <f>IF(COUNTIF(Products!$A$2:$A$8,C3608)=0,C3608,"")</f>
        <v/>
      </c>
      <c r="J3608">
        <f>IF(OR(E3608="Prospecting",E3608="Engaging"),VLOOKUP(C3608,Products!$A$2:$C$8,3,FALSE),0)</f>
        <v>0</v>
      </c>
    </row>
    <row r="3609" spans="1:10" x14ac:dyDescent="0.25">
      <c r="A3609" t="s">
        <v>3776</v>
      </c>
      <c r="B3609" t="s">
        <v>140</v>
      </c>
      <c r="C3609" t="s">
        <v>126</v>
      </c>
      <c r="D3609" t="s">
        <v>30</v>
      </c>
      <c r="E3609" t="s">
        <v>138</v>
      </c>
      <c r="F3609" s="1">
        <v>42888</v>
      </c>
      <c r="G3609" s="1">
        <v>42949</v>
      </c>
      <c r="H3609">
        <v>6026</v>
      </c>
      <c r="I3609" t="str">
        <f>IF(COUNTIF(Products!$A$2:$A$8,C3609)=0,C3609,"")</f>
        <v/>
      </c>
      <c r="J3609">
        <f>IF(OR(E3609="Prospecting",E3609="Engaging"),VLOOKUP(C3609,Products!$A$2:$C$8,3,FALSE),0)</f>
        <v>0</v>
      </c>
    </row>
    <row r="3610" spans="1:10" x14ac:dyDescent="0.25">
      <c r="A3610" t="s">
        <v>3777</v>
      </c>
      <c r="B3610" t="s">
        <v>154</v>
      </c>
      <c r="C3610" t="s">
        <v>125</v>
      </c>
      <c r="E3610" t="s">
        <v>155</v>
      </c>
      <c r="F3610" s="1">
        <v>42888</v>
      </c>
      <c r="I3610" t="str">
        <f>IF(COUNTIF(Products!$A$2:$A$8,C3610)=0,C3610,"")</f>
        <v/>
      </c>
      <c r="J3610">
        <f>IF(OR(E3610="Prospecting",E3610="Engaging"),VLOOKUP(C3610,Products!$A$2:$C$8,3,FALSE),0)</f>
        <v>3393</v>
      </c>
    </row>
    <row r="3611" spans="1:10" x14ac:dyDescent="0.25">
      <c r="A3611" t="s">
        <v>3778</v>
      </c>
      <c r="B3611" t="s">
        <v>154</v>
      </c>
      <c r="C3611" t="s">
        <v>126</v>
      </c>
      <c r="D3611" t="s">
        <v>57</v>
      </c>
      <c r="E3611" t="s">
        <v>138</v>
      </c>
      <c r="F3611" s="1">
        <v>42888</v>
      </c>
      <c r="G3611" s="1">
        <v>42983</v>
      </c>
      <c r="H3611">
        <v>5569</v>
      </c>
      <c r="I3611" t="str">
        <f>IF(COUNTIF(Products!$A$2:$A$8,C3611)=0,C3611,"")</f>
        <v/>
      </c>
      <c r="J3611">
        <f>IF(OR(E3611="Prospecting",E3611="Engaging"),VLOOKUP(C3611,Products!$A$2:$C$8,3,FALSE),0)</f>
        <v>0</v>
      </c>
    </row>
    <row r="3612" spans="1:10" x14ac:dyDescent="0.25">
      <c r="A3612" t="s">
        <v>3779</v>
      </c>
      <c r="B3612" t="s">
        <v>303</v>
      </c>
      <c r="C3612" t="s">
        <v>120</v>
      </c>
      <c r="D3612" t="s">
        <v>36</v>
      </c>
      <c r="E3612" t="s">
        <v>159</v>
      </c>
      <c r="F3612" s="1">
        <v>42888</v>
      </c>
      <c r="G3612" s="1">
        <v>42972</v>
      </c>
      <c r="H3612">
        <v>0</v>
      </c>
      <c r="I3612" t="str">
        <f>IF(COUNTIF(Products!$A$2:$A$8,C3612)=0,C3612,"")</f>
        <v/>
      </c>
      <c r="J3612">
        <f>IF(OR(E3612="Prospecting",E3612="Engaging"),VLOOKUP(C3612,Products!$A$2:$C$8,3,FALSE),0)</f>
        <v>0</v>
      </c>
    </row>
    <row r="3613" spans="1:10" x14ac:dyDescent="0.25">
      <c r="A3613" t="s">
        <v>3780</v>
      </c>
      <c r="B3613" t="s">
        <v>303</v>
      </c>
      <c r="C3613" t="s">
        <v>120</v>
      </c>
      <c r="D3613" t="s">
        <v>61</v>
      </c>
      <c r="E3613" t="s">
        <v>138</v>
      </c>
      <c r="F3613" s="1">
        <v>42888</v>
      </c>
      <c r="G3613" s="1">
        <v>42982</v>
      </c>
      <c r="H3613">
        <v>519</v>
      </c>
      <c r="I3613" t="str">
        <f>IF(COUNTIF(Products!$A$2:$A$8,C3613)=0,C3613,"")</f>
        <v/>
      </c>
      <c r="J3613">
        <f>IF(OR(E3613="Prospecting",E3613="Engaging"),VLOOKUP(C3613,Products!$A$2:$C$8,3,FALSE),0)</f>
        <v>0</v>
      </c>
    </row>
    <row r="3614" spans="1:10" x14ac:dyDescent="0.25">
      <c r="A3614" t="s">
        <v>3781</v>
      </c>
      <c r="B3614" t="s">
        <v>180</v>
      </c>
      <c r="C3614" t="s">
        <v>120</v>
      </c>
      <c r="D3614" t="s">
        <v>90</v>
      </c>
      <c r="E3614" t="s">
        <v>138</v>
      </c>
      <c r="F3614" s="1">
        <v>42888</v>
      </c>
      <c r="G3614" s="1">
        <v>42983</v>
      </c>
      <c r="H3614">
        <v>558</v>
      </c>
      <c r="I3614" t="str">
        <f>IF(COUNTIF(Products!$A$2:$A$8,C3614)=0,C3614,"")</f>
        <v/>
      </c>
      <c r="J3614">
        <f>IF(OR(E3614="Prospecting",E3614="Engaging"),VLOOKUP(C3614,Products!$A$2:$C$8,3,FALSE),0)</f>
        <v>0</v>
      </c>
    </row>
    <row r="3615" spans="1:10" x14ac:dyDescent="0.25">
      <c r="A3615" t="s">
        <v>3782</v>
      </c>
      <c r="B3615" t="s">
        <v>191</v>
      </c>
      <c r="C3615" t="s">
        <v>120</v>
      </c>
      <c r="D3615" t="s">
        <v>41</v>
      </c>
      <c r="E3615" t="s">
        <v>138</v>
      </c>
      <c r="F3615" s="1">
        <v>42888</v>
      </c>
      <c r="G3615" s="1">
        <v>42983</v>
      </c>
      <c r="H3615">
        <v>523</v>
      </c>
      <c r="I3615" t="str">
        <f>IF(COUNTIF(Products!$A$2:$A$8,C3615)=0,C3615,"")</f>
        <v/>
      </c>
      <c r="J3615">
        <f>IF(OR(E3615="Prospecting",E3615="Engaging"),VLOOKUP(C3615,Products!$A$2:$C$8,3,FALSE),0)</f>
        <v>0</v>
      </c>
    </row>
    <row r="3616" spans="1:10" x14ac:dyDescent="0.25">
      <c r="A3616" t="s">
        <v>3783</v>
      </c>
      <c r="B3616" t="s">
        <v>191</v>
      </c>
      <c r="C3616" t="s">
        <v>122</v>
      </c>
      <c r="D3616" t="s">
        <v>90</v>
      </c>
      <c r="E3616" t="s">
        <v>138</v>
      </c>
      <c r="F3616" s="1">
        <v>42888</v>
      </c>
      <c r="G3616" s="1">
        <v>42967</v>
      </c>
      <c r="H3616">
        <v>4869</v>
      </c>
      <c r="I3616" t="str">
        <f>IF(COUNTIF(Products!$A$2:$A$8,C3616)=0,C3616,"")</f>
        <v/>
      </c>
      <c r="J3616">
        <f>IF(OR(E3616="Prospecting",E3616="Engaging"),VLOOKUP(C3616,Products!$A$2:$C$8,3,FALSE),0)</f>
        <v>0</v>
      </c>
    </row>
    <row r="3617" spans="1:10" x14ac:dyDescent="0.25">
      <c r="A3617" t="s">
        <v>3784</v>
      </c>
      <c r="B3617" t="s">
        <v>217</v>
      </c>
      <c r="C3617" t="s">
        <v>123</v>
      </c>
      <c r="D3617" t="s">
        <v>46</v>
      </c>
      <c r="E3617" t="s">
        <v>159</v>
      </c>
      <c r="F3617" s="1">
        <v>42888</v>
      </c>
      <c r="G3617" s="1">
        <v>42949</v>
      </c>
      <c r="H3617">
        <v>0</v>
      </c>
      <c r="I3617" t="str">
        <f>IF(COUNTIF(Products!$A$2:$A$8,C3617)=0,C3617,"")</f>
        <v/>
      </c>
      <c r="J3617">
        <f>IF(OR(E3617="Prospecting",E3617="Engaging"),VLOOKUP(C3617,Products!$A$2:$C$8,3,FALSE),0)</f>
        <v>0</v>
      </c>
    </row>
    <row r="3618" spans="1:10" x14ac:dyDescent="0.25">
      <c r="A3618" t="s">
        <v>3785</v>
      </c>
      <c r="B3618" t="s">
        <v>217</v>
      </c>
      <c r="C3618" t="s">
        <v>120</v>
      </c>
      <c r="D3618" t="s">
        <v>94</v>
      </c>
      <c r="E3618" t="s">
        <v>138</v>
      </c>
      <c r="F3618" s="1">
        <v>42888</v>
      </c>
      <c r="G3618" s="1">
        <v>42956</v>
      </c>
      <c r="H3618">
        <v>588</v>
      </c>
      <c r="I3618" t="str">
        <f>IF(COUNTIF(Products!$A$2:$A$8,C3618)=0,C3618,"")</f>
        <v/>
      </c>
      <c r="J3618">
        <f>IF(OR(E3618="Prospecting",E3618="Engaging"),VLOOKUP(C3618,Products!$A$2:$C$8,3,FALSE),0)</f>
        <v>0</v>
      </c>
    </row>
    <row r="3619" spans="1:10" x14ac:dyDescent="0.25">
      <c r="A3619" t="s">
        <v>3786</v>
      </c>
      <c r="B3619" t="s">
        <v>205</v>
      </c>
      <c r="C3619" t="s">
        <v>126</v>
      </c>
      <c r="D3619" t="s">
        <v>27</v>
      </c>
      <c r="E3619" t="s">
        <v>138</v>
      </c>
      <c r="F3619" s="1">
        <v>42888</v>
      </c>
      <c r="G3619" s="1">
        <v>42968</v>
      </c>
      <c r="H3619">
        <v>5712</v>
      </c>
      <c r="I3619" t="str">
        <f>IF(COUNTIF(Products!$A$2:$A$8,C3619)=0,C3619,"")</f>
        <v/>
      </c>
      <c r="J3619">
        <f>IF(OR(E3619="Prospecting",E3619="Engaging"),VLOOKUP(C3619,Products!$A$2:$C$8,3,FALSE),0)</f>
        <v>0</v>
      </c>
    </row>
    <row r="3620" spans="1:10" x14ac:dyDescent="0.25">
      <c r="A3620" t="s">
        <v>3787</v>
      </c>
      <c r="B3620" t="s">
        <v>162</v>
      </c>
      <c r="C3620" t="s">
        <v>127</v>
      </c>
      <c r="D3620" t="s">
        <v>47</v>
      </c>
      <c r="E3620" t="s">
        <v>138</v>
      </c>
      <c r="F3620" s="1">
        <v>42888</v>
      </c>
      <c r="G3620" s="1">
        <v>42976</v>
      </c>
      <c r="H3620">
        <v>1046</v>
      </c>
      <c r="I3620" t="str">
        <f>IF(COUNTIF(Products!$A$2:$A$8,C3620)=0,C3620,"")</f>
        <v/>
      </c>
      <c r="J3620">
        <f>IF(OR(E3620="Prospecting",E3620="Engaging"),VLOOKUP(C3620,Products!$A$2:$C$8,3,FALSE),0)</f>
        <v>0</v>
      </c>
    </row>
    <row r="3621" spans="1:10" x14ac:dyDescent="0.25">
      <c r="A3621" t="s">
        <v>3788</v>
      </c>
      <c r="B3621" t="s">
        <v>162</v>
      </c>
      <c r="C3621" t="s">
        <v>123</v>
      </c>
      <c r="D3621" t="s">
        <v>93</v>
      </c>
      <c r="E3621" t="s">
        <v>138</v>
      </c>
      <c r="F3621" s="1">
        <v>42888</v>
      </c>
      <c r="G3621" s="1">
        <v>42964</v>
      </c>
      <c r="H3621">
        <v>54</v>
      </c>
      <c r="I3621" t="str">
        <f>IF(COUNTIF(Products!$A$2:$A$8,C3621)=0,C3621,"")</f>
        <v/>
      </c>
      <c r="J3621">
        <f>IF(OR(E3621="Prospecting",E3621="Engaging"),VLOOKUP(C3621,Products!$A$2:$C$8,3,FALSE),0)</f>
        <v>0</v>
      </c>
    </row>
    <row r="3622" spans="1:10" x14ac:dyDescent="0.25">
      <c r="A3622" t="s">
        <v>3789</v>
      </c>
      <c r="B3622" t="s">
        <v>193</v>
      </c>
      <c r="C3622" t="s">
        <v>122</v>
      </c>
      <c r="D3622" t="s">
        <v>108</v>
      </c>
      <c r="E3622" t="s">
        <v>138</v>
      </c>
      <c r="F3622" s="1">
        <v>42888</v>
      </c>
      <c r="G3622" s="1">
        <v>42959</v>
      </c>
      <c r="H3622">
        <v>4933</v>
      </c>
      <c r="I3622" t="str">
        <f>IF(COUNTIF(Products!$A$2:$A$8,C3622)=0,C3622,"")</f>
        <v/>
      </c>
      <c r="J3622">
        <f>IF(OR(E3622="Prospecting",E3622="Engaging"),VLOOKUP(C3622,Products!$A$2:$C$8,3,FALSE),0)</f>
        <v>0</v>
      </c>
    </row>
    <row r="3623" spans="1:10" x14ac:dyDescent="0.25">
      <c r="A3623" t="s">
        <v>3790</v>
      </c>
      <c r="B3623" t="s">
        <v>193</v>
      </c>
      <c r="C3623" t="s">
        <v>123</v>
      </c>
      <c r="D3623" t="s">
        <v>105</v>
      </c>
      <c r="E3623" t="s">
        <v>138</v>
      </c>
      <c r="F3623" s="1">
        <v>42888</v>
      </c>
      <c r="G3623" s="1">
        <v>43004</v>
      </c>
      <c r="H3623">
        <v>60</v>
      </c>
      <c r="I3623" t="str">
        <f>IF(COUNTIF(Products!$A$2:$A$8,C3623)=0,C3623,"")</f>
        <v/>
      </c>
      <c r="J3623">
        <f>IF(OR(E3623="Prospecting",E3623="Engaging"),VLOOKUP(C3623,Products!$A$2:$C$8,3,FALSE),0)</f>
        <v>0</v>
      </c>
    </row>
    <row r="3624" spans="1:10" x14ac:dyDescent="0.25">
      <c r="A3624" t="s">
        <v>3791</v>
      </c>
      <c r="B3624" t="s">
        <v>177</v>
      </c>
      <c r="C3624" t="s">
        <v>122</v>
      </c>
      <c r="D3624" t="s">
        <v>111</v>
      </c>
      <c r="E3624" t="s">
        <v>155</v>
      </c>
      <c r="F3624" s="1">
        <v>42888</v>
      </c>
      <c r="I3624" t="str">
        <f>IF(COUNTIF(Products!$A$2:$A$8,C3624)=0,C3624,"")</f>
        <v/>
      </c>
      <c r="J3624">
        <f>IF(OR(E3624="Prospecting",E3624="Engaging"),VLOOKUP(C3624,Products!$A$2:$C$8,3,FALSE),0)</f>
        <v>4821</v>
      </c>
    </row>
    <row r="3625" spans="1:10" x14ac:dyDescent="0.25">
      <c r="A3625" t="s">
        <v>3792</v>
      </c>
      <c r="B3625" t="s">
        <v>177</v>
      </c>
      <c r="C3625" t="s">
        <v>120</v>
      </c>
      <c r="D3625" t="s">
        <v>92</v>
      </c>
      <c r="E3625" t="s">
        <v>138</v>
      </c>
      <c r="F3625" s="1">
        <v>42888</v>
      </c>
      <c r="G3625" s="1">
        <v>42990</v>
      </c>
      <c r="H3625">
        <v>572</v>
      </c>
      <c r="I3625" t="str">
        <f>IF(COUNTIF(Products!$A$2:$A$8,C3625)=0,C3625,"")</f>
        <v/>
      </c>
      <c r="J3625">
        <f>IF(OR(E3625="Prospecting",E3625="Engaging"),VLOOKUP(C3625,Products!$A$2:$C$8,3,FALSE),0)</f>
        <v>0</v>
      </c>
    </row>
    <row r="3626" spans="1:10" x14ac:dyDescent="0.25">
      <c r="A3626" t="s">
        <v>3793</v>
      </c>
      <c r="B3626" t="s">
        <v>177</v>
      </c>
      <c r="C3626" t="s">
        <v>123</v>
      </c>
      <c r="D3626" t="s">
        <v>27</v>
      </c>
      <c r="E3626" t="s">
        <v>138</v>
      </c>
      <c r="F3626" s="1">
        <v>42888</v>
      </c>
      <c r="G3626" s="1">
        <v>42977</v>
      </c>
      <c r="H3626">
        <v>55</v>
      </c>
      <c r="I3626" t="str">
        <f>IF(COUNTIF(Products!$A$2:$A$8,C3626)=0,C3626,"")</f>
        <v/>
      </c>
      <c r="J3626">
        <f>IF(OR(E3626="Prospecting",E3626="Engaging"),VLOOKUP(C3626,Products!$A$2:$C$8,3,FALSE),0)</f>
        <v>0</v>
      </c>
    </row>
    <row r="3627" spans="1:10" x14ac:dyDescent="0.25">
      <c r="A3627" t="s">
        <v>3794</v>
      </c>
      <c r="B3627" t="s">
        <v>177</v>
      </c>
      <c r="C3627" t="s">
        <v>123</v>
      </c>
      <c r="D3627" t="s">
        <v>108</v>
      </c>
      <c r="E3627" t="s">
        <v>138</v>
      </c>
      <c r="F3627" s="1">
        <v>42888</v>
      </c>
      <c r="G3627" s="1">
        <v>42969</v>
      </c>
      <c r="H3627">
        <v>51</v>
      </c>
      <c r="I3627" t="str">
        <f>IF(COUNTIF(Products!$A$2:$A$8,C3627)=0,C3627,"")</f>
        <v/>
      </c>
      <c r="J3627">
        <f>IF(OR(E3627="Prospecting",E3627="Engaging"),VLOOKUP(C3627,Products!$A$2:$C$8,3,FALSE),0)</f>
        <v>0</v>
      </c>
    </row>
    <row r="3628" spans="1:10" x14ac:dyDescent="0.25">
      <c r="A3628" t="s">
        <v>3795</v>
      </c>
      <c r="B3628" t="s">
        <v>207</v>
      </c>
      <c r="C3628" t="s">
        <v>126</v>
      </c>
      <c r="D3628" t="s">
        <v>106</v>
      </c>
      <c r="E3628" t="s">
        <v>159</v>
      </c>
      <c r="F3628" s="1">
        <v>42889</v>
      </c>
      <c r="G3628" s="1">
        <v>42971</v>
      </c>
      <c r="H3628">
        <v>0</v>
      </c>
      <c r="I3628" t="str">
        <f>IF(COUNTIF(Products!$A$2:$A$8,C3628)=0,C3628,"")</f>
        <v/>
      </c>
      <c r="J3628">
        <f>IF(OR(E3628="Prospecting",E3628="Engaging"),VLOOKUP(C3628,Products!$A$2:$C$8,3,FALSE),0)</f>
        <v>0</v>
      </c>
    </row>
    <row r="3629" spans="1:10" x14ac:dyDescent="0.25">
      <c r="A3629" t="s">
        <v>3796</v>
      </c>
      <c r="B3629" t="s">
        <v>207</v>
      </c>
      <c r="C3629" t="s">
        <v>123</v>
      </c>
      <c r="D3629" t="s">
        <v>81</v>
      </c>
      <c r="E3629" t="s">
        <v>138</v>
      </c>
      <c r="F3629" s="1">
        <v>42889</v>
      </c>
      <c r="G3629" s="1">
        <v>42978</v>
      </c>
      <c r="H3629">
        <v>59</v>
      </c>
      <c r="I3629" t="str">
        <f>IF(COUNTIF(Products!$A$2:$A$8,C3629)=0,C3629,"")</f>
        <v/>
      </c>
      <c r="J3629">
        <f>IF(OR(E3629="Prospecting",E3629="Engaging"),VLOOKUP(C3629,Products!$A$2:$C$8,3,FALSE),0)</f>
        <v>0</v>
      </c>
    </row>
    <row r="3630" spans="1:10" x14ac:dyDescent="0.25">
      <c r="A3630" t="s">
        <v>3797</v>
      </c>
      <c r="B3630" t="s">
        <v>171</v>
      </c>
      <c r="C3630" t="s">
        <v>122</v>
      </c>
      <c r="D3630" t="s">
        <v>10</v>
      </c>
      <c r="E3630" t="s">
        <v>138</v>
      </c>
      <c r="F3630" s="1">
        <v>42889</v>
      </c>
      <c r="G3630" s="1">
        <v>42892</v>
      </c>
      <c r="H3630">
        <v>4492</v>
      </c>
      <c r="I3630" t="str">
        <f>IF(COUNTIF(Products!$A$2:$A$8,C3630)=0,C3630,"")</f>
        <v/>
      </c>
      <c r="J3630">
        <f>IF(OR(E3630="Prospecting",E3630="Engaging"),VLOOKUP(C3630,Products!$A$2:$C$8,3,FALSE),0)</f>
        <v>0</v>
      </c>
    </row>
    <row r="3631" spans="1:10" x14ac:dyDescent="0.25">
      <c r="A3631" t="s">
        <v>3798</v>
      </c>
      <c r="B3631" t="s">
        <v>140</v>
      </c>
      <c r="C3631" t="s">
        <v>120</v>
      </c>
      <c r="D3631" t="s">
        <v>104</v>
      </c>
      <c r="E3631" t="s">
        <v>159</v>
      </c>
      <c r="F3631" s="1">
        <v>42889</v>
      </c>
      <c r="G3631" s="1">
        <v>42950</v>
      </c>
      <c r="H3631">
        <v>0</v>
      </c>
      <c r="I3631" t="str">
        <f>IF(COUNTIF(Products!$A$2:$A$8,C3631)=0,C3631,"")</f>
        <v/>
      </c>
      <c r="J3631">
        <f>IF(OR(E3631="Prospecting",E3631="Engaging"),VLOOKUP(C3631,Products!$A$2:$C$8,3,FALSE),0)</f>
        <v>0</v>
      </c>
    </row>
    <row r="3632" spans="1:10" x14ac:dyDescent="0.25">
      <c r="A3632" t="s">
        <v>3799</v>
      </c>
      <c r="B3632" t="s">
        <v>140</v>
      </c>
      <c r="C3632" t="s">
        <v>122</v>
      </c>
      <c r="D3632" t="s">
        <v>26</v>
      </c>
      <c r="E3632" t="s">
        <v>159</v>
      </c>
      <c r="F3632" s="1">
        <v>42889</v>
      </c>
      <c r="G3632" s="1">
        <v>42976</v>
      </c>
      <c r="H3632">
        <v>0</v>
      </c>
      <c r="I3632" t="str">
        <f>IF(COUNTIF(Products!$A$2:$A$8,C3632)=0,C3632,"")</f>
        <v/>
      </c>
      <c r="J3632">
        <f>IF(OR(E3632="Prospecting",E3632="Engaging"),VLOOKUP(C3632,Products!$A$2:$C$8,3,FALSE),0)</f>
        <v>0</v>
      </c>
    </row>
    <row r="3633" spans="1:10" x14ac:dyDescent="0.25">
      <c r="A3633" t="s">
        <v>3800</v>
      </c>
      <c r="B3633" t="s">
        <v>224</v>
      </c>
      <c r="C3633" t="s">
        <v>125</v>
      </c>
      <c r="D3633" t="s">
        <v>111</v>
      </c>
      <c r="E3633" t="s">
        <v>159</v>
      </c>
      <c r="F3633" s="1">
        <v>42889</v>
      </c>
      <c r="G3633" s="1">
        <v>42974</v>
      </c>
      <c r="H3633">
        <v>0</v>
      </c>
      <c r="I3633" t="str">
        <f>IF(COUNTIF(Products!$A$2:$A$8,C3633)=0,C3633,"")</f>
        <v/>
      </c>
      <c r="J3633">
        <f>IF(OR(E3633="Prospecting",E3633="Engaging"),VLOOKUP(C3633,Products!$A$2:$C$8,3,FALSE),0)</f>
        <v>0</v>
      </c>
    </row>
    <row r="3634" spans="1:10" x14ac:dyDescent="0.25">
      <c r="A3634" t="s">
        <v>3801</v>
      </c>
      <c r="B3634" t="s">
        <v>154</v>
      </c>
      <c r="C3634" t="s">
        <v>120</v>
      </c>
      <c r="D3634" t="s">
        <v>82</v>
      </c>
      <c r="E3634" t="s">
        <v>159</v>
      </c>
      <c r="F3634" s="1">
        <v>42889</v>
      </c>
      <c r="G3634" s="1">
        <v>42959</v>
      </c>
      <c r="H3634">
        <v>0</v>
      </c>
      <c r="I3634" t="str">
        <f>IF(COUNTIF(Products!$A$2:$A$8,C3634)=0,C3634,"")</f>
        <v/>
      </c>
      <c r="J3634">
        <f>IF(OR(E3634="Prospecting",E3634="Engaging"),VLOOKUP(C3634,Products!$A$2:$C$8,3,FALSE),0)</f>
        <v>0</v>
      </c>
    </row>
    <row r="3635" spans="1:10" x14ac:dyDescent="0.25">
      <c r="A3635" t="s">
        <v>3802</v>
      </c>
      <c r="B3635" t="s">
        <v>154</v>
      </c>
      <c r="C3635" t="s">
        <v>122</v>
      </c>
      <c r="D3635" t="s">
        <v>38</v>
      </c>
      <c r="E3635" t="s">
        <v>159</v>
      </c>
      <c r="F3635" s="1">
        <v>42889</v>
      </c>
      <c r="G3635" s="1">
        <v>42953</v>
      </c>
      <c r="H3635">
        <v>0</v>
      </c>
      <c r="I3635" t="str">
        <f>IF(COUNTIF(Products!$A$2:$A$8,C3635)=0,C3635,"")</f>
        <v/>
      </c>
      <c r="J3635">
        <f>IF(OR(E3635="Prospecting",E3635="Engaging"),VLOOKUP(C3635,Products!$A$2:$C$8,3,FALSE),0)</f>
        <v>0</v>
      </c>
    </row>
    <row r="3636" spans="1:10" x14ac:dyDescent="0.25">
      <c r="A3636" t="s">
        <v>3803</v>
      </c>
      <c r="B3636" t="s">
        <v>303</v>
      </c>
      <c r="C3636" t="s">
        <v>120</v>
      </c>
      <c r="D3636" t="s">
        <v>104</v>
      </c>
      <c r="E3636" t="s">
        <v>138</v>
      </c>
      <c r="F3636" s="1">
        <v>42889</v>
      </c>
      <c r="G3636" s="1">
        <v>42908</v>
      </c>
      <c r="H3636">
        <v>639</v>
      </c>
      <c r="I3636" t="str">
        <f>IF(COUNTIF(Products!$A$2:$A$8,C3636)=0,C3636,"")</f>
        <v/>
      </c>
      <c r="J3636">
        <f>IF(OR(E3636="Prospecting",E3636="Engaging"),VLOOKUP(C3636,Products!$A$2:$C$8,3,FALSE),0)</f>
        <v>0</v>
      </c>
    </row>
    <row r="3637" spans="1:10" x14ac:dyDescent="0.25">
      <c r="A3637" t="s">
        <v>3804</v>
      </c>
      <c r="B3637" t="s">
        <v>303</v>
      </c>
      <c r="C3637" t="s">
        <v>127</v>
      </c>
      <c r="D3637" t="s">
        <v>53</v>
      </c>
      <c r="E3637" t="s">
        <v>138</v>
      </c>
      <c r="F3637" s="1">
        <v>42889</v>
      </c>
      <c r="G3637" s="1">
        <v>42907</v>
      </c>
      <c r="H3637">
        <v>1040</v>
      </c>
      <c r="I3637" t="str">
        <f>IF(COUNTIF(Products!$A$2:$A$8,C3637)=0,C3637,"")</f>
        <v/>
      </c>
      <c r="J3637">
        <f>IF(OR(E3637="Prospecting",E3637="Engaging"),VLOOKUP(C3637,Products!$A$2:$C$8,3,FALSE),0)</f>
        <v>0</v>
      </c>
    </row>
    <row r="3638" spans="1:10" x14ac:dyDescent="0.25">
      <c r="A3638" t="s">
        <v>3805</v>
      </c>
      <c r="B3638" t="s">
        <v>303</v>
      </c>
      <c r="C3638" t="s">
        <v>122</v>
      </c>
      <c r="D3638" t="s">
        <v>42</v>
      </c>
      <c r="E3638" t="s">
        <v>138</v>
      </c>
      <c r="F3638" s="1">
        <v>42889</v>
      </c>
      <c r="G3638" s="1">
        <v>42990</v>
      </c>
      <c r="H3638">
        <v>4138</v>
      </c>
      <c r="I3638" t="str">
        <f>IF(COUNTIF(Products!$A$2:$A$8,C3638)=0,C3638,"")</f>
        <v/>
      </c>
      <c r="J3638">
        <f>IF(OR(E3638="Prospecting",E3638="Engaging"),VLOOKUP(C3638,Products!$A$2:$C$8,3,FALSE),0)</f>
        <v>0</v>
      </c>
    </row>
    <row r="3639" spans="1:10" x14ac:dyDescent="0.25">
      <c r="A3639" t="s">
        <v>3806</v>
      </c>
      <c r="B3639" t="s">
        <v>180</v>
      </c>
      <c r="C3639" t="s">
        <v>122</v>
      </c>
      <c r="D3639" t="s">
        <v>39</v>
      </c>
      <c r="E3639" t="s">
        <v>155</v>
      </c>
      <c r="F3639" s="1">
        <v>42889</v>
      </c>
      <c r="I3639" t="str">
        <f>IF(COUNTIF(Products!$A$2:$A$8,C3639)=0,C3639,"")</f>
        <v/>
      </c>
      <c r="J3639">
        <f>IF(OR(E3639="Prospecting",E3639="Engaging"),VLOOKUP(C3639,Products!$A$2:$C$8,3,FALSE),0)</f>
        <v>4821</v>
      </c>
    </row>
    <row r="3640" spans="1:10" x14ac:dyDescent="0.25">
      <c r="A3640" t="s">
        <v>3807</v>
      </c>
      <c r="B3640" t="s">
        <v>180</v>
      </c>
      <c r="C3640" t="s">
        <v>127</v>
      </c>
      <c r="D3640" t="s">
        <v>82</v>
      </c>
      <c r="E3640" t="s">
        <v>159</v>
      </c>
      <c r="F3640" s="1">
        <v>42889</v>
      </c>
      <c r="G3640" s="1">
        <v>42954</v>
      </c>
      <c r="H3640">
        <v>0</v>
      </c>
      <c r="I3640" t="str">
        <f>IF(COUNTIF(Products!$A$2:$A$8,C3640)=0,C3640,"")</f>
        <v/>
      </c>
      <c r="J3640">
        <f>IF(OR(E3640="Prospecting",E3640="Engaging"),VLOOKUP(C3640,Products!$A$2:$C$8,3,FALSE),0)</f>
        <v>0</v>
      </c>
    </row>
    <row r="3641" spans="1:10" x14ac:dyDescent="0.25">
      <c r="A3641" t="s">
        <v>3808</v>
      </c>
      <c r="B3641" t="s">
        <v>217</v>
      </c>
      <c r="C3641" t="s">
        <v>123</v>
      </c>
      <c r="D3641" t="s">
        <v>46</v>
      </c>
      <c r="E3641" t="s">
        <v>138</v>
      </c>
      <c r="F3641" s="1">
        <v>42889</v>
      </c>
      <c r="G3641" s="1">
        <v>43001</v>
      </c>
      <c r="H3641">
        <v>54</v>
      </c>
      <c r="I3641" t="str">
        <f>IF(COUNTIF(Products!$A$2:$A$8,C3641)=0,C3641,"")</f>
        <v/>
      </c>
      <c r="J3641">
        <f>IF(OR(E3641="Prospecting",E3641="Engaging"),VLOOKUP(C3641,Products!$A$2:$C$8,3,FALSE),0)</f>
        <v>0</v>
      </c>
    </row>
    <row r="3642" spans="1:10" x14ac:dyDescent="0.25">
      <c r="A3642" t="s">
        <v>3809</v>
      </c>
      <c r="B3642" t="s">
        <v>217</v>
      </c>
      <c r="C3642" t="s">
        <v>125</v>
      </c>
      <c r="D3642" t="s">
        <v>32</v>
      </c>
      <c r="E3642" t="s">
        <v>138</v>
      </c>
      <c r="F3642" s="1">
        <v>42889</v>
      </c>
      <c r="G3642" s="1">
        <v>42992</v>
      </c>
      <c r="H3642">
        <v>3438</v>
      </c>
      <c r="I3642" t="str">
        <f>IF(COUNTIF(Products!$A$2:$A$8,C3642)=0,C3642,"")</f>
        <v/>
      </c>
      <c r="J3642">
        <f>IF(OR(E3642="Prospecting",E3642="Engaging"),VLOOKUP(C3642,Products!$A$2:$C$8,3,FALSE),0)</f>
        <v>0</v>
      </c>
    </row>
    <row r="3643" spans="1:10" x14ac:dyDescent="0.25">
      <c r="A3643" t="s">
        <v>3810</v>
      </c>
      <c r="B3643" t="s">
        <v>150</v>
      </c>
      <c r="C3643" t="s">
        <v>122</v>
      </c>
      <c r="D3643" t="s">
        <v>44</v>
      </c>
      <c r="E3643" t="s">
        <v>159</v>
      </c>
      <c r="F3643" s="1">
        <v>42889</v>
      </c>
      <c r="G3643" s="1">
        <v>42952</v>
      </c>
      <c r="H3643">
        <v>0</v>
      </c>
      <c r="I3643" t="str">
        <f>IF(COUNTIF(Products!$A$2:$A$8,C3643)=0,C3643,"")</f>
        <v/>
      </c>
      <c r="J3643">
        <f>IF(OR(E3643="Prospecting",E3643="Engaging"),VLOOKUP(C3643,Products!$A$2:$C$8,3,FALSE),0)</f>
        <v>0</v>
      </c>
    </row>
    <row r="3644" spans="1:10" x14ac:dyDescent="0.25">
      <c r="A3644" t="s">
        <v>3811</v>
      </c>
      <c r="B3644" t="s">
        <v>205</v>
      </c>
      <c r="C3644" t="s">
        <v>127</v>
      </c>
      <c r="D3644" t="s">
        <v>64</v>
      </c>
      <c r="E3644" t="s">
        <v>138</v>
      </c>
      <c r="F3644" s="1">
        <v>42889</v>
      </c>
      <c r="G3644" s="1">
        <v>42952</v>
      </c>
      <c r="H3644">
        <v>1017</v>
      </c>
      <c r="I3644" t="str">
        <f>IF(COUNTIF(Products!$A$2:$A$8,C3644)=0,C3644,"")</f>
        <v/>
      </c>
      <c r="J3644">
        <f>IF(OR(E3644="Prospecting",E3644="Engaging"),VLOOKUP(C3644,Products!$A$2:$C$8,3,FALSE),0)</f>
        <v>0</v>
      </c>
    </row>
    <row r="3645" spans="1:10" x14ac:dyDescent="0.25">
      <c r="A3645" t="s">
        <v>3812</v>
      </c>
      <c r="B3645" t="s">
        <v>166</v>
      </c>
      <c r="C3645" t="s">
        <v>123</v>
      </c>
      <c r="D3645" t="s">
        <v>29</v>
      </c>
      <c r="E3645" t="s">
        <v>155</v>
      </c>
      <c r="F3645" s="1">
        <v>42889</v>
      </c>
      <c r="I3645" t="str">
        <f>IF(COUNTIF(Products!$A$2:$A$8,C3645)=0,C3645,"")</f>
        <v/>
      </c>
      <c r="J3645">
        <f>IF(OR(E3645="Prospecting",E3645="Engaging"),VLOOKUP(C3645,Products!$A$2:$C$8,3,FALSE),0)</f>
        <v>55</v>
      </c>
    </row>
    <row r="3646" spans="1:10" x14ac:dyDescent="0.25">
      <c r="A3646" t="s">
        <v>3813</v>
      </c>
      <c r="B3646" t="s">
        <v>166</v>
      </c>
      <c r="C3646" t="s">
        <v>125</v>
      </c>
      <c r="D3646" t="s">
        <v>93</v>
      </c>
      <c r="E3646" t="s">
        <v>138</v>
      </c>
      <c r="F3646" s="1">
        <v>42889</v>
      </c>
      <c r="G3646" s="1">
        <v>42997</v>
      </c>
      <c r="H3646">
        <v>3314</v>
      </c>
      <c r="I3646" t="str">
        <f>IF(COUNTIF(Products!$A$2:$A$8,C3646)=0,C3646,"")</f>
        <v/>
      </c>
      <c r="J3646">
        <f>IF(OR(E3646="Prospecting",E3646="Engaging"),VLOOKUP(C3646,Products!$A$2:$C$8,3,FALSE),0)</f>
        <v>0</v>
      </c>
    </row>
    <row r="3647" spans="1:10" x14ac:dyDescent="0.25">
      <c r="A3647" t="s">
        <v>3814</v>
      </c>
      <c r="B3647" t="s">
        <v>169</v>
      </c>
      <c r="C3647" t="s">
        <v>123</v>
      </c>
      <c r="D3647" t="s">
        <v>22</v>
      </c>
      <c r="E3647" t="s">
        <v>159</v>
      </c>
      <c r="F3647" s="1">
        <v>42889</v>
      </c>
      <c r="G3647" s="1">
        <v>42959</v>
      </c>
      <c r="H3647">
        <v>0</v>
      </c>
      <c r="I3647" t="str">
        <f>IF(COUNTIF(Products!$A$2:$A$8,C3647)=0,C3647,"")</f>
        <v/>
      </c>
      <c r="J3647">
        <f>IF(OR(E3647="Prospecting",E3647="Engaging"),VLOOKUP(C3647,Products!$A$2:$C$8,3,FALSE),0)</f>
        <v>0</v>
      </c>
    </row>
    <row r="3648" spans="1:10" x14ac:dyDescent="0.25">
      <c r="A3648" t="s">
        <v>3815</v>
      </c>
      <c r="B3648" t="s">
        <v>169</v>
      </c>
      <c r="C3648" t="s">
        <v>123</v>
      </c>
      <c r="D3648" t="s">
        <v>85</v>
      </c>
      <c r="E3648" t="s">
        <v>138</v>
      </c>
      <c r="F3648" s="1">
        <v>42889</v>
      </c>
      <c r="G3648" s="1">
        <v>42971</v>
      </c>
      <c r="H3648">
        <v>51</v>
      </c>
      <c r="I3648" t="str">
        <f>IF(COUNTIF(Products!$A$2:$A$8,C3648)=0,C3648,"")</f>
        <v/>
      </c>
      <c r="J3648">
        <f>IF(OR(E3648="Prospecting",E3648="Engaging"),VLOOKUP(C3648,Products!$A$2:$C$8,3,FALSE),0)</f>
        <v>0</v>
      </c>
    </row>
    <row r="3649" spans="1:10" x14ac:dyDescent="0.25">
      <c r="A3649" t="s">
        <v>3816</v>
      </c>
      <c r="B3649" t="s">
        <v>148</v>
      </c>
      <c r="C3649" t="s">
        <v>123</v>
      </c>
      <c r="D3649" t="s">
        <v>67</v>
      </c>
      <c r="E3649" t="s">
        <v>138</v>
      </c>
      <c r="F3649" s="1">
        <v>42889</v>
      </c>
      <c r="G3649" s="1">
        <v>42988</v>
      </c>
      <c r="H3649">
        <v>50</v>
      </c>
      <c r="I3649" t="str">
        <f>IF(COUNTIF(Products!$A$2:$A$8,C3649)=0,C3649,"")</f>
        <v/>
      </c>
      <c r="J3649">
        <f>IF(OR(E3649="Prospecting",E3649="Engaging"),VLOOKUP(C3649,Products!$A$2:$C$8,3,FALSE),0)</f>
        <v>0</v>
      </c>
    </row>
    <row r="3650" spans="1:10" x14ac:dyDescent="0.25">
      <c r="A3650" t="s">
        <v>3817</v>
      </c>
      <c r="B3650" t="s">
        <v>177</v>
      </c>
      <c r="C3650" t="s">
        <v>123</v>
      </c>
      <c r="D3650" t="s">
        <v>111</v>
      </c>
      <c r="E3650" t="s">
        <v>138</v>
      </c>
      <c r="F3650" s="1">
        <v>42889</v>
      </c>
      <c r="G3650" s="1">
        <v>42895</v>
      </c>
      <c r="H3650">
        <v>54</v>
      </c>
      <c r="I3650" t="str">
        <f>IF(COUNTIF(Products!$A$2:$A$8,C3650)=0,C3650,"")</f>
        <v/>
      </c>
      <c r="J3650">
        <f>IF(OR(E3650="Prospecting",E3650="Engaging"),VLOOKUP(C3650,Products!$A$2:$C$8,3,FALSE),0)</f>
        <v>0</v>
      </c>
    </row>
    <row r="3651" spans="1:10" x14ac:dyDescent="0.25">
      <c r="A3651" t="s">
        <v>3818</v>
      </c>
      <c r="B3651" t="s">
        <v>146</v>
      </c>
      <c r="C3651" t="s">
        <v>126</v>
      </c>
      <c r="D3651" t="s">
        <v>91</v>
      </c>
      <c r="E3651" t="s">
        <v>159</v>
      </c>
      <c r="F3651" s="1">
        <v>42890</v>
      </c>
      <c r="G3651" s="1">
        <v>42965</v>
      </c>
      <c r="H3651">
        <v>0</v>
      </c>
      <c r="I3651" t="str">
        <f>IF(COUNTIF(Products!$A$2:$A$8,C3651)=0,C3651,"")</f>
        <v/>
      </c>
      <c r="J3651">
        <f>IF(OR(E3651="Prospecting",E3651="Engaging"),VLOOKUP(C3651,Products!$A$2:$C$8,3,FALSE),0)</f>
        <v>0</v>
      </c>
    </row>
    <row r="3652" spans="1:10" x14ac:dyDescent="0.25">
      <c r="A3652" t="s">
        <v>3819</v>
      </c>
      <c r="B3652" t="s">
        <v>146</v>
      </c>
      <c r="C3652" t="s">
        <v>125</v>
      </c>
      <c r="D3652" t="s">
        <v>85</v>
      </c>
      <c r="E3652" t="s">
        <v>159</v>
      </c>
      <c r="F3652" s="1">
        <v>42890</v>
      </c>
      <c r="G3652" s="1">
        <v>42994</v>
      </c>
      <c r="H3652">
        <v>0</v>
      </c>
      <c r="I3652" t="str">
        <f>IF(COUNTIF(Products!$A$2:$A$8,C3652)=0,C3652,"")</f>
        <v/>
      </c>
      <c r="J3652">
        <f>IF(OR(E3652="Prospecting",E3652="Engaging"),VLOOKUP(C3652,Products!$A$2:$C$8,3,FALSE),0)</f>
        <v>0</v>
      </c>
    </row>
    <row r="3653" spans="1:10" x14ac:dyDescent="0.25">
      <c r="A3653" t="s">
        <v>3820</v>
      </c>
      <c r="B3653" t="s">
        <v>222</v>
      </c>
      <c r="C3653" t="s">
        <v>122</v>
      </c>
      <c r="D3653" t="s">
        <v>27</v>
      </c>
      <c r="E3653" t="s">
        <v>159</v>
      </c>
      <c r="F3653" s="1">
        <v>42890</v>
      </c>
      <c r="G3653" s="1">
        <v>42983</v>
      </c>
      <c r="H3653">
        <v>0</v>
      </c>
      <c r="I3653" t="str">
        <f>IF(COUNTIF(Products!$A$2:$A$8,C3653)=0,C3653,"")</f>
        <v/>
      </c>
      <c r="J3653">
        <f>IF(OR(E3653="Prospecting",E3653="Engaging"),VLOOKUP(C3653,Products!$A$2:$C$8,3,FALSE),0)</f>
        <v>0</v>
      </c>
    </row>
    <row r="3654" spans="1:10" x14ac:dyDescent="0.25">
      <c r="A3654" t="s">
        <v>3821</v>
      </c>
      <c r="B3654" t="s">
        <v>264</v>
      </c>
      <c r="C3654" t="s">
        <v>127</v>
      </c>
      <c r="D3654" t="s">
        <v>61</v>
      </c>
      <c r="E3654" t="s">
        <v>159</v>
      </c>
      <c r="F3654" s="1">
        <v>42890</v>
      </c>
      <c r="G3654" s="1">
        <v>42963</v>
      </c>
      <c r="H3654">
        <v>0</v>
      </c>
      <c r="I3654" t="str">
        <f>IF(COUNTIF(Products!$A$2:$A$8,C3654)=0,C3654,"")</f>
        <v/>
      </c>
      <c r="J3654">
        <f>IF(OR(E3654="Prospecting",E3654="Engaging"),VLOOKUP(C3654,Products!$A$2:$C$8,3,FALSE),0)</f>
        <v>0</v>
      </c>
    </row>
    <row r="3655" spans="1:10" x14ac:dyDescent="0.25">
      <c r="A3655" t="s">
        <v>3822</v>
      </c>
      <c r="B3655" t="s">
        <v>171</v>
      </c>
      <c r="C3655" t="s">
        <v>122</v>
      </c>
      <c r="D3655" t="s">
        <v>80</v>
      </c>
      <c r="E3655" t="s">
        <v>138</v>
      </c>
      <c r="F3655" s="1">
        <v>42890</v>
      </c>
      <c r="G3655" s="1">
        <v>42903</v>
      </c>
      <c r="H3655">
        <v>4942</v>
      </c>
      <c r="I3655" t="str">
        <f>IF(COUNTIF(Products!$A$2:$A$8,C3655)=0,C3655,"")</f>
        <v/>
      </c>
      <c r="J3655">
        <f>IF(OR(E3655="Prospecting",E3655="Engaging"),VLOOKUP(C3655,Products!$A$2:$C$8,3,FALSE),0)</f>
        <v>0</v>
      </c>
    </row>
    <row r="3656" spans="1:10" x14ac:dyDescent="0.25">
      <c r="A3656" t="s">
        <v>3823</v>
      </c>
      <c r="B3656" t="s">
        <v>224</v>
      </c>
      <c r="C3656" t="s">
        <v>123</v>
      </c>
      <c r="D3656" t="s">
        <v>63</v>
      </c>
      <c r="E3656" t="s">
        <v>159</v>
      </c>
      <c r="F3656" s="1">
        <v>42890</v>
      </c>
      <c r="G3656" s="1">
        <v>42953</v>
      </c>
      <c r="H3656">
        <v>0</v>
      </c>
      <c r="I3656" t="str">
        <f>IF(COUNTIF(Products!$A$2:$A$8,C3656)=0,C3656,"")</f>
        <v/>
      </c>
      <c r="J3656">
        <f>IF(OR(E3656="Prospecting",E3656="Engaging"),VLOOKUP(C3656,Products!$A$2:$C$8,3,FALSE),0)</f>
        <v>0</v>
      </c>
    </row>
    <row r="3657" spans="1:10" x14ac:dyDescent="0.25">
      <c r="A3657" t="s">
        <v>3824</v>
      </c>
      <c r="B3657" t="s">
        <v>224</v>
      </c>
      <c r="C3657" t="s">
        <v>122</v>
      </c>
      <c r="D3657" t="s">
        <v>67</v>
      </c>
      <c r="E3657" t="s">
        <v>138</v>
      </c>
      <c r="F3657" s="1">
        <v>42890</v>
      </c>
      <c r="G3657" s="1">
        <v>42900</v>
      </c>
      <c r="H3657">
        <v>4612</v>
      </c>
      <c r="I3657" t="str">
        <f>IF(COUNTIF(Products!$A$2:$A$8,C3657)=0,C3657,"")</f>
        <v/>
      </c>
      <c r="J3657">
        <f>IF(OR(E3657="Prospecting",E3657="Engaging"),VLOOKUP(C3657,Products!$A$2:$C$8,3,FALSE),0)</f>
        <v>0</v>
      </c>
    </row>
    <row r="3658" spans="1:10" x14ac:dyDescent="0.25">
      <c r="A3658" t="s">
        <v>3825</v>
      </c>
      <c r="B3658" t="s">
        <v>224</v>
      </c>
      <c r="C3658" t="s">
        <v>122</v>
      </c>
      <c r="D3658" t="s">
        <v>115</v>
      </c>
      <c r="E3658" t="s">
        <v>138</v>
      </c>
      <c r="F3658" s="1">
        <v>42890</v>
      </c>
      <c r="G3658" s="1">
        <v>42906</v>
      </c>
      <c r="H3658">
        <v>4308</v>
      </c>
      <c r="I3658" t="str">
        <f>IF(COUNTIF(Products!$A$2:$A$8,C3658)=0,C3658,"")</f>
        <v/>
      </c>
      <c r="J3658">
        <f>IF(OR(E3658="Prospecting",E3658="Engaging"),VLOOKUP(C3658,Products!$A$2:$C$8,3,FALSE),0)</f>
        <v>0</v>
      </c>
    </row>
    <row r="3659" spans="1:10" x14ac:dyDescent="0.25">
      <c r="A3659" t="s">
        <v>3826</v>
      </c>
      <c r="B3659" t="s">
        <v>224</v>
      </c>
      <c r="C3659" t="s">
        <v>125</v>
      </c>
      <c r="D3659" t="s">
        <v>25</v>
      </c>
      <c r="E3659" t="s">
        <v>138</v>
      </c>
      <c r="F3659" s="1">
        <v>42890</v>
      </c>
      <c r="G3659" s="1">
        <v>42982</v>
      </c>
      <c r="H3659">
        <v>2876</v>
      </c>
      <c r="I3659" t="str">
        <f>IF(COUNTIF(Products!$A$2:$A$8,C3659)=0,C3659,"")</f>
        <v/>
      </c>
      <c r="J3659">
        <f>IF(OR(E3659="Prospecting",E3659="Engaging"),VLOOKUP(C3659,Products!$A$2:$C$8,3,FALSE),0)</f>
        <v>0</v>
      </c>
    </row>
    <row r="3660" spans="1:10" x14ac:dyDescent="0.25">
      <c r="A3660" t="s">
        <v>3827</v>
      </c>
      <c r="B3660" t="s">
        <v>158</v>
      </c>
      <c r="C3660" t="s">
        <v>126</v>
      </c>
      <c r="D3660" t="s">
        <v>77</v>
      </c>
      <c r="E3660" t="s">
        <v>138</v>
      </c>
      <c r="F3660" s="1">
        <v>42890</v>
      </c>
      <c r="G3660" s="1">
        <v>42977</v>
      </c>
      <c r="H3660">
        <v>4990</v>
      </c>
      <c r="I3660" t="str">
        <f>IF(COUNTIF(Products!$A$2:$A$8,C3660)=0,C3660,"")</f>
        <v/>
      </c>
      <c r="J3660">
        <f>IF(OR(E3660="Prospecting",E3660="Engaging"),VLOOKUP(C3660,Products!$A$2:$C$8,3,FALSE),0)</f>
        <v>0</v>
      </c>
    </row>
    <row r="3661" spans="1:10" x14ac:dyDescent="0.25">
      <c r="A3661" t="s">
        <v>3828</v>
      </c>
      <c r="B3661" t="s">
        <v>164</v>
      </c>
      <c r="C3661" t="s">
        <v>127</v>
      </c>
      <c r="D3661" t="s">
        <v>90</v>
      </c>
      <c r="E3661" t="s">
        <v>159</v>
      </c>
      <c r="F3661" s="1">
        <v>42890</v>
      </c>
      <c r="G3661" s="1">
        <v>43007</v>
      </c>
      <c r="H3661">
        <v>0</v>
      </c>
      <c r="I3661" t="str">
        <f>IF(COUNTIF(Products!$A$2:$A$8,C3661)=0,C3661,"")</f>
        <v/>
      </c>
      <c r="J3661">
        <f>IF(OR(E3661="Prospecting",E3661="Engaging"),VLOOKUP(C3661,Products!$A$2:$C$8,3,FALSE),0)</f>
        <v>0</v>
      </c>
    </row>
    <row r="3662" spans="1:10" x14ac:dyDescent="0.25">
      <c r="A3662" t="s">
        <v>3829</v>
      </c>
      <c r="B3662" t="s">
        <v>164</v>
      </c>
      <c r="C3662" t="s">
        <v>127</v>
      </c>
      <c r="D3662" t="s">
        <v>41</v>
      </c>
      <c r="E3662" t="s">
        <v>138</v>
      </c>
      <c r="F3662" s="1">
        <v>42890</v>
      </c>
      <c r="G3662" s="1">
        <v>42987</v>
      </c>
      <c r="H3662">
        <v>1024</v>
      </c>
      <c r="I3662" t="str">
        <f>IF(COUNTIF(Products!$A$2:$A$8,C3662)=0,C3662,"")</f>
        <v/>
      </c>
      <c r="J3662">
        <f>IF(OR(E3662="Prospecting",E3662="Engaging"),VLOOKUP(C3662,Products!$A$2:$C$8,3,FALSE),0)</f>
        <v>0</v>
      </c>
    </row>
    <row r="3663" spans="1:10" x14ac:dyDescent="0.25">
      <c r="A3663" t="s">
        <v>3830</v>
      </c>
      <c r="B3663" t="s">
        <v>180</v>
      </c>
      <c r="C3663" t="s">
        <v>127</v>
      </c>
      <c r="E3663" t="s">
        <v>155</v>
      </c>
      <c r="F3663" s="1">
        <v>42890</v>
      </c>
      <c r="I3663" t="str">
        <f>IF(COUNTIF(Products!$A$2:$A$8,C3663)=0,C3663,"")</f>
        <v/>
      </c>
      <c r="J3663">
        <f>IF(OR(E3663="Prospecting",E3663="Engaging"),VLOOKUP(C3663,Products!$A$2:$C$8,3,FALSE),0)</f>
        <v>1096</v>
      </c>
    </row>
    <row r="3664" spans="1:10" x14ac:dyDescent="0.25">
      <c r="A3664" t="s">
        <v>3831</v>
      </c>
      <c r="B3664" t="s">
        <v>180</v>
      </c>
      <c r="C3664" t="s">
        <v>123</v>
      </c>
      <c r="D3664" t="s">
        <v>72</v>
      </c>
      <c r="E3664" t="s">
        <v>138</v>
      </c>
      <c r="F3664" s="1">
        <v>42890</v>
      </c>
      <c r="G3664" s="1">
        <v>42994</v>
      </c>
      <c r="H3664">
        <v>53</v>
      </c>
      <c r="I3664" t="str">
        <f>IF(COUNTIF(Products!$A$2:$A$8,C3664)=0,C3664,"")</f>
        <v/>
      </c>
      <c r="J3664">
        <f>IF(OR(E3664="Prospecting",E3664="Engaging"),VLOOKUP(C3664,Products!$A$2:$C$8,3,FALSE),0)</f>
        <v>0</v>
      </c>
    </row>
    <row r="3665" spans="1:10" x14ac:dyDescent="0.25">
      <c r="A3665" t="s">
        <v>3832</v>
      </c>
      <c r="B3665" t="s">
        <v>191</v>
      </c>
      <c r="C3665" t="s">
        <v>120</v>
      </c>
      <c r="E3665" t="s">
        <v>155</v>
      </c>
      <c r="F3665" s="1">
        <v>42890</v>
      </c>
      <c r="I3665" t="str">
        <f>IF(COUNTIF(Products!$A$2:$A$8,C3665)=0,C3665,"")</f>
        <v/>
      </c>
      <c r="J3665">
        <f>IF(OR(E3665="Prospecting",E3665="Engaging"),VLOOKUP(C3665,Products!$A$2:$C$8,3,FALSE),0)</f>
        <v>550</v>
      </c>
    </row>
    <row r="3666" spans="1:10" x14ac:dyDescent="0.25">
      <c r="A3666" t="s">
        <v>3833</v>
      </c>
      <c r="B3666" t="s">
        <v>191</v>
      </c>
      <c r="C3666" t="s">
        <v>122</v>
      </c>
      <c r="E3666" t="s">
        <v>155</v>
      </c>
      <c r="F3666" s="1">
        <v>42890</v>
      </c>
      <c r="I3666" t="str">
        <f>IF(COUNTIF(Products!$A$2:$A$8,C3666)=0,C3666,"")</f>
        <v/>
      </c>
      <c r="J3666">
        <f>IF(OR(E3666="Prospecting",E3666="Engaging"),VLOOKUP(C3666,Products!$A$2:$C$8,3,FALSE),0)</f>
        <v>4821</v>
      </c>
    </row>
    <row r="3667" spans="1:10" x14ac:dyDescent="0.25">
      <c r="A3667" t="s">
        <v>3834</v>
      </c>
      <c r="B3667" t="s">
        <v>191</v>
      </c>
      <c r="C3667" t="s">
        <v>123</v>
      </c>
      <c r="D3667" t="s">
        <v>112</v>
      </c>
      <c r="E3667" t="s">
        <v>155</v>
      </c>
      <c r="F3667" s="1">
        <v>42890</v>
      </c>
      <c r="I3667" t="str">
        <f>IF(COUNTIF(Products!$A$2:$A$8,C3667)=0,C3667,"")</f>
        <v/>
      </c>
      <c r="J3667">
        <f>IF(OR(E3667="Prospecting",E3667="Engaging"),VLOOKUP(C3667,Products!$A$2:$C$8,3,FALSE),0)</f>
        <v>55</v>
      </c>
    </row>
    <row r="3668" spans="1:10" x14ac:dyDescent="0.25">
      <c r="A3668" t="s">
        <v>3835</v>
      </c>
      <c r="B3668" t="s">
        <v>191</v>
      </c>
      <c r="C3668" t="s">
        <v>127</v>
      </c>
      <c r="D3668" t="s">
        <v>93</v>
      </c>
      <c r="E3668" t="s">
        <v>159</v>
      </c>
      <c r="F3668" s="1">
        <v>42890</v>
      </c>
      <c r="G3668" s="1">
        <v>42995</v>
      </c>
      <c r="H3668">
        <v>0</v>
      </c>
      <c r="I3668" t="str">
        <f>IF(COUNTIF(Products!$A$2:$A$8,C3668)=0,C3668,"")</f>
        <v/>
      </c>
      <c r="J3668">
        <f>IF(OR(E3668="Prospecting",E3668="Engaging"),VLOOKUP(C3668,Products!$A$2:$C$8,3,FALSE),0)</f>
        <v>0</v>
      </c>
    </row>
    <row r="3669" spans="1:10" x14ac:dyDescent="0.25">
      <c r="A3669" t="s">
        <v>3836</v>
      </c>
      <c r="B3669" t="s">
        <v>191</v>
      </c>
      <c r="C3669" t="s">
        <v>120</v>
      </c>
      <c r="D3669" t="s">
        <v>66</v>
      </c>
      <c r="E3669" t="s">
        <v>138</v>
      </c>
      <c r="F3669" s="1">
        <v>42890</v>
      </c>
      <c r="G3669" s="1">
        <v>42979</v>
      </c>
      <c r="H3669">
        <v>525</v>
      </c>
      <c r="I3669" t="str">
        <f>IF(COUNTIF(Products!$A$2:$A$8,C3669)=0,C3669,"")</f>
        <v/>
      </c>
      <c r="J3669">
        <f>IF(OR(E3669="Prospecting",E3669="Engaging"),VLOOKUP(C3669,Products!$A$2:$C$8,3,FALSE),0)</f>
        <v>0</v>
      </c>
    </row>
    <row r="3670" spans="1:10" x14ac:dyDescent="0.25">
      <c r="A3670" t="s">
        <v>3837</v>
      </c>
      <c r="B3670" t="s">
        <v>191</v>
      </c>
      <c r="C3670" t="s">
        <v>123</v>
      </c>
      <c r="D3670" t="s">
        <v>75</v>
      </c>
      <c r="E3670" t="s">
        <v>138</v>
      </c>
      <c r="F3670" s="1">
        <v>42890</v>
      </c>
      <c r="G3670" s="1">
        <v>42974</v>
      </c>
      <c r="H3670">
        <v>60</v>
      </c>
      <c r="I3670" t="str">
        <f>IF(COUNTIF(Products!$A$2:$A$8,C3670)=0,C3670,"")</f>
        <v/>
      </c>
      <c r="J3670">
        <f>IF(OR(E3670="Prospecting",E3670="Engaging"),VLOOKUP(C3670,Products!$A$2:$C$8,3,FALSE),0)</f>
        <v>0</v>
      </c>
    </row>
    <row r="3671" spans="1:10" x14ac:dyDescent="0.25">
      <c r="A3671" t="s">
        <v>3838</v>
      </c>
      <c r="B3671" t="s">
        <v>150</v>
      </c>
      <c r="C3671" t="s">
        <v>127</v>
      </c>
      <c r="D3671" t="s">
        <v>90</v>
      </c>
      <c r="E3671" t="s">
        <v>138</v>
      </c>
      <c r="F3671" s="1">
        <v>42890</v>
      </c>
      <c r="G3671" s="1">
        <v>42894</v>
      </c>
      <c r="H3671">
        <v>967</v>
      </c>
      <c r="I3671" t="str">
        <f>IF(COUNTIF(Products!$A$2:$A$8,C3671)=0,C3671,"")</f>
        <v/>
      </c>
      <c r="J3671">
        <f>IF(OR(E3671="Prospecting",E3671="Engaging"),VLOOKUP(C3671,Products!$A$2:$C$8,3,FALSE),0)</f>
        <v>0</v>
      </c>
    </row>
    <row r="3672" spans="1:10" x14ac:dyDescent="0.25">
      <c r="A3672" t="s">
        <v>3839</v>
      </c>
      <c r="B3672" t="s">
        <v>162</v>
      </c>
      <c r="C3672" t="s">
        <v>120</v>
      </c>
      <c r="D3672" t="s">
        <v>87</v>
      </c>
      <c r="E3672" t="s">
        <v>159</v>
      </c>
      <c r="F3672" s="1">
        <v>42890</v>
      </c>
      <c r="G3672" s="1">
        <v>42961</v>
      </c>
      <c r="H3672">
        <v>0</v>
      </c>
      <c r="I3672" t="str">
        <f>IF(COUNTIF(Products!$A$2:$A$8,C3672)=0,C3672,"")</f>
        <v/>
      </c>
      <c r="J3672">
        <f>IF(OR(E3672="Prospecting",E3672="Engaging"),VLOOKUP(C3672,Products!$A$2:$C$8,3,FALSE),0)</f>
        <v>0</v>
      </c>
    </row>
    <row r="3673" spans="1:10" x14ac:dyDescent="0.25">
      <c r="A3673" t="s">
        <v>3840</v>
      </c>
      <c r="B3673" t="s">
        <v>193</v>
      </c>
      <c r="C3673" t="s">
        <v>120</v>
      </c>
      <c r="D3673" t="s">
        <v>63</v>
      </c>
      <c r="E3673" t="s">
        <v>138</v>
      </c>
      <c r="F3673" s="1">
        <v>42890</v>
      </c>
      <c r="G3673" s="1">
        <v>42900</v>
      </c>
      <c r="H3673">
        <v>524</v>
      </c>
      <c r="I3673" t="str">
        <f>IF(COUNTIF(Products!$A$2:$A$8,C3673)=0,C3673,"")</f>
        <v/>
      </c>
      <c r="J3673">
        <f>IF(OR(E3673="Prospecting",E3673="Engaging"),VLOOKUP(C3673,Products!$A$2:$C$8,3,FALSE),0)</f>
        <v>0</v>
      </c>
    </row>
    <row r="3674" spans="1:10" x14ac:dyDescent="0.25">
      <c r="A3674" t="s">
        <v>3841</v>
      </c>
      <c r="B3674" t="s">
        <v>166</v>
      </c>
      <c r="C3674" t="s">
        <v>123</v>
      </c>
      <c r="D3674" t="s">
        <v>66</v>
      </c>
      <c r="E3674" t="s">
        <v>138</v>
      </c>
      <c r="F3674" s="1">
        <v>42890</v>
      </c>
      <c r="G3674" s="1">
        <v>42988</v>
      </c>
      <c r="H3674">
        <v>57</v>
      </c>
      <c r="I3674" t="str">
        <f>IF(COUNTIF(Products!$A$2:$A$8,C3674)=0,C3674,"")</f>
        <v/>
      </c>
      <c r="J3674">
        <f>IF(OR(E3674="Prospecting",E3674="Engaging"),VLOOKUP(C3674,Products!$A$2:$C$8,3,FALSE),0)</f>
        <v>0</v>
      </c>
    </row>
    <row r="3675" spans="1:10" x14ac:dyDescent="0.25">
      <c r="A3675" t="s">
        <v>3842</v>
      </c>
      <c r="B3675" t="s">
        <v>187</v>
      </c>
      <c r="C3675" t="s">
        <v>125</v>
      </c>
      <c r="D3675" t="s">
        <v>20</v>
      </c>
      <c r="E3675" t="s">
        <v>159</v>
      </c>
      <c r="F3675" s="1">
        <v>42890</v>
      </c>
      <c r="G3675" s="1">
        <v>42906</v>
      </c>
      <c r="H3675">
        <v>0</v>
      </c>
      <c r="I3675" t="str">
        <f>IF(COUNTIF(Products!$A$2:$A$8,C3675)=0,C3675,"")</f>
        <v/>
      </c>
      <c r="J3675">
        <f>IF(OR(E3675="Prospecting",E3675="Engaging"),VLOOKUP(C3675,Products!$A$2:$C$8,3,FALSE),0)</f>
        <v>0</v>
      </c>
    </row>
    <row r="3676" spans="1:10" x14ac:dyDescent="0.25">
      <c r="A3676" t="s">
        <v>3843</v>
      </c>
      <c r="B3676" t="s">
        <v>169</v>
      </c>
      <c r="C3676" t="s">
        <v>126</v>
      </c>
      <c r="D3676" t="s">
        <v>77</v>
      </c>
      <c r="E3676" t="s">
        <v>138</v>
      </c>
      <c r="F3676" s="1">
        <v>42890</v>
      </c>
      <c r="G3676" s="1">
        <v>42899</v>
      </c>
      <c r="H3676">
        <v>5056</v>
      </c>
      <c r="I3676" t="str">
        <f>IF(COUNTIF(Products!$A$2:$A$8,C3676)=0,C3676,"")</f>
        <v/>
      </c>
      <c r="J3676">
        <f>IF(OR(E3676="Prospecting",E3676="Engaging"),VLOOKUP(C3676,Products!$A$2:$C$8,3,FALSE),0)</f>
        <v>0</v>
      </c>
    </row>
    <row r="3677" spans="1:10" x14ac:dyDescent="0.25">
      <c r="A3677" t="s">
        <v>3844</v>
      </c>
      <c r="B3677" t="s">
        <v>148</v>
      </c>
      <c r="C3677" t="s">
        <v>120</v>
      </c>
      <c r="D3677" t="s">
        <v>69</v>
      </c>
      <c r="E3677" t="s">
        <v>138</v>
      </c>
      <c r="F3677" s="1">
        <v>42890</v>
      </c>
      <c r="G3677" s="1">
        <v>42894</v>
      </c>
      <c r="H3677">
        <v>600</v>
      </c>
      <c r="I3677" t="str">
        <f>IF(COUNTIF(Products!$A$2:$A$8,C3677)=0,C3677,"")</f>
        <v/>
      </c>
      <c r="J3677">
        <f>IF(OR(E3677="Prospecting",E3677="Engaging"),VLOOKUP(C3677,Products!$A$2:$C$8,3,FALSE),0)</f>
        <v>0</v>
      </c>
    </row>
    <row r="3678" spans="1:10" x14ac:dyDescent="0.25">
      <c r="A3678" t="s">
        <v>3845</v>
      </c>
      <c r="B3678" t="s">
        <v>207</v>
      </c>
      <c r="C3678" t="s">
        <v>120</v>
      </c>
      <c r="D3678" t="s">
        <v>37</v>
      </c>
      <c r="E3678" t="s">
        <v>138</v>
      </c>
      <c r="F3678" s="1">
        <v>42891</v>
      </c>
      <c r="G3678" s="1">
        <v>43004</v>
      </c>
      <c r="H3678">
        <v>633</v>
      </c>
      <c r="I3678" t="str">
        <f>IF(COUNTIF(Products!$A$2:$A$8,C3678)=0,C3678,"")</f>
        <v/>
      </c>
      <c r="J3678">
        <f>IF(OR(E3678="Prospecting",E3678="Engaging"),VLOOKUP(C3678,Products!$A$2:$C$8,3,FALSE),0)</f>
        <v>0</v>
      </c>
    </row>
    <row r="3679" spans="1:10" x14ac:dyDescent="0.25">
      <c r="A3679" t="s">
        <v>3846</v>
      </c>
      <c r="B3679" t="s">
        <v>207</v>
      </c>
      <c r="C3679" t="s">
        <v>122</v>
      </c>
      <c r="D3679" t="s">
        <v>106</v>
      </c>
      <c r="E3679" t="s">
        <v>138</v>
      </c>
      <c r="F3679" s="1">
        <v>42891</v>
      </c>
      <c r="G3679" s="1">
        <v>42974</v>
      </c>
      <c r="H3679">
        <v>4994</v>
      </c>
      <c r="I3679" t="str">
        <f>IF(COUNTIF(Products!$A$2:$A$8,C3679)=0,C3679,"")</f>
        <v/>
      </c>
      <c r="J3679">
        <f>IF(OR(E3679="Prospecting",E3679="Engaging"),VLOOKUP(C3679,Products!$A$2:$C$8,3,FALSE),0)</f>
        <v>0</v>
      </c>
    </row>
    <row r="3680" spans="1:10" x14ac:dyDescent="0.25">
      <c r="A3680" t="s">
        <v>3847</v>
      </c>
      <c r="B3680" t="s">
        <v>239</v>
      </c>
      <c r="C3680" t="s">
        <v>127</v>
      </c>
      <c r="D3680" t="s">
        <v>67</v>
      </c>
      <c r="E3680" t="s">
        <v>138</v>
      </c>
      <c r="F3680" s="1">
        <v>42891</v>
      </c>
      <c r="G3680" s="1">
        <v>42896</v>
      </c>
      <c r="H3680">
        <v>899</v>
      </c>
      <c r="I3680" t="str">
        <f>IF(COUNTIF(Products!$A$2:$A$8,C3680)=0,C3680,"")</f>
        <v/>
      </c>
      <c r="J3680">
        <f>IF(OR(E3680="Prospecting",E3680="Engaging"),VLOOKUP(C3680,Products!$A$2:$C$8,3,FALSE),0)</f>
        <v>0</v>
      </c>
    </row>
    <row r="3681" spans="1:10" x14ac:dyDescent="0.25">
      <c r="A3681" t="s">
        <v>3848</v>
      </c>
      <c r="B3681" t="s">
        <v>140</v>
      </c>
      <c r="C3681" t="s">
        <v>122</v>
      </c>
      <c r="D3681" t="s">
        <v>91</v>
      </c>
      <c r="E3681" t="s">
        <v>159</v>
      </c>
      <c r="F3681" s="1">
        <v>42891</v>
      </c>
      <c r="G3681" s="1">
        <v>42953</v>
      </c>
      <c r="H3681">
        <v>0</v>
      </c>
      <c r="I3681" t="str">
        <f>IF(COUNTIF(Products!$A$2:$A$8,C3681)=0,C3681,"")</f>
        <v/>
      </c>
      <c r="J3681">
        <f>IF(OR(E3681="Prospecting",E3681="Engaging"),VLOOKUP(C3681,Products!$A$2:$C$8,3,FALSE),0)</f>
        <v>0</v>
      </c>
    </row>
    <row r="3682" spans="1:10" x14ac:dyDescent="0.25">
      <c r="A3682" t="s">
        <v>3849</v>
      </c>
      <c r="B3682" t="s">
        <v>140</v>
      </c>
      <c r="C3682" t="s">
        <v>126</v>
      </c>
      <c r="D3682" t="s">
        <v>30</v>
      </c>
      <c r="E3682" t="s">
        <v>138</v>
      </c>
      <c r="F3682" s="1">
        <v>42891</v>
      </c>
      <c r="G3682" s="1">
        <v>42972</v>
      </c>
      <c r="H3682">
        <v>5421</v>
      </c>
      <c r="I3682" t="str">
        <f>IF(COUNTIF(Products!$A$2:$A$8,C3682)=0,C3682,"")</f>
        <v/>
      </c>
      <c r="J3682">
        <f>IF(OR(E3682="Prospecting",E3682="Engaging"),VLOOKUP(C3682,Products!$A$2:$C$8,3,FALSE),0)</f>
        <v>0</v>
      </c>
    </row>
    <row r="3683" spans="1:10" x14ac:dyDescent="0.25">
      <c r="A3683" t="s">
        <v>3850</v>
      </c>
      <c r="B3683" t="s">
        <v>140</v>
      </c>
      <c r="C3683" t="s">
        <v>122</v>
      </c>
      <c r="D3683" t="s">
        <v>51</v>
      </c>
      <c r="E3683" t="s">
        <v>138</v>
      </c>
      <c r="F3683" s="1">
        <v>42891</v>
      </c>
      <c r="G3683" s="1">
        <v>42970</v>
      </c>
      <c r="H3683">
        <v>5223</v>
      </c>
      <c r="I3683" t="str">
        <f>IF(COUNTIF(Products!$A$2:$A$8,C3683)=0,C3683,"")</f>
        <v/>
      </c>
      <c r="J3683">
        <f>IF(OR(E3683="Prospecting",E3683="Engaging"),VLOOKUP(C3683,Products!$A$2:$C$8,3,FALSE),0)</f>
        <v>0</v>
      </c>
    </row>
    <row r="3684" spans="1:10" x14ac:dyDescent="0.25">
      <c r="A3684" t="s">
        <v>3851</v>
      </c>
      <c r="B3684" t="s">
        <v>140</v>
      </c>
      <c r="C3684" t="s">
        <v>122</v>
      </c>
      <c r="D3684" t="s">
        <v>89</v>
      </c>
      <c r="E3684" t="s">
        <v>138</v>
      </c>
      <c r="F3684" s="1">
        <v>42891</v>
      </c>
      <c r="G3684" s="1">
        <v>42904</v>
      </c>
      <c r="H3684">
        <v>4794</v>
      </c>
      <c r="I3684" t="str">
        <f>IF(COUNTIF(Products!$A$2:$A$8,C3684)=0,C3684,"")</f>
        <v/>
      </c>
      <c r="J3684">
        <f>IF(OR(E3684="Prospecting",E3684="Engaging"),VLOOKUP(C3684,Products!$A$2:$C$8,3,FALSE),0)</f>
        <v>0</v>
      </c>
    </row>
    <row r="3685" spans="1:10" x14ac:dyDescent="0.25">
      <c r="A3685" t="s">
        <v>3852</v>
      </c>
      <c r="B3685" t="s">
        <v>140</v>
      </c>
      <c r="C3685" t="s">
        <v>122</v>
      </c>
      <c r="D3685" t="s">
        <v>103</v>
      </c>
      <c r="E3685" t="s">
        <v>138</v>
      </c>
      <c r="F3685" s="1">
        <v>42891</v>
      </c>
      <c r="G3685" s="1">
        <v>42984</v>
      </c>
      <c r="H3685">
        <v>4903</v>
      </c>
      <c r="I3685" t="str">
        <f>IF(COUNTIF(Products!$A$2:$A$8,C3685)=0,C3685,"")</f>
        <v/>
      </c>
      <c r="J3685">
        <f>IF(OR(E3685="Prospecting",E3685="Engaging"),VLOOKUP(C3685,Products!$A$2:$C$8,3,FALSE),0)</f>
        <v>0</v>
      </c>
    </row>
    <row r="3686" spans="1:10" x14ac:dyDescent="0.25">
      <c r="A3686" t="s">
        <v>3853</v>
      </c>
      <c r="B3686" t="s">
        <v>140</v>
      </c>
      <c r="C3686" t="s">
        <v>125</v>
      </c>
      <c r="D3686" t="s">
        <v>36</v>
      </c>
      <c r="E3686" t="s">
        <v>138</v>
      </c>
      <c r="F3686" s="1">
        <v>42891</v>
      </c>
      <c r="G3686" s="1">
        <v>42960</v>
      </c>
      <c r="H3686">
        <v>3625</v>
      </c>
      <c r="I3686" t="str">
        <f>IF(COUNTIF(Products!$A$2:$A$8,C3686)=0,C3686,"")</f>
        <v/>
      </c>
      <c r="J3686">
        <f>IF(OR(E3686="Prospecting",E3686="Engaging"),VLOOKUP(C3686,Products!$A$2:$C$8,3,FALSE),0)</f>
        <v>0</v>
      </c>
    </row>
    <row r="3687" spans="1:10" x14ac:dyDescent="0.25">
      <c r="A3687" t="s">
        <v>3854</v>
      </c>
      <c r="B3687" t="s">
        <v>158</v>
      </c>
      <c r="C3687" t="s">
        <v>120</v>
      </c>
      <c r="D3687" t="s">
        <v>53</v>
      </c>
      <c r="E3687" t="s">
        <v>159</v>
      </c>
      <c r="F3687" s="1">
        <v>42891</v>
      </c>
      <c r="G3687" s="1">
        <v>42975</v>
      </c>
      <c r="H3687">
        <v>0</v>
      </c>
      <c r="I3687" t="str">
        <f>IF(COUNTIF(Products!$A$2:$A$8,C3687)=0,C3687,"")</f>
        <v/>
      </c>
      <c r="J3687">
        <f>IF(OR(E3687="Prospecting",E3687="Engaging"),VLOOKUP(C3687,Products!$A$2:$C$8,3,FALSE),0)</f>
        <v>0</v>
      </c>
    </row>
    <row r="3688" spans="1:10" x14ac:dyDescent="0.25">
      <c r="A3688" t="s">
        <v>3855</v>
      </c>
      <c r="B3688" t="s">
        <v>303</v>
      </c>
      <c r="C3688" t="s">
        <v>120</v>
      </c>
      <c r="D3688" t="s">
        <v>89</v>
      </c>
      <c r="E3688" t="s">
        <v>138</v>
      </c>
      <c r="F3688" s="1">
        <v>42891</v>
      </c>
      <c r="G3688" s="1">
        <v>42950</v>
      </c>
      <c r="H3688">
        <v>554</v>
      </c>
      <c r="I3688" t="str">
        <f>IF(COUNTIF(Products!$A$2:$A$8,C3688)=0,C3688,"")</f>
        <v/>
      </c>
      <c r="J3688">
        <f>IF(OR(E3688="Prospecting",E3688="Engaging"),VLOOKUP(C3688,Products!$A$2:$C$8,3,FALSE),0)</f>
        <v>0</v>
      </c>
    </row>
    <row r="3689" spans="1:10" x14ac:dyDescent="0.25">
      <c r="A3689" t="s">
        <v>3856</v>
      </c>
      <c r="B3689" t="s">
        <v>180</v>
      </c>
      <c r="C3689" t="s">
        <v>120</v>
      </c>
      <c r="D3689" t="s">
        <v>93</v>
      </c>
      <c r="E3689" t="s">
        <v>159</v>
      </c>
      <c r="F3689" s="1">
        <v>42891</v>
      </c>
      <c r="G3689" s="1">
        <v>42981</v>
      </c>
      <c r="H3689">
        <v>0</v>
      </c>
      <c r="I3689" t="str">
        <f>IF(COUNTIF(Products!$A$2:$A$8,C3689)=0,C3689,"")</f>
        <v/>
      </c>
      <c r="J3689">
        <f>IF(OR(E3689="Prospecting",E3689="Engaging"),VLOOKUP(C3689,Products!$A$2:$C$8,3,FALSE),0)</f>
        <v>0</v>
      </c>
    </row>
    <row r="3690" spans="1:10" x14ac:dyDescent="0.25">
      <c r="A3690" t="s">
        <v>3857</v>
      </c>
      <c r="B3690" t="s">
        <v>180</v>
      </c>
      <c r="C3690" t="s">
        <v>120</v>
      </c>
      <c r="D3690" t="s">
        <v>100</v>
      </c>
      <c r="E3690" t="s">
        <v>159</v>
      </c>
      <c r="F3690" s="1">
        <v>42891</v>
      </c>
      <c r="G3690" s="1">
        <v>42897</v>
      </c>
      <c r="H3690">
        <v>0</v>
      </c>
      <c r="I3690" t="str">
        <f>IF(COUNTIF(Products!$A$2:$A$8,C3690)=0,C3690,"")</f>
        <v/>
      </c>
      <c r="J3690">
        <f>IF(OR(E3690="Prospecting",E3690="Engaging"),VLOOKUP(C3690,Products!$A$2:$C$8,3,FALSE),0)</f>
        <v>0</v>
      </c>
    </row>
    <row r="3691" spans="1:10" x14ac:dyDescent="0.25">
      <c r="A3691" t="s">
        <v>3858</v>
      </c>
      <c r="B3691" t="s">
        <v>191</v>
      </c>
      <c r="C3691" t="s">
        <v>120</v>
      </c>
      <c r="E3691" t="s">
        <v>155</v>
      </c>
      <c r="F3691" s="1">
        <v>42891</v>
      </c>
      <c r="I3691" t="str">
        <f>IF(COUNTIF(Products!$A$2:$A$8,C3691)=0,C3691,"")</f>
        <v/>
      </c>
      <c r="J3691">
        <f>IF(OR(E3691="Prospecting",E3691="Engaging"),VLOOKUP(C3691,Products!$A$2:$C$8,3,FALSE),0)</f>
        <v>550</v>
      </c>
    </row>
    <row r="3692" spans="1:10" x14ac:dyDescent="0.25">
      <c r="A3692" t="s">
        <v>3859</v>
      </c>
      <c r="B3692" t="s">
        <v>191</v>
      </c>
      <c r="C3692" t="s">
        <v>122</v>
      </c>
      <c r="D3692" t="s">
        <v>60</v>
      </c>
      <c r="E3692" t="s">
        <v>138</v>
      </c>
      <c r="F3692" s="1">
        <v>42891</v>
      </c>
      <c r="G3692" s="1">
        <v>42983</v>
      </c>
      <c r="H3692">
        <v>5039</v>
      </c>
      <c r="I3692" t="str">
        <f>IF(COUNTIF(Products!$A$2:$A$8,C3692)=0,C3692,"")</f>
        <v/>
      </c>
      <c r="J3692">
        <f>IF(OR(E3692="Prospecting",E3692="Engaging"),VLOOKUP(C3692,Products!$A$2:$C$8,3,FALSE),0)</f>
        <v>0</v>
      </c>
    </row>
    <row r="3693" spans="1:10" x14ac:dyDescent="0.25">
      <c r="A3693" t="s">
        <v>3860</v>
      </c>
      <c r="B3693" t="s">
        <v>150</v>
      </c>
      <c r="C3693" t="s">
        <v>127</v>
      </c>
      <c r="D3693" t="s">
        <v>39</v>
      </c>
      <c r="E3693" t="s">
        <v>138</v>
      </c>
      <c r="F3693" s="1">
        <v>42891</v>
      </c>
      <c r="G3693" s="1">
        <v>42977</v>
      </c>
      <c r="H3693">
        <v>1169</v>
      </c>
      <c r="I3693" t="str">
        <f>IF(COUNTIF(Products!$A$2:$A$8,C3693)=0,C3693,"")</f>
        <v/>
      </c>
      <c r="J3693">
        <f>IF(OR(E3693="Prospecting",E3693="Engaging"),VLOOKUP(C3693,Products!$A$2:$C$8,3,FALSE),0)</f>
        <v>0</v>
      </c>
    </row>
    <row r="3694" spans="1:10" x14ac:dyDescent="0.25">
      <c r="A3694" t="s">
        <v>3861</v>
      </c>
      <c r="B3694" t="s">
        <v>205</v>
      </c>
      <c r="C3694" t="s">
        <v>122</v>
      </c>
      <c r="D3694" t="s">
        <v>103</v>
      </c>
      <c r="E3694" t="s">
        <v>138</v>
      </c>
      <c r="F3694" s="1">
        <v>42891</v>
      </c>
      <c r="G3694" s="1">
        <v>42997</v>
      </c>
      <c r="H3694">
        <v>5055</v>
      </c>
      <c r="I3694" t="str">
        <f>IF(COUNTIF(Products!$A$2:$A$8,C3694)=0,C3694,"")</f>
        <v/>
      </c>
      <c r="J3694">
        <f>IF(OR(E3694="Prospecting",E3694="Engaging"),VLOOKUP(C3694,Products!$A$2:$C$8,3,FALSE),0)</f>
        <v>0</v>
      </c>
    </row>
    <row r="3695" spans="1:10" x14ac:dyDescent="0.25">
      <c r="A3695" t="s">
        <v>3862</v>
      </c>
      <c r="B3695" t="s">
        <v>205</v>
      </c>
      <c r="C3695" t="s">
        <v>123</v>
      </c>
      <c r="D3695" t="s">
        <v>91</v>
      </c>
      <c r="E3695" t="s">
        <v>138</v>
      </c>
      <c r="F3695" s="1">
        <v>42891</v>
      </c>
      <c r="G3695" s="1">
        <v>42908</v>
      </c>
      <c r="H3695">
        <v>60</v>
      </c>
      <c r="I3695" t="str">
        <f>IF(COUNTIF(Products!$A$2:$A$8,C3695)=0,C3695,"")</f>
        <v/>
      </c>
      <c r="J3695">
        <f>IF(OR(E3695="Prospecting",E3695="Engaging"),VLOOKUP(C3695,Products!$A$2:$C$8,3,FALSE),0)</f>
        <v>0</v>
      </c>
    </row>
    <row r="3696" spans="1:10" x14ac:dyDescent="0.25">
      <c r="A3696" t="s">
        <v>3863</v>
      </c>
      <c r="B3696" t="s">
        <v>162</v>
      </c>
      <c r="C3696" t="s">
        <v>127</v>
      </c>
      <c r="D3696" t="s">
        <v>27</v>
      </c>
      <c r="E3696" t="s">
        <v>159</v>
      </c>
      <c r="F3696" s="1">
        <v>42891</v>
      </c>
      <c r="G3696" s="1">
        <v>42974</v>
      </c>
      <c r="H3696">
        <v>0</v>
      </c>
      <c r="I3696" t="str">
        <f>IF(COUNTIF(Products!$A$2:$A$8,C3696)=0,C3696,"")</f>
        <v/>
      </c>
      <c r="J3696">
        <f>IF(OR(E3696="Prospecting",E3696="Engaging"),VLOOKUP(C3696,Products!$A$2:$C$8,3,FALSE),0)</f>
        <v>0</v>
      </c>
    </row>
    <row r="3697" spans="1:10" x14ac:dyDescent="0.25">
      <c r="A3697" t="s">
        <v>3864</v>
      </c>
      <c r="B3697" t="s">
        <v>162</v>
      </c>
      <c r="C3697" t="s">
        <v>120</v>
      </c>
      <c r="D3697" t="s">
        <v>47</v>
      </c>
      <c r="E3697" t="s">
        <v>138</v>
      </c>
      <c r="F3697" s="1">
        <v>42891</v>
      </c>
      <c r="G3697" s="1">
        <v>42986</v>
      </c>
      <c r="H3697">
        <v>595</v>
      </c>
      <c r="I3697" t="str">
        <f>IF(COUNTIF(Products!$A$2:$A$8,C3697)=0,C3697,"")</f>
        <v/>
      </c>
      <c r="J3697">
        <f>IF(OR(E3697="Prospecting",E3697="Engaging"),VLOOKUP(C3697,Products!$A$2:$C$8,3,FALSE),0)</f>
        <v>0</v>
      </c>
    </row>
    <row r="3698" spans="1:10" x14ac:dyDescent="0.25">
      <c r="A3698" t="s">
        <v>3865</v>
      </c>
      <c r="B3698" t="s">
        <v>162</v>
      </c>
      <c r="C3698" t="s">
        <v>125</v>
      </c>
      <c r="D3698" t="s">
        <v>82</v>
      </c>
      <c r="E3698" t="s">
        <v>138</v>
      </c>
      <c r="F3698" s="1">
        <v>42891</v>
      </c>
      <c r="G3698" s="1">
        <v>42907</v>
      </c>
      <c r="H3698">
        <v>3227</v>
      </c>
      <c r="I3698" t="str">
        <f>IF(COUNTIF(Products!$A$2:$A$8,C3698)=0,C3698,"")</f>
        <v/>
      </c>
      <c r="J3698">
        <f>IF(OR(E3698="Prospecting",E3698="Engaging"),VLOOKUP(C3698,Products!$A$2:$C$8,3,FALSE),0)</f>
        <v>0</v>
      </c>
    </row>
    <row r="3699" spans="1:10" x14ac:dyDescent="0.25">
      <c r="A3699" t="s">
        <v>3866</v>
      </c>
      <c r="B3699" t="s">
        <v>137</v>
      </c>
      <c r="C3699" t="s">
        <v>127</v>
      </c>
      <c r="D3699" t="s">
        <v>70</v>
      </c>
      <c r="E3699" t="s">
        <v>159</v>
      </c>
      <c r="F3699" s="1">
        <v>42891</v>
      </c>
      <c r="G3699" s="1">
        <v>42897</v>
      </c>
      <c r="H3699">
        <v>0</v>
      </c>
      <c r="I3699" t="str">
        <f>IF(COUNTIF(Products!$A$2:$A$8,C3699)=0,C3699,"")</f>
        <v/>
      </c>
      <c r="J3699">
        <f>IF(OR(E3699="Prospecting",E3699="Engaging"),VLOOKUP(C3699,Products!$A$2:$C$8,3,FALSE),0)</f>
        <v>0</v>
      </c>
    </row>
    <row r="3700" spans="1:10" x14ac:dyDescent="0.25">
      <c r="A3700" t="s">
        <v>3867</v>
      </c>
      <c r="B3700" t="s">
        <v>137</v>
      </c>
      <c r="C3700" t="s">
        <v>127</v>
      </c>
      <c r="D3700" t="s">
        <v>88</v>
      </c>
      <c r="E3700" t="s">
        <v>159</v>
      </c>
      <c r="F3700" s="1">
        <v>42891</v>
      </c>
      <c r="G3700" s="1">
        <v>42961</v>
      </c>
      <c r="H3700">
        <v>0</v>
      </c>
      <c r="I3700" t="str">
        <f>IF(COUNTIF(Products!$A$2:$A$8,C3700)=0,C3700,"")</f>
        <v/>
      </c>
      <c r="J3700">
        <f>IF(OR(E3700="Prospecting",E3700="Engaging"),VLOOKUP(C3700,Products!$A$2:$C$8,3,FALSE),0)</f>
        <v>0</v>
      </c>
    </row>
    <row r="3701" spans="1:10" x14ac:dyDescent="0.25">
      <c r="A3701" t="s">
        <v>3868</v>
      </c>
      <c r="B3701" t="s">
        <v>137</v>
      </c>
      <c r="C3701" t="s">
        <v>123</v>
      </c>
      <c r="D3701" t="s">
        <v>61</v>
      </c>
      <c r="E3701" t="s">
        <v>138</v>
      </c>
      <c r="F3701" s="1">
        <v>42891</v>
      </c>
      <c r="G3701" s="1">
        <v>42998</v>
      </c>
      <c r="H3701">
        <v>59</v>
      </c>
      <c r="I3701" t="str">
        <f>IF(COUNTIF(Products!$A$2:$A$8,C3701)=0,C3701,"")</f>
        <v/>
      </c>
      <c r="J3701">
        <f>IF(OR(E3701="Prospecting",E3701="Engaging"),VLOOKUP(C3701,Products!$A$2:$C$8,3,FALSE),0)</f>
        <v>0</v>
      </c>
    </row>
    <row r="3702" spans="1:10" x14ac:dyDescent="0.25">
      <c r="A3702" t="s">
        <v>3869</v>
      </c>
      <c r="B3702" t="s">
        <v>152</v>
      </c>
      <c r="C3702" t="s">
        <v>120</v>
      </c>
      <c r="D3702" t="s">
        <v>32</v>
      </c>
      <c r="E3702" t="s">
        <v>138</v>
      </c>
      <c r="F3702" s="1">
        <v>42891</v>
      </c>
      <c r="G3702" s="1">
        <v>43004</v>
      </c>
      <c r="H3702">
        <v>479</v>
      </c>
      <c r="I3702" t="str">
        <f>IF(COUNTIF(Products!$A$2:$A$8,C3702)=0,C3702,"")</f>
        <v/>
      </c>
      <c r="J3702">
        <f>IF(OR(E3702="Prospecting",E3702="Engaging"),VLOOKUP(C3702,Products!$A$2:$C$8,3,FALSE),0)</f>
        <v>0</v>
      </c>
    </row>
    <row r="3703" spans="1:10" x14ac:dyDescent="0.25">
      <c r="A3703" t="s">
        <v>3870</v>
      </c>
      <c r="B3703" t="s">
        <v>152</v>
      </c>
      <c r="C3703" t="s">
        <v>125</v>
      </c>
      <c r="D3703" t="s">
        <v>53</v>
      </c>
      <c r="E3703" t="s">
        <v>138</v>
      </c>
      <c r="F3703" s="1">
        <v>42891</v>
      </c>
      <c r="G3703" s="1">
        <v>42992</v>
      </c>
      <c r="H3703">
        <v>3449</v>
      </c>
      <c r="I3703" t="str">
        <f>IF(COUNTIF(Products!$A$2:$A$8,C3703)=0,C3703,"")</f>
        <v/>
      </c>
      <c r="J3703">
        <f>IF(OR(E3703="Prospecting",E3703="Engaging"),VLOOKUP(C3703,Products!$A$2:$C$8,3,FALSE),0)</f>
        <v>0</v>
      </c>
    </row>
    <row r="3704" spans="1:10" x14ac:dyDescent="0.25">
      <c r="A3704" t="s">
        <v>3871</v>
      </c>
      <c r="B3704" t="s">
        <v>193</v>
      </c>
      <c r="C3704" t="s">
        <v>123</v>
      </c>
      <c r="D3704" t="s">
        <v>25</v>
      </c>
      <c r="E3704" t="s">
        <v>138</v>
      </c>
      <c r="F3704" s="1">
        <v>42891</v>
      </c>
      <c r="G3704" s="1">
        <v>43002</v>
      </c>
      <c r="H3704">
        <v>54</v>
      </c>
      <c r="I3704" t="str">
        <f>IF(COUNTIF(Products!$A$2:$A$8,C3704)=0,C3704,"")</f>
        <v/>
      </c>
      <c r="J3704">
        <f>IF(OR(E3704="Prospecting",E3704="Engaging"),VLOOKUP(C3704,Products!$A$2:$C$8,3,FALSE),0)</f>
        <v>0</v>
      </c>
    </row>
    <row r="3705" spans="1:10" x14ac:dyDescent="0.25">
      <c r="A3705" t="s">
        <v>3872</v>
      </c>
      <c r="B3705" t="s">
        <v>148</v>
      </c>
      <c r="C3705" t="s">
        <v>125</v>
      </c>
      <c r="D3705" t="s">
        <v>60</v>
      </c>
      <c r="E3705" t="s">
        <v>159</v>
      </c>
      <c r="F3705" s="1">
        <v>42891</v>
      </c>
      <c r="G3705" s="1">
        <v>42961</v>
      </c>
      <c r="H3705">
        <v>0</v>
      </c>
      <c r="I3705" t="str">
        <f>IF(COUNTIF(Products!$A$2:$A$8,C3705)=0,C3705,"")</f>
        <v/>
      </c>
      <c r="J3705">
        <f>IF(OR(E3705="Prospecting",E3705="Engaging"),VLOOKUP(C3705,Products!$A$2:$C$8,3,FALSE),0)</f>
        <v>0</v>
      </c>
    </row>
    <row r="3706" spans="1:10" x14ac:dyDescent="0.25">
      <c r="A3706" t="s">
        <v>3873</v>
      </c>
      <c r="B3706" t="s">
        <v>148</v>
      </c>
      <c r="C3706" t="s">
        <v>123</v>
      </c>
      <c r="D3706" t="s">
        <v>34</v>
      </c>
      <c r="E3706" t="s">
        <v>138</v>
      </c>
      <c r="F3706" s="1">
        <v>42891</v>
      </c>
      <c r="G3706" s="1">
        <v>42979</v>
      </c>
      <c r="H3706">
        <v>59</v>
      </c>
      <c r="I3706" t="str">
        <f>IF(COUNTIF(Products!$A$2:$A$8,C3706)=0,C3706,"")</f>
        <v/>
      </c>
      <c r="J3706">
        <f>IF(OR(E3706="Prospecting",E3706="Engaging"),VLOOKUP(C3706,Products!$A$2:$C$8,3,FALSE),0)</f>
        <v>0</v>
      </c>
    </row>
    <row r="3707" spans="1:10" x14ac:dyDescent="0.25">
      <c r="A3707" t="s">
        <v>3874</v>
      </c>
      <c r="B3707" t="s">
        <v>177</v>
      </c>
      <c r="C3707" t="s">
        <v>123</v>
      </c>
      <c r="D3707" t="s">
        <v>7</v>
      </c>
      <c r="E3707" t="s">
        <v>159</v>
      </c>
      <c r="F3707" s="1">
        <v>42891</v>
      </c>
      <c r="G3707" s="1">
        <v>42948</v>
      </c>
      <c r="H3707">
        <v>0</v>
      </c>
      <c r="I3707" t="str">
        <f>IF(COUNTIF(Products!$A$2:$A$8,C3707)=0,C3707,"")</f>
        <v/>
      </c>
      <c r="J3707">
        <f>IF(OR(E3707="Prospecting",E3707="Engaging"),VLOOKUP(C3707,Products!$A$2:$C$8,3,FALSE),0)</f>
        <v>0</v>
      </c>
    </row>
    <row r="3708" spans="1:10" x14ac:dyDescent="0.25">
      <c r="A3708" t="s">
        <v>3875</v>
      </c>
      <c r="B3708" t="s">
        <v>144</v>
      </c>
      <c r="C3708" t="s">
        <v>123</v>
      </c>
      <c r="E3708" t="s">
        <v>155</v>
      </c>
      <c r="F3708" s="1">
        <v>42891</v>
      </c>
      <c r="I3708" t="str">
        <f>IF(COUNTIF(Products!$A$2:$A$8,C3708)=0,C3708,"")</f>
        <v/>
      </c>
      <c r="J3708">
        <f>IF(OR(E3708="Prospecting",E3708="Engaging"),VLOOKUP(C3708,Products!$A$2:$C$8,3,FALSE),0)</f>
        <v>55</v>
      </c>
    </row>
    <row r="3709" spans="1:10" x14ac:dyDescent="0.25">
      <c r="A3709" t="s">
        <v>3876</v>
      </c>
      <c r="B3709" t="s">
        <v>144</v>
      </c>
      <c r="C3709" t="s">
        <v>120</v>
      </c>
      <c r="D3709" t="s">
        <v>44</v>
      </c>
      <c r="E3709" t="s">
        <v>159</v>
      </c>
      <c r="F3709" s="1">
        <v>42891</v>
      </c>
      <c r="G3709" s="1">
        <v>43005</v>
      </c>
      <c r="H3709">
        <v>0</v>
      </c>
      <c r="I3709" t="str">
        <f>IF(COUNTIF(Products!$A$2:$A$8,C3709)=0,C3709,"")</f>
        <v/>
      </c>
      <c r="J3709">
        <f>IF(OR(E3709="Prospecting",E3709="Engaging"),VLOOKUP(C3709,Products!$A$2:$C$8,3,FALSE),0)</f>
        <v>0</v>
      </c>
    </row>
    <row r="3710" spans="1:10" x14ac:dyDescent="0.25">
      <c r="A3710" t="s">
        <v>3877</v>
      </c>
      <c r="B3710" t="s">
        <v>146</v>
      </c>
      <c r="C3710" t="s">
        <v>123</v>
      </c>
      <c r="D3710" t="s">
        <v>96</v>
      </c>
      <c r="E3710" t="s">
        <v>138</v>
      </c>
      <c r="F3710" s="1">
        <v>42892</v>
      </c>
      <c r="G3710" s="1">
        <v>43005</v>
      </c>
      <c r="H3710">
        <v>55</v>
      </c>
      <c r="I3710" t="str">
        <f>IF(COUNTIF(Products!$A$2:$A$8,C3710)=0,C3710,"")</f>
        <v/>
      </c>
      <c r="J3710">
        <f>IF(OR(E3710="Prospecting",E3710="Engaging"),VLOOKUP(C3710,Products!$A$2:$C$8,3,FALSE),0)</f>
        <v>0</v>
      </c>
    </row>
    <row r="3711" spans="1:10" x14ac:dyDescent="0.25">
      <c r="A3711" t="s">
        <v>3878</v>
      </c>
      <c r="B3711" t="s">
        <v>207</v>
      </c>
      <c r="C3711" t="s">
        <v>125</v>
      </c>
      <c r="D3711" t="s">
        <v>63</v>
      </c>
      <c r="E3711" t="s">
        <v>138</v>
      </c>
      <c r="F3711" s="1">
        <v>42892</v>
      </c>
      <c r="G3711" s="1">
        <v>42956</v>
      </c>
      <c r="H3711">
        <v>3042</v>
      </c>
      <c r="I3711" t="str">
        <f>IF(COUNTIF(Products!$A$2:$A$8,C3711)=0,C3711,"")</f>
        <v/>
      </c>
      <c r="J3711">
        <f>IF(OR(E3711="Prospecting",E3711="Engaging"),VLOOKUP(C3711,Products!$A$2:$C$8,3,FALSE),0)</f>
        <v>0</v>
      </c>
    </row>
    <row r="3712" spans="1:10" x14ac:dyDescent="0.25">
      <c r="A3712" t="s">
        <v>3879</v>
      </c>
      <c r="B3712" t="s">
        <v>239</v>
      </c>
      <c r="C3712" t="s">
        <v>122</v>
      </c>
      <c r="D3712" t="s">
        <v>48</v>
      </c>
      <c r="E3712" t="s">
        <v>138</v>
      </c>
      <c r="F3712" s="1">
        <v>42892</v>
      </c>
      <c r="G3712" s="1">
        <v>42958</v>
      </c>
      <c r="H3712">
        <v>4230</v>
      </c>
      <c r="I3712" t="str">
        <f>IF(COUNTIF(Products!$A$2:$A$8,C3712)=0,C3712,"")</f>
        <v/>
      </c>
      <c r="J3712">
        <f>IF(OR(E3712="Prospecting",E3712="Engaging"),VLOOKUP(C3712,Products!$A$2:$C$8,3,FALSE),0)</f>
        <v>0</v>
      </c>
    </row>
    <row r="3713" spans="1:10" x14ac:dyDescent="0.25">
      <c r="A3713" t="s">
        <v>3880</v>
      </c>
      <c r="B3713" t="s">
        <v>171</v>
      </c>
      <c r="C3713" t="s">
        <v>127</v>
      </c>
      <c r="D3713" t="s">
        <v>63</v>
      </c>
      <c r="E3713" t="s">
        <v>138</v>
      </c>
      <c r="F3713" s="1">
        <v>42892</v>
      </c>
      <c r="G3713" s="1">
        <v>42962</v>
      </c>
      <c r="H3713">
        <v>979</v>
      </c>
      <c r="I3713" t="str">
        <f>IF(COUNTIF(Products!$A$2:$A$8,C3713)=0,C3713,"")</f>
        <v/>
      </c>
      <c r="J3713">
        <f>IF(OR(E3713="Prospecting",E3713="Engaging"),VLOOKUP(C3713,Products!$A$2:$C$8,3,FALSE),0)</f>
        <v>0</v>
      </c>
    </row>
    <row r="3714" spans="1:10" x14ac:dyDescent="0.25">
      <c r="A3714" t="s">
        <v>3881</v>
      </c>
      <c r="B3714" t="s">
        <v>171</v>
      </c>
      <c r="C3714" t="s">
        <v>127</v>
      </c>
      <c r="D3714" t="s">
        <v>115</v>
      </c>
      <c r="E3714" t="s">
        <v>138</v>
      </c>
      <c r="F3714" s="1">
        <v>42892</v>
      </c>
      <c r="G3714" s="1">
        <v>42903</v>
      </c>
      <c r="H3714">
        <v>1064</v>
      </c>
      <c r="I3714" t="str">
        <f>IF(COUNTIF(Products!$A$2:$A$8,C3714)=0,C3714,"")</f>
        <v/>
      </c>
      <c r="J3714">
        <f>IF(OR(E3714="Prospecting",E3714="Engaging"),VLOOKUP(C3714,Products!$A$2:$C$8,3,FALSE),0)</f>
        <v>0</v>
      </c>
    </row>
    <row r="3715" spans="1:10" x14ac:dyDescent="0.25">
      <c r="A3715" t="s">
        <v>3882</v>
      </c>
      <c r="B3715" t="s">
        <v>171</v>
      </c>
      <c r="C3715" t="s">
        <v>122</v>
      </c>
      <c r="D3715" t="s">
        <v>108</v>
      </c>
      <c r="E3715" t="s">
        <v>138</v>
      </c>
      <c r="F3715" s="1">
        <v>42892</v>
      </c>
      <c r="G3715" s="1">
        <v>42967</v>
      </c>
      <c r="H3715">
        <v>5166</v>
      </c>
      <c r="I3715" t="str">
        <f>IF(COUNTIF(Products!$A$2:$A$8,C3715)=0,C3715,"")</f>
        <v/>
      </c>
      <c r="J3715">
        <f>IF(OR(E3715="Prospecting",E3715="Engaging"),VLOOKUP(C3715,Products!$A$2:$C$8,3,FALSE),0)</f>
        <v>0</v>
      </c>
    </row>
    <row r="3716" spans="1:10" x14ac:dyDescent="0.25">
      <c r="A3716" t="s">
        <v>3883</v>
      </c>
      <c r="B3716" t="s">
        <v>224</v>
      </c>
      <c r="C3716" t="s">
        <v>127</v>
      </c>
      <c r="D3716" t="s">
        <v>16</v>
      </c>
      <c r="E3716" t="s">
        <v>138</v>
      </c>
      <c r="F3716" s="1">
        <v>42892</v>
      </c>
      <c r="G3716" s="1">
        <v>42970</v>
      </c>
      <c r="H3716">
        <v>1036</v>
      </c>
      <c r="I3716" t="str">
        <f>IF(COUNTIF(Products!$A$2:$A$8,C3716)=0,C3716,"")</f>
        <v/>
      </c>
      <c r="J3716">
        <f>IF(OR(E3716="Prospecting",E3716="Engaging"),VLOOKUP(C3716,Products!$A$2:$C$8,3,FALSE),0)</f>
        <v>0</v>
      </c>
    </row>
    <row r="3717" spans="1:10" x14ac:dyDescent="0.25">
      <c r="A3717" t="s">
        <v>3884</v>
      </c>
      <c r="B3717" t="s">
        <v>173</v>
      </c>
      <c r="C3717" t="s">
        <v>122</v>
      </c>
      <c r="D3717" t="s">
        <v>61</v>
      </c>
      <c r="E3717" t="s">
        <v>138</v>
      </c>
      <c r="F3717" s="1">
        <v>42892</v>
      </c>
      <c r="G3717" s="1">
        <v>42953</v>
      </c>
      <c r="H3717">
        <v>4330</v>
      </c>
      <c r="I3717" t="str">
        <f>IF(COUNTIF(Products!$A$2:$A$8,C3717)=0,C3717,"")</f>
        <v/>
      </c>
      <c r="J3717">
        <f>IF(OR(E3717="Prospecting",E3717="Engaging"),VLOOKUP(C3717,Products!$A$2:$C$8,3,FALSE),0)</f>
        <v>0</v>
      </c>
    </row>
    <row r="3718" spans="1:10" x14ac:dyDescent="0.25">
      <c r="A3718" t="s">
        <v>3885</v>
      </c>
      <c r="B3718" t="s">
        <v>158</v>
      </c>
      <c r="C3718" t="s">
        <v>125</v>
      </c>
      <c r="D3718" t="s">
        <v>61</v>
      </c>
      <c r="E3718" t="s">
        <v>138</v>
      </c>
      <c r="F3718" s="1">
        <v>42892</v>
      </c>
      <c r="G3718" s="1">
        <v>42991</v>
      </c>
      <c r="H3718">
        <v>3598</v>
      </c>
      <c r="I3718" t="str">
        <f>IF(COUNTIF(Products!$A$2:$A$8,C3718)=0,C3718,"")</f>
        <v/>
      </c>
      <c r="J3718">
        <f>IF(OR(E3718="Prospecting",E3718="Engaging"),VLOOKUP(C3718,Products!$A$2:$C$8,3,FALSE),0)</f>
        <v>0</v>
      </c>
    </row>
    <row r="3719" spans="1:10" x14ac:dyDescent="0.25">
      <c r="A3719" t="s">
        <v>3886</v>
      </c>
      <c r="B3719" t="s">
        <v>154</v>
      </c>
      <c r="C3719" t="s">
        <v>120</v>
      </c>
      <c r="D3719" t="s">
        <v>56</v>
      </c>
      <c r="E3719" t="s">
        <v>138</v>
      </c>
      <c r="F3719" s="1">
        <v>42892</v>
      </c>
      <c r="G3719" s="1">
        <v>42963</v>
      </c>
      <c r="H3719">
        <v>431</v>
      </c>
      <c r="I3719" t="str">
        <f>IF(COUNTIF(Products!$A$2:$A$8,C3719)=0,C3719,"")</f>
        <v/>
      </c>
      <c r="J3719">
        <f>IF(OR(E3719="Prospecting",E3719="Engaging"),VLOOKUP(C3719,Products!$A$2:$C$8,3,FALSE),0)</f>
        <v>0</v>
      </c>
    </row>
    <row r="3720" spans="1:10" x14ac:dyDescent="0.25">
      <c r="A3720" t="s">
        <v>3887</v>
      </c>
      <c r="B3720" t="s">
        <v>303</v>
      </c>
      <c r="C3720" t="s">
        <v>127</v>
      </c>
      <c r="D3720" t="s">
        <v>46</v>
      </c>
      <c r="E3720" t="s">
        <v>159</v>
      </c>
      <c r="F3720" s="1">
        <v>42892</v>
      </c>
      <c r="G3720" s="1">
        <v>42975</v>
      </c>
      <c r="H3720">
        <v>0</v>
      </c>
      <c r="I3720" t="str">
        <f>IF(COUNTIF(Products!$A$2:$A$8,C3720)=0,C3720,"")</f>
        <v/>
      </c>
      <c r="J3720">
        <f>IF(OR(E3720="Prospecting",E3720="Engaging"),VLOOKUP(C3720,Products!$A$2:$C$8,3,FALSE),0)</f>
        <v>0</v>
      </c>
    </row>
    <row r="3721" spans="1:10" x14ac:dyDescent="0.25">
      <c r="A3721" t="s">
        <v>3888</v>
      </c>
      <c r="B3721" t="s">
        <v>303</v>
      </c>
      <c r="C3721" t="s">
        <v>120</v>
      </c>
      <c r="D3721" t="s">
        <v>46</v>
      </c>
      <c r="E3721" t="s">
        <v>138</v>
      </c>
      <c r="F3721" s="1">
        <v>42892</v>
      </c>
      <c r="G3721" s="1">
        <v>42903</v>
      </c>
      <c r="H3721">
        <v>624</v>
      </c>
      <c r="I3721" t="str">
        <f>IF(COUNTIF(Products!$A$2:$A$8,C3721)=0,C3721,"")</f>
        <v/>
      </c>
      <c r="J3721">
        <f>IF(OR(E3721="Prospecting",E3721="Engaging"),VLOOKUP(C3721,Products!$A$2:$C$8,3,FALSE),0)</f>
        <v>0</v>
      </c>
    </row>
    <row r="3722" spans="1:10" x14ac:dyDescent="0.25">
      <c r="A3722" t="s">
        <v>3889</v>
      </c>
      <c r="B3722" t="s">
        <v>303</v>
      </c>
      <c r="C3722" t="s">
        <v>127</v>
      </c>
      <c r="D3722" t="s">
        <v>42</v>
      </c>
      <c r="E3722" t="s">
        <v>138</v>
      </c>
      <c r="F3722" s="1">
        <v>42892</v>
      </c>
      <c r="G3722" s="1">
        <v>42897</v>
      </c>
      <c r="H3722">
        <v>1140</v>
      </c>
      <c r="I3722" t="str">
        <f>IF(COUNTIF(Products!$A$2:$A$8,C3722)=0,C3722,"")</f>
        <v/>
      </c>
      <c r="J3722">
        <f>IF(OR(E3722="Prospecting",E3722="Engaging"),VLOOKUP(C3722,Products!$A$2:$C$8,3,FALSE),0)</f>
        <v>0</v>
      </c>
    </row>
    <row r="3723" spans="1:10" x14ac:dyDescent="0.25">
      <c r="A3723" t="s">
        <v>3890</v>
      </c>
      <c r="B3723" t="s">
        <v>180</v>
      </c>
      <c r="C3723" t="s">
        <v>123</v>
      </c>
      <c r="D3723" t="s">
        <v>27</v>
      </c>
      <c r="E3723" t="s">
        <v>138</v>
      </c>
      <c r="F3723" s="1">
        <v>42892</v>
      </c>
      <c r="G3723" s="1">
        <v>42995</v>
      </c>
      <c r="H3723">
        <v>62</v>
      </c>
      <c r="I3723" t="str">
        <f>IF(COUNTIF(Products!$A$2:$A$8,C3723)=0,C3723,"")</f>
        <v/>
      </c>
      <c r="J3723">
        <f>IF(OR(E3723="Prospecting",E3723="Engaging"),VLOOKUP(C3723,Products!$A$2:$C$8,3,FALSE),0)</f>
        <v>0</v>
      </c>
    </row>
    <row r="3724" spans="1:10" x14ac:dyDescent="0.25">
      <c r="A3724" t="s">
        <v>3891</v>
      </c>
      <c r="B3724" t="s">
        <v>191</v>
      </c>
      <c r="C3724" t="s">
        <v>120</v>
      </c>
      <c r="D3724" t="s">
        <v>38</v>
      </c>
      <c r="E3724" t="s">
        <v>159</v>
      </c>
      <c r="F3724" s="1">
        <v>42892</v>
      </c>
      <c r="G3724" s="1">
        <v>42948</v>
      </c>
      <c r="H3724">
        <v>0</v>
      </c>
      <c r="I3724" t="str">
        <f>IF(COUNTIF(Products!$A$2:$A$8,C3724)=0,C3724,"")</f>
        <v/>
      </c>
      <c r="J3724">
        <f>IF(OR(E3724="Prospecting",E3724="Engaging"),VLOOKUP(C3724,Products!$A$2:$C$8,3,FALSE),0)</f>
        <v>0</v>
      </c>
    </row>
    <row r="3725" spans="1:10" x14ac:dyDescent="0.25">
      <c r="A3725" t="s">
        <v>3892</v>
      </c>
      <c r="B3725" t="s">
        <v>217</v>
      </c>
      <c r="C3725" t="s">
        <v>120</v>
      </c>
      <c r="D3725" t="s">
        <v>96</v>
      </c>
      <c r="E3725" t="s">
        <v>138</v>
      </c>
      <c r="F3725" s="1">
        <v>42892</v>
      </c>
      <c r="G3725" s="1">
        <v>42993</v>
      </c>
      <c r="H3725">
        <v>584</v>
      </c>
      <c r="I3725" t="str">
        <f>IF(COUNTIF(Products!$A$2:$A$8,C3725)=0,C3725,"")</f>
        <v/>
      </c>
      <c r="J3725">
        <f>IF(OR(E3725="Prospecting",E3725="Engaging"),VLOOKUP(C3725,Products!$A$2:$C$8,3,FALSE),0)</f>
        <v>0</v>
      </c>
    </row>
    <row r="3726" spans="1:10" x14ac:dyDescent="0.25">
      <c r="A3726" t="s">
        <v>3893</v>
      </c>
      <c r="B3726" t="s">
        <v>150</v>
      </c>
      <c r="C3726" t="s">
        <v>123</v>
      </c>
      <c r="D3726" t="s">
        <v>72</v>
      </c>
      <c r="E3726" t="s">
        <v>159</v>
      </c>
      <c r="F3726" s="1">
        <v>42892</v>
      </c>
      <c r="G3726" s="1">
        <v>42987</v>
      </c>
      <c r="H3726">
        <v>0</v>
      </c>
      <c r="I3726" t="str">
        <f>IF(COUNTIF(Products!$A$2:$A$8,C3726)=0,C3726,"")</f>
        <v/>
      </c>
      <c r="J3726">
        <f>IF(OR(E3726="Prospecting",E3726="Engaging"),VLOOKUP(C3726,Products!$A$2:$C$8,3,FALSE),0)</f>
        <v>0</v>
      </c>
    </row>
    <row r="3727" spans="1:10" x14ac:dyDescent="0.25">
      <c r="A3727" t="s">
        <v>3894</v>
      </c>
      <c r="B3727" t="s">
        <v>150</v>
      </c>
      <c r="C3727" t="s">
        <v>123</v>
      </c>
      <c r="D3727" t="s">
        <v>56</v>
      </c>
      <c r="E3727" t="s">
        <v>138</v>
      </c>
      <c r="F3727" s="1">
        <v>42892</v>
      </c>
      <c r="G3727" s="1">
        <v>42966</v>
      </c>
      <c r="H3727">
        <v>57</v>
      </c>
      <c r="I3727" t="str">
        <f>IF(COUNTIF(Products!$A$2:$A$8,C3727)=0,C3727,"")</f>
        <v/>
      </c>
      <c r="J3727">
        <f>IF(OR(E3727="Prospecting",E3727="Engaging"),VLOOKUP(C3727,Products!$A$2:$C$8,3,FALSE),0)</f>
        <v>0</v>
      </c>
    </row>
    <row r="3728" spans="1:10" x14ac:dyDescent="0.25">
      <c r="A3728" t="s">
        <v>3895</v>
      </c>
      <c r="B3728" t="s">
        <v>152</v>
      </c>
      <c r="C3728" t="s">
        <v>127</v>
      </c>
      <c r="D3728" t="s">
        <v>95</v>
      </c>
      <c r="E3728" t="s">
        <v>138</v>
      </c>
      <c r="F3728" s="1">
        <v>42892</v>
      </c>
      <c r="G3728" s="1">
        <v>42952</v>
      </c>
      <c r="H3728">
        <v>1267</v>
      </c>
      <c r="I3728" t="str">
        <f>IF(COUNTIF(Products!$A$2:$A$8,C3728)=0,C3728,"")</f>
        <v/>
      </c>
      <c r="J3728">
        <f>IF(OR(E3728="Prospecting",E3728="Engaging"),VLOOKUP(C3728,Products!$A$2:$C$8,3,FALSE),0)</f>
        <v>0</v>
      </c>
    </row>
    <row r="3729" spans="1:10" x14ac:dyDescent="0.25">
      <c r="A3729" t="s">
        <v>3896</v>
      </c>
      <c r="B3729" t="s">
        <v>193</v>
      </c>
      <c r="C3729" t="s">
        <v>122</v>
      </c>
      <c r="D3729" t="s">
        <v>105</v>
      </c>
      <c r="E3729" t="s">
        <v>159</v>
      </c>
      <c r="F3729" s="1">
        <v>42892</v>
      </c>
      <c r="G3729" s="1">
        <v>42897</v>
      </c>
      <c r="H3729">
        <v>0</v>
      </c>
      <c r="I3729" t="str">
        <f>IF(COUNTIF(Products!$A$2:$A$8,C3729)=0,C3729,"")</f>
        <v/>
      </c>
      <c r="J3729">
        <f>IF(OR(E3729="Prospecting",E3729="Engaging"),VLOOKUP(C3729,Products!$A$2:$C$8,3,FALSE),0)</f>
        <v>0</v>
      </c>
    </row>
    <row r="3730" spans="1:10" x14ac:dyDescent="0.25">
      <c r="A3730" t="s">
        <v>3897</v>
      </c>
      <c r="B3730" t="s">
        <v>187</v>
      </c>
      <c r="C3730" t="s">
        <v>123</v>
      </c>
      <c r="E3730" t="s">
        <v>155</v>
      </c>
      <c r="F3730" s="1">
        <v>42892</v>
      </c>
      <c r="I3730" t="str">
        <f>IF(COUNTIF(Products!$A$2:$A$8,C3730)=0,C3730,"")</f>
        <v/>
      </c>
      <c r="J3730">
        <f>IF(OR(E3730="Prospecting",E3730="Engaging"),VLOOKUP(C3730,Products!$A$2:$C$8,3,FALSE),0)</f>
        <v>55</v>
      </c>
    </row>
    <row r="3731" spans="1:10" x14ac:dyDescent="0.25">
      <c r="A3731" t="s">
        <v>3898</v>
      </c>
      <c r="B3731" t="s">
        <v>148</v>
      </c>
      <c r="C3731" t="s">
        <v>123</v>
      </c>
      <c r="D3731" t="s">
        <v>83</v>
      </c>
      <c r="E3731" t="s">
        <v>138</v>
      </c>
      <c r="F3731" s="1">
        <v>42892</v>
      </c>
      <c r="G3731" s="1">
        <v>42994</v>
      </c>
      <c r="H3731">
        <v>55</v>
      </c>
      <c r="I3731" t="str">
        <f>IF(COUNTIF(Products!$A$2:$A$8,C3731)=0,C3731,"")</f>
        <v/>
      </c>
      <c r="J3731">
        <f>IF(OR(E3731="Prospecting",E3731="Engaging"),VLOOKUP(C3731,Products!$A$2:$C$8,3,FALSE),0)</f>
        <v>0</v>
      </c>
    </row>
    <row r="3732" spans="1:10" x14ac:dyDescent="0.25">
      <c r="A3732" t="s">
        <v>3899</v>
      </c>
      <c r="B3732" t="s">
        <v>177</v>
      </c>
      <c r="C3732" t="s">
        <v>125</v>
      </c>
      <c r="E3732" t="s">
        <v>155</v>
      </c>
      <c r="F3732" s="1">
        <v>42892</v>
      </c>
      <c r="I3732" t="str">
        <f>IF(COUNTIF(Products!$A$2:$A$8,C3732)=0,C3732,"")</f>
        <v/>
      </c>
      <c r="J3732">
        <f>IF(OR(E3732="Prospecting",E3732="Engaging"),VLOOKUP(C3732,Products!$A$2:$C$8,3,FALSE),0)</f>
        <v>3393</v>
      </c>
    </row>
    <row r="3733" spans="1:10" x14ac:dyDescent="0.25">
      <c r="A3733" t="s">
        <v>3900</v>
      </c>
      <c r="B3733" t="s">
        <v>177</v>
      </c>
      <c r="C3733" t="s">
        <v>123</v>
      </c>
      <c r="D3733" t="s">
        <v>81</v>
      </c>
      <c r="E3733" t="s">
        <v>138</v>
      </c>
      <c r="F3733" s="1">
        <v>42892</v>
      </c>
      <c r="G3733" s="1">
        <v>42988</v>
      </c>
      <c r="H3733">
        <v>63</v>
      </c>
      <c r="I3733" t="str">
        <f>IF(COUNTIF(Products!$A$2:$A$8,C3733)=0,C3733,"")</f>
        <v/>
      </c>
      <c r="J3733">
        <f>IF(OR(E3733="Prospecting",E3733="Engaging"),VLOOKUP(C3733,Products!$A$2:$C$8,3,FALSE),0)</f>
        <v>0</v>
      </c>
    </row>
    <row r="3734" spans="1:10" x14ac:dyDescent="0.25">
      <c r="A3734" t="s">
        <v>3901</v>
      </c>
      <c r="B3734" t="s">
        <v>196</v>
      </c>
      <c r="C3734" t="s">
        <v>122</v>
      </c>
      <c r="D3734" t="s">
        <v>35</v>
      </c>
      <c r="E3734" t="s">
        <v>138</v>
      </c>
      <c r="F3734" s="1">
        <v>42892</v>
      </c>
      <c r="G3734" s="1">
        <v>42983</v>
      </c>
      <c r="H3734">
        <v>3961</v>
      </c>
      <c r="I3734" t="str">
        <f>IF(COUNTIF(Products!$A$2:$A$8,C3734)=0,C3734,"")</f>
        <v/>
      </c>
      <c r="J3734">
        <f>IF(OR(E3734="Prospecting",E3734="Engaging"),VLOOKUP(C3734,Products!$A$2:$C$8,3,FALSE),0)</f>
        <v>0</v>
      </c>
    </row>
    <row r="3735" spans="1:10" x14ac:dyDescent="0.25">
      <c r="A3735" t="s">
        <v>3902</v>
      </c>
      <c r="B3735" t="s">
        <v>196</v>
      </c>
      <c r="C3735" t="s">
        <v>123</v>
      </c>
      <c r="D3735" t="s">
        <v>111</v>
      </c>
      <c r="E3735" t="s">
        <v>138</v>
      </c>
      <c r="F3735" s="1">
        <v>42892</v>
      </c>
      <c r="G3735" s="1">
        <v>42973</v>
      </c>
      <c r="H3735">
        <v>45</v>
      </c>
      <c r="I3735" t="str">
        <f>IF(COUNTIF(Products!$A$2:$A$8,C3735)=0,C3735,"")</f>
        <v/>
      </c>
      <c r="J3735">
        <f>IF(OR(E3735="Prospecting",E3735="Engaging"),VLOOKUP(C3735,Products!$A$2:$C$8,3,FALSE),0)</f>
        <v>0</v>
      </c>
    </row>
    <row r="3736" spans="1:10" x14ac:dyDescent="0.25">
      <c r="A3736" t="s">
        <v>3903</v>
      </c>
      <c r="B3736" t="s">
        <v>146</v>
      </c>
      <c r="C3736" t="s">
        <v>123</v>
      </c>
      <c r="D3736" t="s">
        <v>77</v>
      </c>
      <c r="E3736" t="s">
        <v>138</v>
      </c>
      <c r="F3736" s="1">
        <v>42893</v>
      </c>
      <c r="G3736" s="1">
        <v>42967</v>
      </c>
      <c r="H3736">
        <v>61</v>
      </c>
      <c r="I3736" t="str">
        <f>IF(COUNTIF(Products!$A$2:$A$8,C3736)=0,C3736,"")</f>
        <v/>
      </c>
      <c r="J3736">
        <f>IF(OR(E3736="Prospecting",E3736="Engaging"),VLOOKUP(C3736,Products!$A$2:$C$8,3,FALSE),0)</f>
        <v>0</v>
      </c>
    </row>
    <row r="3737" spans="1:10" x14ac:dyDescent="0.25">
      <c r="A3737" t="s">
        <v>3904</v>
      </c>
      <c r="B3737" t="s">
        <v>207</v>
      </c>
      <c r="C3737" t="s">
        <v>125</v>
      </c>
      <c r="D3737" t="s">
        <v>20</v>
      </c>
      <c r="E3737" t="s">
        <v>159</v>
      </c>
      <c r="F3737" s="1">
        <v>42893</v>
      </c>
      <c r="G3737" s="1">
        <v>42986</v>
      </c>
      <c r="H3737">
        <v>0</v>
      </c>
      <c r="I3737" t="str">
        <f>IF(COUNTIF(Products!$A$2:$A$8,C3737)=0,C3737,"")</f>
        <v/>
      </c>
      <c r="J3737">
        <f>IF(OR(E3737="Prospecting",E3737="Engaging"),VLOOKUP(C3737,Products!$A$2:$C$8,3,FALSE),0)</f>
        <v>0</v>
      </c>
    </row>
    <row r="3738" spans="1:10" x14ac:dyDescent="0.25">
      <c r="A3738" t="s">
        <v>3905</v>
      </c>
      <c r="B3738" t="s">
        <v>140</v>
      </c>
      <c r="C3738" t="s">
        <v>127</v>
      </c>
      <c r="D3738" t="s">
        <v>64</v>
      </c>
      <c r="E3738" t="s">
        <v>138</v>
      </c>
      <c r="F3738" s="1">
        <v>42893</v>
      </c>
      <c r="G3738" s="1">
        <v>42978</v>
      </c>
      <c r="H3738">
        <v>1114</v>
      </c>
      <c r="I3738" t="str">
        <f>IF(COUNTIF(Products!$A$2:$A$8,C3738)=0,C3738,"")</f>
        <v/>
      </c>
      <c r="J3738">
        <f>IF(OR(E3738="Prospecting",E3738="Engaging"),VLOOKUP(C3738,Products!$A$2:$C$8,3,FALSE),0)</f>
        <v>0</v>
      </c>
    </row>
    <row r="3739" spans="1:10" x14ac:dyDescent="0.25">
      <c r="A3739" t="s">
        <v>3906</v>
      </c>
      <c r="B3739" t="s">
        <v>173</v>
      </c>
      <c r="C3739" t="s">
        <v>125</v>
      </c>
      <c r="D3739" t="s">
        <v>111</v>
      </c>
      <c r="E3739" t="s">
        <v>155</v>
      </c>
      <c r="F3739" s="1">
        <v>42893</v>
      </c>
      <c r="I3739" t="str">
        <f>IF(COUNTIF(Products!$A$2:$A$8,C3739)=0,C3739,"")</f>
        <v/>
      </c>
      <c r="J3739">
        <f>IF(OR(E3739="Prospecting",E3739="Engaging"),VLOOKUP(C3739,Products!$A$2:$C$8,3,FALSE),0)</f>
        <v>3393</v>
      </c>
    </row>
    <row r="3740" spans="1:10" x14ac:dyDescent="0.25">
      <c r="A3740" t="s">
        <v>3907</v>
      </c>
      <c r="B3740" t="s">
        <v>198</v>
      </c>
      <c r="C3740" t="s">
        <v>120</v>
      </c>
      <c r="D3740" t="s">
        <v>67</v>
      </c>
      <c r="E3740" t="s">
        <v>138</v>
      </c>
      <c r="F3740" s="1">
        <v>42893</v>
      </c>
      <c r="G3740" s="1">
        <v>42952</v>
      </c>
      <c r="H3740">
        <v>566</v>
      </c>
      <c r="I3740" t="str">
        <f>IF(COUNTIF(Products!$A$2:$A$8,C3740)=0,C3740,"")</f>
        <v/>
      </c>
      <c r="J3740">
        <f>IF(OR(E3740="Prospecting",E3740="Engaging"),VLOOKUP(C3740,Products!$A$2:$C$8,3,FALSE),0)</f>
        <v>0</v>
      </c>
    </row>
    <row r="3741" spans="1:10" x14ac:dyDescent="0.25">
      <c r="A3741" t="s">
        <v>3908</v>
      </c>
      <c r="B3741" t="s">
        <v>158</v>
      </c>
      <c r="C3741" t="s">
        <v>125</v>
      </c>
      <c r="D3741" t="s">
        <v>30</v>
      </c>
      <c r="E3741" t="s">
        <v>159</v>
      </c>
      <c r="F3741" s="1">
        <v>42893</v>
      </c>
      <c r="G3741" s="1">
        <v>42967</v>
      </c>
      <c r="H3741">
        <v>0</v>
      </c>
      <c r="I3741" t="str">
        <f>IF(COUNTIF(Products!$A$2:$A$8,C3741)=0,C3741,"")</f>
        <v/>
      </c>
      <c r="J3741">
        <f>IF(OR(E3741="Prospecting",E3741="Engaging"),VLOOKUP(C3741,Products!$A$2:$C$8,3,FALSE),0)</f>
        <v>0</v>
      </c>
    </row>
    <row r="3742" spans="1:10" x14ac:dyDescent="0.25">
      <c r="A3742" t="s">
        <v>3909</v>
      </c>
      <c r="B3742" t="s">
        <v>164</v>
      </c>
      <c r="C3742" t="s">
        <v>123</v>
      </c>
      <c r="D3742" t="s">
        <v>57</v>
      </c>
      <c r="E3742" t="s">
        <v>138</v>
      </c>
      <c r="F3742" s="1">
        <v>42893</v>
      </c>
      <c r="G3742" s="1">
        <v>42907</v>
      </c>
      <c r="H3742">
        <v>56</v>
      </c>
      <c r="I3742" t="str">
        <f>IF(COUNTIF(Products!$A$2:$A$8,C3742)=0,C3742,"")</f>
        <v/>
      </c>
      <c r="J3742">
        <f>IF(OR(E3742="Prospecting",E3742="Engaging"),VLOOKUP(C3742,Products!$A$2:$C$8,3,FALSE),0)</f>
        <v>0</v>
      </c>
    </row>
    <row r="3743" spans="1:10" x14ac:dyDescent="0.25">
      <c r="A3743" t="s">
        <v>3910</v>
      </c>
      <c r="B3743" t="s">
        <v>303</v>
      </c>
      <c r="C3743" t="s">
        <v>120</v>
      </c>
      <c r="D3743" t="s">
        <v>88</v>
      </c>
      <c r="E3743" t="s">
        <v>138</v>
      </c>
      <c r="F3743" s="1">
        <v>42893</v>
      </c>
      <c r="G3743" s="1">
        <v>42904</v>
      </c>
      <c r="H3743">
        <v>627</v>
      </c>
      <c r="I3743" t="str">
        <f>IF(COUNTIF(Products!$A$2:$A$8,C3743)=0,C3743,"")</f>
        <v/>
      </c>
      <c r="J3743">
        <f>IF(OR(E3743="Prospecting",E3743="Engaging"),VLOOKUP(C3743,Products!$A$2:$C$8,3,FALSE),0)</f>
        <v>0</v>
      </c>
    </row>
    <row r="3744" spans="1:10" x14ac:dyDescent="0.25">
      <c r="A3744" t="s">
        <v>3911</v>
      </c>
      <c r="B3744" t="s">
        <v>150</v>
      </c>
      <c r="C3744" t="s">
        <v>123</v>
      </c>
      <c r="E3744" t="s">
        <v>155</v>
      </c>
      <c r="F3744" s="1">
        <v>42893</v>
      </c>
      <c r="I3744" t="str">
        <f>IF(COUNTIF(Products!$A$2:$A$8,C3744)=0,C3744,"")</f>
        <v/>
      </c>
      <c r="J3744">
        <f>IF(OR(E3744="Prospecting",E3744="Engaging"),VLOOKUP(C3744,Products!$A$2:$C$8,3,FALSE),0)</f>
        <v>55</v>
      </c>
    </row>
    <row r="3745" spans="1:10" x14ac:dyDescent="0.25">
      <c r="A3745" t="s">
        <v>3912</v>
      </c>
      <c r="B3745" t="s">
        <v>150</v>
      </c>
      <c r="C3745" t="s">
        <v>127</v>
      </c>
      <c r="D3745" t="s">
        <v>29</v>
      </c>
      <c r="E3745" t="s">
        <v>138</v>
      </c>
      <c r="F3745" s="1">
        <v>42893</v>
      </c>
      <c r="G3745" s="1">
        <v>42963</v>
      </c>
      <c r="H3745">
        <v>1101</v>
      </c>
      <c r="I3745" t="str">
        <f>IF(COUNTIF(Products!$A$2:$A$8,C3745)=0,C3745,"")</f>
        <v/>
      </c>
      <c r="J3745">
        <f>IF(OR(E3745="Prospecting",E3745="Engaging"),VLOOKUP(C3745,Products!$A$2:$C$8,3,FALSE),0)</f>
        <v>0</v>
      </c>
    </row>
    <row r="3746" spans="1:10" x14ac:dyDescent="0.25">
      <c r="A3746" t="s">
        <v>3913</v>
      </c>
      <c r="B3746" t="s">
        <v>150</v>
      </c>
      <c r="C3746" t="s">
        <v>125</v>
      </c>
      <c r="D3746" t="s">
        <v>61</v>
      </c>
      <c r="E3746" t="s">
        <v>138</v>
      </c>
      <c r="F3746" s="1">
        <v>42893</v>
      </c>
      <c r="G3746" s="1">
        <v>42995</v>
      </c>
      <c r="H3746">
        <v>2979</v>
      </c>
      <c r="I3746" t="str">
        <f>IF(COUNTIF(Products!$A$2:$A$8,C3746)=0,C3746,"")</f>
        <v/>
      </c>
      <c r="J3746">
        <f>IF(OR(E3746="Prospecting",E3746="Engaging"),VLOOKUP(C3746,Products!$A$2:$C$8,3,FALSE),0)</f>
        <v>0</v>
      </c>
    </row>
    <row r="3747" spans="1:10" x14ac:dyDescent="0.25">
      <c r="A3747" t="s">
        <v>3914</v>
      </c>
      <c r="B3747" t="s">
        <v>205</v>
      </c>
      <c r="C3747" t="s">
        <v>125</v>
      </c>
      <c r="D3747" t="s">
        <v>64</v>
      </c>
      <c r="E3747" t="s">
        <v>159</v>
      </c>
      <c r="F3747" s="1">
        <v>42893</v>
      </c>
      <c r="G3747" s="1">
        <v>42982</v>
      </c>
      <c r="H3747">
        <v>0</v>
      </c>
      <c r="I3747" t="str">
        <f>IF(COUNTIF(Products!$A$2:$A$8,C3747)=0,C3747,"")</f>
        <v/>
      </c>
      <c r="J3747">
        <f>IF(OR(E3747="Prospecting",E3747="Engaging"),VLOOKUP(C3747,Products!$A$2:$C$8,3,FALSE),0)</f>
        <v>0</v>
      </c>
    </row>
    <row r="3748" spans="1:10" x14ac:dyDescent="0.25">
      <c r="A3748" t="s">
        <v>3915</v>
      </c>
      <c r="B3748" t="s">
        <v>193</v>
      </c>
      <c r="C3748" t="s">
        <v>122</v>
      </c>
      <c r="D3748" t="s">
        <v>50</v>
      </c>
      <c r="E3748" t="s">
        <v>159</v>
      </c>
      <c r="F3748" s="1">
        <v>42893</v>
      </c>
      <c r="G3748" s="1">
        <v>42952</v>
      </c>
      <c r="H3748">
        <v>0</v>
      </c>
      <c r="I3748" t="str">
        <f>IF(COUNTIF(Products!$A$2:$A$8,C3748)=0,C3748,"")</f>
        <v/>
      </c>
      <c r="J3748">
        <f>IF(OR(E3748="Prospecting",E3748="Engaging"),VLOOKUP(C3748,Products!$A$2:$C$8,3,FALSE),0)</f>
        <v>0</v>
      </c>
    </row>
    <row r="3749" spans="1:10" x14ac:dyDescent="0.25">
      <c r="A3749" t="s">
        <v>3916</v>
      </c>
      <c r="B3749" t="s">
        <v>169</v>
      </c>
      <c r="C3749" t="s">
        <v>125</v>
      </c>
      <c r="D3749" t="s">
        <v>77</v>
      </c>
      <c r="E3749" t="s">
        <v>138</v>
      </c>
      <c r="F3749" s="1">
        <v>42893</v>
      </c>
      <c r="G3749" s="1">
        <v>42903</v>
      </c>
      <c r="H3749">
        <v>3662</v>
      </c>
      <c r="I3749" t="str">
        <f>IF(COUNTIF(Products!$A$2:$A$8,C3749)=0,C3749,"")</f>
        <v/>
      </c>
      <c r="J3749">
        <f>IF(OR(E3749="Prospecting",E3749="Engaging"),VLOOKUP(C3749,Products!$A$2:$C$8,3,FALSE),0)</f>
        <v>0</v>
      </c>
    </row>
    <row r="3750" spans="1:10" x14ac:dyDescent="0.25">
      <c r="A3750" t="s">
        <v>3917</v>
      </c>
      <c r="B3750" t="s">
        <v>148</v>
      </c>
      <c r="C3750" t="s">
        <v>126</v>
      </c>
      <c r="E3750" t="s">
        <v>155</v>
      </c>
      <c r="F3750" s="1">
        <v>42893</v>
      </c>
      <c r="I3750" t="str">
        <f>IF(COUNTIF(Products!$A$2:$A$8,C3750)=0,C3750,"")</f>
        <v/>
      </c>
      <c r="J3750">
        <f>IF(OR(E3750="Prospecting",E3750="Engaging"),VLOOKUP(C3750,Products!$A$2:$C$8,3,FALSE),0)</f>
        <v>5482</v>
      </c>
    </row>
    <row r="3751" spans="1:10" x14ac:dyDescent="0.25">
      <c r="A3751" t="s">
        <v>3918</v>
      </c>
      <c r="B3751" t="s">
        <v>177</v>
      </c>
      <c r="C3751" t="s">
        <v>123</v>
      </c>
      <c r="E3751" t="s">
        <v>155</v>
      </c>
      <c r="F3751" s="1">
        <v>42893</v>
      </c>
      <c r="I3751" t="str">
        <f>IF(COUNTIF(Products!$A$2:$A$8,C3751)=0,C3751,"")</f>
        <v/>
      </c>
      <c r="J3751">
        <f>IF(OR(E3751="Prospecting",E3751="Engaging"),VLOOKUP(C3751,Products!$A$2:$C$8,3,FALSE),0)</f>
        <v>55</v>
      </c>
    </row>
    <row r="3752" spans="1:10" x14ac:dyDescent="0.25">
      <c r="A3752" t="s">
        <v>3919</v>
      </c>
      <c r="B3752" t="s">
        <v>144</v>
      </c>
      <c r="C3752" t="s">
        <v>127</v>
      </c>
      <c r="D3752" t="s">
        <v>28</v>
      </c>
      <c r="E3752" t="s">
        <v>155</v>
      </c>
      <c r="F3752" s="1">
        <v>42893</v>
      </c>
      <c r="I3752" t="str">
        <f>IF(COUNTIF(Products!$A$2:$A$8,C3752)=0,C3752,"")</f>
        <v/>
      </c>
      <c r="J3752">
        <f>IF(OR(E3752="Prospecting",E3752="Engaging"),VLOOKUP(C3752,Products!$A$2:$C$8,3,FALSE),0)</f>
        <v>1096</v>
      </c>
    </row>
    <row r="3753" spans="1:10" x14ac:dyDescent="0.25">
      <c r="A3753" t="s">
        <v>3920</v>
      </c>
      <c r="B3753" t="s">
        <v>144</v>
      </c>
      <c r="C3753" t="s">
        <v>122</v>
      </c>
      <c r="E3753" t="s">
        <v>155</v>
      </c>
      <c r="F3753" s="1">
        <v>42893</v>
      </c>
      <c r="I3753" t="str">
        <f>IF(COUNTIF(Products!$A$2:$A$8,C3753)=0,C3753,"")</f>
        <v/>
      </c>
      <c r="J3753">
        <f>IF(OR(E3753="Prospecting",E3753="Engaging"),VLOOKUP(C3753,Products!$A$2:$C$8,3,FALSE),0)</f>
        <v>4821</v>
      </c>
    </row>
    <row r="3754" spans="1:10" x14ac:dyDescent="0.25">
      <c r="A3754" t="s">
        <v>3921</v>
      </c>
      <c r="B3754" t="s">
        <v>144</v>
      </c>
      <c r="C3754" t="s">
        <v>122</v>
      </c>
      <c r="D3754" t="s">
        <v>29</v>
      </c>
      <c r="E3754" t="s">
        <v>159</v>
      </c>
      <c r="F3754" s="1">
        <v>42893</v>
      </c>
      <c r="G3754" s="1">
        <v>42969</v>
      </c>
      <c r="H3754">
        <v>0</v>
      </c>
      <c r="I3754" t="str">
        <f>IF(COUNTIF(Products!$A$2:$A$8,C3754)=0,C3754,"")</f>
        <v/>
      </c>
      <c r="J3754">
        <f>IF(OR(E3754="Prospecting",E3754="Engaging"),VLOOKUP(C3754,Products!$A$2:$C$8,3,FALSE),0)</f>
        <v>0</v>
      </c>
    </row>
    <row r="3755" spans="1:10" x14ac:dyDescent="0.25">
      <c r="A3755" t="s">
        <v>3922</v>
      </c>
      <c r="B3755" t="s">
        <v>144</v>
      </c>
      <c r="C3755" t="s">
        <v>122</v>
      </c>
      <c r="D3755" t="s">
        <v>75</v>
      </c>
      <c r="E3755" t="s">
        <v>138</v>
      </c>
      <c r="F3755" s="1">
        <v>42893</v>
      </c>
      <c r="G3755" s="1">
        <v>42964</v>
      </c>
      <c r="H3755">
        <v>5185</v>
      </c>
      <c r="I3755" t="str">
        <f>IF(COUNTIF(Products!$A$2:$A$8,C3755)=0,C3755,"")</f>
        <v/>
      </c>
      <c r="J3755">
        <f>IF(OR(E3755="Prospecting",E3755="Engaging"),VLOOKUP(C3755,Products!$A$2:$C$8,3,FALSE),0)</f>
        <v>0</v>
      </c>
    </row>
    <row r="3756" spans="1:10" x14ac:dyDescent="0.25">
      <c r="A3756" t="s">
        <v>3923</v>
      </c>
      <c r="B3756" t="s">
        <v>222</v>
      </c>
      <c r="C3756" t="s">
        <v>125</v>
      </c>
      <c r="D3756" t="s">
        <v>105</v>
      </c>
      <c r="E3756" t="s">
        <v>138</v>
      </c>
      <c r="F3756" s="1">
        <v>42894</v>
      </c>
      <c r="G3756" s="1">
        <v>42910</v>
      </c>
      <c r="H3756">
        <v>3681</v>
      </c>
      <c r="I3756" t="str">
        <f>IF(COUNTIF(Products!$A$2:$A$8,C3756)=0,C3756,"")</f>
        <v/>
      </c>
      <c r="J3756">
        <f>IF(OR(E3756="Prospecting",E3756="Engaging"),VLOOKUP(C3756,Products!$A$2:$C$8,3,FALSE),0)</f>
        <v>0</v>
      </c>
    </row>
    <row r="3757" spans="1:10" x14ac:dyDescent="0.25">
      <c r="A3757" t="s">
        <v>3924</v>
      </c>
      <c r="B3757" t="s">
        <v>264</v>
      </c>
      <c r="C3757" t="s">
        <v>123</v>
      </c>
      <c r="D3757" t="s">
        <v>36</v>
      </c>
      <c r="E3757" t="s">
        <v>138</v>
      </c>
      <c r="F3757" s="1">
        <v>42894</v>
      </c>
      <c r="G3757" s="1">
        <v>42904</v>
      </c>
      <c r="H3757">
        <v>59</v>
      </c>
      <c r="I3757" t="str">
        <f>IF(COUNTIF(Products!$A$2:$A$8,C3757)=0,C3757,"")</f>
        <v/>
      </c>
      <c r="J3757">
        <f>IF(OR(E3757="Prospecting",E3757="Engaging"),VLOOKUP(C3757,Products!$A$2:$C$8,3,FALSE),0)</f>
        <v>0</v>
      </c>
    </row>
    <row r="3758" spans="1:10" x14ac:dyDescent="0.25">
      <c r="A3758" t="s">
        <v>3925</v>
      </c>
      <c r="B3758" t="s">
        <v>264</v>
      </c>
      <c r="C3758" t="s">
        <v>123</v>
      </c>
      <c r="D3758" t="s">
        <v>42</v>
      </c>
      <c r="E3758" t="s">
        <v>138</v>
      </c>
      <c r="F3758" s="1">
        <v>42894</v>
      </c>
      <c r="G3758" s="1">
        <v>42991</v>
      </c>
      <c r="H3758">
        <v>60</v>
      </c>
      <c r="I3758" t="str">
        <f>IF(COUNTIF(Products!$A$2:$A$8,C3758)=0,C3758,"")</f>
        <v/>
      </c>
      <c r="J3758">
        <f>IF(OR(E3758="Prospecting",E3758="Engaging"),VLOOKUP(C3758,Products!$A$2:$C$8,3,FALSE),0)</f>
        <v>0</v>
      </c>
    </row>
    <row r="3759" spans="1:10" x14ac:dyDescent="0.25">
      <c r="A3759" t="s">
        <v>3926</v>
      </c>
      <c r="B3759" t="s">
        <v>239</v>
      </c>
      <c r="C3759" t="s">
        <v>120</v>
      </c>
      <c r="D3759" t="s">
        <v>19</v>
      </c>
      <c r="E3759" t="s">
        <v>138</v>
      </c>
      <c r="F3759" s="1">
        <v>42894</v>
      </c>
      <c r="G3759" s="1">
        <v>42952</v>
      </c>
      <c r="H3759">
        <v>602</v>
      </c>
      <c r="I3759" t="str">
        <f>IF(COUNTIF(Products!$A$2:$A$8,C3759)=0,C3759,"")</f>
        <v/>
      </c>
      <c r="J3759">
        <f>IF(OR(E3759="Prospecting",E3759="Engaging"),VLOOKUP(C3759,Products!$A$2:$C$8,3,FALSE),0)</f>
        <v>0</v>
      </c>
    </row>
    <row r="3760" spans="1:10" x14ac:dyDescent="0.25">
      <c r="A3760" t="s">
        <v>3927</v>
      </c>
      <c r="B3760" t="s">
        <v>239</v>
      </c>
      <c r="C3760" t="s">
        <v>120</v>
      </c>
      <c r="D3760" t="s">
        <v>108</v>
      </c>
      <c r="E3760" t="s">
        <v>138</v>
      </c>
      <c r="F3760" s="1">
        <v>42894</v>
      </c>
      <c r="G3760" s="1">
        <v>42959</v>
      </c>
      <c r="H3760">
        <v>515</v>
      </c>
      <c r="I3760" t="str">
        <f>IF(COUNTIF(Products!$A$2:$A$8,C3760)=0,C3760,"")</f>
        <v/>
      </c>
      <c r="J3760">
        <f>IF(OR(E3760="Prospecting",E3760="Engaging"),VLOOKUP(C3760,Products!$A$2:$C$8,3,FALSE),0)</f>
        <v>0</v>
      </c>
    </row>
    <row r="3761" spans="1:10" x14ac:dyDescent="0.25">
      <c r="A3761" t="s">
        <v>3928</v>
      </c>
      <c r="B3761" t="s">
        <v>140</v>
      </c>
      <c r="C3761" t="s">
        <v>122</v>
      </c>
      <c r="D3761" t="s">
        <v>96</v>
      </c>
      <c r="E3761" t="s">
        <v>159</v>
      </c>
      <c r="F3761" s="1">
        <v>42894</v>
      </c>
      <c r="G3761" s="1">
        <v>42972</v>
      </c>
      <c r="H3761">
        <v>0</v>
      </c>
      <c r="I3761" t="str">
        <f>IF(COUNTIF(Products!$A$2:$A$8,C3761)=0,C3761,"")</f>
        <v/>
      </c>
      <c r="J3761">
        <f>IF(OR(E3761="Prospecting",E3761="Engaging"),VLOOKUP(C3761,Products!$A$2:$C$8,3,FALSE),0)</f>
        <v>0</v>
      </c>
    </row>
    <row r="3762" spans="1:10" x14ac:dyDescent="0.25">
      <c r="A3762" t="s">
        <v>3929</v>
      </c>
      <c r="B3762" t="s">
        <v>140</v>
      </c>
      <c r="C3762" t="s">
        <v>126</v>
      </c>
      <c r="D3762" t="s">
        <v>88</v>
      </c>
      <c r="E3762" t="s">
        <v>138</v>
      </c>
      <c r="F3762" s="1">
        <v>42894</v>
      </c>
      <c r="G3762" s="1">
        <v>42907</v>
      </c>
      <c r="H3762">
        <v>5175</v>
      </c>
      <c r="I3762" t="str">
        <f>IF(COUNTIF(Products!$A$2:$A$8,C3762)=0,C3762,"")</f>
        <v/>
      </c>
      <c r="J3762">
        <f>IF(OR(E3762="Prospecting",E3762="Engaging"),VLOOKUP(C3762,Products!$A$2:$C$8,3,FALSE),0)</f>
        <v>0</v>
      </c>
    </row>
    <row r="3763" spans="1:10" x14ac:dyDescent="0.25">
      <c r="A3763" t="s">
        <v>3930</v>
      </c>
      <c r="B3763" t="s">
        <v>224</v>
      </c>
      <c r="C3763" t="s">
        <v>122</v>
      </c>
      <c r="D3763" t="s">
        <v>7</v>
      </c>
      <c r="E3763" t="s">
        <v>159</v>
      </c>
      <c r="F3763" s="1">
        <v>42894</v>
      </c>
      <c r="G3763" s="1">
        <v>42974</v>
      </c>
      <c r="H3763">
        <v>0</v>
      </c>
      <c r="I3763" t="str">
        <f>IF(COUNTIF(Products!$A$2:$A$8,C3763)=0,C3763,"")</f>
        <v/>
      </c>
      <c r="J3763">
        <f>IF(OR(E3763="Prospecting",E3763="Engaging"),VLOOKUP(C3763,Products!$A$2:$C$8,3,FALSE),0)</f>
        <v>0</v>
      </c>
    </row>
    <row r="3764" spans="1:10" x14ac:dyDescent="0.25">
      <c r="A3764" t="s">
        <v>3931</v>
      </c>
      <c r="B3764" t="s">
        <v>224</v>
      </c>
      <c r="C3764" t="s">
        <v>122</v>
      </c>
      <c r="D3764" t="s">
        <v>84</v>
      </c>
      <c r="E3764" t="s">
        <v>138</v>
      </c>
      <c r="F3764" s="1">
        <v>42894</v>
      </c>
      <c r="G3764" s="1">
        <v>42975</v>
      </c>
      <c r="H3764">
        <v>4780</v>
      </c>
      <c r="I3764" t="str">
        <f>IF(COUNTIF(Products!$A$2:$A$8,C3764)=0,C3764,"")</f>
        <v/>
      </c>
      <c r="J3764">
        <f>IF(OR(E3764="Prospecting",E3764="Engaging"),VLOOKUP(C3764,Products!$A$2:$C$8,3,FALSE),0)</f>
        <v>0</v>
      </c>
    </row>
    <row r="3765" spans="1:10" x14ac:dyDescent="0.25">
      <c r="A3765" t="s">
        <v>3932</v>
      </c>
      <c r="B3765" t="s">
        <v>154</v>
      </c>
      <c r="C3765" t="s">
        <v>126</v>
      </c>
      <c r="D3765" t="s">
        <v>23</v>
      </c>
      <c r="E3765" t="s">
        <v>155</v>
      </c>
      <c r="F3765" s="1">
        <v>42894</v>
      </c>
      <c r="I3765" t="str">
        <f>IF(COUNTIF(Products!$A$2:$A$8,C3765)=0,C3765,"")</f>
        <v/>
      </c>
      <c r="J3765">
        <f>IF(OR(E3765="Prospecting",E3765="Engaging"),VLOOKUP(C3765,Products!$A$2:$C$8,3,FALSE),0)</f>
        <v>5482</v>
      </c>
    </row>
    <row r="3766" spans="1:10" x14ac:dyDescent="0.25">
      <c r="A3766" t="s">
        <v>3933</v>
      </c>
      <c r="B3766" t="s">
        <v>303</v>
      </c>
      <c r="C3766" t="s">
        <v>127</v>
      </c>
      <c r="D3766" t="s">
        <v>53</v>
      </c>
      <c r="E3766" t="s">
        <v>159</v>
      </c>
      <c r="F3766" s="1">
        <v>42894</v>
      </c>
      <c r="G3766" s="1">
        <v>42958</v>
      </c>
      <c r="H3766">
        <v>0</v>
      </c>
      <c r="I3766" t="str">
        <f>IF(COUNTIF(Products!$A$2:$A$8,C3766)=0,C3766,"")</f>
        <v/>
      </c>
      <c r="J3766">
        <f>IF(OR(E3766="Prospecting",E3766="Engaging"),VLOOKUP(C3766,Products!$A$2:$C$8,3,FALSE),0)</f>
        <v>0</v>
      </c>
    </row>
    <row r="3767" spans="1:10" x14ac:dyDescent="0.25">
      <c r="A3767" t="s">
        <v>3934</v>
      </c>
      <c r="B3767" t="s">
        <v>303</v>
      </c>
      <c r="C3767" t="s">
        <v>120</v>
      </c>
      <c r="D3767" t="s">
        <v>53</v>
      </c>
      <c r="E3767" t="s">
        <v>138</v>
      </c>
      <c r="F3767" s="1">
        <v>42894</v>
      </c>
      <c r="G3767" s="1">
        <v>42902</v>
      </c>
      <c r="H3767">
        <v>614</v>
      </c>
      <c r="I3767" t="str">
        <f>IF(COUNTIF(Products!$A$2:$A$8,C3767)=0,C3767,"")</f>
        <v/>
      </c>
      <c r="J3767">
        <f>IF(OR(E3767="Prospecting",E3767="Engaging"),VLOOKUP(C3767,Products!$A$2:$C$8,3,FALSE),0)</f>
        <v>0</v>
      </c>
    </row>
    <row r="3768" spans="1:10" x14ac:dyDescent="0.25">
      <c r="A3768" t="s">
        <v>3935</v>
      </c>
      <c r="B3768" t="s">
        <v>303</v>
      </c>
      <c r="C3768" t="s">
        <v>120</v>
      </c>
      <c r="D3768" t="s">
        <v>85</v>
      </c>
      <c r="E3768" t="s">
        <v>138</v>
      </c>
      <c r="F3768" s="1">
        <v>42894</v>
      </c>
      <c r="G3768" s="1">
        <v>42991</v>
      </c>
      <c r="H3768">
        <v>532</v>
      </c>
      <c r="I3768" t="str">
        <f>IF(COUNTIF(Products!$A$2:$A$8,C3768)=0,C3768,"")</f>
        <v/>
      </c>
      <c r="J3768">
        <f>IF(OR(E3768="Prospecting",E3768="Engaging"),VLOOKUP(C3768,Products!$A$2:$C$8,3,FALSE),0)</f>
        <v>0</v>
      </c>
    </row>
    <row r="3769" spans="1:10" x14ac:dyDescent="0.25">
      <c r="A3769" t="s">
        <v>3936</v>
      </c>
      <c r="B3769" t="s">
        <v>303</v>
      </c>
      <c r="C3769" t="s">
        <v>126</v>
      </c>
      <c r="D3769" t="s">
        <v>42</v>
      </c>
      <c r="E3769" t="s">
        <v>138</v>
      </c>
      <c r="F3769" s="1">
        <v>42894</v>
      </c>
      <c r="G3769" s="1">
        <v>42974</v>
      </c>
      <c r="H3769">
        <v>6096</v>
      </c>
      <c r="I3769" t="str">
        <f>IF(COUNTIF(Products!$A$2:$A$8,C3769)=0,C3769,"")</f>
        <v/>
      </c>
      <c r="J3769">
        <f>IF(OR(E3769="Prospecting",E3769="Engaging"),VLOOKUP(C3769,Products!$A$2:$C$8,3,FALSE),0)</f>
        <v>0</v>
      </c>
    </row>
    <row r="3770" spans="1:10" x14ac:dyDescent="0.25">
      <c r="A3770" t="s">
        <v>3937</v>
      </c>
      <c r="B3770" t="s">
        <v>191</v>
      </c>
      <c r="C3770" t="s">
        <v>120</v>
      </c>
      <c r="D3770" t="s">
        <v>61</v>
      </c>
      <c r="E3770" t="s">
        <v>138</v>
      </c>
      <c r="F3770" s="1">
        <v>42894</v>
      </c>
      <c r="G3770" s="1">
        <v>42964</v>
      </c>
      <c r="H3770">
        <v>486</v>
      </c>
      <c r="I3770" t="str">
        <f>IF(COUNTIF(Products!$A$2:$A$8,C3770)=0,C3770,"")</f>
        <v/>
      </c>
      <c r="J3770">
        <f>IF(OR(E3770="Prospecting",E3770="Engaging"),VLOOKUP(C3770,Products!$A$2:$C$8,3,FALSE),0)</f>
        <v>0</v>
      </c>
    </row>
    <row r="3771" spans="1:10" x14ac:dyDescent="0.25">
      <c r="A3771" t="s">
        <v>3938</v>
      </c>
      <c r="B3771" t="s">
        <v>217</v>
      </c>
      <c r="C3771" t="s">
        <v>120</v>
      </c>
      <c r="D3771" t="s">
        <v>46</v>
      </c>
      <c r="E3771" t="s">
        <v>138</v>
      </c>
      <c r="F3771" s="1">
        <v>42894</v>
      </c>
      <c r="G3771" s="1">
        <v>42964</v>
      </c>
      <c r="H3771">
        <v>566</v>
      </c>
      <c r="I3771" t="str">
        <f>IF(COUNTIF(Products!$A$2:$A$8,C3771)=0,C3771,"")</f>
        <v/>
      </c>
      <c r="J3771">
        <f>IF(OR(E3771="Prospecting",E3771="Engaging"),VLOOKUP(C3771,Products!$A$2:$C$8,3,FALSE),0)</f>
        <v>0</v>
      </c>
    </row>
    <row r="3772" spans="1:10" x14ac:dyDescent="0.25">
      <c r="A3772" t="s">
        <v>3939</v>
      </c>
      <c r="B3772" t="s">
        <v>150</v>
      </c>
      <c r="C3772" t="s">
        <v>123</v>
      </c>
      <c r="D3772" t="s">
        <v>93</v>
      </c>
      <c r="E3772" t="s">
        <v>159</v>
      </c>
      <c r="F3772" s="1">
        <v>42894</v>
      </c>
      <c r="G3772" s="1">
        <v>42908</v>
      </c>
      <c r="H3772">
        <v>0</v>
      </c>
      <c r="I3772" t="str">
        <f>IF(COUNTIF(Products!$A$2:$A$8,C3772)=0,C3772,"")</f>
        <v/>
      </c>
      <c r="J3772">
        <f>IF(OR(E3772="Prospecting",E3772="Engaging"),VLOOKUP(C3772,Products!$A$2:$C$8,3,FALSE),0)</f>
        <v>0</v>
      </c>
    </row>
    <row r="3773" spans="1:10" x14ac:dyDescent="0.25">
      <c r="A3773" t="s">
        <v>3940</v>
      </c>
      <c r="B3773" t="s">
        <v>150</v>
      </c>
      <c r="C3773" t="s">
        <v>127</v>
      </c>
      <c r="D3773" t="s">
        <v>57</v>
      </c>
      <c r="E3773" t="s">
        <v>138</v>
      </c>
      <c r="F3773" s="1">
        <v>42894</v>
      </c>
      <c r="G3773" s="1">
        <v>42902</v>
      </c>
      <c r="H3773">
        <v>923</v>
      </c>
      <c r="I3773" t="str">
        <f>IF(COUNTIF(Products!$A$2:$A$8,C3773)=0,C3773,"")</f>
        <v/>
      </c>
      <c r="J3773">
        <f>IF(OR(E3773="Prospecting",E3773="Engaging"),VLOOKUP(C3773,Products!$A$2:$C$8,3,FALSE),0)</f>
        <v>0</v>
      </c>
    </row>
    <row r="3774" spans="1:10" x14ac:dyDescent="0.25">
      <c r="A3774" t="s">
        <v>3941</v>
      </c>
      <c r="B3774" t="s">
        <v>150</v>
      </c>
      <c r="C3774" t="s">
        <v>122</v>
      </c>
      <c r="D3774" t="s">
        <v>61</v>
      </c>
      <c r="E3774" t="s">
        <v>138</v>
      </c>
      <c r="F3774" s="1">
        <v>42894</v>
      </c>
      <c r="G3774" s="1">
        <v>43008</v>
      </c>
      <c r="H3774">
        <v>4744</v>
      </c>
      <c r="I3774" t="str">
        <f>IF(COUNTIF(Products!$A$2:$A$8,C3774)=0,C3774,"")</f>
        <v/>
      </c>
      <c r="J3774">
        <f>IF(OR(E3774="Prospecting",E3774="Engaging"),VLOOKUP(C3774,Products!$A$2:$C$8,3,FALSE),0)</f>
        <v>0</v>
      </c>
    </row>
    <row r="3775" spans="1:10" x14ac:dyDescent="0.25">
      <c r="A3775" t="s">
        <v>3942</v>
      </c>
      <c r="B3775" t="s">
        <v>205</v>
      </c>
      <c r="C3775" t="s">
        <v>120</v>
      </c>
      <c r="D3775" t="s">
        <v>77</v>
      </c>
      <c r="E3775" t="s">
        <v>138</v>
      </c>
      <c r="F3775" s="1">
        <v>42894</v>
      </c>
      <c r="G3775" s="1">
        <v>42966</v>
      </c>
      <c r="H3775">
        <v>517</v>
      </c>
      <c r="I3775" t="str">
        <f>IF(COUNTIF(Products!$A$2:$A$8,C3775)=0,C3775,"")</f>
        <v/>
      </c>
      <c r="J3775">
        <f>IF(OR(E3775="Prospecting",E3775="Engaging"),VLOOKUP(C3775,Products!$A$2:$C$8,3,FALSE),0)</f>
        <v>0</v>
      </c>
    </row>
    <row r="3776" spans="1:10" x14ac:dyDescent="0.25">
      <c r="A3776" t="s">
        <v>3943</v>
      </c>
      <c r="B3776" t="s">
        <v>205</v>
      </c>
      <c r="C3776" t="s">
        <v>127</v>
      </c>
      <c r="D3776" t="s">
        <v>116</v>
      </c>
      <c r="E3776" t="s">
        <v>138</v>
      </c>
      <c r="F3776" s="1">
        <v>42894</v>
      </c>
      <c r="G3776" s="1">
        <v>42900</v>
      </c>
      <c r="H3776">
        <v>881</v>
      </c>
      <c r="I3776" t="str">
        <f>IF(COUNTIF(Products!$A$2:$A$8,C3776)=0,C3776,"")</f>
        <v/>
      </c>
      <c r="J3776">
        <f>IF(OR(E3776="Prospecting",E3776="Engaging"),VLOOKUP(C3776,Products!$A$2:$C$8,3,FALSE),0)</f>
        <v>0</v>
      </c>
    </row>
    <row r="3777" spans="1:10" x14ac:dyDescent="0.25">
      <c r="A3777" t="s">
        <v>3944</v>
      </c>
      <c r="B3777" t="s">
        <v>205</v>
      </c>
      <c r="C3777" t="s">
        <v>122</v>
      </c>
      <c r="D3777" t="s">
        <v>55</v>
      </c>
      <c r="E3777" t="s">
        <v>138</v>
      </c>
      <c r="F3777" s="1">
        <v>42894</v>
      </c>
      <c r="G3777" s="1">
        <v>42910</v>
      </c>
      <c r="H3777">
        <v>4272</v>
      </c>
      <c r="I3777" t="str">
        <f>IF(COUNTIF(Products!$A$2:$A$8,C3777)=0,C3777,"")</f>
        <v/>
      </c>
      <c r="J3777">
        <f>IF(OR(E3777="Prospecting",E3777="Engaging"),VLOOKUP(C3777,Products!$A$2:$C$8,3,FALSE),0)</f>
        <v>0</v>
      </c>
    </row>
    <row r="3778" spans="1:10" x14ac:dyDescent="0.25">
      <c r="A3778" t="s">
        <v>3945</v>
      </c>
      <c r="B3778" t="s">
        <v>162</v>
      </c>
      <c r="C3778" t="s">
        <v>122</v>
      </c>
      <c r="D3778" t="s">
        <v>44</v>
      </c>
      <c r="E3778" t="s">
        <v>159</v>
      </c>
      <c r="F3778" s="1">
        <v>42894</v>
      </c>
      <c r="G3778" s="1">
        <v>42973</v>
      </c>
      <c r="H3778">
        <v>0</v>
      </c>
      <c r="I3778" t="str">
        <f>IF(COUNTIF(Products!$A$2:$A$8,C3778)=0,C3778,"")</f>
        <v/>
      </c>
      <c r="J3778">
        <f>IF(OR(E3778="Prospecting",E3778="Engaging"),VLOOKUP(C3778,Products!$A$2:$C$8,3,FALSE),0)</f>
        <v>0</v>
      </c>
    </row>
    <row r="3779" spans="1:10" x14ac:dyDescent="0.25">
      <c r="A3779" t="s">
        <v>3946</v>
      </c>
      <c r="B3779" t="s">
        <v>162</v>
      </c>
      <c r="C3779" t="s">
        <v>127</v>
      </c>
      <c r="D3779" t="s">
        <v>72</v>
      </c>
      <c r="E3779" t="s">
        <v>138</v>
      </c>
      <c r="F3779" s="1">
        <v>42894</v>
      </c>
      <c r="G3779" s="1">
        <v>42980</v>
      </c>
      <c r="H3779">
        <v>805</v>
      </c>
      <c r="I3779" t="str">
        <f>IF(COUNTIF(Products!$A$2:$A$8,C3779)=0,C3779,"")</f>
        <v/>
      </c>
      <c r="J3779">
        <f>IF(OR(E3779="Prospecting",E3779="Engaging"),VLOOKUP(C3779,Products!$A$2:$C$8,3,FALSE),0)</f>
        <v>0</v>
      </c>
    </row>
    <row r="3780" spans="1:10" x14ac:dyDescent="0.25">
      <c r="A3780" t="s">
        <v>3947</v>
      </c>
      <c r="B3780" t="s">
        <v>187</v>
      </c>
      <c r="C3780" t="s">
        <v>123</v>
      </c>
      <c r="E3780" t="s">
        <v>155</v>
      </c>
      <c r="F3780" s="1">
        <v>42894</v>
      </c>
      <c r="I3780" t="str">
        <f>IF(COUNTIF(Products!$A$2:$A$8,C3780)=0,C3780,"")</f>
        <v/>
      </c>
      <c r="J3780">
        <f>IF(OR(E3780="Prospecting",E3780="Engaging"),VLOOKUP(C3780,Products!$A$2:$C$8,3,FALSE),0)</f>
        <v>55</v>
      </c>
    </row>
    <row r="3781" spans="1:10" x14ac:dyDescent="0.25">
      <c r="A3781" t="s">
        <v>3948</v>
      </c>
      <c r="B3781" t="s">
        <v>169</v>
      </c>
      <c r="C3781" t="s">
        <v>123</v>
      </c>
      <c r="D3781" t="s">
        <v>46</v>
      </c>
      <c r="E3781" t="s">
        <v>159</v>
      </c>
      <c r="F3781" s="1">
        <v>42894</v>
      </c>
      <c r="G3781" s="1">
        <v>42965</v>
      </c>
      <c r="H3781">
        <v>0</v>
      </c>
      <c r="I3781" t="str">
        <f>IF(COUNTIF(Products!$A$2:$A$8,C3781)=0,C3781,"")</f>
        <v/>
      </c>
      <c r="J3781">
        <f>IF(OR(E3781="Prospecting",E3781="Engaging"),VLOOKUP(C3781,Products!$A$2:$C$8,3,FALSE),0)</f>
        <v>0</v>
      </c>
    </row>
    <row r="3782" spans="1:10" x14ac:dyDescent="0.25">
      <c r="A3782" t="s">
        <v>3949</v>
      </c>
      <c r="B3782" t="s">
        <v>169</v>
      </c>
      <c r="C3782" t="s">
        <v>123</v>
      </c>
      <c r="D3782" t="s">
        <v>26</v>
      </c>
      <c r="E3782" t="s">
        <v>138</v>
      </c>
      <c r="F3782" s="1">
        <v>42894</v>
      </c>
      <c r="G3782" s="1">
        <v>42991</v>
      </c>
      <c r="H3782">
        <v>55</v>
      </c>
      <c r="I3782" t="str">
        <f>IF(COUNTIF(Products!$A$2:$A$8,C3782)=0,C3782,"")</f>
        <v/>
      </c>
      <c r="J3782">
        <f>IF(OR(E3782="Prospecting",E3782="Engaging"),VLOOKUP(C3782,Products!$A$2:$C$8,3,FALSE),0)</f>
        <v>0</v>
      </c>
    </row>
    <row r="3783" spans="1:10" x14ac:dyDescent="0.25">
      <c r="A3783" t="s">
        <v>3950</v>
      </c>
      <c r="B3783" t="s">
        <v>148</v>
      </c>
      <c r="C3783" t="s">
        <v>120</v>
      </c>
      <c r="E3783" t="s">
        <v>155</v>
      </c>
      <c r="F3783" s="1">
        <v>42894</v>
      </c>
      <c r="I3783" t="str">
        <f>IF(COUNTIF(Products!$A$2:$A$8,C3783)=0,C3783,"")</f>
        <v/>
      </c>
      <c r="J3783">
        <f>IF(OR(E3783="Prospecting",E3783="Engaging"),VLOOKUP(C3783,Products!$A$2:$C$8,3,FALSE),0)</f>
        <v>550</v>
      </c>
    </row>
    <row r="3784" spans="1:10" x14ac:dyDescent="0.25">
      <c r="A3784" t="s">
        <v>3951</v>
      </c>
      <c r="B3784" t="s">
        <v>148</v>
      </c>
      <c r="C3784" t="s">
        <v>120</v>
      </c>
      <c r="D3784" t="s">
        <v>100</v>
      </c>
      <c r="E3784" t="s">
        <v>138</v>
      </c>
      <c r="F3784" s="1">
        <v>42894</v>
      </c>
      <c r="G3784" s="1">
        <v>42901</v>
      </c>
      <c r="H3784">
        <v>507</v>
      </c>
      <c r="I3784" t="str">
        <f>IF(COUNTIF(Products!$A$2:$A$8,C3784)=0,C3784,"")</f>
        <v/>
      </c>
      <c r="J3784">
        <f>IF(OR(E3784="Prospecting",E3784="Engaging"),VLOOKUP(C3784,Products!$A$2:$C$8,3,FALSE),0)</f>
        <v>0</v>
      </c>
    </row>
    <row r="3785" spans="1:10" x14ac:dyDescent="0.25">
      <c r="A3785" t="s">
        <v>3952</v>
      </c>
      <c r="B3785" t="s">
        <v>144</v>
      </c>
      <c r="C3785" t="s">
        <v>120</v>
      </c>
      <c r="D3785" t="s">
        <v>44</v>
      </c>
      <c r="E3785" t="s">
        <v>138</v>
      </c>
      <c r="F3785" s="1">
        <v>42894</v>
      </c>
      <c r="G3785" s="1">
        <v>42986</v>
      </c>
      <c r="H3785">
        <v>520</v>
      </c>
      <c r="I3785" t="str">
        <f>IF(COUNTIF(Products!$A$2:$A$8,C3785)=0,C3785,"")</f>
        <v/>
      </c>
      <c r="J3785">
        <f>IF(OR(E3785="Prospecting",E3785="Engaging"),VLOOKUP(C3785,Products!$A$2:$C$8,3,FALSE),0)</f>
        <v>0</v>
      </c>
    </row>
    <row r="3786" spans="1:10" x14ac:dyDescent="0.25">
      <c r="A3786" t="s">
        <v>3953</v>
      </c>
      <c r="B3786" t="s">
        <v>146</v>
      </c>
      <c r="C3786" t="s">
        <v>125</v>
      </c>
      <c r="D3786" t="s">
        <v>64</v>
      </c>
      <c r="E3786" t="s">
        <v>138</v>
      </c>
      <c r="F3786" s="1">
        <v>42895</v>
      </c>
      <c r="G3786" s="1">
        <v>42962</v>
      </c>
      <c r="H3786">
        <v>3470</v>
      </c>
      <c r="I3786" t="str">
        <f>IF(COUNTIF(Products!$A$2:$A$8,C3786)=0,C3786,"")</f>
        <v/>
      </c>
      <c r="J3786">
        <f>IF(OR(E3786="Prospecting",E3786="Engaging"),VLOOKUP(C3786,Products!$A$2:$C$8,3,FALSE),0)</f>
        <v>0</v>
      </c>
    </row>
    <row r="3787" spans="1:10" x14ac:dyDescent="0.25">
      <c r="A3787" t="s">
        <v>3954</v>
      </c>
      <c r="B3787" t="s">
        <v>222</v>
      </c>
      <c r="C3787" t="s">
        <v>122</v>
      </c>
      <c r="D3787" t="s">
        <v>106</v>
      </c>
      <c r="E3787" t="s">
        <v>159</v>
      </c>
      <c r="F3787" s="1">
        <v>42895</v>
      </c>
      <c r="G3787" s="1">
        <v>42961</v>
      </c>
      <c r="H3787">
        <v>0</v>
      </c>
      <c r="I3787" t="str">
        <f>IF(COUNTIF(Products!$A$2:$A$8,C3787)=0,C3787,"")</f>
        <v/>
      </c>
      <c r="J3787">
        <f>IF(OR(E3787="Prospecting",E3787="Engaging"),VLOOKUP(C3787,Products!$A$2:$C$8,3,FALSE),0)</f>
        <v>0</v>
      </c>
    </row>
    <row r="3788" spans="1:10" x14ac:dyDescent="0.25">
      <c r="A3788" t="s">
        <v>3955</v>
      </c>
      <c r="B3788" t="s">
        <v>207</v>
      </c>
      <c r="C3788" t="s">
        <v>127</v>
      </c>
      <c r="D3788" t="s">
        <v>115</v>
      </c>
      <c r="E3788" t="s">
        <v>138</v>
      </c>
      <c r="F3788" s="1">
        <v>42895</v>
      </c>
      <c r="G3788" s="1">
        <v>42969</v>
      </c>
      <c r="H3788">
        <v>1176</v>
      </c>
      <c r="I3788" t="str">
        <f>IF(COUNTIF(Products!$A$2:$A$8,C3788)=0,C3788,"")</f>
        <v/>
      </c>
      <c r="J3788">
        <f>IF(OR(E3788="Prospecting",E3788="Engaging"),VLOOKUP(C3788,Products!$A$2:$C$8,3,FALSE),0)</f>
        <v>0</v>
      </c>
    </row>
    <row r="3789" spans="1:10" x14ac:dyDescent="0.25">
      <c r="A3789" t="s">
        <v>3956</v>
      </c>
      <c r="B3789" t="s">
        <v>239</v>
      </c>
      <c r="C3789" t="s">
        <v>123</v>
      </c>
      <c r="E3789" t="s">
        <v>155</v>
      </c>
      <c r="F3789" s="1">
        <v>42895</v>
      </c>
      <c r="I3789" t="str">
        <f>IF(COUNTIF(Products!$A$2:$A$8,C3789)=0,C3789,"")</f>
        <v/>
      </c>
      <c r="J3789">
        <f>IF(OR(E3789="Prospecting",E3789="Engaging"),VLOOKUP(C3789,Products!$A$2:$C$8,3,FALSE),0)</f>
        <v>55</v>
      </c>
    </row>
    <row r="3790" spans="1:10" x14ac:dyDescent="0.25">
      <c r="A3790" t="s">
        <v>3957</v>
      </c>
      <c r="B3790" t="s">
        <v>239</v>
      </c>
      <c r="C3790" t="s">
        <v>125</v>
      </c>
      <c r="D3790" t="s">
        <v>25</v>
      </c>
      <c r="E3790" t="s">
        <v>155</v>
      </c>
      <c r="F3790" s="1">
        <v>42895</v>
      </c>
      <c r="I3790" t="str">
        <f>IF(COUNTIF(Products!$A$2:$A$8,C3790)=0,C3790,"")</f>
        <v/>
      </c>
      <c r="J3790">
        <f>IF(OR(E3790="Prospecting",E3790="Engaging"),VLOOKUP(C3790,Products!$A$2:$C$8,3,FALSE),0)</f>
        <v>3393</v>
      </c>
    </row>
    <row r="3791" spans="1:10" x14ac:dyDescent="0.25">
      <c r="A3791" t="s">
        <v>3958</v>
      </c>
      <c r="B3791" t="s">
        <v>171</v>
      </c>
      <c r="C3791" t="s">
        <v>127</v>
      </c>
      <c r="D3791" t="s">
        <v>115</v>
      </c>
      <c r="E3791" t="s">
        <v>155</v>
      </c>
      <c r="F3791" s="1">
        <v>42895</v>
      </c>
      <c r="I3791" t="str">
        <f>IF(COUNTIF(Products!$A$2:$A$8,C3791)=0,C3791,"")</f>
        <v/>
      </c>
      <c r="J3791">
        <f>IF(OR(E3791="Prospecting",E3791="Engaging"),VLOOKUP(C3791,Products!$A$2:$C$8,3,FALSE),0)</f>
        <v>1096</v>
      </c>
    </row>
    <row r="3792" spans="1:10" x14ac:dyDescent="0.25">
      <c r="A3792" t="s">
        <v>3959</v>
      </c>
      <c r="B3792" t="s">
        <v>140</v>
      </c>
      <c r="C3792" t="s">
        <v>127</v>
      </c>
      <c r="D3792" t="s">
        <v>104</v>
      </c>
      <c r="E3792" t="s">
        <v>159</v>
      </c>
      <c r="F3792" s="1">
        <v>42895</v>
      </c>
      <c r="G3792" s="1">
        <v>42973</v>
      </c>
      <c r="H3792">
        <v>0</v>
      </c>
      <c r="I3792" t="str">
        <f>IF(COUNTIF(Products!$A$2:$A$8,C3792)=0,C3792,"")</f>
        <v/>
      </c>
      <c r="J3792">
        <f>IF(OR(E3792="Prospecting",E3792="Engaging"),VLOOKUP(C3792,Products!$A$2:$C$8,3,FALSE),0)</f>
        <v>0</v>
      </c>
    </row>
    <row r="3793" spans="1:10" x14ac:dyDescent="0.25">
      <c r="A3793" t="s">
        <v>3960</v>
      </c>
      <c r="B3793" t="s">
        <v>224</v>
      </c>
      <c r="C3793" t="s">
        <v>122</v>
      </c>
      <c r="D3793" t="s">
        <v>115</v>
      </c>
      <c r="E3793" t="s">
        <v>138</v>
      </c>
      <c r="F3793" s="1">
        <v>42895</v>
      </c>
      <c r="G3793" s="1">
        <v>42949</v>
      </c>
      <c r="H3793">
        <v>4517</v>
      </c>
      <c r="I3793" t="str">
        <f>IF(COUNTIF(Products!$A$2:$A$8,C3793)=0,C3793,"")</f>
        <v/>
      </c>
      <c r="J3793">
        <f>IF(OR(E3793="Prospecting",E3793="Engaging"),VLOOKUP(C3793,Products!$A$2:$C$8,3,FALSE),0)</f>
        <v>0</v>
      </c>
    </row>
    <row r="3794" spans="1:10" x14ac:dyDescent="0.25">
      <c r="A3794" t="s">
        <v>3961</v>
      </c>
      <c r="B3794" t="s">
        <v>154</v>
      </c>
      <c r="C3794" t="s">
        <v>126</v>
      </c>
      <c r="D3794" t="s">
        <v>87</v>
      </c>
      <c r="E3794" t="s">
        <v>138</v>
      </c>
      <c r="F3794" s="1">
        <v>42895</v>
      </c>
      <c r="G3794" s="1">
        <v>42963</v>
      </c>
      <c r="H3794">
        <v>5125</v>
      </c>
      <c r="I3794" t="str">
        <f>IF(COUNTIF(Products!$A$2:$A$8,C3794)=0,C3794,"")</f>
        <v/>
      </c>
      <c r="J3794">
        <f>IF(OR(E3794="Prospecting",E3794="Engaging"),VLOOKUP(C3794,Products!$A$2:$C$8,3,FALSE),0)</f>
        <v>0</v>
      </c>
    </row>
    <row r="3795" spans="1:10" x14ac:dyDescent="0.25">
      <c r="A3795" t="s">
        <v>3962</v>
      </c>
      <c r="B3795" t="s">
        <v>180</v>
      </c>
      <c r="C3795" t="s">
        <v>127</v>
      </c>
      <c r="D3795" t="s">
        <v>75</v>
      </c>
      <c r="E3795" t="s">
        <v>155</v>
      </c>
      <c r="F3795" s="1">
        <v>42895</v>
      </c>
      <c r="I3795" t="str">
        <f>IF(COUNTIF(Products!$A$2:$A$8,C3795)=0,C3795,"")</f>
        <v/>
      </c>
      <c r="J3795">
        <f>IF(OR(E3795="Prospecting",E3795="Engaging"),VLOOKUP(C3795,Products!$A$2:$C$8,3,FALSE),0)</f>
        <v>1096</v>
      </c>
    </row>
    <row r="3796" spans="1:10" x14ac:dyDescent="0.25">
      <c r="A3796" t="s">
        <v>3963</v>
      </c>
      <c r="B3796" t="s">
        <v>180</v>
      </c>
      <c r="C3796" t="s">
        <v>122</v>
      </c>
      <c r="D3796" t="s">
        <v>67</v>
      </c>
      <c r="E3796" t="s">
        <v>138</v>
      </c>
      <c r="F3796" s="1">
        <v>42895</v>
      </c>
      <c r="G3796" s="1">
        <v>42905</v>
      </c>
      <c r="H3796">
        <v>5339</v>
      </c>
      <c r="I3796" t="str">
        <f>IF(COUNTIF(Products!$A$2:$A$8,C3796)=0,C3796,"")</f>
        <v/>
      </c>
      <c r="J3796">
        <f>IF(OR(E3796="Prospecting",E3796="Engaging"),VLOOKUP(C3796,Products!$A$2:$C$8,3,FALSE),0)</f>
        <v>0</v>
      </c>
    </row>
    <row r="3797" spans="1:10" x14ac:dyDescent="0.25">
      <c r="A3797" t="s">
        <v>3964</v>
      </c>
      <c r="B3797" t="s">
        <v>191</v>
      </c>
      <c r="C3797" t="s">
        <v>122</v>
      </c>
      <c r="D3797" t="s">
        <v>83</v>
      </c>
      <c r="E3797" t="s">
        <v>159</v>
      </c>
      <c r="F3797" s="1">
        <v>42895</v>
      </c>
      <c r="G3797" s="1">
        <v>42966</v>
      </c>
      <c r="H3797">
        <v>0</v>
      </c>
      <c r="I3797" t="str">
        <f>IF(COUNTIF(Products!$A$2:$A$8,C3797)=0,C3797,"")</f>
        <v/>
      </c>
      <c r="J3797">
        <f>IF(OR(E3797="Prospecting",E3797="Engaging"),VLOOKUP(C3797,Products!$A$2:$C$8,3,FALSE),0)</f>
        <v>0</v>
      </c>
    </row>
    <row r="3798" spans="1:10" x14ac:dyDescent="0.25">
      <c r="A3798" t="s">
        <v>3965</v>
      </c>
      <c r="B3798" t="s">
        <v>150</v>
      </c>
      <c r="C3798" t="s">
        <v>127</v>
      </c>
      <c r="D3798" t="s">
        <v>27</v>
      </c>
      <c r="E3798" t="s">
        <v>138</v>
      </c>
      <c r="F3798" s="1">
        <v>42895</v>
      </c>
      <c r="G3798" s="1">
        <v>42912</v>
      </c>
      <c r="H3798">
        <v>1135</v>
      </c>
      <c r="I3798" t="str">
        <f>IF(COUNTIF(Products!$A$2:$A$8,C3798)=0,C3798,"")</f>
        <v/>
      </c>
      <c r="J3798">
        <f>IF(OR(E3798="Prospecting",E3798="Engaging"),VLOOKUP(C3798,Products!$A$2:$C$8,3,FALSE),0)</f>
        <v>0</v>
      </c>
    </row>
    <row r="3799" spans="1:10" x14ac:dyDescent="0.25">
      <c r="A3799" t="s">
        <v>3966</v>
      </c>
      <c r="B3799" t="s">
        <v>162</v>
      </c>
      <c r="C3799" t="s">
        <v>123</v>
      </c>
      <c r="D3799" t="s">
        <v>67</v>
      </c>
      <c r="E3799" t="s">
        <v>138</v>
      </c>
      <c r="F3799" s="1">
        <v>42895</v>
      </c>
      <c r="G3799" s="1">
        <v>42983</v>
      </c>
      <c r="H3799">
        <v>52</v>
      </c>
      <c r="I3799" t="str">
        <f>IF(COUNTIF(Products!$A$2:$A$8,C3799)=0,C3799,"")</f>
        <v/>
      </c>
      <c r="J3799">
        <f>IF(OR(E3799="Prospecting",E3799="Engaging"),VLOOKUP(C3799,Products!$A$2:$C$8,3,FALSE),0)</f>
        <v>0</v>
      </c>
    </row>
    <row r="3800" spans="1:10" x14ac:dyDescent="0.25">
      <c r="A3800" t="s">
        <v>3967</v>
      </c>
      <c r="B3800" t="s">
        <v>137</v>
      </c>
      <c r="C3800" t="s">
        <v>127</v>
      </c>
      <c r="D3800" t="s">
        <v>14</v>
      </c>
      <c r="E3800" t="s">
        <v>138</v>
      </c>
      <c r="F3800" s="1">
        <v>42895</v>
      </c>
      <c r="G3800" s="1">
        <v>42951</v>
      </c>
      <c r="H3800">
        <v>1017</v>
      </c>
      <c r="I3800" t="str">
        <f>IF(COUNTIF(Products!$A$2:$A$8,C3800)=0,C3800,"")</f>
        <v/>
      </c>
      <c r="J3800">
        <f>IF(OR(E3800="Prospecting",E3800="Engaging"),VLOOKUP(C3800,Products!$A$2:$C$8,3,FALSE),0)</f>
        <v>0</v>
      </c>
    </row>
    <row r="3801" spans="1:10" x14ac:dyDescent="0.25">
      <c r="A3801" t="s">
        <v>3968</v>
      </c>
      <c r="B3801" t="s">
        <v>137</v>
      </c>
      <c r="C3801" t="s">
        <v>125</v>
      </c>
      <c r="D3801" t="s">
        <v>26</v>
      </c>
      <c r="E3801" t="s">
        <v>138</v>
      </c>
      <c r="F3801" s="1">
        <v>42895</v>
      </c>
      <c r="G3801" s="1">
        <v>42913</v>
      </c>
      <c r="H3801">
        <v>3681</v>
      </c>
      <c r="I3801" t="str">
        <f>IF(COUNTIF(Products!$A$2:$A$8,C3801)=0,C3801,"")</f>
        <v/>
      </c>
      <c r="J3801">
        <f>IF(OR(E3801="Prospecting",E3801="Engaging"),VLOOKUP(C3801,Products!$A$2:$C$8,3,FALSE),0)</f>
        <v>0</v>
      </c>
    </row>
    <row r="3802" spans="1:10" x14ac:dyDescent="0.25">
      <c r="A3802" t="s">
        <v>3969</v>
      </c>
      <c r="B3802" t="s">
        <v>152</v>
      </c>
      <c r="C3802" t="s">
        <v>127</v>
      </c>
      <c r="D3802" t="s">
        <v>89</v>
      </c>
      <c r="E3802" t="s">
        <v>159</v>
      </c>
      <c r="F3802" s="1">
        <v>42895</v>
      </c>
      <c r="G3802" s="1">
        <v>42951</v>
      </c>
      <c r="H3802">
        <v>0</v>
      </c>
      <c r="I3802" t="str">
        <f>IF(COUNTIF(Products!$A$2:$A$8,C3802)=0,C3802,"")</f>
        <v/>
      </c>
      <c r="J3802">
        <f>IF(OR(E3802="Prospecting",E3802="Engaging"),VLOOKUP(C3802,Products!$A$2:$C$8,3,FALSE),0)</f>
        <v>0</v>
      </c>
    </row>
    <row r="3803" spans="1:10" x14ac:dyDescent="0.25">
      <c r="A3803" t="s">
        <v>3970</v>
      </c>
      <c r="B3803" t="s">
        <v>193</v>
      </c>
      <c r="C3803" t="s">
        <v>122</v>
      </c>
      <c r="D3803" t="s">
        <v>73</v>
      </c>
      <c r="E3803" t="s">
        <v>138</v>
      </c>
      <c r="F3803" s="1">
        <v>42895</v>
      </c>
      <c r="G3803" s="1">
        <v>43000</v>
      </c>
      <c r="H3803">
        <v>4370</v>
      </c>
      <c r="I3803" t="str">
        <f>IF(COUNTIF(Products!$A$2:$A$8,C3803)=0,C3803,"")</f>
        <v/>
      </c>
      <c r="J3803">
        <f>IF(OR(E3803="Prospecting",E3803="Engaging"),VLOOKUP(C3803,Products!$A$2:$C$8,3,FALSE),0)</f>
        <v>0</v>
      </c>
    </row>
    <row r="3804" spans="1:10" x14ac:dyDescent="0.25">
      <c r="A3804" t="s">
        <v>3971</v>
      </c>
      <c r="B3804" t="s">
        <v>207</v>
      </c>
      <c r="C3804" t="s">
        <v>125</v>
      </c>
      <c r="D3804" t="s">
        <v>65</v>
      </c>
      <c r="E3804" t="s">
        <v>138</v>
      </c>
      <c r="F3804" s="1">
        <v>42896</v>
      </c>
      <c r="G3804" s="1">
        <v>42900</v>
      </c>
      <c r="H3804">
        <v>3772</v>
      </c>
      <c r="I3804" t="str">
        <f>IF(COUNTIF(Products!$A$2:$A$8,C3804)=0,C3804,"")</f>
        <v/>
      </c>
      <c r="J3804">
        <f>IF(OR(E3804="Prospecting",E3804="Engaging"),VLOOKUP(C3804,Products!$A$2:$C$8,3,FALSE),0)</f>
        <v>0</v>
      </c>
    </row>
    <row r="3805" spans="1:10" x14ac:dyDescent="0.25">
      <c r="A3805" t="s">
        <v>3972</v>
      </c>
      <c r="B3805" t="s">
        <v>207</v>
      </c>
      <c r="C3805" t="s">
        <v>125</v>
      </c>
      <c r="D3805" t="s">
        <v>98</v>
      </c>
      <c r="E3805" t="s">
        <v>138</v>
      </c>
      <c r="F3805" s="1">
        <v>42896</v>
      </c>
      <c r="G3805" s="1">
        <v>42914</v>
      </c>
      <c r="H3805">
        <v>2871</v>
      </c>
      <c r="I3805" t="str">
        <f>IF(COUNTIF(Products!$A$2:$A$8,C3805)=0,C3805,"")</f>
        <v/>
      </c>
      <c r="J3805">
        <f>IF(OR(E3805="Prospecting",E3805="Engaging"),VLOOKUP(C3805,Products!$A$2:$C$8,3,FALSE),0)</f>
        <v>0</v>
      </c>
    </row>
    <row r="3806" spans="1:10" x14ac:dyDescent="0.25">
      <c r="A3806" t="s">
        <v>3973</v>
      </c>
      <c r="B3806" t="s">
        <v>264</v>
      </c>
      <c r="C3806" t="s">
        <v>126</v>
      </c>
      <c r="D3806" t="s">
        <v>22</v>
      </c>
      <c r="E3806" t="s">
        <v>138</v>
      </c>
      <c r="F3806" s="1">
        <v>42896</v>
      </c>
      <c r="G3806" s="1">
        <v>42951</v>
      </c>
      <c r="H3806">
        <v>4749</v>
      </c>
      <c r="I3806" t="str">
        <f>IF(COUNTIF(Products!$A$2:$A$8,C3806)=0,C3806,"")</f>
        <v/>
      </c>
      <c r="J3806">
        <f>IF(OR(E3806="Prospecting",E3806="Engaging"),VLOOKUP(C3806,Products!$A$2:$C$8,3,FALSE),0)</f>
        <v>0</v>
      </c>
    </row>
    <row r="3807" spans="1:10" x14ac:dyDescent="0.25">
      <c r="A3807" t="s">
        <v>3974</v>
      </c>
      <c r="B3807" t="s">
        <v>239</v>
      </c>
      <c r="C3807" t="s">
        <v>123</v>
      </c>
      <c r="D3807" t="s">
        <v>48</v>
      </c>
      <c r="E3807" t="s">
        <v>159</v>
      </c>
      <c r="F3807" s="1">
        <v>42896</v>
      </c>
      <c r="G3807" s="1">
        <v>42974</v>
      </c>
      <c r="H3807">
        <v>0</v>
      </c>
      <c r="I3807" t="str">
        <f>IF(COUNTIF(Products!$A$2:$A$8,C3807)=0,C3807,"")</f>
        <v/>
      </c>
      <c r="J3807">
        <f>IF(OR(E3807="Prospecting",E3807="Engaging"),VLOOKUP(C3807,Products!$A$2:$C$8,3,FALSE),0)</f>
        <v>0</v>
      </c>
    </row>
    <row r="3808" spans="1:10" x14ac:dyDescent="0.25">
      <c r="A3808" t="s">
        <v>3975</v>
      </c>
      <c r="B3808" t="s">
        <v>140</v>
      </c>
      <c r="C3808" t="s">
        <v>127</v>
      </c>
      <c r="D3808" t="s">
        <v>88</v>
      </c>
      <c r="E3808" t="s">
        <v>138</v>
      </c>
      <c r="F3808" s="1">
        <v>42896</v>
      </c>
      <c r="G3808" s="1">
        <v>42973</v>
      </c>
      <c r="H3808">
        <v>1075</v>
      </c>
      <c r="I3808" t="str">
        <f>IF(COUNTIF(Products!$A$2:$A$8,C3808)=0,C3808,"")</f>
        <v/>
      </c>
      <c r="J3808">
        <f>IF(OR(E3808="Prospecting",E3808="Engaging"),VLOOKUP(C3808,Products!$A$2:$C$8,3,FALSE),0)</f>
        <v>0</v>
      </c>
    </row>
    <row r="3809" spans="1:10" x14ac:dyDescent="0.25">
      <c r="A3809" t="s">
        <v>3976</v>
      </c>
      <c r="B3809" t="s">
        <v>224</v>
      </c>
      <c r="C3809" t="s">
        <v>126</v>
      </c>
      <c r="D3809" t="s">
        <v>68</v>
      </c>
      <c r="E3809" t="s">
        <v>138</v>
      </c>
      <c r="F3809" s="1">
        <v>42896</v>
      </c>
      <c r="G3809" s="1">
        <v>42999</v>
      </c>
      <c r="H3809">
        <v>5051</v>
      </c>
      <c r="I3809" t="str">
        <f>IF(COUNTIF(Products!$A$2:$A$8,C3809)=0,C3809,"")</f>
        <v/>
      </c>
      <c r="J3809">
        <f>IF(OR(E3809="Prospecting",E3809="Engaging"),VLOOKUP(C3809,Products!$A$2:$C$8,3,FALSE),0)</f>
        <v>0</v>
      </c>
    </row>
    <row r="3810" spans="1:10" x14ac:dyDescent="0.25">
      <c r="A3810" t="s">
        <v>3977</v>
      </c>
      <c r="B3810" t="s">
        <v>173</v>
      </c>
      <c r="C3810" t="s">
        <v>128</v>
      </c>
      <c r="D3810" t="s">
        <v>72</v>
      </c>
      <c r="E3810" t="s">
        <v>155</v>
      </c>
      <c r="F3810" s="1">
        <v>42896</v>
      </c>
      <c r="I3810" t="str">
        <f>IF(COUNTIF(Products!$A$2:$A$8,C3810)=0,C3810,"")</f>
        <v/>
      </c>
      <c r="J3810">
        <f>IF(OR(E3810="Prospecting",E3810="Engaging"),VLOOKUP(C3810,Products!$A$2:$C$8,3,FALSE),0)</f>
        <v>26768</v>
      </c>
    </row>
    <row r="3811" spans="1:10" x14ac:dyDescent="0.25">
      <c r="A3811" t="s">
        <v>3978</v>
      </c>
      <c r="B3811" t="s">
        <v>303</v>
      </c>
      <c r="C3811" t="s">
        <v>127</v>
      </c>
      <c r="D3811" t="s">
        <v>64</v>
      </c>
      <c r="E3811" t="s">
        <v>138</v>
      </c>
      <c r="F3811" s="1">
        <v>42896</v>
      </c>
      <c r="G3811" s="1">
        <v>42903</v>
      </c>
      <c r="H3811">
        <v>834</v>
      </c>
      <c r="I3811" t="str">
        <f>IF(COUNTIF(Products!$A$2:$A$8,C3811)=0,C3811,"")</f>
        <v/>
      </c>
      <c r="J3811">
        <f>IF(OR(E3811="Prospecting",E3811="Engaging"),VLOOKUP(C3811,Products!$A$2:$C$8,3,FALSE),0)</f>
        <v>0</v>
      </c>
    </row>
    <row r="3812" spans="1:10" x14ac:dyDescent="0.25">
      <c r="A3812" t="s">
        <v>3979</v>
      </c>
      <c r="B3812" t="s">
        <v>180</v>
      </c>
      <c r="C3812" t="s">
        <v>123</v>
      </c>
      <c r="D3812" t="s">
        <v>57</v>
      </c>
      <c r="E3812" t="s">
        <v>159</v>
      </c>
      <c r="F3812" s="1">
        <v>42896</v>
      </c>
      <c r="G3812" s="1">
        <v>42954</v>
      </c>
      <c r="H3812">
        <v>0</v>
      </c>
      <c r="I3812" t="str">
        <f>IF(COUNTIF(Products!$A$2:$A$8,C3812)=0,C3812,"")</f>
        <v/>
      </c>
      <c r="J3812">
        <f>IF(OR(E3812="Prospecting",E3812="Engaging"),VLOOKUP(C3812,Products!$A$2:$C$8,3,FALSE),0)</f>
        <v>0</v>
      </c>
    </row>
    <row r="3813" spans="1:10" x14ac:dyDescent="0.25">
      <c r="A3813" t="s">
        <v>3980</v>
      </c>
      <c r="B3813" t="s">
        <v>205</v>
      </c>
      <c r="C3813" t="s">
        <v>125</v>
      </c>
      <c r="D3813" t="s">
        <v>103</v>
      </c>
      <c r="E3813" t="s">
        <v>159</v>
      </c>
      <c r="F3813" s="1">
        <v>42896</v>
      </c>
      <c r="G3813" s="1">
        <v>42997</v>
      </c>
      <c r="H3813">
        <v>0</v>
      </c>
      <c r="I3813" t="str">
        <f>IF(COUNTIF(Products!$A$2:$A$8,C3813)=0,C3813,"")</f>
        <v/>
      </c>
      <c r="J3813">
        <f>IF(OR(E3813="Prospecting",E3813="Engaging"),VLOOKUP(C3813,Products!$A$2:$C$8,3,FALSE),0)</f>
        <v>0</v>
      </c>
    </row>
    <row r="3814" spans="1:10" x14ac:dyDescent="0.25">
      <c r="A3814" t="s">
        <v>3981</v>
      </c>
      <c r="B3814" t="s">
        <v>205</v>
      </c>
      <c r="C3814" t="s">
        <v>123</v>
      </c>
      <c r="D3814" t="s">
        <v>85</v>
      </c>
      <c r="E3814" t="s">
        <v>138</v>
      </c>
      <c r="F3814" s="1">
        <v>42896</v>
      </c>
      <c r="G3814" s="1">
        <v>42905</v>
      </c>
      <c r="H3814">
        <v>54</v>
      </c>
      <c r="I3814" t="str">
        <f>IF(COUNTIF(Products!$A$2:$A$8,C3814)=0,C3814,"")</f>
        <v/>
      </c>
      <c r="J3814">
        <f>IF(OR(E3814="Prospecting",E3814="Engaging"),VLOOKUP(C3814,Products!$A$2:$C$8,3,FALSE),0)</f>
        <v>0</v>
      </c>
    </row>
    <row r="3815" spans="1:10" x14ac:dyDescent="0.25">
      <c r="A3815" t="s">
        <v>3982</v>
      </c>
      <c r="B3815" t="s">
        <v>152</v>
      </c>
      <c r="C3815" t="s">
        <v>120</v>
      </c>
      <c r="D3815" t="s">
        <v>96</v>
      </c>
      <c r="E3815" t="s">
        <v>159</v>
      </c>
      <c r="F3815" s="1">
        <v>42896</v>
      </c>
      <c r="G3815" s="1">
        <v>42985</v>
      </c>
      <c r="H3815">
        <v>0</v>
      </c>
      <c r="I3815" t="str">
        <f>IF(COUNTIF(Products!$A$2:$A$8,C3815)=0,C3815,"")</f>
        <v/>
      </c>
      <c r="J3815">
        <f>IF(OR(E3815="Prospecting",E3815="Engaging"),VLOOKUP(C3815,Products!$A$2:$C$8,3,FALSE),0)</f>
        <v>0</v>
      </c>
    </row>
    <row r="3816" spans="1:10" x14ac:dyDescent="0.25">
      <c r="A3816" t="s">
        <v>3983</v>
      </c>
      <c r="B3816" t="s">
        <v>152</v>
      </c>
      <c r="C3816" t="s">
        <v>120</v>
      </c>
      <c r="D3816" t="s">
        <v>33</v>
      </c>
      <c r="E3816" t="s">
        <v>138</v>
      </c>
      <c r="F3816" s="1">
        <v>42896</v>
      </c>
      <c r="G3816" s="1">
        <v>42907</v>
      </c>
      <c r="H3816">
        <v>527</v>
      </c>
      <c r="I3816" t="str">
        <f>IF(COUNTIF(Products!$A$2:$A$8,C3816)=0,C3816,"")</f>
        <v/>
      </c>
      <c r="J3816">
        <f>IF(OR(E3816="Prospecting",E3816="Engaging"),VLOOKUP(C3816,Products!$A$2:$C$8,3,FALSE),0)</f>
        <v>0</v>
      </c>
    </row>
    <row r="3817" spans="1:10" x14ac:dyDescent="0.25">
      <c r="A3817" t="s">
        <v>3984</v>
      </c>
      <c r="B3817" t="s">
        <v>152</v>
      </c>
      <c r="C3817" t="s">
        <v>125</v>
      </c>
      <c r="D3817" t="s">
        <v>53</v>
      </c>
      <c r="E3817" t="s">
        <v>138</v>
      </c>
      <c r="F3817" s="1">
        <v>42896</v>
      </c>
      <c r="G3817" s="1">
        <v>42898</v>
      </c>
      <c r="H3817">
        <v>2724</v>
      </c>
      <c r="I3817" t="str">
        <f>IF(COUNTIF(Products!$A$2:$A$8,C3817)=0,C3817,"")</f>
        <v/>
      </c>
      <c r="J3817">
        <f>IF(OR(E3817="Prospecting",E3817="Engaging"),VLOOKUP(C3817,Products!$A$2:$C$8,3,FALSE),0)</f>
        <v>0</v>
      </c>
    </row>
    <row r="3818" spans="1:10" x14ac:dyDescent="0.25">
      <c r="A3818" t="s">
        <v>3985</v>
      </c>
      <c r="B3818" t="s">
        <v>193</v>
      </c>
      <c r="C3818" t="s">
        <v>126</v>
      </c>
      <c r="D3818" t="s">
        <v>10</v>
      </c>
      <c r="E3818" t="s">
        <v>159</v>
      </c>
      <c r="F3818" s="1">
        <v>42896</v>
      </c>
      <c r="G3818" s="1">
        <v>42907</v>
      </c>
      <c r="H3818">
        <v>0</v>
      </c>
      <c r="I3818" t="str">
        <f>IF(COUNTIF(Products!$A$2:$A$8,C3818)=0,C3818,"")</f>
        <v/>
      </c>
      <c r="J3818">
        <f>IF(OR(E3818="Prospecting",E3818="Engaging"),VLOOKUP(C3818,Products!$A$2:$C$8,3,FALSE),0)</f>
        <v>0</v>
      </c>
    </row>
    <row r="3819" spans="1:10" x14ac:dyDescent="0.25">
      <c r="A3819" t="s">
        <v>3986</v>
      </c>
      <c r="B3819" t="s">
        <v>193</v>
      </c>
      <c r="C3819" t="s">
        <v>120</v>
      </c>
      <c r="D3819" t="s">
        <v>68</v>
      </c>
      <c r="E3819" t="s">
        <v>138</v>
      </c>
      <c r="F3819" s="1">
        <v>42896</v>
      </c>
      <c r="G3819" s="1">
        <v>42983</v>
      </c>
      <c r="H3819">
        <v>551</v>
      </c>
      <c r="I3819" t="str">
        <f>IF(COUNTIF(Products!$A$2:$A$8,C3819)=0,C3819,"")</f>
        <v/>
      </c>
      <c r="J3819">
        <f>IF(OR(E3819="Prospecting",E3819="Engaging"),VLOOKUP(C3819,Products!$A$2:$C$8,3,FALSE),0)</f>
        <v>0</v>
      </c>
    </row>
    <row r="3820" spans="1:10" x14ac:dyDescent="0.25">
      <c r="A3820" t="s">
        <v>3987</v>
      </c>
      <c r="B3820" t="s">
        <v>166</v>
      </c>
      <c r="C3820" t="s">
        <v>122</v>
      </c>
      <c r="D3820" t="s">
        <v>106</v>
      </c>
      <c r="E3820" t="s">
        <v>155</v>
      </c>
      <c r="F3820" s="1">
        <v>42896</v>
      </c>
      <c r="I3820" t="str">
        <f>IF(COUNTIF(Products!$A$2:$A$8,C3820)=0,C3820,"")</f>
        <v/>
      </c>
      <c r="J3820">
        <f>IF(OR(E3820="Prospecting",E3820="Engaging"),VLOOKUP(C3820,Products!$A$2:$C$8,3,FALSE),0)</f>
        <v>4821</v>
      </c>
    </row>
    <row r="3821" spans="1:10" x14ac:dyDescent="0.25">
      <c r="A3821" t="s">
        <v>3988</v>
      </c>
      <c r="B3821" t="s">
        <v>148</v>
      </c>
      <c r="C3821" t="s">
        <v>127</v>
      </c>
      <c r="D3821" t="s">
        <v>83</v>
      </c>
      <c r="E3821" t="s">
        <v>138</v>
      </c>
      <c r="F3821" s="1">
        <v>42896</v>
      </c>
      <c r="G3821" s="1">
        <v>42907</v>
      </c>
      <c r="H3821">
        <v>1118</v>
      </c>
      <c r="I3821" t="str">
        <f>IF(COUNTIF(Products!$A$2:$A$8,C3821)=0,C3821,"")</f>
        <v/>
      </c>
      <c r="J3821">
        <f>IF(OR(E3821="Prospecting",E3821="Engaging"),VLOOKUP(C3821,Products!$A$2:$C$8,3,FALSE),0)</f>
        <v>0</v>
      </c>
    </row>
    <row r="3822" spans="1:10" x14ac:dyDescent="0.25">
      <c r="A3822" t="s">
        <v>3989</v>
      </c>
      <c r="B3822" t="s">
        <v>148</v>
      </c>
      <c r="C3822" t="s">
        <v>126</v>
      </c>
      <c r="D3822" t="s">
        <v>29</v>
      </c>
      <c r="E3822" t="s">
        <v>138</v>
      </c>
      <c r="F3822" s="1">
        <v>42896</v>
      </c>
      <c r="G3822" s="1">
        <v>42970</v>
      </c>
      <c r="H3822">
        <v>6094</v>
      </c>
      <c r="I3822" t="str">
        <f>IF(COUNTIF(Products!$A$2:$A$8,C3822)=0,C3822,"")</f>
        <v/>
      </c>
      <c r="J3822">
        <f>IF(OR(E3822="Prospecting",E3822="Engaging"),VLOOKUP(C3822,Products!$A$2:$C$8,3,FALSE),0)</f>
        <v>0</v>
      </c>
    </row>
    <row r="3823" spans="1:10" x14ac:dyDescent="0.25">
      <c r="A3823" t="s">
        <v>3990</v>
      </c>
      <c r="B3823" t="s">
        <v>196</v>
      </c>
      <c r="C3823" t="s">
        <v>123</v>
      </c>
      <c r="D3823" t="s">
        <v>50</v>
      </c>
      <c r="E3823" t="s">
        <v>159</v>
      </c>
      <c r="F3823" s="1">
        <v>42896</v>
      </c>
      <c r="G3823" s="1">
        <v>42969</v>
      </c>
      <c r="H3823">
        <v>0</v>
      </c>
      <c r="I3823" t="str">
        <f>IF(COUNTIF(Products!$A$2:$A$8,C3823)=0,C3823,"")</f>
        <v/>
      </c>
      <c r="J3823">
        <f>IF(OR(E3823="Prospecting",E3823="Engaging"),VLOOKUP(C3823,Products!$A$2:$C$8,3,FALSE),0)</f>
        <v>0</v>
      </c>
    </row>
    <row r="3824" spans="1:10" x14ac:dyDescent="0.25">
      <c r="A3824" t="s">
        <v>3991</v>
      </c>
      <c r="B3824" t="s">
        <v>144</v>
      </c>
      <c r="C3824" t="s">
        <v>120</v>
      </c>
      <c r="E3824" t="s">
        <v>155</v>
      </c>
      <c r="F3824" s="1">
        <v>42896</v>
      </c>
      <c r="I3824" t="str">
        <f>IF(COUNTIF(Products!$A$2:$A$8,C3824)=0,C3824,"")</f>
        <v/>
      </c>
      <c r="J3824">
        <f>IF(OR(E3824="Prospecting",E3824="Engaging"),VLOOKUP(C3824,Products!$A$2:$C$8,3,FALSE),0)</f>
        <v>550</v>
      </c>
    </row>
    <row r="3825" spans="1:10" x14ac:dyDescent="0.25">
      <c r="A3825" t="s">
        <v>3992</v>
      </c>
      <c r="B3825" t="s">
        <v>144</v>
      </c>
      <c r="C3825" t="s">
        <v>120</v>
      </c>
      <c r="D3825" t="s">
        <v>75</v>
      </c>
      <c r="E3825" t="s">
        <v>138</v>
      </c>
      <c r="F3825" s="1">
        <v>42896</v>
      </c>
      <c r="G3825" s="1">
        <v>42953</v>
      </c>
      <c r="H3825">
        <v>556</v>
      </c>
      <c r="I3825" t="str">
        <f>IF(COUNTIF(Products!$A$2:$A$8,C3825)=0,C3825,"")</f>
        <v/>
      </c>
      <c r="J3825">
        <f>IF(OR(E3825="Prospecting",E3825="Engaging"),VLOOKUP(C3825,Products!$A$2:$C$8,3,FALSE),0)</f>
        <v>0</v>
      </c>
    </row>
    <row r="3826" spans="1:10" x14ac:dyDescent="0.25">
      <c r="A3826" t="s">
        <v>3993</v>
      </c>
      <c r="B3826" t="s">
        <v>146</v>
      </c>
      <c r="C3826" t="s">
        <v>120</v>
      </c>
      <c r="D3826" t="s">
        <v>53</v>
      </c>
      <c r="E3826" t="s">
        <v>159</v>
      </c>
      <c r="F3826" s="1">
        <v>42897</v>
      </c>
      <c r="G3826" s="1">
        <v>42994</v>
      </c>
      <c r="H3826">
        <v>0</v>
      </c>
      <c r="I3826" t="str">
        <f>IF(COUNTIF(Products!$A$2:$A$8,C3826)=0,C3826,"")</f>
        <v/>
      </c>
      <c r="J3826">
        <f>IF(OR(E3826="Prospecting",E3826="Engaging"),VLOOKUP(C3826,Products!$A$2:$C$8,3,FALSE),0)</f>
        <v>0</v>
      </c>
    </row>
    <row r="3827" spans="1:10" x14ac:dyDescent="0.25">
      <c r="A3827" t="s">
        <v>3994</v>
      </c>
      <c r="B3827" t="s">
        <v>146</v>
      </c>
      <c r="C3827" t="s">
        <v>123</v>
      </c>
      <c r="D3827" t="s">
        <v>85</v>
      </c>
      <c r="E3827" t="s">
        <v>138</v>
      </c>
      <c r="F3827" s="1">
        <v>42897</v>
      </c>
      <c r="G3827" s="1">
        <v>42991</v>
      </c>
      <c r="H3827">
        <v>49</v>
      </c>
      <c r="I3827" t="str">
        <f>IF(COUNTIF(Products!$A$2:$A$8,C3827)=0,C3827,"")</f>
        <v/>
      </c>
      <c r="J3827">
        <f>IF(OR(E3827="Prospecting",E3827="Engaging"),VLOOKUP(C3827,Products!$A$2:$C$8,3,FALSE),0)</f>
        <v>0</v>
      </c>
    </row>
    <row r="3828" spans="1:10" x14ac:dyDescent="0.25">
      <c r="A3828" t="s">
        <v>3995</v>
      </c>
      <c r="B3828" t="s">
        <v>207</v>
      </c>
      <c r="C3828" t="s">
        <v>127</v>
      </c>
      <c r="D3828" t="s">
        <v>92</v>
      </c>
      <c r="E3828" t="s">
        <v>159</v>
      </c>
      <c r="F3828" s="1">
        <v>42897</v>
      </c>
      <c r="G3828" s="1">
        <v>42989</v>
      </c>
      <c r="H3828">
        <v>0</v>
      </c>
      <c r="I3828" t="str">
        <f>IF(COUNTIF(Products!$A$2:$A$8,C3828)=0,C3828,"")</f>
        <v/>
      </c>
      <c r="J3828">
        <f>IF(OR(E3828="Prospecting",E3828="Engaging"),VLOOKUP(C3828,Products!$A$2:$C$8,3,FALSE),0)</f>
        <v>0</v>
      </c>
    </row>
    <row r="3829" spans="1:10" x14ac:dyDescent="0.25">
      <c r="A3829" t="s">
        <v>3996</v>
      </c>
      <c r="B3829" t="s">
        <v>264</v>
      </c>
      <c r="C3829" t="s">
        <v>127</v>
      </c>
      <c r="D3829" t="s">
        <v>96</v>
      </c>
      <c r="E3829" t="s">
        <v>138</v>
      </c>
      <c r="F3829" s="1">
        <v>42897</v>
      </c>
      <c r="G3829" s="1">
        <v>43003</v>
      </c>
      <c r="H3829">
        <v>1001</v>
      </c>
      <c r="I3829" t="str">
        <f>IF(COUNTIF(Products!$A$2:$A$8,C3829)=0,C3829,"")</f>
        <v/>
      </c>
      <c r="J3829">
        <f>IF(OR(E3829="Prospecting",E3829="Engaging"),VLOOKUP(C3829,Products!$A$2:$C$8,3,FALSE),0)</f>
        <v>0</v>
      </c>
    </row>
    <row r="3830" spans="1:10" x14ac:dyDescent="0.25">
      <c r="A3830" t="s">
        <v>3997</v>
      </c>
      <c r="B3830" t="s">
        <v>239</v>
      </c>
      <c r="C3830" t="s">
        <v>125</v>
      </c>
      <c r="D3830" t="s">
        <v>102</v>
      </c>
      <c r="E3830" t="s">
        <v>138</v>
      </c>
      <c r="F3830" s="1">
        <v>42897</v>
      </c>
      <c r="G3830" s="1">
        <v>42994</v>
      </c>
      <c r="H3830">
        <v>3777</v>
      </c>
      <c r="I3830" t="str">
        <f>IF(COUNTIF(Products!$A$2:$A$8,C3830)=0,C3830,"")</f>
        <v/>
      </c>
      <c r="J3830">
        <f>IF(OR(E3830="Prospecting",E3830="Engaging"),VLOOKUP(C3830,Products!$A$2:$C$8,3,FALSE),0)</f>
        <v>0</v>
      </c>
    </row>
    <row r="3831" spans="1:10" x14ac:dyDescent="0.25">
      <c r="A3831" t="s">
        <v>3998</v>
      </c>
      <c r="B3831" t="s">
        <v>171</v>
      </c>
      <c r="C3831" t="s">
        <v>127</v>
      </c>
      <c r="D3831" t="s">
        <v>63</v>
      </c>
      <c r="E3831" t="s">
        <v>138</v>
      </c>
      <c r="F3831" s="1">
        <v>42897</v>
      </c>
      <c r="G3831" s="1">
        <v>42964</v>
      </c>
      <c r="H3831">
        <v>892</v>
      </c>
      <c r="I3831" t="str">
        <f>IF(COUNTIF(Products!$A$2:$A$8,C3831)=0,C3831,"")</f>
        <v/>
      </c>
      <c r="J3831">
        <f>IF(OR(E3831="Prospecting",E3831="Engaging"),VLOOKUP(C3831,Products!$A$2:$C$8,3,FALSE),0)</f>
        <v>0</v>
      </c>
    </row>
    <row r="3832" spans="1:10" x14ac:dyDescent="0.25">
      <c r="A3832" t="s">
        <v>3999</v>
      </c>
      <c r="B3832" t="s">
        <v>171</v>
      </c>
      <c r="C3832" t="s">
        <v>126</v>
      </c>
      <c r="D3832" t="s">
        <v>65</v>
      </c>
      <c r="E3832" t="s">
        <v>138</v>
      </c>
      <c r="F3832" s="1">
        <v>42897</v>
      </c>
      <c r="G3832" s="1">
        <v>42905</v>
      </c>
      <c r="H3832">
        <v>5353</v>
      </c>
      <c r="I3832" t="str">
        <f>IF(COUNTIF(Products!$A$2:$A$8,C3832)=0,C3832,"")</f>
        <v/>
      </c>
      <c r="J3832">
        <f>IF(OR(E3832="Prospecting",E3832="Engaging"),VLOOKUP(C3832,Products!$A$2:$C$8,3,FALSE),0)</f>
        <v>0</v>
      </c>
    </row>
    <row r="3833" spans="1:10" x14ac:dyDescent="0.25">
      <c r="A3833" t="s">
        <v>4000</v>
      </c>
      <c r="B3833" t="s">
        <v>140</v>
      </c>
      <c r="C3833" t="s">
        <v>122</v>
      </c>
      <c r="D3833" t="s">
        <v>12</v>
      </c>
      <c r="E3833" t="s">
        <v>138</v>
      </c>
      <c r="F3833" s="1">
        <v>42897</v>
      </c>
      <c r="G3833" s="1">
        <v>42910</v>
      </c>
      <c r="H3833">
        <v>4410</v>
      </c>
      <c r="I3833" t="str">
        <f>IF(COUNTIF(Products!$A$2:$A$8,C3833)=0,C3833,"")</f>
        <v/>
      </c>
      <c r="J3833">
        <f>IF(OR(E3833="Prospecting",E3833="Engaging"),VLOOKUP(C3833,Products!$A$2:$C$8,3,FALSE),0)</f>
        <v>0</v>
      </c>
    </row>
    <row r="3834" spans="1:10" x14ac:dyDescent="0.25">
      <c r="A3834" t="s">
        <v>4001</v>
      </c>
      <c r="B3834" t="s">
        <v>140</v>
      </c>
      <c r="C3834" t="s">
        <v>125</v>
      </c>
      <c r="D3834" t="s">
        <v>70</v>
      </c>
      <c r="E3834" t="s">
        <v>138</v>
      </c>
      <c r="F3834" s="1">
        <v>42897</v>
      </c>
      <c r="G3834" s="1">
        <v>42981</v>
      </c>
      <c r="H3834">
        <v>3768</v>
      </c>
      <c r="I3834" t="str">
        <f>IF(COUNTIF(Products!$A$2:$A$8,C3834)=0,C3834,"")</f>
        <v/>
      </c>
      <c r="J3834">
        <f>IF(OR(E3834="Prospecting",E3834="Engaging"),VLOOKUP(C3834,Products!$A$2:$C$8,3,FALSE),0)</f>
        <v>0</v>
      </c>
    </row>
    <row r="3835" spans="1:10" x14ac:dyDescent="0.25">
      <c r="A3835" t="s">
        <v>4002</v>
      </c>
      <c r="B3835" t="s">
        <v>224</v>
      </c>
      <c r="C3835" t="s">
        <v>120</v>
      </c>
      <c r="D3835" t="s">
        <v>19</v>
      </c>
      <c r="E3835" t="s">
        <v>159</v>
      </c>
      <c r="F3835" s="1">
        <v>42897</v>
      </c>
      <c r="G3835" s="1">
        <v>42976</v>
      </c>
      <c r="H3835">
        <v>0</v>
      </c>
      <c r="I3835" t="str">
        <f>IF(COUNTIF(Products!$A$2:$A$8,C3835)=0,C3835,"")</f>
        <v/>
      </c>
      <c r="J3835">
        <f>IF(OR(E3835="Prospecting",E3835="Engaging"),VLOOKUP(C3835,Products!$A$2:$C$8,3,FALSE),0)</f>
        <v>0</v>
      </c>
    </row>
    <row r="3836" spans="1:10" x14ac:dyDescent="0.25">
      <c r="A3836" t="s">
        <v>4003</v>
      </c>
      <c r="B3836" t="s">
        <v>154</v>
      </c>
      <c r="C3836" t="s">
        <v>120</v>
      </c>
      <c r="D3836" t="s">
        <v>66</v>
      </c>
      <c r="E3836" t="s">
        <v>138</v>
      </c>
      <c r="F3836" s="1">
        <v>42897</v>
      </c>
      <c r="G3836" s="1">
        <v>42957</v>
      </c>
      <c r="H3836">
        <v>507</v>
      </c>
      <c r="I3836" t="str">
        <f>IF(COUNTIF(Products!$A$2:$A$8,C3836)=0,C3836,"")</f>
        <v/>
      </c>
      <c r="J3836">
        <f>IF(OR(E3836="Prospecting",E3836="Engaging"),VLOOKUP(C3836,Products!$A$2:$C$8,3,FALSE),0)</f>
        <v>0</v>
      </c>
    </row>
    <row r="3837" spans="1:10" x14ac:dyDescent="0.25">
      <c r="A3837" t="s">
        <v>4004</v>
      </c>
      <c r="B3837" t="s">
        <v>303</v>
      </c>
      <c r="C3837" t="s">
        <v>127</v>
      </c>
      <c r="D3837" t="s">
        <v>116</v>
      </c>
      <c r="E3837" t="s">
        <v>138</v>
      </c>
      <c r="F3837" s="1">
        <v>42897</v>
      </c>
      <c r="G3837" s="1">
        <v>42998</v>
      </c>
      <c r="H3837">
        <v>1144</v>
      </c>
      <c r="I3837" t="str">
        <f>IF(COUNTIF(Products!$A$2:$A$8,C3837)=0,C3837,"")</f>
        <v/>
      </c>
      <c r="J3837">
        <f>IF(OR(E3837="Prospecting",E3837="Engaging"),VLOOKUP(C3837,Products!$A$2:$C$8,3,FALSE),0)</f>
        <v>0</v>
      </c>
    </row>
    <row r="3838" spans="1:10" x14ac:dyDescent="0.25">
      <c r="A3838" t="s">
        <v>4005</v>
      </c>
      <c r="B3838" t="s">
        <v>191</v>
      </c>
      <c r="C3838" t="s">
        <v>123</v>
      </c>
      <c r="D3838" t="s">
        <v>23</v>
      </c>
      <c r="E3838" t="s">
        <v>138</v>
      </c>
      <c r="F3838" s="1">
        <v>42897</v>
      </c>
      <c r="G3838" s="1">
        <v>43000</v>
      </c>
      <c r="H3838">
        <v>44</v>
      </c>
      <c r="I3838" t="str">
        <f>IF(COUNTIF(Products!$A$2:$A$8,C3838)=0,C3838,"")</f>
        <v/>
      </c>
      <c r="J3838">
        <f>IF(OR(E3838="Prospecting",E3838="Engaging"),VLOOKUP(C3838,Products!$A$2:$C$8,3,FALSE),0)</f>
        <v>0</v>
      </c>
    </row>
    <row r="3839" spans="1:10" x14ac:dyDescent="0.25">
      <c r="A3839" t="s">
        <v>4006</v>
      </c>
      <c r="B3839" t="s">
        <v>217</v>
      </c>
      <c r="C3839" t="s">
        <v>125</v>
      </c>
      <c r="D3839" t="s">
        <v>104</v>
      </c>
      <c r="E3839" t="s">
        <v>138</v>
      </c>
      <c r="F3839" s="1">
        <v>42897</v>
      </c>
      <c r="G3839" s="1">
        <v>42913</v>
      </c>
      <c r="H3839">
        <v>3470</v>
      </c>
      <c r="I3839" t="str">
        <f>IF(COUNTIF(Products!$A$2:$A$8,C3839)=0,C3839,"")</f>
        <v/>
      </c>
      <c r="J3839">
        <f>IF(OR(E3839="Prospecting",E3839="Engaging"),VLOOKUP(C3839,Products!$A$2:$C$8,3,FALSE),0)</f>
        <v>0</v>
      </c>
    </row>
    <row r="3840" spans="1:10" x14ac:dyDescent="0.25">
      <c r="A3840" t="s">
        <v>4007</v>
      </c>
      <c r="B3840" t="s">
        <v>150</v>
      </c>
      <c r="C3840" t="s">
        <v>125</v>
      </c>
      <c r="D3840" t="s">
        <v>29</v>
      </c>
      <c r="E3840" t="s">
        <v>155</v>
      </c>
      <c r="F3840" s="1">
        <v>42897</v>
      </c>
      <c r="I3840" t="str">
        <f>IF(COUNTIF(Products!$A$2:$A$8,C3840)=0,C3840,"")</f>
        <v/>
      </c>
      <c r="J3840">
        <f>IF(OR(E3840="Prospecting",E3840="Engaging"),VLOOKUP(C3840,Products!$A$2:$C$8,3,FALSE),0)</f>
        <v>3393</v>
      </c>
    </row>
    <row r="3841" spans="1:10" x14ac:dyDescent="0.25">
      <c r="A3841" t="s">
        <v>4008</v>
      </c>
      <c r="B3841" t="s">
        <v>150</v>
      </c>
      <c r="C3841" t="s">
        <v>128</v>
      </c>
      <c r="D3841" t="s">
        <v>23</v>
      </c>
      <c r="E3841" t="s">
        <v>138</v>
      </c>
      <c r="F3841" s="1">
        <v>42897</v>
      </c>
      <c r="G3841" s="1">
        <v>43004</v>
      </c>
      <c r="H3841">
        <v>29166</v>
      </c>
      <c r="I3841" t="str">
        <f>IF(COUNTIF(Products!$A$2:$A$8,C3841)=0,C3841,"")</f>
        <v/>
      </c>
      <c r="J3841">
        <f>IF(OR(E3841="Prospecting",E3841="Engaging"),VLOOKUP(C3841,Products!$A$2:$C$8,3,FALSE),0)</f>
        <v>0</v>
      </c>
    </row>
    <row r="3842" spans="1:10" x14ac:dyDescent="0.25">
      <c r="A3842" t="s">
        <v>4009</v>
      </c>
      <c r="B3842" t="s">
        <v>150</v>
      </c>
      <c r="C3842" t="s">
        <v>127</v>
      </c>
      <c r="D3842" t="s">
        <v>67</v>
      </c>
      <c r="E3842" t="s">
        <v>138</v>
      </c>
      <c r="F3842" s="1">
        <v>42897</v>
      </c>
      <c r="G3842" s="1">
        <v>42957</v>
      </c>
      <c r="H3842">
        <v>1045</v>
      </c>
      <c r="I3842" t="str">
        <f>IF(COUNTIF(Products!$A$2:$A$8,C3842)=0,C3842,"")</f>
        <v/>
      </c>
      <c r="J3842">
        <f>IF(OR(E3842="Prospecting",E3842="Engaging"),VLOOKUP(C3842,Products!$A$2:$C$8,3,FALSE),0)</f>
        <v>0</v>
      </c>
    </row>
    <row r="3843" spans="1:10" x14ac:dyDescent="0.25">
      <c r="A3843" t="s">
        <v>4010</v>
      </c>
      <c r="B3843" t="s">
        <v>162</v>
      </c>
      <c r="C3843" t="s">
        <v>127</v>
      </c>
      <c r="D3843" t="s">
        <v>38</v>
      </c>
      <c r="E3843" t="s">
        <v>138</v>
      </c>
      <c r="F3843" s="1">
        <v>42897</v>
      </c>
      <c r="G3843" s="1">
        <v>42990</v>
      </c>
      <c r="H3843">
        <v>951</v>
      </c>
      <c r="I3843" t="str">
        <f>IF(COUNTIF(Products!$A$2:$A$8,C3843)=0,C3843,"")</f>
        <v/>
      </c>
      <c r="J3843">
        <f>IF(OR(E3843="Prospecting",E3843="Engaging"),VLOOKUP(C3843,Products!$A$2:$C$8,3,FALSE),0)</f>
        <v>0</v>
      </c>
    </row>
    <row r="3844" spans="1:10" x14ac:dyDescent="0.25">
      <c r="A3844" t="s">
        <v>4011</v>
      </c>
      <c r="B3844" t="s">
        <v>187</v>
      </c>
      <c r="C3844" t="s">
        <v>127</v>
      </c>
      <c r="D3844" t="s">
        <v>114</v>
      </c>
      <c r="E3844" t="s">
        <v>155</v>
      </c>
      <c r="F3844" s="1">
        <v>42897</v>
      </c>
      <c r="I3844" t="str">
        <f>IF(COUNTIF(Products!$A$2:$A$8,C3844)=0,C3844,"")</f>
        <v/>
      </c>
      <c r="J3844">
        <f>IF(OR(E3844="Prospecting",E3844="Engaging"),VLOOKUP(C3844,Products!$A$2:$C$8,3,FALSE),0)</f>
        <v>1096</v>
      </c>
    </row>
    <row r="3845" spans="1:10" x14ac:dyDescent="0.25">
      <c r="A3845" t="s">
        <v>4012</v>
      </c>
      <c r="B3845" t="s">
        <v>169</v>
      </c>
      <c r="C3845" t="s">
        <v>123</v>
      </c>
      <c r="D3845" t="s">
        <v>94</v>
      </c>
      <c r="E3845" t="s">
        <v>138</v>
      </c>
      <c r="F3845" s="1">
        <v>42897</v>
      </c>
      <c r="G3845" s="1">
        <v>42967</v>
      </c>
      <c r="H3845">
        <v>43</v>
      </c>
      <c r="I3845" t="str">
        <f>IF(COUNTIF(Products!$A$2:$A$8,C3845)=0,C3845,"")</f>
        <v/>
      </c>
      <c r="J3845">
        <f>IF(OR(E3845="Prospecting",E3845="Engaging"),VLOOKUP(C3845,Products!$A$2:$C$8,3,FALSE),0)</f>
        <v>0</v>
      </c>
    </row>
    <row r="3846" spans="1:10" x14ac:dyDescent="0.25">
      <c r="A3846" t="s">
        <v>4013</v>
      </c>
      <c r="B3846" t="s">
        <v>169</v>
      </c>
      <c r="C3846" t="s">
        <v>123</v>
      </c>
      <c r="D3846" t="s">
        <v>116</v>
      </c>
      <c r="E3846" t="s">
        <v>138</v>
      </c>
      <c r="F3846" s="1">
        <v>42897</v>
      </c>
      <c r="G3846" s="1">
        <v>42901</v>
      </c>
      <c r="H3846">
        <v>55</v>
      </c>
      <c r="I3846" t="str">
        <f>IF(COUNTIF(Products!$A$2:$A$8,C3846)=0,C3846,"")</f>
        <v/>
      </c>
      <c r="J3846">
        <f>IF(OR(E3846="Prospecting",E3846="Engaging"),VLOOKUP(C3846,Products!$A$2:$C$8,3,FALSE),0)</f>
        <v>0</v>
      </c>
    </row>
    <row r="3847" spans="1:10" x14ac:dyDescent="0.25">
      <c r="A3847" t="s">
        <v>4014</v>
      </c>
      <c r="B3847" t="s">
        <v>148</v>
      </c>
      <c r="C3847" t="s">
        <v>120</v>
      </c>
      <c r="E3847" t="s">
        <v>155</v>
      </c>
      <c r="F3847" s="1">
        <v>42897</v>
      </c>
      <c r="I3847" t="str">
        <f>IF(COUNTIF(Products!$A$2:$A$8,C3847)=0,C3847,"")</f>
        <v/>
      </c>
      <c r="J3847">
        <f>IF(OR(E3847="Prospecting",E3847="Engaging"),VLOOKUP(C3847,Products!$A$2:$C$8,3,FALSE),0)</f>
        <v>550</v>
      </c>
    </row>
    <row r="3848" spans="1:10" x14ac:dyDescent="0.25">
      <c r="A3848" t="s">
        <v>4015</v>
      </c>
      <c r="B3848" t="s">
        <v>207</v>
      </c>
      <c r="C3848" t="s">
        <v>122</v>
      </c>
      <c r="D3848" t="s">
        <v>67</v>
      </c>
      <c r="E3848" t="s">
        <v>138</v>
      </c>
      <c r="F3848" s="1">
        <v>42898</v>
      </c>
      <c r="G3848" s="1">
        <v>42964</v>
      </c>
      <c r="H3848">
        <v>4294</v>
      </c>
      <c r="I3848" t="str">
        <f>IF(COUNTIF(Products!$A$2:$A$8,C3848)=0,C3848,"")</f>
        <v/>
      </c>
      <c r="J3848">
        <f>IF(OR(E3848="Prospecting",E3848="Engaging"),VLOOKUP(C3848,Products!$A$2:$C$8,3,FALSE),0)</f>
        <v>0</v>
      </c>
    </row>
    <row r="3849" spans="1:10" x14ac:dyDescent="0.25">
      <c r="A3849" t="s">
        <v>4016</v>
      </c>
      <c r="B3849" t="s">
        <v>264</v>
      </c>
      <c r="C3849" t="s">
        <v>126</v>
      </c>
      <c r="D3849" t="s">
        <v>96</v>
      </c>
      <c r="E3849" t="s">
        <v>138</v>
      </c>
      <c r="F3849" s="1">
        <v>42898</v>
      </c>
      <c r="G3849" s="1">
        <v>42976</v>
      </c>
      <c r="H3849">
        <v>4961</v>
      </c>
      <c r="I3849" t="str">
        <f>IF(COUNTIF(Products!$A$2:$A$8,C3849)=0,C3849,"")</f>
        <v/>
      </c>
      <c r="J3849">
        <f>IF(OR(E3849="Prospecting",E3849="Engaging"),VLOOKUP(C3849,Products!$A$2:$C$8,3,FALSE),0)</f>
        <v>0</v>
      </c>
    </row>
    <row r="3850" spans="1:10" x14ac:dyDescent="0.25">
      <c r="A3850" t="s">
        <v>4017</v>
      </c>
      <c r="B3850" t="s">
        <v>239</v>
      </c>
      <c r="C3850" t="s">
        <v>122</v>
      </c>
      <c r="D3850" t="s">
        <v>10</v>
      </c>
      <c r="E3850" t="s">
        <v>155</v>
      </c>
      <c r="F3850" s="1">
        <v>42898</v>
      </c>
      <c r="I3850" t="str">
        <f>IF(COUNTIF(Products!$A$2:$A$8,C3850)=0,C3850,"")</f>
        <v/>
      </c>
      <c r="J3850">
        <f>IF(OR(E3850="Prospecting",E3850="Engaging"),VLOOKUP(C3850,Products!$A$2:$C$8,3,FALSE),0)</f>
        <v>4821</v>
      </c>
    </row>
    <row r="3851" spans="1:10" x14ac:dyDescent="0.25">
      <c r="A3851" t="s">
        <v>4018</v>
      </c>
      <c r="B3851" t="s">
        <v>239</v>
      </c>
      <c r="C3851" t="s">
        <v>120</v>
      </c>
      <c r="D3851" t="s">
        <v>65</v>
      </c>
      <c r="E3851" t="s">
        <v>159</v>
      </c>
      <c r="F3851" s="1">
        <v>42898</v>
      </c>
      <c r="G3851" s="1">
        <v>42965</v>
      </c>
      <c r="H3851">
        <v>0</v>
      </c>
      <c r="I3851" t="str">
        <f>IF(COUNTIF(Products!$A$2:$A$8,C3851)=0,C3851,"")</f>
        <v/>
      </c>
      <c r="J3851">
        <f>IF(OR(E3851="Prospecting",E3851="Engaging"),VLOOKUP(C3851,Products!$A$2:$C$8,3,FALSE),0)</f>
        <v>0</v>
      </c>
    </row>
    <row r="3852" spans="1:10" x14ac:dyDescent="0.25">
      <c r="A3852" t="s">
        <v>4019</v>
      </c>
      <c r="B3852" t="s">
        <v>171</v>
      </c>
      <c r="C3852" t="s">
        <v>122</v>
      </c>
      <c r="D3852" t="s">
        <v>80</v>
      </c>
      <c r="E3852" t="s">
        <v>138</v>
      </c>
      <c r="F3852" s="1">
        <v>42898</v>
      </c>
      <c r="G3852" s="1">
        <v>43001</v>
      </c>
      <c r="H3852">
        <v>4506</v>
      </c>
      <c r="I3852" t="str">
        <f>IF(COUNTIF(Products!$A$2:$A$8,C3852)=0,C3852,"")</f>
        <v/>
      </c>
      <c r="J3852">
        <f>IF(OR(E3852="Prospecting",E3852="Engaging"),VLOOKUP(C3852,Products!$A$2:$C$8,3,FALSE),0)</f>
        <v>0</v>
      </c>
    </row>
    <row r="3853" spans="1:10" x14ac:dyDescent="0.25">
      <c r="A3853" t="s">
        <v>4020</v>
      </c>
      <c r="B3853" t="s">
        <v>224</v>
      </c>
      <c r="C3853" t="s">
        <v>122</v>
      </c>
      <c r="D3853" t="s">
        <v>112</v>
      </c>
      <c r="E3853" t="s">
        <v>159</v>
      </c>
      <c r="F3853" s="1">
        <v>42898</v>
      </c>
      <c r="G3853" s="1">
        <v>42912</v>
      </c>
      <c r="H3853">
        <v>0</v>
      </c>
      <c r="I3853" t="str">
        <f>IF(COUNTIF(Products!$A$2:$A$8,C3853)=0,C3853,"")</f>
        <v/>
      </c>
      <c r="J3853">
        <f>IF(OR(E3853="Prospecting",E3853="Engaging"),VLOOKUP(C3853,Products!$A$2:$C$8,3,FALSE),0)</f>
        <v>0</v>
      </c>
    </row>
    <row r="3854" spans="1:10" x14ac:dyDescent="0.25">
      <c r="A3854" t="s">
        <v>4021</v>
      </c>
      <c r="B3854" t="s">
        <v>173</v>
      </c>
      <c r="C3854" t="s">
        <v>120</v>
      </c>
      <c r="D3854" t="s">
        <v>93</v>
      </c>
      <c r="E3854" t="s">
        <v>138</v>
      </c>
      <c r="F3854" s="1">
        <v>42898</v>
      </c>
      <c r="G3854" s="1">
        <v>42969</v>
      </c>
      <c r="H3854">
        <v>608</v>
      </c>
      <c r="I3854" t="str">
        <f>IF(COUNTIF(Products!$A$2:$A$8,C3854)=0,C3854,"")</f>
        <v/>
      </c>
      <c r="J3854">
        <f>IF(OR(E3854="Prospecting",E3854="Engaging"),VLOOKUP(C3854,Products!$A$2:$C$8,3,FALSE),0)</f>
        <v>0</v>
      </c>
    </row>
    <row r="3855" spans="1:10" x14ac:dyDescent="0.25">
      <c r="A3855" t="s">
        <v>4022</v>
      </c>
      <c r="B3855" t="s">
        <v>198</v>
      </c>
      <c r="C3855" t="s">
        <v>127</v>
      </c>
      <c r="D3855" t="s">
        <v>111</v>
      </c>
      <c r="E3855" t="s">
        <v>138</v>
      </c>
      <c r="F3855" s="1">
        <v>42898</v>
      </c>
      <c r="G3855" s="1">
        <v>42998</v>
      </c>
      <c r="H3855">
        <v>851</v>
      </c>
      <c r="I3855" t="str">
        <f>IF(COUNTIF(Products!$A$2:$A$8,C3855)=0,C3855,"")</f>
        <v/>
      </c>
      <c r="J3855">
        <f>IF(OR(E3855="Prospecting",E3855="Engaging"),VLOOKUP(C3855,Products!$A$2:$C$8,3,FALSE),0)</f>
        <v>0</v>
      </c>
    </row>
    <row r="3856" spans="1:10" x14ac:dyDescent="0.25">
      <c r="A3856" t="s">
        <v>4023</v>
      </c>
      <c r="B3856" t="s">
        <v>158</v>
      </c>
      <c r="C3856" t="s">
        <v>127</v>
      </c>
      <c r="D3856" t="s">
        <v>32</v>
      </c>
      <c r="E3856" t="s">
        <v>138</v>
      </c>
      <c r="F3856" s="1">
        <v>42898</v>
      </c>
      <c r="G3856" s="1">
        <v>42998</v>
      </c>
      <c r="H3856">
        <v>1143</v>
      </c>
      <c r="I3856" t="str">
        <f>IF(COUNTIF(Products!$A$2:$A$8,C3856)=0,C3856,"")</f>
        <v/>
      </c>
      <c r="J3856">
        <f>IF(OR(E3856="Prospecting",E3856="Engaging"),VLOOKUP(C3856,Products!$A$2:$C$8,3,FALSE),0)</f>
        <v>0</v>
      </c>
    </row>
    <row r="3857" spans="1:10" x14ac:dyDescent="0.25">
      <c r="A3857" t="s">
        <v>4024</v>
      </c>
      <c r="B3857" t="s">
        <v>158</v>
      </c>
      <c r="C3857" t="s">
        <v>126</v>
      </c>
      <c r="D3857" t="s">
        <v>53</v>
      </c>
      <c r="E3857" t="s">
        <v>138</v>
      </c>
      <c r="F3857" s="1">
        <v>42898</v>
      </c>
      <c r="G3857" s="1">
        <v>42911</v>
      </c>
      <c r="H3857">
        <v>6365</v>
      </c>
      <c r="I3857" t="str">
        <f>IF(COUNTIF(Products!$A$2:$A$8,C3857)=0,C3857,"")</f>
        <v/>
      </c>
      <c r="J3857">
        <f>IF(OR(E3857="Prospecting",E3857="Engaging"),VLOOKUP(C3857,Products!$A$2:$C$8,3,FALSE),0)</f>
        <v>0</v>
      </c>
    </row>
    <row r="3858" spans="1:10" x14ac:dyDescent="0.25">
      <c r="A3858" t="s">
        <v>4025</v>
      </c>
      <c r="B3858" t="s">
        <v>164</v>
      </c>
      <c r="C3858" t="s">
        <v>123</v>
      </c>
      <c r="D3858" t="s">
        <v>38</v>
      </c>
      <c r="E3858" t="s">
        <v>138</v>
      </c>
      <c r="F3858" s="1">
        <v>42898</v>
      </c>
      <c r="G3858" s="1">
        <v>42968</v>
      </c>
      <c r="H3858">
        <v>54</v>
      </c>
      <c r="I3858" t="str">
        <f>IF(COUNTIF(Products!$A$2:$A$8,C3858)=0,C3858,"")</f>
        <v/>
      </c>
      <c r="J3858">
        <f>IF(OR(E3858="Prospecting",E3858="Engaging"),VLOOKUP(C3858,Products!$A$2:$C$8,3,FALSE),0)</f>
        <v>0</v>
      </c>
    </row>
    <row r="3859" spans="1:10" x14ac:dyDescent="0.25">
      <c r="A3859" t="s">
        <v>4026</v>
      </c>
      <c r="B3859" t="s">
        <v>191</v>
      </c>
      <c r="C3859" t="s">
        <v>120</v>
      </c>
      <c r="E3859" t="s">
        <v>155</v>
      </c>
      <c r="F3859" s="1">
        <v>42898</v>
      </c>
      <c r="I3859" t="str">
        <f>IF(COUNTIF(Products!$A$2:$A$8,C3859)=0,C3859,"")</f>
        <v/>
      </c>
      <c r="J3859">
        <f>IF(OR(E3859="Prospecting",E3859="Engaging"),VLOOKUP(C3859,Products!$A$2:$C$8,3,FALSE),0)</f>
        <v>550</v>
      </c>
    </row>
    <row r="3860" spans="1:10" x14ac:dyDescent="0.25">
      <c r="A3860" t="s">
        <v>4027</v>
      </c>
      <c r="B3860" t="s">
        <v>191</v>
      </c>
      <c r="C3860" t="s">
        <v>120</v>
      </c>
      <c r="D3860" t="s">
        <v>100</v>
      </c>
      <c r="E3860" t="s">
        <v>159</v>
      </c>
      <c r="F3860" s="1">
        <v>42898</v>
      </c>
      <c r="G3860" s="1">
        <v>42961</v>
      </c>
      <c r="H3860">
        <v>0</v>
      </c>
      <c r="I3860" t="str">
        <f>IF(COUNTIF(Products!$A$2:$A$8,C3860)=0,C3860,"")</f>
        <v/>
      </c>
      <c r="J3860">
        <f>IF(OR(E3860="Prospecting",E3860="Engaging"),VLOOKUP(C3860,Products!$A$2:$C$8,3,FALSE),0)</f>
        <v>0</v>
      </c>
    </row>
    <row r="3861" spans="1:10" x14ac:dyDescent="0.25">
      <c r="A3861" t="s">
        <v>4028</v>
      </c>
      <c r="B3861" t="s">
        <v>191</v>
      </c>
      <c r="C3861" t="s">
        <v>122</v>
      </c>
      <c r="D3861" t="s">
        <v>41</v>
      </c>
      <c r="E3861" t="s">
        <v>138</v>
      </c>
      <c r="F3861" s="1">
        <v>42898</v>
      </c>
      <c r="G3861" s="1">
        <v>42915</v>
      </c>
      <c r="H3861">
        <v>4798</v>
      </c>
      <c r="I3861" t="str">
        <f>IF(COUNTIF(Products!$A$2:$A$8,C3861)=0,C3861,"")</f>
        <v/>
      </c>
      <c r="J3861">
        <f>IF(OR(E3861="Prospecting",E3861="Engaging"),VLOOKUP(C3861,Products!$A$2:$C$8,3,FALSE),0)</f>
        <v>0</v>
      </c>
    </row>
    <row r="3862" spans="1:10" x14ac:dyDescent="0.25">
      <c r="A3862" t="s">
        <v>4029</v>
      </c>
      <c r="B3862" t="s">
        <v>150</v>
      </c>
      <c r="C3862" t="s">
        <v>123</v>
      </c>
      <c r="D3862" t="s">
        <v>34</v>
      </c>
      <c r="E3862" t="s">
        <v>159</v>
      </c>
      <c r="F3862" s="1">
        <v>42898</v>
      </c>
      <c r="G3862" s="1">
        <v>42976</v>
      </c>
      <c r="H3862">
        <v>0</v>
      </c>
      <c r="I3862" t="str">
        <f>IF(COUNTIF(Products!$A$2:$A$8,C3862)=0,C3862,"")</f>
        <v/>
      </c>
      <c r="J3862">
        <f>IF(OR(E3862="Prospecting",E3862="Engaging"),VLOOKUP(C3862,Products!$A$2:$C$8,3,FALSE),0)</f>
        <v>0</v>
      </c>
    </row>
    <row r="3863" spans="1:10" x14ac:dyDescent="0.25">
      <c r="A3863" t="s">
        <v>4030</v>
      </c>
      <c r="B3863" t="s">
        <v>150</v>
      </c>
      <c r="C3863" t="s">
        <v>122</v>
      </c>
      <c r="D3863" t="s">
        <v>38</v>
      </c>
      <c r="E3863" t="s">
        <v>138</v>
      </c>
      <c r="F3863" s="1">
        <v>42898</v>
      </c>
      <c r="G3863" s="1">
        <v>42911</v>
      </c>
      <c r="H3863">
        <v>4733</v>
      </c>
      <c r="I3863" t="str">
        <f>IF(COUNTIF(Products!$A$2:$A$8,C3863)=0,C3863,"")</f>
        <v/>
      </c>
      <c r="J3863">
        <f>IF(OR(E3863="Prospecting",E3863="Engaging"),VLOOKUP(C3863,Products!$A$2:$C$8,3,FALSE),0)</f>
        <v>0</v>
      </c>
    </row>
    <row r="3864" spans="1:10" x14ac:dyDescent="0.25">
      <c r="A3864" t="s">
        <v>4031</v>
      </c>
      <c r="B3864" t="s">
        <v>162</v>
      </c>
      <c r="C3864" t="s">
        <v>127</v>
      </c>
      <c r="D3864" t="s">
        <v>23</v>
      </c>
      <c r="E3864" t="s">
        <v>138</v>
      </c>
      <c r="F3864" s="1">
        <v>42898</v>
      </c>
      <c r="G3864" s="1">
        <v>42976</v>
      </c>
      <c r="H3864">
        <v>1250</v>
      </c>
      <c r="I3864" t="str">
        <f>IF(COUNTIF(Products!$A$2:$A$8,C3864)=0,C3864,"")</f>
        <v/>
      </c>
      <c r="J3864">
        <f>IF(OR(E3864="Prospecting",E3864="Engaging"),VLOOKUP(C3864,Products!$A$2:$C$8,3,FALSE),0)</f>
        <v>0</v>
      </c>
    </row>
    <row r="3865" spans="1:10" x14ac:dyDescent="0.25">
      <c r="A3865" t="s">
        <v>4032</v>
      </c>
      <c r="B3865" t="s">
        <v>162</v>
      </c>
      <c r="C3865" t="s">
        <v>126</v>
      </c>
      <c r="D3865" t="s">
        <v>39</v>
      </c>
      <c r="E3865" t="s">
        <v>138</v>
      </c>
      <c r="F3865" s="1">
        <v>42898</v>
      </c>
      <c r="G3865" s="1">
        <v>42979</v>
      </c>
      <c r="H3865">
        <v>5966</v>
      </c>
      <c r="I3865" t="str">
        <f>IF(COUNTIF(Products!$A$2:$A$8,C3865)=0,C3865,"")</f>
        <v/>
      </c>
      <c r="J3865">
        <f>IF(OR(E3865="Prospecting",E3865="Engaging"),VLOOKUP(C3865,Products!$A$2:$C$8,3,FALSE),0)</f>
        <v>0</v>
      </c>
    </row>
    <row r="3866" spans="1:10" x14ac:dyDescent="0.25">
      <c r="A3866" t="s">
        <v>4033</v>
      </c>
      <c r="B3866" t="s">
        <v>152</v>
      </c>
      <c r="C3866" t="s">
        <v>123</v>
      </c>
      <c r="D3866" t="s">
        <v>33</v>
      </c>
      <c r="E3866" t="s">
        <v>138</v>
      </c>
      <c r="F3866" s="1">
        <v>42898</v>
      </c>
      <c r="G3866" s="1">
        <v>42988</v>
      </c>
      <c r="H3866">
        <v>61</v>
      </c>
      <c r="I3866" t="str">
        <f>IF(COUNTIF(Products!$A$2:$A$8,C3866)=0,C3866,"")</f>
        <v/>
      </c>
      <c r="J3866">
        <f>IF(OR(E3866="Prospecting",E3866="Engaging"),VLOOKUP(C3866,Products!$A$2:$C$8,3,FALSE),0)</f>
        <v>0</v>
      </c>
    </row>
    <row r="3867" spans="1:10" x14ac:dyDescent="0.25">
      <c r="A3867" t="s">
        <v>4034</v>
      </c>
      <c r="B3867" t="s">
        <v>166</v>
      </c>
      <c r="C3867" t="s">
        <v>120</v>
      </c>
      <c r="E3867" t="s">
        <v>155</v>
      </c>
      <c r="F3867" s="1">
        <v>42898</v>
      </c>
      <c r="I3867" t="str">
        <f>IF(COUNTIF(Products!$A$2:$A$8,C3867)=0,C3867,"")</f>
        <v/>
      </c>
      <c r="J3867">
        <f>IF(OR(E3867="Prospecting",E3867="Engaging"),VLOOKUP(C3867,Products!$A$2:$C$8,3,FALSE),0)</f>
        <v>550</v>
      </c>
    </row>
    <row r="3868" spans="1:10" x14ac:dyDescent="0.25">
      <c r="A3868" t="s">
        <v>4035</v>
      </c>
      <c r="B3868" t="s">
        <v>166</v>
      </c>
      <c r="C3868" t="s">
        <v>122</v>
      </c>
      <c r="D3868" t="s">
        <v>46</v>
      </c>
      <c r="E3868" t="s">
        <v>155</v>
      </c>
      <c r="F3868" s="1">
        <v>42898</v>
      </c>
      <c r="I3868" t="str">
        <f>IF(COUNTIF(Products!$A$2:$A$8,C3868)=0,C3868,"")</f>
        <v/>
      </c>
      <c r="J3868">
        <f>IF(OR(E3868="Prospecting",E3868="Engaging"),VLOOKUP(C3868,Products!$A$2:$C$8,3,FALSE),0)</f>
        <v>4821</v>
      </c>
    </row>
    <row r="3869" spans="1:10" x14ac:dyDescent="0.25">
      <c r="A3869" t="s">
        <v>4036</v>
      </c>
      <c r="B3869" t="s">
        <v>187</v>
      </c>
      <c r="C3869" t="s">
        <v>127</v>
      </c>
      <c r="E3869" t="s">
        <v>155</v>
      </c>
      <c r="F3869" s="1">
        <v>42898</v>
      </c>
      <c r="I3869" t="str">
        <f>IF(COUNTIF(Products!$A$2:$A$8,C3869)=0,C3869,"")</f>
        <v/>
      </c>
      <c r="J3869">
        <f>IF(OR(E3869="Prospecting",E3869="Engaging"),VLOOKUP(C3869,Products!$A$2:$C$8,3,FALSE),0)</f>
        <v>1096</v>
      </c>
    </row>
    <row r="3870" spans="1:10" x14ac:dyDescent="0.25">
      <c r="A3870" t="s">
        <v>4037</v>
      </c>
      <c r="B3870" t="s">
        <v>148</v>
      </c>
      <c r="C3870" t="s">
        <v>123</v>
      </c>
      <c r="D3870" t="s">
        <v>90</v>
      </c>
      <c r="E3870" t="s">
        <v>138</v>
      </c>
      <c r="F3870" s="1">
        <v>42898</v>
      </c>
      <c r="G3870" s="1">
        <v>42998</v>
      </c>
      <c r="H3870">
        <v>48</v>
      </c>
      <c r="I3870" t="str">
        <f>IF(COUNTIF(Products!$A$2:$A$8,C3870)=0,C3870,"")</f>
        <v/>
      </c>
      <c r="J3870">
        <f>IF(OR(E3870="Prospecting",E3870="Engaging"),VLOOKUP(C3870,Products!$A$2:$C$8,3,FALSE),0)</f>
        <v>0</v>
      </c>
    </row>
    <row r="3871" spans="1:10" x14ac:dyDescent="0.25">
      <c r="A3871" t="s">
        <v>4038</v>
      </c>
      <c r="B3871" t="s">
        <v>177</v>
      </c>
      <c r="C3871" t="s">
        <v>127</v>
      </c>
      <c r="D3871" t="s">
        <v>64</v>
      </c>
      <c r="E3871" t="s">
        <v>155</v>
      </c>
      <c r="F3871" s="1">
        <v>42898</v>
      </c>
      <c r="I3871" t="str">
        <f>IF(COUNTIF(Products!$A$2:$A$8,C3871)=0,C3871,"")</f>
        <v/>
      </c>
      <c r="J3871">
        <f>IF(OR(E3871="Prospecting",E3871="Engaging"),VLOOKUP(C3871,Products!$A$2:$C$8,3,FALSE),0)</f>
        <v>1096</v>
      </c>
    </row>
    <row r="3872" spans="1:10" x14ac:dyDescent="0.25">
      <c r="A3872" t="s">
        <v>4039</v>
      </c>
      <c r="B3872" t="s">
        <v>177</v>
      </c>
      <c r="C3872" t="s">
        <v>123</v>
      </c>
      <c r="D3872" t="s">
        <v>111</v>
      </c>
      <c r="E3872" t="s">
        <v>138</v>
      </c>
      <c r="F3872" s="1">
        <v>42898</v>
      </c>
      <c r="G3872" s="1">
        <v>42999</v>
      </c>
      <c r="H3872">
        <v>53</v>
      </c>
      <c r="I3872" t="str">
        <f>IF(COUNTIF(Products!$A$2:$A$8,C3872)=0,C3872,"")</f>
        <v/>
      </c>
      <c r="J3872">
        <f>IF(OR(E3872="Prospecting",E3872="Engaging"),VLOOKUP(C3872,Products!$A$2:$C$8,3,FALSE),0)</f>
        <v>0</v>
      </c>
    </row>
    <row r="3873" spans="1:10" x14ac:dyDescent="0.25">
      <c r="A3873" t="s">
        <v>4040</v>
      </c>
      <c r="B3873" t="s">
        <v>144</v>
      </c>
      <c r="C3873" t="s">
        <v>123</v>
      </c>
      <c r="D3873" t="s">
        <v>23</v>
      </c>
      <c r="E3873" t="s">
        <v>159</v>
      </c>
      <c r="F3873" s="1">
        <v>42898</v>
      </c>
      <c r="G3873" s="1">
        <v>42906</v>
      </c>
      <c r="H3873">
        <v>0</v>
      </c>
      <c r="I3873" t="str">
        <f>IF(COUNTIF(Products!$A$2:$A$8,C3873)=0,C3873,"")</f>
        <v/>
      </c>
      <c r="J3873">
        <f>IF(OR(E3873="Prospecting",E3873="Engaging"),VLOOKUP(C3873,Products!$A$2:$C$8,3,FALSE),0)</f>
        <v>0</v>
      </c>
    </row>
    <row r="3874" spans="1:10" x14ac:dyDescent="0.25">
      <c r="A3874" t="s">
        <v>4041</v>
      </c>
      <c r="B3874" t="s">
        <v>144</v>
      </c>
      <c r="C3874" t="s">
        <v>123</v>
      </c>
      <c r="D3874" t="s">
        <v>34</v>
      </c>
      <c r="E3874" t="s">
        <v>138</v>
      </c>
      <c r="F3874" s="1">
        <v>42898</v>
      </c>
      <c r="G3874" s="1">
        <v>42965</v>
      </c>
      <c r="H3874">
        <v>51</v>
      </c>
      <c r="I3874" t="str">
        <f>IF(COUNTIF(Products!$A$2:$A$8,C3874)=0,C3874,"")</f>
        <v/>
      </c>
      <c r="J3874">
        <f>IF(OR(E3874="Prospecting",E3874="Engaging"),VLOOKUP(C3874,Products!$A$2:$C$8,3,FALSE),0)</f>
        <v>0</v>
      </c>
    </row>
    <row r="3875" spans="1:10" x14ac:dyDescent="0.25">
      <c r="A3875" t="s">
        <v>4042</v>
      </c>
      <c r="B3875" t="s">
        <v>144</v>
      </c>
      <c r="C3875" t="s">
        <v>125</v>
      </c>
      <c r="D3875" t="s">
        <v>23</v>
      </c>
      <c r="E3875" t="s">
        <v>138</v>
      </c>
      <c r="F3875" s="1">
        <v>42898</v>
      </c>
      <c r="G3875" s="1">
        <v>42982</v>
      </c>
      <c r="H3875">
        <v>3314</v>
      </c>
      <c r="I3875" t="str">
        <f>IF(COUNTIF(Products!$A$2:$A$8,C3875)=0,C3875,"")</f>
        <v/>
      </c>
      <c r="J3875">
        <f>IF(OR(E3875="Prospecting",E3875="Engaging"),VLOOKUP(C3875,Products!$A$2:$C$8,3,FALSE),0)</f>
        <v>0</v>
      </c>
    </row>
    <row r="3876" spans="1:10" x14ac:dyDescent="0.25">
      <c r="A3876" t="s">
        <v>4043</v>
      </c>
      <c r="B3876" t="s">
        <v>146</v>
      </c>
      <c r="C3876" t="s">
        <v>125</v>
      </c>
      <c r="D3876" t="s">
        <v>104</v>
      </c>
      <c r="E3876" t="s">
        <v>159</v>
      </c>
      <c r="F3876" s="1">
        <v>42899</v>
      </c>
      <c r="G3876" s="1">
        <v>42967</v>
      </c>
      <c r="H3876">
        <v>0</v>
      </c>
      <c r="I3876" t="str">
        <f>IF(COUNTIF(Products!$A$2:$A$8,C3876)=0,C3876,"")</f>
        <v/>
      </c>
      <c r="J3876">
        <f>IF(OR(E3876="Prospecting",E3876="Engaging"),VLOOKUP(C3876,Products!$A$2:$C$8,3,FALSE),0)</f>
        <v>0</v>
      </c>
    </row>
    <row r="3877" spans="1:10" x14ac:dyDescent="0.25">
      <c r="A3877" t="s">
        <v>4044</v>
      </c>
      <c r="B3877" t="s">
        <v>146</v>
      </c>
      <c r="C3877" t="s">
        <v>123</v>
      </c>
      <c r="D3877" t="s">
        <v>51</v>
      </c>
      <c r="E3877" t="s">
        <v>138</v>
      </c>
      <c r="F3877" s="1">
        <v>42899</v>
      </c>
      <c r="G3877" s="1">
        <v>43003</v>
      </c>
      <c r="H3877">
        <v>64</v>
      </c>
      <c r="I3877" t="str">
        <f>IF(COUNTIF(Products!$A$2:$A$8,C3877)=0,C3877,"")</f>
        <v/>
      </c>
      <c r="J3877">
        <f>IF(OR(E3877="Prospecting",E3877="Engaging"),VLOOKUP(C3877,Products!$A$2:$C$8,3,FALSE),0)</f>
        <v>0</v>
      </c>
    </row>
    <row r="3878" spans="1:10" x14ac:dyDescent="0.25">
      <c r="A3878" t="s">
        <v>4045</v>
      </c>
      <c r="B3878" t="s">
        <v>146</v>
      </c>
      <c r="C3878" t="s">
        <v>123</v>
      </c>
      <c r="D3878" t="s">
        <v>64</v>
      </c>
      <c r="E3878" t="s">
        <v>138</v>
      </c>
      <c r="F3878" s="1">
        <v>42899</v>
      </c>
      <c r="G3878" s="1">
        <v>42910</v>
      </c>
      <c r="H3878">
        <v>58</v>
      </c>
      <c r="I3878" t="str">
        <f>IF(COUNTIF(Products!$A$2:$A$8,C3878)=0,C3878,"")</f>
        <v/>
      </c>
      <c r="J3878">
        <f>IF(OR(E3878="Prospecting",E3878="Engaging"),VLOOKUP(C3878,Products!$A$2:$C$8,3,FALSE),0)</f>
        <v>0</v>
      </c>
    </row>
    <row r="3879" spans="1:10" x14ac:dyDescent="0.25">
      <c r="A3879" t="s">
        <v>4046</v>
      </c>
      <c r="B3879" t="s">
        <v>207</v>
      </c>
      <c r="C3879" t="s">
        <v>123</v>
      </c>
      <c r="E3879" t="s">
        <v>155</v>
      </c>
      <c r="F3879" s="1">
        <v>42899</v>
      </c>
      <c r="I3879" t="str">
        <f>IF(COUNTIF(Products!$A$2:$A$8,C3879)=0,C3879,"")</f>
        <v/>
      </c>
      <c r="J3879">
        <f>IF(OR(E3879="Prospecting",E3879="Engaging"),VLOOKUP(C3879,Products!$A$2:$C$8,3,FALSE),0)</f>
        <v>55</v>
      </c>
    </row>
    <row r="3880" spans="1:10" x14ac:dyDescent="0.25">
      <c r="A3880" t="s">
        <v>4047</v>
      </c>
      <c r="B3880" t="s">
        <v>207</v>
      </c>
      <c r="C3880" t="s">
        <v>127</v>
      </c>
      <c r="D3880" t="s">
        <v>73</v>
      </c>
      <c r="E3880" t="s">
        <v>159</v>
      </c>
      <c r="F3880" s="1">
        <v>42899</v>
      </c>
      <c r="G3880" s="1">
        <v>42969</v>
      </c>
      <c r="H3880">
        <v>0</v>
      </c>
      <c r="I3880" t="str">
        <f>IF(COUNTIF(Products!$A$2:$A$8,C3880)=0,C3880,"")</f>
        <v/>
      </c>
      <c r="J3880">
        <f>IF(OR(E3880="Prospecting",E3880="Engaging"),VLOOKUP(C3880,Products!$A$2:$C$8,3,FALSE),0)</f>
        <v>0</v>
      </c>
    </row>
    <row r="3881" spans="1:10" x14ac:dyDescent="0.25">
      <c r="A3881" t="s">
        <v>4048</v>
      </c>
      <c r="B3881" t="s">
        <v>207</v>
      </c>
      <c r="C3881" t="s">
        <v>126</v>
      </c>
      <c r="D3881" t="s">
        <v>25</v>
      </c>
      <c r="E3881" t="s">
        <v>138</v>
      </c>
      <c r="F3881" s="1">
        <v>42899</v>
      </c>
      <c r="G3881" s="1">
        <v>42951</v>
      </c>
      <c r="H3881">
        <v>4598</v>
      </c>
      <c r="I3881" t="str">
        <f>IF(COUNTIF(Products!$A$2:$A$8,C3881)=0,C3881,"")</f>
        <v/>
      </c>
      <c r="J3881">
        <f>IF(OR(E3881="Prospecting",E3881="Engaging"),VLOOKUP(C3881,Products!$A$2:$C$8,3,FALSE),0)</f>
        <v>0</v>
      </c>
    </row>
    <row r="3882" spans="1:10" x14ac:dyDescent="0.25">
      <c r="A3882" t="s">
        <v>4049</v>
      </c>
      <c r="B3882" t="s">
        <v>207</v>
      </c>
      <c r="C3882" t="s">
        <v>125</v>
      </c>
      <c r="D3882" t="s">
        <v>73</v>
      </c>
      <c r="E3882" t="s">
        <v>138</v>
      </c>
      <c r="F3882" s="1">
        <v>42899</v>
      </c>
      <c r="G3882" s="1">
        <v>42905</v>
      </c>
      <c r="H3882">
        <v>3424</v>
      </c>
      <c r="I3882" t="str">
        <f>IF(COUNTIF(Products!$A$2:$A$8,C3882)=0,C3882,"")</f>
        <v/>
      </c>
      <c r="J3882">
        <f>IF(OR(E3882="Prospecting",E3882="Engaging"),VLOOKUP(C3882,Products!$A$2:$C$8,3,FALSE),0)</f>
        <v>0</v>
      </c>
    </row>
    <row r="3883" spans="1:10" x14ac:dyDescent="0.25">
      <c r="A3883" t="s">
        <v>4050</v>
      </c>
      <c r="B3883" t="s">
        <v>207</v>
      </c>
      <c r="C3883" t="s">
        <v>125</v>
      </c>
      <c r="D3883" t="s">
        <v>105</v>
      </c>
      <c r="E3883" t="s">
        <v>138</v>
      </c>
      <c r="F3883" s="1">
        <v>42899</v>
      </c>
      <c r="G3883" s="1">
        <v>43008</v>
      </c>
      <c r="H3883">
        <v>3399</v>
      </c>
      <c r="I3883" t="str">
        <f>IF(COUNTIF(Products!$A$2:$A$8,C3883)=0,C3883,"")</f>
        <v/>
      </c>
      <c r="J3883">
        <f>IF(OR(E3883="Prospecting",E3883="Engaging"),VLOOKUP(C3883,Products!$A$2:$C$8,3,FALSE),0)</f>
        <v>0</v>
      </c>
    </row>
    <row r="3884" spans="1:10" x14ac:dyDescent="0.25">
      <c r="A3884" t="s">
        <v>4051</v>
      </c>
      <c r="B3884" t="s">
        <v>171</v>
      </c>
      <c r="C3884" t="s">
        <v>127</v>
      </c>
      <c r="D3884" t="s">
        <v>10</v>
      </c>
      <c r="E3884" t="s">
        <v>159</v>
      </c>
      <c r="F3884" s="1">
        <v>42899</v>
      </c>
      <c r="G3884" s="1">
        <v>42985</v>
      </c>
      <c r="H3884">
        <v>0</v>
      </c>
      <c r="I3884" t="str">
        <f>IF(COUNTIF(Products!$A$2:$A$8,C3884)=0,C3884,"")</f>
        <v/>
      </c>
      <c r="J3884">
        <f>IF(OR(E3884="Prospecting",E3884="Engaging"),VLOOKUP(C3884,Products!$A$2:$C$8,3,FALSE),0)</f>
        <v>0</v>
      </c>
    </row>
    <row r="3885" spans="1:10" x14ac:dyDescent="0.25">
      <c r="A3885" t="s">
        <v>4052</v>
      </c>
      <c r="B3885" t="s">
        <v>140</v>
      </c>
      <c r="C3885" t="s">
        <v>120</v>
      </c>
      <c r="D3885" t="s">
        <v>70</v>
      </c>
      <c r="E3885" t="s">
        <v>159</v>
      </c>
      <c r="F3885" s="1">
        <v>42899</v>
      </c>
      <c r="G3885" s="1">
        <v>42982</v>
      </c>
      <c r="H3885">
        <v>0</v>
      </c>
      <c r="I3885" t="str">
        <f>IF(COUNTIF(Products!$A$2:$A$8,C3885)=0,C3885,"")</f>
        <v/>
      </c>
      <c r="J3885">
        <f>IF(OR(E3885="Prospecting",E3885="Engaging"),VLOOKUP(C3885,Products!$A$2:$C$8,3,FALSE),0)</f>
        <v>0</v>
      </c>
    </row>
    <row r="3886" spans="1:10" x14ac:dyDescent="0.25">
      <c r="A3886" t="s">
        <v>4053</v>
      </c>
      <c r="B3886" t="s">
        <v>140</v>
      </c>
      <c r="C3886" t="s">
        <v>126</v>
      </c>
      <c r="D3886" t="s">
        <v>12</v>
      </c>
      <c r="E3886" t="s">
        <v>159</v>
      </c>
      <c r="F3886" s="1">
        <v>42899</v>
      </c>
      <c r="G3886" s="1">
        <v>42963</v>
      </c>
      <c r="H3886">
        <v>0</v>
      </c>
      <c r="I3886" t="str">
        <f>IF(COUNTIF(Products!$A$2:$A$8,C3886)=0,C3886,"")</f>
        <v/>
      </c>
      <c r="J3886">
        <f>IF(OR(E3886="Prospecting",E3886="Engaging"),VLOOKUP(C3886,Products!$A$2:$C$8,3,FALSE),0)</f>
        <v>0</v>
      </c>
    </row>
    <row r="3887" spans="1:10" x14ac:dyDescent="0.25">
      <c r="A3887" t="s">
        <v>4054</v>
      </c>
      <c r="B3887" t="s">
        <v>140</v>
      </c>
      <c r="C3887" t="s">
        <v>122</v>
      </c>
      <c r="D3887" t="s">
        <v>104</v>
      </c>
      <c r="E3887" t="s">
        <v>138</v>
      </c>
      <c r="F3887" s="1">
        <v>42899</v>
      </c>
      <c r="G3887" s="1">
        <v>42988</v>
      </c>
      <c r="H3887">
        <v>5322</v>
      </c>
      <c r="I3887" t="str">
        <f>IF(COUNTIF(Products!$A$2:$A$8,C3887)=0,C3887,"")</f>
        <v/>
      </c>
      <c r="J3887">
        <f>IF(OR(E3887="Prospecting",E3887="Engaging"),VLOOKUP(C3887,Products!$A$2:$C$8,3,FALSE),0)</f>
        <v>0</v>
      </c>
    </row>
    <row r="3888" spans="1:10" x14ac:dyDescent="0.25">
      <c r="A3888" t="s">
        <v>4055</v>
      </c>
      <c r="B3888" t="s">
        <v>224</v>
      </c>
      <c r="C3888" t="s">
        <v>120</v>
      </c>
      <c r="D3888" t="s">
        <v>35</v>
      </c>
      <c r="E3888" t="s">
        <v>138</v>
      </c>
      <c r="F3888" s="1">
        <v>42899</v>
      </c>
      <c r="G3888" s="1">
        <v>42975</v>
      </c>
      <c r="H3888">
        <v>496</v>
      </c>
      <c r="I3888" t="str">
        <f>IF(COUNTIF(Products!$A$2:$A$8,C3888)=0,C3888,"")</f>
        <v/>
      </c>
      <c r="J3888">
        <f>IF(OR(E3888="Prospecting",E3888="Engaging"),VLOOKUP(C3888,Products!$A$2:$C$8,3,FALSE),0)</f>
        <v>0</v>
      </c>
    </row>
    <row r="3889" spans="1:10" x14ac:dyDescent="0.25">
      <c r="A3889" t="s">
        <v>4056</v>
      </c>
      <c r="B3889" t="s">
        <v>198</v>
      </c>
      <c r="C3889" t="s">
        <v>125</v>
      </c>
      <c r="D3889" t="s">
        <v>20</v>
      </c>
      <c r="E3889" t="s">
        <v>138</v>
      </c>
      <c r="F3889" s="1">
        <v>42899</v>
      </c>
      <c r="G3889" s="1">
        <v>42974</v>
      </c>
      <c r="H3889">
        <v>3279</v>
      </c>
      <c r="I3889" t="str">
        <f>IF(COUNTIF(Products!$A$2:$A$8,C3889)=0,C3889,"")</f>
        <v/>
      </c>
      <c r="J3889">
        <f>IF(OR(E3889="Prospecting",E3889="Engaging"),VLOOKUP(C3889,Products!$A$2:$C$8,3,FALSE),0)</f>
        <v>0</v>
      </c>
    </row>
    <row r="3890" spans="1:10" x14ac:dyDescent="0.25">
      <c r="A3890" t="s">
        <v>4057</v>
      </c>
      <c r="B3890" t="s">
        <v>158</v>
      </c>
      <c r="C3890" t="s">
        <v>123</v>
      </c>
      <c r="D3890" t="s">
        <v>91</v>
      </c>
      <c r="E3890" t="s">
        <v>159</v>
      </c>
      <c r="F3890" s="1">
        <v>42899</v>
      </c>
      <c r="G3890" s="1">
        <v>43006</v>
      </c>
      <c r="H3890">
        <v>0</v>
      </c>
      <c r="I3890" t="str">
        <f>IF(COUNTIF(Products!$A$2:$A$8,C3890)=0,C3890,"")</f>
        <v/>
      </c>
      <c r="J3890">
        <f>IF(OR(E3890="Prospecting",E3890="Engaging"),VLOOKUP(C3890,Products!$A$2:$C$8,3,FALSE),0)</f>
        <v>0</v>
      </c>
    </row>
    <row r="3891" spans="1:10" x14ac:dyDescent="0.25">
      <c r="A3891" t="s">
        <v>4058</v>
      </c>
      <c r="B3891" t="s">
        <v>154</v>
      </c>
      <c r="C3891" t="s">
        <v>123</v>
      </c>
      <c r="D3891" t="s">
        <v>90</v>
      </c>
      <c r="E3891" t="s">
        <v>138</v>
      </c>
      <c r="F3891" s="1">
        <v>42899</v>
      </c>
      <c r="G3891" s="1">
        <v>42913</v>
      </c>
      <c r="H3891">
        <v>68</v>
      </c>
      <c r="I3891" t="str">
        <f>IF(COUNTIF(Products!$A$2:$A$8,C3891)=0,C3891,"")</f>
        <v/>
      </c>
      <c r="J3891">
        <f>IF(OR(E3891="Prospecting",E3891="Engaging"),VLOOKUP(C3891,Products!$A$2:$C$8,3,FALSE),0)</f>
        <v>0</v>
      </c>
    </row>
    <row r="3892" spans="1:10" x14ac:dyDescent="0.25">
      <c r="A3892" t="s">
        <v>4059</v>
      </c>
      <c r="B3892" t="s">
        <v>303</v>
      </c>
      <c r="C3892" t="s">
        <v>120</v>
      </c>
      <c r="D3892" t="s">
        <v>104</v>
      </c>
      <c r="E3892" t="s">
        <v>159</v>
      </c>
      <c r="F3892" s="1">
        <v>42899</v>
      </c>
      <c r="G3892" s="1">
        <v>42970</v>
      </c>
      <c r="H3892">
        <v>0</v>
      </c>
      <c r="I3892" t="str">
        <f>IF(COUNTIF(Products!$A$2:$A$8,C3892)=0,C3892,"")</f>
        <v/>
      </c>
      <c r="J3892">
        <f>IF(OR(E3892="Prospecting",E3892="Engaging"),VLOOKUP(C3892,Products!$A$2:$C$8,3,FALSE),0)</f>
        <v>0</v>
      </c>
    </row>
    <row r="3893" spans="1:10" x14ac:dyDescent="0.25">
      <c r="A3893" t="s">
        <v>4060</v>
      </c>
      <c r="B3893" t="s">
        <v>191</v>
      </c>
      <c r="C3893" t="s">
        <v>126</v>
      </c>
      <c r="E3893" t="s">
        <v>155</v>
      </c>
      <c r="F3893" s="1">
        <v>42899</v>
      </c>
      <c r="I3893" t="str">
        <f>IF(COUNTIF(Products!$A$2:$A$8,C3893)=0,C3893,"")</f>
        <v/>
      </c>
      <c r="J3893">
        <f>IF(OR(E3893="Prospecting",E3893="Engaging"),VLOOKUP(C3893,Products!$A$2:$C$8,3,FALSE),0)</f>
        <v>5482</v>
      </c>
    </row>
    <row r="3894" spans="1:10" x14ac:dyDescent="0.25">
      <c r="A3894" t="s">
        <v>4061</v>
      </c>
      <c r="B3894" t="s">
        <v>162</v>
      </c>
      <c r="C3894" t="s">
        <v>127</v>
      </c>
      <c r="D3894" t="s">
        <v>114</v>
      </c>
      <c r="E3894" t="s">
        <v>155</v>
      </c>
      <c r="F3894" s="1">
        <v>42899</v>
      </c>
      <c r="I3894" t="str">
        <f>IF(COUNTIF(Products!$A$2:$A$8,C3894)=0,C3894,"")</f>
        <v/>
      </c>
      <c r="J3894">
        <f>IF(OR(E3894="Prospecting",E3894="Engaging"),VLOOKUP(C3894,Products!$A$2:$C$8,3,FALSE),0)</f>
        <v>1096</v>
      </c>
    </row>
    <row r="3895" spans="1:10" x14ac:dyDescent="0.25">
      <c r="A3895" t="s">
        <v>4062</v>
      </c>
      <c r="B3895" t="s">
        <v>152</v>
      </c>
      <c r="C3895" t="s">
        <v>127</v>
      </c>
      <c r="D3895" t="s">
        <v>46</v>
      </c>
      <c r="E3895" t="s">
        <v>159</v>
      </c>
      <c r="F3895" s="1">
        <v>42899</v>
      </c>
      <c r="G3895" s="1">
        <v>42968</v>
      </c>
      <c r="H3895">
        <v>0</v>
      </c>
      <c r="I3895" t="str">
        <f>IF(COUNTIF(Products!$A$2:$A$8,C3895)=0,C3895,"")</f>
        <v/>
      </c>
      <c r="J3895">
        <f>IF(OR(E3895="Prospecting",E3895="Engaging"),VLOOKUP(C3895,Products!$A$2:$C$8,3,FALSE),0)</f>
        <v>0</v>
      </c>
    </row>
    <row r="3896" spans="1:10" x14ac:dyDescent="0.25">
      <c r="A3896" t="s">
        <v>4063</v>
      </c>
      <c r="B3896" t="s">
        <v>169</v>
      </c>
      <c r="C3896" t="s">
        <v>123</v>
      </c>
      <c r="D3896" t="s">
        <v>14</v>
      </c>
      <c r="E3896" t="s">
        <v>138</v>
      </c>
      <c r="F3896" s="1">
        <v>42899</v>
      </c>
      <c r="G3896" s="1">
        <v>42901</v>
      </c>
      <c r="H3896">
        <v>59</v>
      </c>
      <c r="I3896" t="str">
        <f>IF(COUNTIF(Products!$A$2:$A$8,C3896)=0,C3896,"")</f>
        <v/>
      </c>
      <c r="J3896">
        <f>IF(OR(E3896="Prospecting",E3896="Engaging"),VLOOKUP(C3896,Products!$A$2:$C$8,3,FALSE),0)</f>
        <v>0</v>
      </c>
    </row>
    <row r="3897" spans="1:10" x14ac:dyDescent="0.25">
      <c r="A3897" t="s">
        <v>4064</v>
      </c>
      <c r="B3897" t="s">
        <v>148</v>
      </c>
      <c r="C3897" t="s">
        <v>125</v>
      </c>
      <c r="D3897" t="s">
        <v>38</v>
      </c>
      <c r="E3897" t="s">
        <v>138</v>
      </c>
      <c r="F3897" s="1">
        <v>42899</v>
      </c>
      <c r="G3897" s="1">
        <v>42912</v>
      </c>
      <c r="H3897">
        <v>3205</v>
      </c>
      <c r="I3897" t="str">
        <f>IF(COUNTIF(Products!$A$2:$A$8,C3897)=0,C3897,"")</f>
        <v/>
      </c>
      <c r="J3897">
        <f>IF(OR(E3897="Prospecting",E3897="Engaging"),VLOOKUP(C3897,Products!$A$2:$C$8,3,FALSE),0)</f>
        <v>0</v>
      </c>
    </row>
    <row r="3898" spans="1:10" x14ac:dyDescent="0.25">
      <c r="A3898" t="s">
        <v>4065</v>
      </c>
      <c r="B3898" t="s">
        <v>196</v>
      </c>
      <c r="C3898" t="s">
        <v>120</v>
      </c>
      <c r="D3898" t="s">
        <v>73</v>
      </c>
      <c r="E3898" t="s">
        <v>159</v>
      </c>
      <c r="F3898" s="1">
        <v>42899</v>
      </c>
      <c r="G3898" s="1">
        <v>42913</v>
      </c>
      <c r="H3898">
        <v>0</v>
      </c>
      <c r="I3898" t="str">
        <f>IF(COUNTIF(Products!$A$2:$A$8,C3898)=0,C3898,"")</f>
        <v/>
      </c>
      <c r="J3898">
        <f>IF(OR(E3898="Prospecting",E3898="Engaging"),VLOOKUP(C3898,Products!$A$2:$C$8,3,FALSE),0)</f>
        <v>0</v>
      </c>
    </row>
    <row r="3899" spans="1:10" x14ac:dyDescent="0.25">
      <c r="A3899" t="s">
        <v>4066</v>
      </c>
      <c r="B3899" t="s">
        <v>144</v>
      </c>
      <c r="C3899" t="s">
        <v>125</v>
      </c>
      <c r="E3899" t="s">
        <v>155</v>
      </c>
      <c r="F3899" s="1">
        <v>42899</v>
      </c>
      <c r="I3899" t="str">
        <f>IF(COUNTIF(Products!$A$2:$A$8,C3899)=0,C3899,"")</f>
        <v/>
      </c>
      <c r="J3899">
        <f>IF(OR(E3899="Prospecting",E3899="Engaging"),VLOOKUP(C3899,Products!$A$2:$C$8,3,FALSE),0)</f>
        <v>3393</v>
      </c>
    </row>
    <row r="3900" spans="1:10" x14ac:dyDescent="0.25">
      <c r="A3900" t="s">
        <v>4067</v>
      </c>
      <c r="B3900" t="s">
        <v>146</v>
      </c>
      <c r="C3900" t="s">
        <v>123</v>
      </c>
      <c r="D3900" t="s">
        <v>53</v>
      </c>
      <c r="E3900" t="s">
        <v>138</v>
      </c>
      <c r="F3900" s="1">
        <v>42900</v>
      </c>
      <c r="G3900" s="1">
        <v>42909</v>
      </c>
      <c r="H3900">
        <v>55</v>
      </c>
      <c r="I3900" t="str">
        <f>IF(COUNTIF(Products!$A$2:$A$8,C3900)=0,C3900,"")</f>
        <v/>
      </c>
      <c r="J3900">
        <f>IF(OR(E3900="Prospecting",E3900="Engaging"),VLOOKUP(C3900,Products!$A$2:$C$8,3,FALSE),0)</f>
        <v>0</v>
      </c>
    </row>
    <row r="3901" spans="1:10" x14ac:dyDescent="0.25">
      <c r="A3901" t="s">
        <v>4068</v>
      </c>
      <c r="B3901" t="s">
        <v>207</v>
      </c>
      <c r="C3901" t="s">
        <v>120</v>
      </c>
      <c r="D3901" t="s">
        <v>20</v>
      </c>
      <c r="E3901" t="s">
        <v>159</v>
      </c>
      <c r="F3901" s="1">
        <v>42900</v>
      </c>
      <c r="G3901" s="1">
        <v>42995</v>
      </c>
      <c r="H3901">
        <v>0</v>
      </c>
      <c r="I3901" t="str">
        <f>IF(COUNTIF(Products!$A$2:$A$8,C3901)=0,C3901,"")</f>
        <v/>
      </c>
      <c r="J3901">
        <f>IF(OR(E3901="Prospecting",E3901="Engaging"),VLOOKUP(C3901,Products!$A$2:$C$8,3,FALSE),0)</f>
        <v>0</v>
      </c>
    </row>
    <row r="3902" spans="1:10" x14ac:dyDescent="0.25">
      <c r="A3902" t="s">
        <v>4069</v>
      </c>
      <c r="B3902" t="s">
        <v>239</v>
      </c>
      <c r="C3902" t="s">
        <v>127</v>
      </c>
      <c r="E3902" t="s">
        <v>155</v>
      </c>
      <c r="F3902" s="1">
        <v>42900</v>
      </c>
      <c r="I3902" t="str">
        <f>IF(COUNTIF(Products!$A$2:$A$8,C3902)=0,C3902,"")</f>
        <v/>
      </c>
      <c r="J3902">
        <f>IF(OR(E3902="Prospecting",E3902="Engaging"),VLOOKUP(C3902,Products!$A$2:$C$8,3,FALSE),0)</f>
        <v>1096</v>
      </c>
    </row>
    <row r="3903" spans="1:10" x14ac:dyDescent="0.25">
      <c r="A3903" t="s">
        <v>4070</v>
      </c>
      <c r="B3903" t="s">
        <v>239</v>
      </c>
      <c r="C3903" t="s">
        <v>120</v>
      </c>
      <c r="D3903" t="s">
        <v>48</v>
      </c>
      <c r="E3903" t="s">
        <v>138</v>
      </c>
      <c r="F3903" s="1">
        <v>42900</v>
      </c>
      <c r="G3903" s="1">
        <v>42980</v>
      </c>
      <c r="H3903">
        <v>525</v>
      </c>
      <c r="I3903" t="str">
        <f>IF(COUNTIF(Products!$A$2:$A$8,C3903)=0,C3903,"")</f>
        <v/>
      </c>
      <c r="J3903">
        <f>IF(OR(E3903="Prospecting",E3903="Engaging"),VLOOKUP(C3903,Products!$A$2:$C$8,3,FALSE),0)</f>
        <v>0</v>
      </c>
    </row>
    <row r="3904" spans="1:10" x14ac:dyDescent="0.25">
      <c r="A3904" t="s">
        <v>4071</v>
      </c>
      <c r="B3904" t="s">
        <v>140</v>
      </c>
      <c r="C3904" t="s">
        <v>125</v>
      </c>
      <c r="D3904" t="s">
        <v>64</v>
      </c>
      <c r="E3904" t="s">
        <v>138</v>
      </c>
      <c r="F3904" s="1">
        <v>42900</v>
      </c>
      <c r="G3904" s="1">
        <v>42972</v>
      </c>
      <c r="H3904">
        <v>3455</v>
      </c>
      <c r="I3904" t="str">
        <f>IF(COUNTIF(Products!$A$2:$A$8,C3904)=0,C3904,"")</f>
        <v/>
      </c>
      <c r="J3904">
        <f>IF(OR(E3904="Prospecting",E3904="Engaging"),VLOOKUP(C3904,Products!$A$2:$C$8,3,FALSE),0)</f>
        <v>0</v>
      </c>
    </row>
    <row r="3905" spans="1:10" x14ac:dyDescent="0.25">
      <c r="A3905" t="s">
        <v>4072</v>
      </c>
      <c r="B3905" t="s">
        <v>173</v>
      </c>
      <c r="C3905" t="s">
        <v>125</v>
      </c>
      <c r="D3905" t="s">
        <v>39</v>
      </c>
      <c r="E3905" t="s">
        <v>138</v>
      </c>
      <c r="F3905" s="1">
        <v>42900</v>
      </c>
      <c r="G3905" s="1">
        <v>42911</v>
      </c>
      <c r="H3905">
        <v>3110</v>
      </c>
      <c r="I3905" t="str">
        <f>IF(COUNTIF(Products!$A$2:$A$8,C3905)=0,C3905,"")</f>
        <v/>
      </c>
      <c r="J3905">
        <f>IF(OR(E3905="Prospecting",E3905="Engaging"),VLOOKUP(C3905,Products!$A$2:$C$8,3,FALSE),0)</f>
        <v>0</v>
      </c>
    </row>
    <row r="3906" spans="1:10" x14ac:dyDescent="0.25">
      <c r="A3906" t="s">
        <v>4073</v>
      </c>
      <c r="B3906" t="s">
        <v>198</v>
      </c>
      <c r="C3906" t="s">
        <v>123</v>
      </c>
      <c r="D3906" t="s">
        <v>68</v>
      </c>
      <c r="E3906" t="s">
        <v>159</v>
      </c>
      <c r="F3906" s="1">
        <v>42900</v>
      </c>
      <c r="G3906" s="1">
        <v>42913</v>
      </c>
      <c r="H3906">
        <v>0</v>
      </c>
      <c r="I3906" t="str">
        <f>IF(COUNTIF(Products!$A$2:$A$8,C3906)=0,C3906,"")</f>
        <v/>
      </c>
      <c r="J3906">
        <f>IF(OR(E3906="Prospecting",E3906="Engaging"),VLOOKUP(C3906,Products!$A$2:$C$8,3,FALSE),0)</f>
        <v>0</v>
      </c>
    </row>
    <row r="3907" spans="1:10" x14ac:dyDescent="0.25">
      <c r="A3907" t="s">
        <v>4074</v>
      </c>
      <c r="B3907" t="s">
        <v>164</v>
      </c>
      <c r="C3907" t="s">
        <v>126</v>
      </c>
      <c r="D3907" t="s">
        <v>90</v>
      </c>
      <c r="E3907" t="s">
        <v>138</v>
      </c>
      <c r="F3907" s="1">
        <v>42900</v>
      </c>
      <c r="G3907" s="1">
        <v>42989</v>
      </c>
      <c r="H3907">
        <v>5053</v>
      </c>
      <c r="I3907" t="str">
        <f>IF(COUNTIF(Products!$A$2:$A$8,C3907)=0,C3907,"")</f>
        <v/>
      </c>
      <c r="J3907">
        <f>IF(OR(E3907="Prospecting",E3907="Engaging"),VLOOKUP(C3907,Products!$A$2:$C$8,3,FALSE),0)</f>
        <v>0</v>
      </c>
    </row>
    <row r="3908" spans="1:10" x14ac:dyDescent="0.25">
      <c r="A3908" t="s">
        <v>4075</v>
      </c>
      <c r="B3908" t="s">
        <v>164</v>
      </c>
      <c r="C3908" t="s">
        <v>125</v>
      </c>
      <c r="D3908" t="s">
        <v>59</v>
      </c>
      <c r="E3908" t="s">
        <v>138</v>
      </c>
      <c r="F3908" s="1">
        <v>42900</v>
      </c>
      <c r="G3908" s="1">
        <v>42914</v>
      </c>
      <c r="H3908">
        <v>3539</v>
      </c>
      <c r="I3908" t="str">
        <f>IF(COUNTIF(Products!$A$2:$A$8,C3908)=0,C3908,"")</f>
        <v/>
      </c>
      <c r="J3908">
        <f>IF(OR(E3908="Prospecting",E3908="Engaging"),VLOOKUP(C3908,Products!$A$2:$C$8,3,FALSE),0)</f>
        <v>0</v>
      </c>
    </row>
    <row r="3909" spans="1:10" x14ac:dyDescent="0.25">
      <c r="A3909" t="s">
        <v>4076</v>
      </c>
      <c r="B3909" t="s">
        <v>154</v>
      </c>
      <c r="C3909" t="s">
        <v>120</v>
      </c>
      <c r="E3909" t="s">
        <v>155</v>
      </c>
      <c r="F3909" s="1">
        <v>42900</v>
      </c>
      <c r="I3909" t="str">
        <f>IF(COUNTIF(Products!$A$2:$A$8,C3909)=0,C3909,"")</f>
        <v/>
      </c>
      <c r="J3909">
        <f>IF(OR(E3909="Prospecting",E3909="Engaging"),VLOOKUP(C3909,Products!$A$2:$C$8,3,FALSE),0)</f>
        <v>550</v>
      </c>
    </row>
    <row r="3910" spans="1:10" x14ac:dyDescent="0.25">
      <c r="A3910" t="s">
        <v>4077</v>
      </c>
      <c r="B3910" t="s">
        <v>303</v>
      </c>
      <c r="C3910" t="s">
        <v>120</v>
      </c>
      <c r="D3910" t="s">
        <v>89</v>
      </c>
      <c r="E3910" t="s">
        <v>138</v>
      </c>
      <c r="F3910" s="1">
        <v>42900</v>
      </c>
      <c r="G3910" s="1">
        <v>42970</v>
      </c>
      <c r="H3910">
        <v>580</v>
      </c>
      <c r="I3910" t="str">
        <f>IF(COUNTIF(Products!$A$2:$A$8,C3910)=0,C3910,"")</f>
        <v/>
      </c>
      <c r="J3910">
        <f>IF(OR(E3910="Prospecting",E3910="Engaging"),VLOOKUP(C3910,Products!$A$2:$C$8,3,FALSE),0)</f>
        <v>0</v>
      </c>
    </row>
    <row r="3911" spans="1:10" x14ac:dyDescent="0.25">
      <c r="A3911" t="s">
        <v>4078</v>
      </c>
      <c r="B3911" t="s">
        <v>180</v>
      </c>
      <c r="C3911" t="s">
        <v>125</v>
      </c>
      <c r="D3911" t="s">
        <v>87</v>
      </c>
      <c r="E3911" t="s">
        <v>159</v>
      </c>
      <c r="F3911" s="1">
        <v>42900</v>
      </c>
      <c r="G3911" s="1">
        <v>42906</v>
      </c>
      <c r="H3911">
        <v>0</v>
      </c>
      <c r="I3911" t="str">
        <f>IF(COUNTIF(Products!$A$2:$A$8,C3911)=0,C3911,"")</f>
        <v/>
      </c>
      <c r="J3911">
        <f>IF(OR(E3911="Prospecting",E3911="Engaging"),VLOOKUP(C3911,Products!$A$2:$C$8,3,FALSE),0)</f>
        <v>0</v>
      </c>
    </row>
    <row r="3912" spans="1:10" x14ac:dyDescent="0.25">
      <c r="A3912" t="s">
        <v>4079</v>
      </c>
      <c r="B3912" t="s">
        <v>217</v>
      </c>
      <c r="C3912" t="s">
        <v>125</v>
      </c>
      <c r="D3912" t="s">
        <v>77</v>
      </c>
      <c r="E3912" t="s">
        <v>138</v>
      </c>
      <c r="F3912" s="1">
        <v>42900</v>
      </c>
      <c r="G3912" s="1">
        <v>42903</v>
      </c>
      <c r="H3912">
        <v>3468</v>
      </c>
      <c r="I3912" t="str">
        <f>IF(COUNTIF(Products!$A$2:$A$8,C3912)=0,C3912,"")</f>
        <v/>
      </c>
      <c r="J3912">
        <f>IF(OR(E3912="Prospecting",E3912="Engaging"),VLOOKUP(C3912,Products!$A$2:$C$8,3,FALSE),0)</f>
        <v>0</v>
      </c>
    </row>
    <row r="3913" spans="1:10" x14ac:dyDescent="0.25">
      <c r="A3913" t="s">
        <v>4080</v>
      </c>
      <c r="B3913" t="s">
        <v>150</v>
      </c>
      <c r="C3913" t="s">
        <v>128</v>
      </c>
      <c r="D3913" t="s">
        <v>104</v>
      </c>
      <c r="E3913" t="s">
        <v>155</v>
      </c>
      <c r="F3913" s="1">
        <v>42900</v>
      </c>
      <c r="I3913" t="str">
        <f>IF(COUNTIF(Products!$A$2:$A$8,C3913)=0,C3913,"")</f>
        <v/>
      </c>
      <c r="J3913">
        <f>IF(OR(E3913="Prospecting",E3913="Engaging"),VLOOKUP(C3913,Products!$A$2:$C$8,3,FALSE),0)</f>
        <v>26768</v>
      </c>
    </row>
    <row r="3914" spans="1:10" x14ac:dyDescent="0.25">
      <c r="A3914" t="s">
        <v>4081</v>
      </c>
      <c r="B3914" t="s">
        <v>150</v>
      </c>
      <c r="C3914" t="s">
        <v>122</v>
      </c>
      <c r="D3914" t="s">
        <v>28</v>
      </c>
      <c r="E3914" t="s">
        <v>155</v>
      </c>
      <c r="F3914" s="1">
        <v>42900</v>
      </c>
      <c r="I3914" t="str">
        <f>IF(COUNTIF(Products!$A$2:$A$8,C3914)=0,C3914,"")</f>
        <v/>
      </c>
      <c r="J3914">
        <f>IF(OR(E3914="Prospecting",E3914="Engaging"),VLOOKUP(C3914,Products!$A$2:$C$8,3,FALSE),0)</f>
        <v>4821</v>
      </c>
    </row>
    <row r="3915" spans="1:10" x14ac:dyDescent="0.25">
      <c r="A3915" t="s">
        <v>4082</v>
      </c>
      <c r="B3915" t="s">
        <v>152</v>
      </c>
      <c r="C3915" t="s">
        <v>123</v>
      </c>
      <c r="D3915" t="s">
        <v>88</v>
      </c>
      <c r="E3915" t="s">
        <v>138</v>
      </c>
      <c r="F3915" s="1">
        <v>42900</v>
      </c>
      <c r="G3915" s="1">
        <v>42997</v>
      </c>
      <c r="H3915">
        <v>54</v>
      </c>
      <c r="I3915" t="str">
        <f>IF(COUNTIF(Products!$A$2:$A$8,C3915)=0,C3915,"")</f>
        <v/>
      </c>
      <c r="J3915">
        <f>IF(OR(E3915="Prospecting",E3915="Engaging"),VLOOKUP(C3915,Products!$A$2:$C$8,3,FALSE),0)</f>
        <v>0</v>
      </c>
    </row>
    <row r="3916" spans="1:10" x14ac:dyDescent="0.25">
      <c r="A3916" t="s">
        <v>4083</v>
      </c>
      <c r="B3916" t="s">
        <v>193</v>
      </c>
      <c r="C3916" t="s">
        <v>125</v>
      </c>
      <c r="D3916" t="s">
        <v>19</v>
      </c>
      <c r="E3916" t="s">
        <v>159</v>
      </c>
      <c r="F3916" s="1">
        <v>42900</v>
      </c>
      <c r="G3916" s="1">
        <v>42913</v>
      </c>
      <c r="H3916">
        <v>0</v>
      </c>
      <c r="I3916" t="str">
        <f>IF(COUNTIF(Products!$A$2:$A$8,C3916)=0,C3916,"")</f>
        <v/>
      </c>
      <c r="J3916">
        <f>IF(OR(E3916="Prospecting",E3916="Engaging"),VLOOKUP(C3916,Products!$A$2:$C$8,3,FALSE),0)</f>
        <v>0</v>
      </c>
    </row>
    <row r="3917" spans="1:10" x14ac:dyDescent="0.25">
      <c r="A3917" t="s">
        <v>4084</v>
      </c>
      <c r="B3917" t="s">
        <v>169</v>
      </c>
      <c r="C3917" t="s">
        <v>123</v>
      </c>
      <c r="D3917" t="s">
        <v>91</v>
      </c>
      <c r="E3917" t="s">
        <v>159</v>
      </c>
      <c r="F3917" s="1">
        <v>42900</v>
      </c>
      <c r="G3917" s="1">
        <v>42958</v>
      </c>
      <c r="H3917">
        <v>0</v>
      </c>
      <c r="I3917" t="str">
        <f>IF(COUNTIF(Products!$A$2:$A$8,C3917)=0,C3917,"")</f>
        <v/>
      </c>
      <c r="J3917">
        <f>IF(OR(E3917="Prospecting",E3917="Engaging"),VLOOKUP(C3917,Products!$A$2:$C$8,3,FALSE),0)</f>
        <v>0</v>
      </c>
    </row>
    <row r="3918" spans="1:10" x14ac:dyDescent="0.25">
      <c r="A3918" t="s">
        <v>4085</v>
      </c>
      <c r="B3918" t="s">
        <v>177</v>
      </c>
      <c r="C3918" t="s">
        <v>123</v>
      </c>
      <c r="D3918" t="s">
        <v>50</v>
      </c>
      <c r="E3918" t="s">
        <v>159</v>
      </c>
      <c r="F3918" s="1">
        <v>42900</v>
      </c>
      <c r="G3918" s="1">
        <v>42967</v>
      </c>
      <c r="H3918">
        <v>0</v>
      </c>
      <c r="I3918" t="str">
        <f>IF(COUNTIF(Products!$A$2:$A$8,C3918)=0,C3918,"")</f>
        <v/>
      </c>
      <c r="J3918">
        <f>IF(OR(E3918="Prospecting",E3918="Engaging"),VLOOKUP(C3918,Products!$A$2:$C$8,3,FALSE),0)</f>
        <v>0</v>
      </c>
    </row>
    <row r="3919" spans="1:10" x14ac:dyDescent="0.25">
      <c r="A3919" t="s">
        <v>4086</v>
      </c>
      <c r="B3919" t="s">
        <v>222</v>
      </c>
      <c r="C3919" t="s">
        <v>126</v>
      </c>
      <c r="D3919" t="s">
        <v>115</v>
      </c>
      <c r="E3919" t="s">
        <v>138</v>
      </c>
      <c r="F3919" s="1">
        <v>42901</v>
      </c>
      <c r="G3919" s="1">
        <v>42914</v>
      </c>
      <c r="H3919">
        <v>6040</v>
      </c>
      <c r="I3919" t="str">
        <f>IF(COUNTIF(Products!$A$2:$A$8,C3919)=0,C3919,"")</f>
        <v/>
      </c>
      <c r="J3919">
        <f>IF(OR(E3919="Prospecting",E3919="Engaging"),VLOOKUP(C3919,Products!$A$2:$C$8,3,FALSE),0)</f>
        <v>0</v>
      </c>
    </row>
    <row r="3920" spans="1:10" x14ac:dyDescent="0.25">
      <c r="A3920" t="s">
        <v>4087</v>
      </c>
      <c r="B3920" t="s">
        <v>207</v>
      </c>
      <c r="C3920" t="s">
        <v>122</v>
      </c>
      <c r="D3920" t="s">
        <v>102</v>
      </c>
      <c r="E3920" t="s">
        <v>138</v>
      </c>
      <c r="F3920" s="1">
        <v>42901</v>
      </c>
      <c r="G3920" s="1">
        <v>42979</v>
      </c>
      <c r="H3920">
        <v>5857</v>
      </c>
      <c r="I3920" t="str">
        <f>IF(COUNTIF(Products!$A$2:$A$8,C3920)=0,C3920,"")</f>
        <v/>
      </c>
      <c r="J3920">
        <f>IF(OR(E3920="Prospecting",E3920="Engaging"),VLOOKUP(C3920,Products!$A$2:$C$8,3,FALSE),0)</f>
        <v>0</v>
      </c>
    </row>
    <row r="3921" spans="1:10" x14ac:dyDescent="0.25">
      <c r="A3921" t="s">
        <v>4088</v>
      </c>
      <c r="B3921" t="s">
        <v>264</v>
      </c>
      <c r="C3921" t="s">
        <v>125</v>
      </c>
      <c r="D3921" t="s">
        <v>30</v>
      </c>
      <c r="E3921" t="s">
        <v>138</v>
      </c>
      <c r="F3921" s="1">
        <v>42901</v>
      </c>
      <c r="G3921" s="1">
        <v>42911</v>
      </c>
      <c r="H3921">
        <v>3785</v>
      </c>
      <c r="I3921" t="str">
        <f>IF(COUNTIF(Products!$A$2:$A$8,C3921)=0,C3921,"")</f>
        <v/>
      </c>
      <c r="J3921">
        <f>IF(OR(E3921="Prospecting",E3921="Engaging"),VLOOKUP(C3921,Products!$A$2:$C$8,3,FALSE),0)</f>
        <v>0</v>
      </c>
    </row>
    <row r="3922" spans="1:10" x14ac:dyDescent="0.25">
      <c r="A3922" t="s">
        <v>4089</v>
      </c>
      <c r="B3922" t="s">
        <v>239</v>
      </c>
      <c r="C3922" t="s">
        <v>127</v>
      </c>
      <c r="D3922" t="s">
        <v>111</v>
      </c>
      <c r="E3922" t="s">
        <v>159</v>
      </c>
      <c r="F3922" s="1">
        <v>42901</v>
      </c>
      <c r="G3922" s="1">
        <v>42997</v>
      </c>
      <c r="H3922">
        <v>0</v>
      </c>
      <c r="I3922" t="str">
        <f>IF(COUNTIF(Products!$A$2:$A$8,C3922)=0,C3922,"")</f>
        <v/>
      </c>
      <c r="J3922">
        <f>IF(OR(E3922="Prospecting",E3922="Engaging"),VLOOKUP(C3922,Products!$A$2:$C$8,3,FALSE),0)</f>
        <v>0</v>
      </c>
    </row>
    <row r="3923" spans="1:10" x14ac:dyDescent="0.25">
      <c r="A3923" t="s">
        <v>4090</v>
      </c>
      <c r="B3923" t="s">
        <v>171</v>
      </c>
      <c r="C3923" t="s">
        <v>120</v>
      </c>
      <c r="D3923" t="s">
        <v>63</v>
      </c>
      <c r="E3923" t="s">
        <v>138</v>
      </c>
      <c r="F3923" s="1">
        <v>42901</v>
      </c>
      <c r="G3923" s="1">
        <v>42912</v>
      </c>
      <c r="H3923">
        <v>420</v>
      </c>
      <c r="I3923" t="str">
        <f>IF(COUNTIF(Products!$A$2:$A$8,C3923)=0,C3923,"")</f>
        <v/>
      </c>
      <c r="J3923">
        <f>IF(OR(E3923="Prospecting",E3923="Engaging"),VLOOKUP(C3923,Products!$A$2:$C$8,3,FALSE),0)</f>
        <v>0</v>
      </c>
    </row>
    <row r="3924" spans="1:10" x14ac:dyDescent="0.25">
      <c r="A3924" t="s">
        <v>4091</v>
      </c>
      <c r="B3924" t="s">
        <v>171</v>
      </c>
      <c r="C3924" t="s">
        <v>122</v>
      </c>
      <c r="D3924" t="s">
        <v>108</v>
      </c>
      <c r="E3924" t="s">
        <v>138</v>
      </c>
      <c r="F3924" s="1">
        <v>42901</v>
      </c>
      <c r="G3924" s="1">
        <v>42906</v>
      </c>
      <c r="H3924">
        <v>4939</v>
      </c>
      <c r="I3924" t="str">
        <f>IF(COUNTIF(Products!$A$2:$A$8,C3924)=0,C3924,"")</f>
        <v/>
      </c>
      <c r="J3924">
        <f>IF(OR(E3924="Prospecting",E3924="Engaging"),VLOOKUP(C3924,Products!$A$2:$C$8,3,FALSE),0)</f>
        <v>0</v>
      </c>
    </row>
    <row r="3925" spans="1:10" x14ac:dyDescent="0.25">
      <c r="A3925" t="s">
        <v>4092</v>
      </c>
      <c r="B3925" t="s">
        <v>140</v>
      </c>
      <c r="C3925" t="s">
        <v>122</v>
      </c>
      <c r="D3925" t="s">
        <v>91</v>
      </c>
      <c r="E3925" t="s">
        <v>138</v>
      </c>
      <c r="F3925" s="1">
        <v>42901</v>
      </c>
      <c r="G3925" s="1">
        <v>42916</v>
      </c>
      <c r="H3925">
        <v>4564</v>
      </c>
      <c r="I3925" t="str">
        <f>IF(COUNTIF(Products!$A$2:$A$8,C3925)=0,C3925,"")</f>
        <v/>
      </c>
      <c r="J3925">
        <f>IF(OR(E3925="Prospecting",E3925="Engaging"),VLOOKUP(C3925,Products!$A$2:$C$8,3,FALSE),0)</f>
        <v>0</v>
      </c>
    </row>
    <row r="3926" spans="1:10" x14ac:dyDescent="0.25">
      <c r="A3926" t="s">
        <v>4093</v>
      </c>
      <c r="B3926" t="s">
        <v>140</v>
      </c>
      <c r="C3926" t="s">
        <v>125</v>
      </c>
      <c r="D3926" t="s">
        <v>85</v>
      </c>
      <c r="E3926" t="s">
        <v>138</v>
      </c>
      <c r="F3926" s="1">
        <v>42901</v>
      </c>
      <c r="G3926" s="1">
        <v>42987</v>
      </c>
      <c r="H3926">
        <v>2683</v>
      </c>
      <c r="I3926" t="str">
        <f>IF(COUNTIF(Products!$A$2:$A$8,C3926)=0,C3926,"")</f>
        <v/>
      </c>
      <c r="J3926">
        <f>IF(OR(E3926="Prospecting",E3926="Engaging"),VLOOKUP(C3926,Products!$A$2:$C$8,3,FALSE),0)</f>
        <v>0</v>
      </c>
    </row>
    <row r="3927" spans="1:10" x14ac:dyDescent="0.25">
      <c r="A3927" t="s">
        <v>4094</v>
      </c>
      <c r="B3927" t="s">
        <v>173</v>
      </c>
      <c r="C3927" t="s">
        <v>128</v>
      </c>
      <c r="D3927" t="s">
        <v>23</v>
      </c>
      <c r="E3927" t="s">
        <v>138</v>
      </c>
      <c r="F3927" s="1">
        <v>42901</v>
      </c>
      <c r="G3927" s="1">
        <v>42916</v>
      </c>
      <c r="H3927">
        <v>25464</v>
      </c>
      <c r="I3927" t="str">
        <f>IF(COUNTIF(Products!$A$2:$A$8,C3927)=0,C3927,"")</f>
        <v/>
      </c>
      <c r="J3927">
        <f>IF(OR(E3927="Prospecting",E3927="Engaging"),VLOOKUP(C3927,Products!$A$2:$C$8,3,FALSE),0)</f>
        <v>0</v>
      </c>
    </row>
    <row r="3928" spans="1:10" x14ac:dyDescent="0.25">
      <c r="A3928" t="s">
        <v>4095</v>
      </c>
      <c r="B3928" t="s">
        <v>303</v>
      </c>
      <c r="C3928" t="s">
        <v>120</v>
      </c>
      <c r="D3928" t="s">
        <v>61</v>
      </c>
      <c r="E3928" t="s">
        <v>138</v>
      </c>
      <c r="F3928" s="1">
        <v>42901</v>
      </c>
      <c r="G3928" s="1">
        <v>42987</v>
      </c>
      <c r="H3928">
        <v>460</v>
      </c>
      <c r="I3928" t="str">
        <f>IF(COUNTIF(Products!$A$2:$A$8,C3928)=0,C3928,"")</f>
        <v/>
      </c>
      <c r="J3928">
        <f>IF(OR(E3928="Prospecting",E3928="Engaging"),VLOOKUP(C3928,Products!$A$2:$C$8,3,FALSE),0)</f>
        <v>0</v>
      </c>
    </row>
    <row r="3929" spans="1:10" x14ac:dyDescent="0.25">
      <c r="A3929" t="s">
        <v>4096</v>
      </c>
      <c r="B3929" t="s">
        <v>303</v>
      </c>
      <c r="C3929" t="s">
        <v>120</v>
      </c>
      <c r="D3929" t="s">
        <v>89</v>
      </c>
      <c r="E3929" t="s">
        <v>138</v>
      </c>
      <c r="F3929" s="1">
        <v>42901</v>
      </c>
      <c r="G3929" s="1">
        <v>42914</v>
      </c>
      <c r="H3929">
        <v>546</v>
      </c>
      <c r="I3929" t="str">
        <f>IF(COUNTIF(Products!$A$2:$A$8,C3929)=0,C3929,"")</f>
        <v/>
      </c>
      <c r="J3929">
        <f>IF(OR(E3929="Prospecting",E3929="Engaging"),VLOOKUP(C3929,Products!$A$2:$C$8,3,FALSE),0)</f>
        <v>0</v>
      </c>
    </row>
    <row r="3930" spans="1:10" x14ac:dyDescent="0.25">
      <c r="A3930" t="s">
        <v>4097</v>
      </c>
      <c r="B3930" t="s">
        <v>303</v>
      </c>
      <c r="C3930" t="s">
        <v>127</v>
      </c>
      <c r="D3930" t="s">
        <v>28</v>
      </c>
      <c r="E3930" t="s">
        <v>138</v>
      </c>
      <c r="F3930" s="1">
        <v>42901</v>
      </c>
      <c r="G3930" s="1">
        <v>43003</v>
      </c>
      <c r="H3930">
        <v>918</v>
      </c>
      <c r="I3930" t="str">
        <f>IF(COUNTIF(Products!$A$2:$A$8,C3930)=0,C3930,"")</f>
        <v/>
      </c>
      <c r="J3930">
        <f>IF(OR(E3930="Prospecting",E3930="Engaging"),VLOOKUP(C3930,Products!$A$2:$C$8,3,FALSE),0)</f>
        <v>0</v>
      </c>
    </row>
    <row r="3931" spans="1:10" x14ac:dyDescent="0.25">
      <c r="A3931" t="s">
        <v>4098</v>
      </c>
      <c r="B3931" t="s">
        <v>217</v>
      </c>
      <c r="C3931" t="s">
        <v>125</v>
      </c>
      <c r="D3931" t="s">
        <v>33</v>
      </c>
      <c r="E3931" t="s">
        <v>159</v>
      </c>
      <c r="F3931" s="1">
        <v>42901</v>
      </c>
      <c r="G3931" s="1">
        <v>42915</v>
      </c>
      <c r="H3931">
        <v>0</v>
      </c>
      <c r="I3931" t="str">
        <f>IF(COUNTIF(Products!$A$2:$A$8,C3931)=0,C3931,"")</f>
        <v/>
      </c>
      <c r="J3931">
        <f>IF(OR(E3931="Prospecting",E3931="Engaging"),VLOOKUP(C3931,Products!$A$2:$C$8,3,FALSE),0)</f>
        <v>0</v>
      </c>
    </row>
    <row r="3932" spans="1:10" x14ac:dyDescent="0.25">
      <c r="A3932" t="s">
        <v>4099</v>
      </c>
      <c r="B3932" t="s">
        <v>217</v>
      </c>
      <c r="C3932" t="s">
        <v>125</v>
      </c>
      <c r="D3932" t="s">
        <v>103</v>
      </c>
      <c r="E3932" t="s">
        <v>138</v>
      </c>
      <c r="F3932" s="1">
        <v>42901</v>
      </c>
      <c r="G3932" s="1">
        <v>42949</v>
      </c>
      <c r="H3932">
        <v>3018</v>
      </c>
      <c r="I3932" t="str">
        <f>IF(COUNTIF(Products!$A$2:$A$8,C3932)=0,C3932,"")</f>
        <v/>
      </c>
      <c r="J3932">
        <f>IF(OR(E3932="Prospecting",E3932="Engaging"),VLOOKUP(C3932,Products!$A$2:$C$8,3,FALSE),0)</f>
        <v>0</v>
      </c>
    </row>
    <row r="3933" spans="1:10" x14ac:dyDescent="0.25">
      <c r="A3933" t="s">
        <v>4100</v>
      </c>
      <c r="B3933" t="s">
        <v>150</v>
      </c>
      <c r="C3933" t="s">
        <v>123</v>
      </c>
      <c r="D3933" t="s">
        <v>41</v>
      </c>
      <c r="E3933" t="s">
        <v>138</v>
      </c>
      <c r="F3933" s="1">
        <v>42901</v>
      </c>
      <c r="G3933" s="1">
        <v>42971</v>
      </c>
      <c r="H3933">
        <v>52</v>
      </c>
      <c r="I3933" t="str">
        <f>IF(COUNTIF(Products!$A$2:$A$8,C3933)=0,C3933,"")</f>
        <v/>
      </c>
      <c r="J3933">
        <f>IF(OR(E3933="Prospecting",E3933="Engaging"),VLOOKUP(C3933,Products!$A$2:$C$8,3,FALSE),0)</f>
        <v>0</v>
      </c>
    </row>
    <row r="3934" spans="1:10" x14ac:dyDescent="0.25">
      <c r="A3934" t="s">
        <v>4101</v>
      </c>
      <c r="B3934" t="s">
        <v>162</v>
      </c>
      <c r="C3934" t="s">
        <v>120</v>
      </c>
      <c r="E3934" t="s">
        <v>155</v>
      </c>
      <c r="F3934" s="1">
        <v>42901</v>
      </c>
      <c r="I3934" t="str">
        <f>IF(COUNTIF(Products!$A$2:$A$8,C3934)=0,C3934,"")</f>
        <v/>
      </c>
      <c r="J3934">
        <f>IF(OR(E3934="Prospecting",E3934="Engaging"),VLOOKUP(C3934,Products!$A$2:$C$8,3,FALSE),0)</f>
        <v>550</v>
      </c>
    </row>
    <row r="3935" spans="1:10" x14ac:dyDescent="0.25">
      <c r="A3935" t="s">
        <v>4102</v>
      </c>
      <c r="B3935" t="s">
        <v>193</v>
      </c>
      <c r="C3935" t="s">
        <v>123</v>
      </c>
      <c r="D3935" t="s">
        <v>16</v>
      </c>
      <c r="E3935" t="s">
        <v>138</v>
      </c>
      <c r="F3935" s="1">
        <v>42901</v>
      </c>
      <c r="G3935" s="1">
        <v>42951</v>
      </c>
      <c r="H3935">
        <v>50</v>
      </c>
      <c r="I3935" t="str">
        <f>IF(COUNTIF(Products!$A$2:$A$8,C3935)=0,C3935,"")</f>
        <v/>
      </c>
      <c r="J3935">
        <f>IF(OR(E3935="Prospecting",E3935="Engaging"),VLOOKUP(C3935,Products!$A$2:$C$8,3,FALSE),0)</f>
        <v>0</v>
      </c>
    </row>
    <row r="3936" spans="1:10" x14ac:dyDescent="0.25">
      <c r="A3936" t="s">
        <v>4103</v>
      </c>
      <c r="B3936" t="s">
        <v>166</v>
      </c>
      <c r="C3936" t="s">
        <v>123</v>
      </c>
      <c r="E3936" t="s">
        <v>155</v>
      </c>
      <c r="F3936" s="1">
        <v>42901</v>
      </c>
      <c r="I3936" t="str">
        <f>IF(COUNTIF(Products!$A$2:$A$8,C3936)=0,C3936,"")</f>
        <v/>
      </c>
      <c r="J3936">
        <f>IF(OR(E3936="Prospecting",E3936="Engaging"),VLOOKUP(C3936,Products!$A$2:$C$8,3,FALSE),0)</f>
        <v>55</v>
      </c>
    </row>
    <row r="3937" spans="1:10" x14ac:dyDescent="0.25">
      <c r="A3937" t="s">
        <v>4104</v>
      </c>
      <c r="B3937" t="s">
        <v>187</v>
      </c>
      <c r="C3937" t="s">
        <v>120</v>
      </c>
      <c r="D3937" t="s">
        <v>108</v>
      </c>
      <c r="E3937" t="s">
        <v>138</v>
      </c>
      <c r="F3937" s="1">
        <v>42901</v>
      </c>
      <c r="G3937" s="1">
        <v>42991</v>
      </c>
      <c r="H3937">
        <v>524</v>
      </c>
      <c r="I3937" t="str">
        <f>IF(COUNTIF(Products!$A$2:$A$8,C3937)=0,C3937,"")</f>
        <v/>
      </c>
      <c r="J3937">
        <f>IF(OR(E3937="Prospecting",E3937="Engaging"),VLOOKUP(C3937,Products!$A$2:$C$8,3,FALSE),0)</f>
        <v>0</v>
      </c>
    </row>
    <row r="3938" spans="1:10" x14ac:dyDescent="0.25">
      <c r="A3938" t="s">
        <v>4105</v>
      </c>
      <c r="B3938" t="s">
        <v>187</v>
      </c>
      <c r="C3938" t="s">
        <v>125</v>
      </c>
      <c r="D3938" t="s">
        <v>108</v>
      </c>
      <c r="E3938" t="s">
        <v>138</v>
      </c>
      <c r="F3938" s="1">
        <v>42901</v>
      </c>
      <c r="G3938" s="1">
        <v>42915</v>
      </c>
      <c r="H3938">
        <v>3306</v>
      </c>
      <c r="I3938" t="str">
        <f>IF(COUNTIF(Products!$A$2:$A$8,C3938)=0,C3938,"")</f>
        <v/>
      </c>
      <c r="J3938">
        <f>IF(OR(E3938="Prospecting",E3938="Engaging"),VLOOKUP(C3938,Products!$A$2:$C$8,3,FALSE),0)</f>
        <v>0</v>
      </c>
    </row>
    <row r="3939" spans="1:10" x14ac:dyDescent="0.25">
      <c r="A3939" t="s">
        <v>4106</v>
      </c>
      <c r="B3939" t="s">
        <v>148</v>
      </c>
      <c r="C3939" t="s">
        <v>120</v>
      </c>
      <c r="E3939" t="s">
        <v>155</v>
      </c>
      <c r="F3939" s="1">
        <v>42901</v>
      </c>
      <c r="I3939" t="str">
        <f>IF(COUNTIF(Products!$A$2:$A$8,C3939)=0,C3939,"")</f>
        <v/>
      </c>
      <c r="J3939">
        <f>IF(OR(E3939="Prospecting",E3939="Engaging"),VLOOKUP(C3939,Products!$A$2:$C$8,3,FALSE),0)</f>
        <v>550</v>
      </c>
    </row>
    <row r="3940" spans="1:10" x14ac:dyDescent="0.25">
      <c r="A3940" t="s">
        <v>4107</v>
      </c>
      <c r="B3940" t="s">
        <v>148</v>
      </c>
      <c r="C3940" t="s">
        <v>123</v>
      </c>
      <c r="D3940" t="s">
        <v>60</v>
      </c>
      <c r="E3940" t="s">
        <v>138</v>
      </c>
      <c r="F3940" s="1">
        <v>42901</v>
      </c>
      <c r="G3940" s="1">
        <v>42908</v>
      </c>
      <c r="H3940">
        <v>54</v>
      </c>
      <c r="I3940" t="str">
        <f>IF(COUNTIF(Products!$A$2:$A$8,C3940)=0,C3940,"")</f>
        <v/>
      </c>
      <c r="J3940">
        <f>IF(OR(E3940="Prospecting",E3940="Engaging"),VLOOKUP(C3940,Products!$A$2:$C$8,3,FALSE),0)</f>
        <v>0</v>
      </c>
    </row>
    <row r="3941" spans="1:10" x14ac:dyDescent="0.25">
      <c r="A3941" t="s">
        <v>4108</v>
      </c>
      <c r="B3941" t="s">
        <v>148</v>
      </c>
      <c r="C3941" t="s">
        <v>123</v>
      </c>
      <c r="D3941" t="s">
        <v>61</v>
      </c>
      <c r="E3941" t="s">
        <v>138</v>
      </c>
      <c r="F3941" s="1">
        <v>42901</v>
      </c>
      <c r="G3941" s="1">
        <v>42914</v>
      </c>
      <c r="H3941">
        <v>53</v>
      </c>
      <c r="I3941" t="str">
        <f>IF(COUNTIF(Products!$A$2:$A$8,C3941)=0,C3941,"")</f>
        <v/>
      </c>
      <c r="J3941">
        <f>IF(OR(E3941="Prospecting",E3941="Engaging"),VLOOKUP(C3941,Products!$A$2:$C$8,3,FALSE),0)</f>
        <v>0</v>
      </c>
    </row>
    <row r="3942" spans="1:10" x14ac:dyDescent="0.25">
      <c r="A3942" t="s">
        <v>4109</v>
      </c>
      <c r="B3942" t="s">
        <v>196</v>
      </c>
      <c r="C3942" t="s">
        <v>120</v>
      </c>
      <c r="D3942" t="s">
        <v>112</v>
      </c>
      <c r="E3942" t="s">
        <v>138</v>
      </c>
      <c r="F3942" s="1">
        <v>42901</v>
      </c>
      <c r="G3942" s="1">
        <v>42976</v>
      </c>
      <c r="H3942">
        <v>514</v>
      </c>
      <c r="I3942" t="str">
        <f>IF(COUNTIF(Products!$A$2:$A$8,C3942)=0,C3942,"")</f>
        <v/>
      </c>
      <c r="J3942">
        <f>IF(OR(E3942="Prospecting",E3942="Engaging"),VLOOKUP(C3942,Products!$A$2:$C$8,3,FALSE),0)</f>
        <v>0</v>
      </c>
    </row>
    <row r="3943" spans="1:10" x14ac:dyDescent="0.25">
      <c r="A3943" t="s">
        <v>4110</v>
      </c>
      <c r="B3943" t="s">
        <v>144</v>
      </c>
      <c r="C3943" t="s">
        <v>125</v>
      </c>
      <c r="E3943" t="s">
        <v>155</v>
      </c>
      <c r="F3943" s="1">
        <v>42901</v>
      </c>
      <c r="I3943" t="str">
        <f>IF(COUNTIF(Products!$A$2:$A$8,C3943)=0,C3943,"")</f>
        <v/>
      </c>
      <c r="J3943">
        <f>IF(OR(E3943="Prospecting",E3943="Engaging"),VLOOKUP(C3943,Products!$A$2:$C$8,3,FALSE),0)</f>
        <v>3393</v>
      </c>
    </row>
    <row r="3944" spans="1:10" x14ac:dyDescent="0.25">
      <c r="A3944" t="s">
        <v>4111</v>
      </c>
      <c r="B3944" t="s">
        <v>207</v>
      </c>
      <c r="C3944" t="s">
        <v>123</v>
      </c>
      <c r="D3944" t="s">
        <v>19</v>
      </c>
      <c r="E3944" t="s">
        <v>155</v>
      </c>
      <c r="F3944" s="1">
        <v>42902</v>
      </c>
      <c r="I3944" t="str">
        <f>IF(COUNTIF(Products!$A$2:$A$8,C3944)=0,C3944,"")</f>
        <v/>
      </c>
      <c r="J3944">
        <f>IF(OR(E3944="Prospecting",E3944="Engaging"),VLOOKUP(C3944,Products!$A$2:$C$8,3,FALSE),0)</f>
        <v>55</v>
      </c>
    </row>
    <row r="3945" spans="1:10" x14ac:dyDescent="0.25">
      <c r="A3945" t="s">
        <v>4112</v>
      </c>
      <c r="B3945" t="s">
        <v>171</v>
      </c>
      <c r="C3945" t="s">
        <v>127</v>
      </c>
      <c r="D3945" t="s">
        <v>69</v>
      </c>
      <c r="E3945" t="s">
        <v>138</v>
      </c>
      <c r="F3945" s="1">
        <v>42902</v>
      </c>
      <c r="G3945" s="1">
        <v>42911</v>
      </c>
      <c r="H3945">
        <v>985</v>
      </c>
      <c r="I3945" t="str">
        <f>IF(COUNTIF(Products!$A$2:$A$8,C3945)=0,C3945,"")</f>
        <v/>
      </c>
      <c r="J3945">
        <f>IF(OR(E3945="Prospecting",E3945="Engaging"),VLOOKUP(C3945,Products!$A$2:$C$8,3,FALSE),0)</f>
        <v>0</v>
      </c>
    </row>
    <row r="3946" spans="1:10" x14ac:dyDescent="0.25">
      <c r="A3946" t="s">
        <v>4113</v>
      </c>
      <c r="B3946" t="s">
        <v>140</v>
      </c>
      <c r="C3946" t="s">
        <v>122</v>
      </c>
      <c r="D3946" t="s">
        <v>28</v>
      </c>
      <c r="E3946" t="s">
        <v>138</v>
      </c>
      <c r="F3946" s="1">
        <v>42902</v>
      </c>
      <c r="G3946" s="1">
        <v>42958</v>
      </c>
      <c r="H3946">
        <v>5843</v>
      </c>
      <c r="I3946" t="str">
        <f>IF(COUNTIF(Products!$A$2:$A$8,C3946)=0,C3946,"")</f>
        <v/>
      </c>
      <c r="J3946">
        <f>IF(OR(E3946="Prospecting",E3946="Engaging"),VLOOKUP(C3946,Products!$A$2:$C$8,3,FALSE),0)</f>
        <v>0</v>
      </c>
    </row>
    <row r="3947" spans="1:10" x14ac:dyDescent="0.25">
      <c r="A3947" t="s">
        <v>4114</v>
      </c>
      <c r="B3947" t="s">
        <v>140</v>
      </c>
      <c r="C3947" t="s">
        <v>122</v>
      </c>
      <c r="D3947" t="s">
        <v>51</v>
      </c>
      <c r="E3947" t="s">
        <v>138</v>
      </c>
      <c r="F3947" s="1">
        <v>42902</v>
      </c>
      <c r="G3947" s="1">
        <v>42995</v>
      </c>
      <c r="H3947">
        <v>4577</v>
      </c>
      <c r="I3947" t="str">
        <f>IF(COUNTIF(Products!$A$2:$A$8,C3947)=0,C3947,"")</f>
        <v/>
      </c>
      <c r="J3947">
        <f>IF(OR(E3947="Prospecting",E3947="Engaging"),VLOOKUP(C3947,Products!$A$2:$C$8,3,FALSE),0)</f>
        <v>0</v>
      </c>
    </row>
    <row r="3948" spans="1:10" x14ac:dyDescent="0.25">
      <c r="A3948" t="s">
        <v>4115</v>
      </c>
      <c r="B3948" t="s">
        <v>140</v>
      </c>
      <c r="C3948" t="s">
        <v>125</v>
      </c>
      <c r="D3948" t="s">
        <v>64</v>
      </c>
      <c r="E3948" t="s">
        <v>138</v>
      </c>
      <c r="F3948" s="1">
        <v>42902</v>
      </c>
      <c r="G3948" s="1">
        <v>42910</v>
      </c>
      <c r="H3948">
        <v>3323</v>
      </c>
      <c r="I3948" t="str">
        <f>IF(COUNTIF(Products!$A$2:$A$8,C3948)=0,C3948,"")</f>
        <v/>
      </c>
      <c r="J3948">
        <f>IF(OR(E3948="Prospecting",E3948="Engaging"),VLOOKUP(C3948,Products!$A$2:$C$8,3,FALSE),0)</f>
        <v>0</v>
      </c>
    </row>
    <row r="3949" spans="1:10" x14ac:dyDescent="0.25">
      <c r="A3949" t="s">
        <v>4116</v>
      </c>
      <c r="B3949" t="s">
        <v>224</v>
      </c>
      <c r="C3949" t="s">
        <v>125</v>
      </c>
      <c r="D3949" t="s">
        <v>10</v>
      </c>
      <c r="E3949" t="s">
        <v>159</v>
      </c>
      <c r="F3949" s="1">
        <v>42902</v>
      </c>
      <c r="G3949" s="1">
        <v>42978</v>
      </c>
      <c r="H3949">
        <v>0</v>
      </c>
      <c r="I3949" t="str">
        <f>IF(COUNTIF(Products!$A$2:$A$8,C3949)=0,C3949,"")</f>
        <v/>
      </c>
      <c r="J3949">
        <f>IF(OR(E3949="Prospecting",E3949="Engaging"),VLOOKUP(C3949,Products!$A$2:$C$8,3,FALSE),0)</f>
        <v>0</v>
      </c>
    </row>
    <row r="3950" spans="1:10" x14ac:dyDescent="0.25">
      <c r="A3950" t="s">
        <v>4117</v>
      </c>
      <c r="B3950" t="s">
        <v>224</v>
      </c>
      <c r="C3950" t="s">
        <v>120</v>
      </c>
      <c r="D3950" t="s">
        <v>80</v>
      </c>
      <c r="E3950" t="s">
        <v>138</v>
      </c>
      <c r="F3950" s="1">
        <v>42902</v>
      </c>
      <c r="G3950" s="1">
        <v>42995</v>
      </c>
      <c r="H3950">
        <v>483</v>
      </c>
      <c r="I3950" t="str">
        <f>IF(COUNTIF(Products!$A$2:$A$8,C3950)=0,C3950,"")</f>
        <v/>
      </c>
      <c r="J3950">
        <f>IF(OR(E3950="Prospecting",E3950="Engaging"),VLOOKUP(C3950,Products!$A$2:$C$8,3,FALSE),0)</f>
        <v>0</v>
      </c>
    </row>
    <row r="3951" spans="1:10" x14ac:dyDescent="0.25">
      <c r="A3951" t="s">
        <v>4118</v>
      </c>
      <c r="B3951" t="s">
        <v>198</v>
      </c>
      <c r="C3951" t="s">
        <v>120</v>
      </c>
      <c r="D3951" t="s">
        <v>63</v>
      </c>
      <c r="E3951" t="s">
        <v>159</v>
      </c>
      <c r="F3951" s="1">
        <v>42902</v>
      </c>
      <c r="G3951" s="1">
        <v>42969</v>
      </c>
      <c r="H3951">
        <v>0</v>
      </c>
      <c r="I3951" t="str">
        <f>IF(COUNTIF(Products!$A$2:$A$8,C3951)=0,C3951,"")</f>
        <v/>
      </c>
      <c r="J3951">
        <f>IF(OR(E3951="Prospecting",E3951="Engaging"),VLOOKUP(C3951,Products!$A$2:$C$8,3,FALSE),0)</f>
        <v>0</v>
      </c>
    </row>
    <row r="3952" spans="1:10" x14ac:dyDescent="0.25">
      <c r="A3952" t="s">
        <v>4119</v>
      </c>
      <c r="B3952" t="s">
        <v>198</v>
      </c>
      <c r="C3952" t="s">
        <v>122</v>
      </c>
      <c r="D3952" t="s">
        <v>106</v>
      </c>
      <c r="E3952" t="s">
        <v>138</v>
      </c>
      <c r="F3952" s="1">
        <v>42902</v>
      </c>
      <c r="G3952" s="1">
        <v>42996</v>
      </c>
      <c r="H3952">
        <v>5206</v>
      </c>
      <c r="I3952" t="str">
        <f>IF(COUNTIF(Products!$A$2:$A$8,C3952)=0,C3952,"")</f>
        <v/>
      </c>
      <c r="J3952">
        <f>IF(OR(E3952="Prospecting",E3952="Engaging"),VLOOKUP(C3952,Products!$A$2:$C$8,3,FALSE),0)</f>
        <v>0</v>
      </c>
    </row>
    <row r="3953" spans="1:10" x14ac:dyDescent="0.25">
      <c r="A3953" t="s">
        <v>4120</v>
      </c>
      <c r="B3953" t="s">
        <v>158</v>
      </c>
      <c r="C3953" t="s">
        <v>125</v>
      </c>
      <c r="D3953" t="s">
        <v>42</v>
      </c>
      <c r="E3953" t="s">
        <v>138</v>
      </c>
      <c r="F3953" s="1">
        <v>42902</v>
      </c>
      <c r="G3953" s="1">
        <v>42982</v>
      </c>
      <c r="H3953">
        <v>3621</v>
      </c>
      <c r="I3953" t="str">
        <f>IF(COUNTIF(Products!$A$2:$A$8,C3953)=0,C3953,"")</f>
        <v/>
      </c>
      <c r="J3953">
        <f>IF(OR(E3953="Prospecting",E3953="Engaging"),VLOOKUP(C3953,Products!$A$2:$C$8,3,FALSE),0)</f>
        <v>0</v>
      </c>
    </row>
    <row r="3954" spans="1:10" x14ac:dyDescent="0.25">
      <c r="A3954" t="s">
        <v>4121</v>
      </c>
      <c r="B3954" t="s">
        <v>180</v>
      </c>
      <c r="C3954" t="s">
        <v>122</v>
      </c>
      <c r="D3954" t="s">
        <v>39</v>
      </c>
      <c r="E3954" t="s">
        <v>138</v>
      </c>
      <c r="F3954" s="1">
        <v>42902</v>
      </c>
      <c r="G3954" s="1">
        <v>42911</v>
      </c>
      <c r="H3954">
        <v>4756</v>
      </c>
      <c r="I3954" t="str">
        <f>IF(COUNTIF(Products!$A$2:$A$8,C3954)=0,C3954,"")</f>
        <v/>
      </c>
      <c r="J3954">
        <f>IF(OR(E3954="Prospecting",E3954="Engaging"),VLOOKUP(C3954,Products!$A$2:$C$8,3,FALSE),0)</f>
        <v>0</v>
      </c>
    </row>
    <row r="3955" spans="1:10" x14ac:dyDescent="0.25">
      <c r="A3955" t="s">
        <v>4122</v>
      </c>
      <c r="B3955" t="s">
        <v>217</v>
      </c>
      <c r="C3955" t="s">
        <v>127</v>
      </c>
      <c r="D3955" t="s">
        <v>64</v>
      </c>
      <c r="E3955" t="s">
        <v>159</v>
      </c>
      <c r="F3955" s="1">
        <v>42902</v>
      </c>
      <c r="G3955" s="1">
        <v>42976</v>
      </c>
      <c r="H3955">
        <v>0</v>
      </c>
      <c r="I3955" t="str">
        <f>IF(COUNTIF(Products!$A$2:$A$8,C3955)=0,C3955,"")</f>
        <v/>
      </c>
      <c r="J3955">
        <f>IF(OR(E3955="Prospecting",E3955="Engaging"),VLOOKUP(C3955,Products!$A$2:$C$8,3,FALSE),0)</f>
        <v>0</v>
      </c>
    </row>
    <row r="3956" spans="1:10" x14ac:dyDescent="0.25">
      <c r="A3956" t="s">
        <v>4123</v>
      </c>
      <c r="B3956" t="s">
        <v>217</v>
      </c>
      <c r="C3956" t="s">
        <v>125</v>
      </c>
      <c r="D3956" t="s">
        <v>94</v>
      </c>
      <c r="E3956" t="s">
        <v>138</v>
      </c>
      <c r="F3956" s="1">
        <v>42902</v>
      </c>
      <c r="G3956" s="1">
        <v>42910</v>
      </c>
      <c r="H3956">
        <v>3228</v>
      </c>
      <c r="I3956" t="str">
        <f>IF(COUNTIF(Products!$A$2:$A$8,C3956)=0,C3956,"")</f>
        <v/>
      </c>
      <c r="J3956">
        <f>IF(OR(E3956="Prospecting",E3956="Engaging"),VLOOKUP(C3956,Products!$A$2:$C$8,3,FALSE),0)</f>
        <v>0</v>
      </c>
    </row>
    <row r="3957" spans="1:10" x14ac:dyDescent="0.25">
      <c r="A3957" t="s">
        <v>4124</v>
      </c>
      <c r="B3957" t="s">
        <v>150</v>
      </c>
      <c r="C3957" t="s">
        <v>127</v>
      </c>
      <c r="D3957" t="s">
        <v>103</v>
      </c>
      <c r="E3957" t="s">
        <v>155</v>
      </c>
      <c r="F3957" s="1">
        <v>42902</v>
      </c>
      <c r="I3957" t="str">
        <f>IF(COUNTIF(Products!$A$2:$A$8,C3957)=0,C3957,"")</f>
        <v/>
      </c>
      <c r="J3957">
        <f>IF(OR(E3957="Prospecting",E3957="Engaging"),VLOOKUP(C3957,Products!$A$2:$C$8,3,FALSE),0)</f>
        <v>1096</v>
      </c>
    </row>
    <row r="3958" spans="1:10" x14ac:dyDescent="0.25">
      <c r="A3958" t="s">
        <v>4125</v>
      </c>
      <c r="B3958" t="s">
        <v>152</v>
      </c>
      <c r="C3958" t="s">
        <v>127</v>
      </c>
      <c r="D3958" t="s">
        <v>14</v>
      </c>
      <c r="E3958" t="s">
        <v>138</v>
      </c>
      <c r="F3958" s="1">
        <v>42902</v>
      </c>
      <c r="G3958" s="1">
        <v>42995</v>
      </c>
      <c r="H3958">
        <v>1063</v>
      </c>
      <c r="I3958" t="str">
        <f>IF(COUNTIF(Products!$A$2:$A$8,C3958)=0,C3958,"")</f>
        <v/>
      </c>
      <c r="J3958">
        <f>IF(OR(E3958="Prospecting",E3958="Engaging"),VLOOKUP(C3958,Products!$A$2:$C$8,3,FALSE),0)</f>
        <v>0</v>
      </c>
    </row>
    <row r="3959" spans="1:10" x14ac:dyDescent="0.25">
      <c r="A3959" t="s">
        <v>4126</v>
      </c>
      <c r="B3959" t="s">
        <v>193</v>
      </c>
      <c r="C3959" t="s">
        <v>127</v>
      </c>
      <c r="D3959" t="s">
        <v>110</v>
      </c>
      <c r="E3959" t="s">
        <v>159</v>
      </c>
      <c r="F3959" s="1">
        <v>42902</v>
      </c>
      <c r="G3959" s="1">
        <v>42966</v>
      </c>
      <c r="H3959">
        <v>0</v>
      </c>
      <c r="I3959" t="str">
        <f>IF(COUNTIF(Products!$A$2:$A$8,C3959)=0,C3959,"")</f>
        <v/>
      </c>
      <c r="J3959">
        <f>IF(OR(E3959="Prospecting",E3959="Engaging"),VLOOKUP(C3959,Products!$A$2:$C$8,3,FALSE),0)</f>
        <v>0</v>
      </c>
    </row>
    <row r="3960" spans="1:10" x14ac:dyDescent="0.25">
      <c r="A3960" t="s">
        <v>4127</v>
      </c>
      <c r="B3960" t="s">
        <v>187</v>
      </c>
      <c r="C3960" t="s">
        <v>122</v>
      </c>
      <c r="D3960" t="s">
        <v>108</v>
      </c>
      <c r="E3960" t="s">
        <v>155</v>
      </c>
      <c r="F3960" s="1">
        <v>42902</v>
      </c>
      <c r="I3960" t="str">
        <f>IF(COUNTIF(Products!$A$2:$A$8,C3960)=0,C3960,"")</f>
        <v/>
      </c>
      <c r="J3960">
        <f>IF(OR(E3960="Prospecting",E3960="Engaging"),VLOOKUP(C3960,Products!$A$2:$C$8,3,FALSE),0)</f>
        <v>4821</v>
      </c>
    </row>
    <row r="3961" spans="1:10" x14ac:dyDescent="0.25">
      <c r="A3961" t="s">
        <v>4128</v>
      </c>
      <c r="B3961" t="s">
        <v>148</v>
      </c>
      <c r="C3961" t="s">
        <v>123</v>
      </c>
      <c r="E3961" t="s">
        <v>155</v>
      </c>
      <c r="F3961" s="1">
        <v>42902</v>
      </c>
      <c r="I3961" t="str">
        <f>IF(COUNTIF(Products!$A$2:$A$8,C3961)=0,C3961,"")</f>
        <v/>
      </c>
      <c r="J3961">
        <f>IF(OR(E3961="Prospecting",E3961="Engaging"),VLOOKUP(C3961,Products!$A$2:$C$8,3,FALSE),0)</f>
        <v>55</v>
      </c>
    </row>
    <row r="3962" spans="1:10" x14ac:dyDescent="0.25">
      <c r="A3962" t="s">
        <v>4129</v>
      </c>
      <c r="B3962" t="s">
        <v>177</v>
      </c>
      <c r="C3962" t="s">
        <v>123</v>
      </c>
      <c r="E3962" t="s">
        <v>155</v>
      </c>
      <c r="F3962" s="1">
        <v>42902</v>
      </c>
      <c r="I3962" t="str">
        <f>IF(COUNTIF(Products!$A$2:$A$8,C3962)=0,C3962,"")</f>
        <v/>
      </c>
      <c r="J3962">
        <f>IF(OR(E3962="Prospecting",E3962="Engaging"),VLOOKUP(C3962,Products!$A$2:$C$8,3,FALSE),0)</f>
        <v>55</v>
      </c>
    </row>
    <row r="3963" spans="1:10" x14ac:dyDescent="0.25">
      <c r="A3963" t="s">
        <v>4130</v>
      </c>
      <c r="B3963" t="s">
        <v>144</v>
      </c>
      <c r="C3963" t="s">
        <v>125</v>
      </c>
      <c r="D3963" t="s">
        <v>78</v>
      </c>
      <c r="E3963" t="s">
        <v>138</v>
      </c>
      <c r="F3963" s="1">
        <v>42902</v>
      </c>
      <c r="G3963" s="1">
        <v>42913</v>
      </c>
      <c r="H3963">
        <v>4234</v>
      </c>
      <c r="I3963" t="str">
        <f>IF(COUNTIF(Products!$A$2:$A$8,C3963)=0,C3963,"")</f>
        <v/>
      </c>
      <c r="J3963">
        <f>IF(OR(E3963="Prospecting",E3963="Engaging"),VLOOKUP(C3963,Products!$A$2:$C$8,3,FALSE),0)</f>
        <v>0</v>
      </c>
    </row>
    <row r="3964" spans="1:10" x14ac:dyDescent="0.25">
      <c r="A3964" t="s">
        <v>4131</v>
      </c>
      <c r="B3964" t="s">
        <v>207</v>
      </c>
      <c r="C3964" t="s">
        <v>127</v>
      </c>
      <c r="D3964" t="s">
        <v>84</v>
      </c>
      <c r="E3964" t="s">
        <v>138</v>
      </c>
      <c r="F3964" s="1">
        <v>42903</v>
      </c>
      <c r="G3964" s="1">
        <v>42994</v>
      </c>
      <c r="H3964">
        <v>1198</v>
      </c>
      <c r="I3964" t="str">
        <f>IF(COUNTIF(Products!$A$2:$A$8,C3964)=0,C3964,"")</f>
        <v/>
      </c>
      <c r="J3964">
        <f>IF(OR(E3964="Prospecting",E3964="Engaging"),VLOOKUP(C3964,Products!$A$2:$C$8,3,FALSE),0)</f>
        <v>0</v>
      </c>
    </row>
    <row r="3965" spans="1:10" x14ac:dyDescent="0.25">
      <c r="A3965" t="s">
        <v>4132</v>
      </c>
      <c r="B3965" t="s">
        <v>239</v>
      </c>
      <c r="C3965" t="s">
        <v>122</v>
      </c>
      <c r="D3965" t="s">
        <v>98</v>
      </c>
      <c r="E3965" t="s">
        <v>138</v>
      </c>
      <c r="F3965" s="1">
        <v>42903</v>
      </c>
      <c r="G3965" s="1">
        <v>42987</v>
      </c>
      <c r="H3965">
        <v>4960</v>
      </c>
      <c r="I3965" t="str">
        <f>IF(COUNTIF(Products!$A$2:$A$8,C3965)=0,C3965,"")</f>
        <v/>
      </c>
      <c r="J3965">
        <f>IF(OR(E3965="Prospecting",E3965="Engaging"),VLOOKUP(C3965,Products!$A$2:$C$8,3,FALSE),0)</f>
        <v>0</v>
      </c>
    </row>
    <row r="3966" spans="1:10" x14ac:dyDescent="0.25">
      <c r="A3966" t="s">
        <v>4133</v>
      </c>
      <c r="B3966" t="s">
        <v>140</v>
      </c>
      <c r="C3966" t="s">
        <v>120</v>
      </c>
      <c r="D3966" t="s">
        <v>12</v>
      </c>
      <c r="E3966" t="s">
        <v>138</v>
      </c>
      <c r="F3966" s="1">
        <v>42903</v>
      </c>
      <c r="G3966" s="1">
        <v>42969</v>
      </c>
      <c r="H3966">
        <v>576</v>
      </c>
      <c r="I3966" t="str">
        <f>IF(COUNTIF(Products!$A$2:$A$8,C3966)=0,C3966,"")</f>
        <v/>
      </c>
      <c r="J3966">
        <f>IF(OR(E3966="Prospecting",E3966="Engaging"),VLOOKUP(C3966,Products!$A$2:$C$8,3,FALSE),0)</f>
        <v>0</v>
      </c>
    </row>
    <row r="3967" spans="1:10" x14ac:dyDescent="0.25">
      <c r="A3967" t="s">
        <v>4134</v>
      </c>
      <c r="B3967" t="s">
        <v>140</v>
      </c>
      <c r="C3967" t="s">
        <v>126</v>
      </c>
      <c r="D3967" t="s">
        <v>53</v>
      </c>
      <c r="E3967" t="s">
        <v>138</v>
      </c>
      <c r="F3967" s="1">
        <v>42903</v>
      </c>
      <c r="G3967" s="1">
        <v>42972</v>
      </c>
      <c r="H3967">
        <v>5614</v>
      </c>
      <c r="I3967" t="str">
        <f>IF(COUNTIF(Products!$A$2:$A$8,C3967)=0,C3967,"")</f>
        <v/>
      </c>
      <c r="J3967">
        <f>IF(OR(E3967="Prospecting",E3967="Engaging"),VLOOKUP(C3967,Products!$A$2:$C$8,3,FALSE),0)</f>
        <v>0</v>
      </c>
    </row>
    <row r="3968" spans="1:10" x14ac:dyDescent="0.25">
      <c r="A3968" t="s">
        <v>4135</v>
      </c>
      <c r="B3968" t="s">
        <v>140</v>
      </c>
      <c r="C3968" t="s">
        <v>125</v>
      </c>
      <c r="D3968" t="s">
        <v>96</v>
      </c>
      <c r="E3968" t="s">
        <v>138</v>
      </c>
      <c r="F3968" s="1">
        <v>42903</v>
      </c>
      <c r="G3968" s="1">
        <v>42977</v>
      </c>
      <c r="H3968">
        <v>3422</v>
      </c>
      <c r="I3968" t="str">
        <f>IF(COUNTIF(Products!$A$2:$A$8,C3968)=0,C3968,"")</f>
        <v/>
      </c>
      <c r="J3968">
        <f>IF(OR(E3968="Prospecting",E3968="Engaging"),VLOOKUP(C3968,Products!$A$2:$C$8,3,FALSE),0)</f>
        <v>0</v>
      </c>
    </row>
    <row r="3969" spans="1:10" x14ac:dyDescent="0.25">
      <c r="A3969" t="s">
        <v>4136</v>
      </c>
      <c r="B3969" t="s">
        <v>173</v>
      </c>
      <c r="C3969" t="s">
        <v>120</v>
      </c>
      <c r="D3969" t="s">
        <v>87</v>
      </c>
      <c r="E3969" t="s">
        <v>155</v>
      </c>
      <c r="F3969" s="1">
        <v>42903</v>
      </c>
      <c r="I3969" t="str">
        <f>IF(COUNTIF(Products!$A$2:$A$8,C3969)=0,C3969,"")</f>
        <v/>
      </c>
      <c r="J3969">
        <f>IF(OR(E3969="Prospecting",E3969="Engaging"),VLOOKUP(C3969,Products!$A$2:$C$8,3,FALSE),0)</f>
        <v>550</v>
      </c>
    </row>
    <row r="3970" spans="1:10" x14ac:dyDescent="0.25">
      <c r="A3970" t="s">
        <v>4137</v>
      </c>
      <c r="B3970" t="s">
        <v>154</v>
      </c>
      <c r="C3970" t="s">
        <v>125</v>
      </c>
      <c r="E3970" t="s">
        <v>155</v>
      </c>
      <c r="F3970" s="1">
        <v>42903</v>
      </c>
      <c r="I3970" t="str">
        <f>IF(COUNTIF(Products!$A$2:$A$8,C3970)=0,C3970,"")</f>
        <v/>
      </c>
      <c r="J3970">
        <f>IF(OR(E3970="Prospecting",E3970="Engaging"),VLOOKUP(C3970,Products!$A$2:$C$8,3,FALSE),0)</f>
        <v>3393</v>
      </c>
    </row>
    <row r="3971" spans="1:10" x14ac:dyDescent="0.25">
      <c r="A3971" t="s">
        <v>4138</v>
      </c>
      <c r="B3971" t="s">
        <v>154</v>
      </c>
      <c r="C3971" t="s">
        <v>126</v>
      </c>
      <c r="D3971" t="s">
        <v>44</v>
      </c>
      <c r="E3971" t="s">
        <v>138</v>
      </c>
      <c r="F3971" s="1">
        <v>42903</v>
      </c>
      <c r="G3971" s="1">
        <v>42910</v>
      </c>
      <c r="H3971">
        <v>5306</v>
      </c>
      <c r="I3971" t="str">
        <f>IF(COUNTIF(Products!$A$2:$A$8,C3971)=0,C3971,"")</f>
        <v/>
      </c>
      <c r="J3971">
        <f>IF(OR(E3971="Prospecting",E3971="Engaging"),VLOOKUP(C3971,Products!$A$2:$C$8,3,FALSE),0)</f>
        <v>0</v>
      </c>
    </row>
    <row r="3972" spans="1:10" x14ac:dyDescent="0.25">
      <c r="A3972" t="s">
        <v>4139</v>
      </c>
      <c r="B3972" t="s">
        <v>180</v>
      </c>
      <c r="C3972" t="s">
        <v>120</v>
      </c>
      <c r="E3972" t="s">
        <v>155</v>
      </c>
      <c r="F3972" s="1">
        <v>42903</v>
      </c>
      <c r="I3972" t="str">
        <f>IF(COUNTIF(Products!$A$2:$A$8,C3972)=0,C3972,"")</f>
        <v/>
      </c>
      <c r="J3972">
        <f>IF(OR(E3972="Prospecting",E3972="Engaging"),VLOOKUP(C3972,Products!$A$2:$C$8,3,FALSE),0)</f>
        <v>550</v>
      </c>
    </row>
    <row r="3973" spans="1:10" x14ac:dyDescent="0.25">
      <c r="A3973" t="s">
        <v>4140</v>
      </c>
      <c r="B3973" t="s">
        <v>180</v>
      </c>
      <c r="C3973" t="s">
        <v>122</v>
      </c>
      <c r="E3973" t="s">
        <v>155</v>
      </c>
      <c r="F3973" s="1">
        <v>42903</v>
      </c>
      <c r="I3973" t="str">
        <f>IF(COUNTIF(Products!$A$2:$A$8,C3973)=0,C3973,"")</f>
        <v/>
      </c>
      <c r="J3973">
        <f>IF(OR(E3973="Prospecting",E3973="Engaging"),VLOOKUP(C3973,Products!$A$2:$C$8,3,FALSE),0)</f>
        <v>4821</v>
      </c>
    </row>
    <row r="3974" spans="1:10" x14ac:dyDescent="0.25">
      <c r="A3974" t="s">
        <v>4141</v>
      </c>
      <c r="B3974" t="s">
        <v>191</v>
      </c>
      <c r="C3974" t="s">
        <v>122</v>
      </c>
      <c r="D3974" t="s">
        <v>41</v>
      </c>
      <c r="E3974" t="s">
        <v>155</v>
      </c>
      <c r="F3974" s="1">
        <v>42903</v>
      </c>
      <c r="I3974" t="str">
        <f>IF(COUNTIF(Products!$A$2:$A$8,C3974)=0,C3974,"")</f>
        <v/>
      </c>
      <c r="J3974">
        <f>IF(OR(E3974="Prospecting",E3974="Engaging"),VLOOKUP(C3974,Products!$A$2:$C$8,3,FALSE),0)</f>
        <v>4821</v>
      </c>
    </row>
    <row r="3975" spans="1:10" x14ac:dyDescent="0.25">
      <c r="A3975" t="s">
        <v>4142</v>
      </c>
      <c r="B3975" t="s">
        <v>191</v>
      </c>
      <c r="C3975" t="s">
        <v>122</v>
      </c>
      <c r="D3975" t="s">
        <v>47</v>
      </c>
      <c r="E3975" t="s">
        <v>159</v>
      </c>
      <c r="F3975" s="1">
        <v>42903</v>
      </c>
      <c r="G3975" s="1">
        <v>42984</v>
      </c>
      <c r="H3975">
        <v>0</v>
      </c>
      <c r="I3975" t="str">
        <f>IF(COUNTIF(Products!$A$2:$A$8,C3975)=0,C3975,"")</f>
        <v/>
      </c>
      <c r="J3975">
        <f>IF(OR(E3975="Prospecting",E3975="Engaging"),VLOOKUP(C3975,Products!$A$2:$C$8,3,FALSE),0)</f>
        <v>0</v>
      </c>
    </row>
    <row r="3976" spans="1:10" x14ac:dyDescent="0.25">
      <c r="A3976" t="s">
        <v>4143</v>
      </c>
      <c r="B3976" t="s">
        <v>217</v>
      </c>
      <c r="C3976" t="s">
        <v>123</v>
      </c>
      <c r="D3976" t="s">
        <v>32</v>
      </c>
      <c r="E3976" t="s">
        <v>138</v>
      </c>
      <c r="F3976" s="1">
        <v>42903</v>
      </c>
      <c r="G3976" s="1">
        <v>42997</v>
      </c>
      <c r="H3976">
        <v>60</v>
      </c>
      <c r="I3976" t="str">
        <f>IF(COUNTIF(Products!$A$2:$A$8,C3976)=0,C3976,"")</f>
        <v/>
      </c>
      <c r="J3976">
        <f>IF(OR(E3976="Prospecting",E3976="Engaging"),VLOOKUP(C3976,Products!$A$2:$C$8,3,FALSE),0)</f>
        <v>0</v>
      </c>
    </row>
    <row r="3977" spans="1:10" x14ac:dyDescent="0.25">
      <c r="A3977" t="s">
        <v>4144</v>
      </c>
      <c r="B3977" t="s">
        <v>150</v>
      </c>
      <c r="C3977" t="s">
        <v>120</v>
      </c>
      <c r="E3977" t="s">
        <v>155</v>
      </c>
      <c r="F3977" s="1">
        <v>42903</v>
      </c>
      <c r="I3977" t="str">
        <f>IF(COUNTIF(Products!$A$2:$A$8,C3977)=0,C3977,"")</f>
        <v/>
      </c>
      <c r="J3977">
        <f>IF(OR(E3977="Prospecting",E3977="Engaging"),VLOOKUP(C3977,Products!$A$2:$C$8,3,FALSE),0)</f>
        <v>550</v>
      </c>
    </row>
    <row r="3978" spans="1:10" x14ac:dyDescent="0.25">
      <c r="A3978" t="s">
        <v>4145</v>
      </c>
      <c r="B3978" t="s">
        <v>150</v>
      </c>
      <c r="C3978" t="s">
        <v>128</v>
      </c>
      <c r="D3978" t="s">
        <v>69</v>
      </c>
      <c r="E3978" t="s">
        <v>159</v>
      </c>
      <c r="F3978" s="1">
        <v>42903</v>
      </c>
      <c r="G3978" s="1">
        <v>42962</v>
      </c>
      <c r="H3978">
        <v>0</v>
      </c>
      <c r="I3978" t="str">
        <f>IF(COUNTIF(Products!$A$2:$A$8,C3978)=0,C3978,"")</f>
        <v/>
      </c>
      <c r="J3978">
        <f>IF(OR(E3978="Prospecting",E3978="Engaging"),VLOOKUP(C3978,Products!$A$2:$C$8,3,FALSE),0)</f>
        <v>0</v>
      </c>
    </row>
    <row r="3979" spans="1:10" x14ac:dyDescent="0.25">
      <c r="A3979" t="s">
        <v>4146</v>
      </c>
      <c r="B3979" t="s">
        <v>137</v>
      </c>
      <c r="C3979" t="s">
        <v>126</v>
      </c>
      <c r="D3979" t="s">
        <v>14</v>
      </c>
      <c r="E3979" t="s">
        <v>138</v>
      </c>
      <c r="F3979" s="1">
        <v>42903</v>
      </c>
      <c r="G3979" s="1">
        <v>42963</v>
      </c>
      <c r="H3979">
        <v>5018</v>
      </c>
      <c r="I3979" t="str">
        <f>IF(COUNTIF(Products!$A$2:$A$8,C3979)=0,C3979,"")</f>
        <v/>
      </c>
      <c r="J3979">
        <f>IF(OR(E3979="Prospecting",E3979="Engaging"),VLOOKUP(C3979,Products!$A$2:$C$8,3,FALSE),0)</f>
        <v>0</v>
      </c>
    </row>
    <row r="3980" spans="1:10" x14ac:dyDescent="0.25">
      <c r="A3980" t="s">
        <v>4147</v>
      </c>
      <c r="B3980" t="s">
        <v>148</v>
      </c>
      <c r="C3980" t="s">
        <v>120</v>
      </c>
      <c r="E3980" t="s">
        <v>155</v>
      </c>
      <c r="F3980" s="1">
        <v>42903</v>
      </c>
      <c r="I3980" t="str">
        <f>IF(COUNTIF(Products!$A$2:$A$8,C3980)=0,C3980,"")</f>
        <v/>
      </c>
      <c r="J3980">
        <f>IF(OR(E3980="Prospecting",E3980="Engaging"),VLOOKUP(C3980,Products!$A$2:$C$8,3,FALSE),0)</f>
        <v>550</v>
      </c>
    </row>
    <row r="3981" spans="1:10" x14ac:dyDescent="0.25">
      <c r="A3981" t="s">
        <v>4148</v>
      </c>
      <c r="B3981" t="s">
        <v>148</v>
      </c>
      <c r="C3981" t="s">
        <v>125</v>
      </c>
      <c r="D3981" t="s">
        <v>59</v>
      </c>
      <c r="E3981" t="s">
        <v>138</v>
      </c>
      <c r="F3981" s="1">
        <v>42903</v>
      </c>
      <c r="G3981" s="1">
        <v>42995</v>
      </c>
      <c r="H3981">
        <v>3295</v>
      </c>
      <c r="I3981" t="str">
        <f>IF(COUNTIF(Products!$A$2:$A$8,C3981)=0,C3981,"")</f>
        <v/>
      </c>
      <c r="J3981">
        <f>IF(OR(E3981="Prospecting",E3981="Engaging"),VLOOKUP(C3981,Products!$A$2:$C$8,3,FALSE),0)</f>
        <v>0</v>
      </c>
    </row>
    <row r="3982" spans="1:10" x14ac:dyDescent="0.25">
      <c r="A3982" t="s">
        <v>4149</v>
      </c>
      <c r="B3982" t="s">
        <v>146</v>
      </c>
      <c r="C3982" t="s">
        <v>123</v>
      </c>
      <c r="D3982" t="s">
        <v>89</v>
      </c>
      <c r="E3982" t="s">
        <v>138</v>
      </c>
      <c r="F3982" s="1">
        <v>42904</v>
      </c>
      <c r="G3982" s="1">
        <v>42976</v>
      </c>
      <c r="H3982">
        <v>61</v>
      </c>
      <c r="I3982" t="str">
        <f>IF(COUNTIF(Products!$A$2:$A$8,C3982)=0,C3982,"")</f>
        <v/>
      </c>
      <c r="J3982">
        <f>IF(OR(E3982="Prospecting",E3982="Engaging"),VLOOKUP(C3982,Products!$A$2:$C$8,3,FALSE),0)</f>
        <v>0</v>
      </c>
    </row>
    <row r="3983" spans="1:10" x14ac:dyDescent="0.25">
      <c r="A3983" t="s">
        <v>4150</v>
      </c>
      <c r="B3983" t="s">
        <v>222</v>
      </c>
      <c r="C3983" t="s">
        <v>126</v>
      </c>
      <c r="D3983" t="s">
        <v>73</v>
      </c>
      <c r="E3983" t="s">
        <v>159</v>
      </c>
      <c r="F3983" s="1">
        <v>42904</v>
      </c>
      <c r="G3983" s="1">
        <v>42917</v>
      </c>
      <c r="H3983">
        <v>0</v>
      </c>
      <c r="I3983" t="str">
        <f>IF(COUNTIF(Products!$A$2:$A$8,C3983)=0,C3983,"")</f>
        <v/>
      </c>
      <c r="J3983">
        <f>IF(OR(E3983="Prospecting",E3983="Engaging"),VLOOKUP(C3983,Products!$A$2:$C$8,3,FALSE),0)</f>
        <v>0</v>
      </c>
    </row>
    <row r="3984" spans="1:10" x14ac:dyDescent="0.25">
      <c r="A3984" t="s">
        <v>4151</v>
      </c>
      <c r="B3984" t="s">
        <v>207</v>
      </c>
      <c r="C3984" t="s">
        <v>127</v>
      </c>
      <c r="D3984" t="s">
        <v>91</v>
      </c>
      <c r="E3984" t="s">
        <v>155</v>
      </c>
      <c r="F3984" s="1">
        <v>42904</v>
      </c>
      <c r="I3984" t="str">
        <f>IF(COUNTIF(Products!$A$2:$A$8,C3984)=0,C3984,"")</f>
        <v/>
      </c>
      <c r="J3984">
        <f>IF(OR(E3984="Prospecting",E3984="Engaging"),VLOOKUP(C3984,Products!$A$2:$C$8,3,FALSE),0)</f>
        <v>1096</v>
      </c>
    </row>
    <row r="3985" spans="1:10" x14ac:dyDescent="0.25">
      <c r="A3985" t="s">
        <v>4152</v>
      </c>
      <c r="B3985" t="s">
        <v>207</v>
      </c>
      <c r="C3985" t="s">
        <v>123</v>
      </c>
      <c r="D3985" t="s">
        <v>111</v>
      </c>
      <c r="E3985" t="s">
        <v>138</v>
      </c>
      <c r="F3985" s="1">
        <v>42904</v>
      </c>
      <c r="G3985" s="1">
        <v>43001</v>
      </c>
      <c r="H3985">
        <v>59</v>
      </c>
      <c r="I3985" t="str">
        <f>IF(COUNTIF(Products!$A$2:$A$8,C3985)=0,C3985,"")</f>
        <v/>
      </c>
      <c r="J3985">
        <f>IF(OR(E3985="Prospecting",E3985="Engaging"),VLOOKUP(C3985,Products!$A$2:$C$8,3,FALSE),0)</f>
        <v>0</v>
      </c>
    </row>
    <row r="3986" spans="1:10" x14ac:dyDescent="0.25">
      <c r="A3986" t="s">
        <v>4153</v>
      </c>
      <c r="B3986" t="s">
        <v>171</v>
      </c>
      <c r="C3986" t="s">
        <v>126</v>
      </c>
      <c r="E3986" t="s">
        <v>155</v>
      </c>
      <c r="F3986" s="1">
        <v>42904</v>
      </c>
      <c r="I3986" t="str">
        <f>IF(COUNTIF(Products!$A$2:$A$8,C3986)=0,C3986,"")</f>
        <v/>
      </c>
      <c r="J3986">
        <f>IF(OR(E3986="Prospecting",E3986="Engaging"),VLOOKUP(C3986,Products!$A$2:$C$8,3,FALSE),0)</f>
        <v>5482</v>
      </c>
    </row>
    <row r="3987" spans="1:10" x14ac:dyDescent="0.25">
      <c r="A3987" t="s">
        <v>4154</v>
      </c>
      <c r="B3987" t="s">
        <v>171</v>
      </c>
      <c r="C3987" t="s">
        <v>125</v>
      </c>
      <c r="D3987" t="s">
        <v>59</v>
      </c>
      <c r="E3987" t="s">
        <v>155</v>
      </c>
      <c r="F3987" s="1">
        <v>42904</v>
      </c>
      <c r="I3987" t="str">
        <f>IF(COUNTIF(Products!$A$2:$A$8,C3987)=0,C3987,"")</f>
        <v/>
      </c>
      <c r="J3987">
        <f>IF(OR(E3987="Prospecting",E3987="Engaging"),VLOOKUP(C3987,Products!$A$2:$C$8,3,FALSE),0)</f>
        <v>3393</v>
      </c>
    </row>
    <row r="3988" spans="1:10" x14ac:dyDescent="0.25">
      <c r="A3988" t="s">
        <v>4155</v>
      </c>
      <c r="B3988" t="s">
        <v>171</v>
      </c>
      <c r="C3988" t="s">
        <v>122</v>
      </c>
      <c r="D3988" t="s">
        <v>73</v>
      </c>
      <c r="E3988" t="s">
        <v>138</v>
      </c>
      <c r="F3988" s="1">
        <v>42904</v>
      </c>
      <c r="G3988" s="1">
        <v>42912</v>
      </c>
      <c r="H3988">
        <v>3720</v>
      </c>
      <c r="I3988" t="str">
        <f>IF(COUNTIF(Products!$A$2:$A$8,C3988)=0,C3988,"")</f>
        <v/>
      </c>
      <c r="J3988">
        <f>IF(OR(E3988="Prospecting",E3988="Engaging"),VLOOKUP(C3988,Products!$A$2:$C$8,3,FALSE),0)</f>
        <v>0</v>
      </c>
    </row>
    <row r="3989" spans="1:10" x14ac:dyDescent="0.25">
      <c r="A3989" t="s">
        <v>4156</v>
      </c>
      <c r="B3989" t="s">
        <v>140</v>
      </c>
      <c r="C3989" t="s">
        <v>125</v>
      </c>
      <c r="D3989" t="s">
        <v>64</v>
      </c>
      <c r="E3989" t="s">
        <v>159</v>
      </c>
      <c r="F3989" s="1">
        <v>42904</v>
      </c>
      <c r="G3989" s="1">
        <v>42962</v>
      </c>
      <c r="H3989">
        <v>0</v>
      </c>
      <c r="I3989" t="str">
        <f>IF(COUNTIF(Products!$A$2:$A$8,C3989)=0,C3989,"")</f>
        <v/>
      </c>
      <c r="J3989">
        <f>IF(OR(E3989="Prospecting",E3989="Engaging"),VLOOKUP(C3989,Products!$A$2:$C$8,3,FALSE),0)</f>
        <v>0</v>
      </c>
    </row>
    <row r="3990" spans="1:10" x14ac:dyDescent="0.25">
      <c r="A3990" t="s">
        <v>4157</v>
      </c>
      <c r="B3990" t="s">
        <v>140</v>
      </c>
      <c r="C3990" t="s">
        <v>122</v>
      </c>
      <c r="D3990" t="s">
        <v>46</v>
      </c>
      <c r="E3990" t="s">
        <v>138</v>
      </c>
      <c r="F3990" s="1">
        <v>42904</v>
      </c>
      <c r="G3990" s="1">
        <v>42963</v>
      </c>
      <c r="H3990">
        <v>5088</v>
      </c>
      <c r="I3990" t="str">
        <f>IF(COUNTIF(Products!$A$2:$A$8,C3990)=0,C3990,"")</f>
        <v/>
      </c>
      <c r="J3990">
        <f>IF(OR(E3990="Prospecting",E3990="Engaging"),VLOOKUP(C3990,Products!$A$2:$C$8,3,FALSE),0)</f>
        <v>0</v>
      </c>
    </row>
    <row r="3991" spans="1:10" x14ac:dyDescent="0.25">
      <c r="A3991" t="s">
        <v>4158</v>
      </c>
      <c r="B3991" t="s">
        <v>173</v>
      </c>
      <c r="C3991" t="s">
        <v>126</v>
      </c>
      <c r="D3991" t="s">
        <v>90</v>
      </c>
      <c r="E3991" t="s">
        <v>138</v>
      </c>
      <c r="F3991" s="1">
        <v>42904</v>
      </c>
      <c r="G3991" s="1">
        <v>42914</v>
      </c>
      <c r="H3991">
        <v>6666</v>
      </c>
      <c r="I3991" t="str">
        <f>IF(COUNTIF(Products!$A$2:$A$8,C3991)=0,C3991,"")</f>
        <v/>
      </c>
      <c r="J3991">
        <f>IF(OR(E3991="Prospecting",E3991="Engaging"),VLOOKUP(C3991,Products!$A$2:$C$8,3,FALSE),0)</f>
        <v>0</v>
      </c>
    </row>
    <row r="3992" spans="1:10" x14ac:dyDescent="0.25">
      <c r="A3992" t="s">
        <v>4159</v>
      </c>
      <c r="B3992" t="s">
        <v>158</v>
      </c>
      <c r="C3992" t="s">
        <v>127</v>
      </c>
      <c r="D3992" t="s">
        <v>88</v>
      </c>
      <c r="E3992" t="s">
        <v>159</v>
      </c>
      <c r="F3992" s="1">
        <v>42904</v>
      </c>
      <c r="G3992" s="1">
        <v>42949</v>
      </c>
      <c r="H3992">
        <v>0</v>
      </c>
      <c r="I3992" t="str">
        <f>IF(COUNTIF(Products!$A$2:$A$8,C3992)=0,C3992,"")</f>
        <v/>
      </c>
      <c r="J3992">
        <f>IF(OR(E3992="Prospecting",E3992="Engaging"),VLOOKUP(C3992,Products!$A$2:$C$8,3,FALSE),0)</f>
        <v>0</v>
      </c>
    </row>
    <row r="3993" spans="1:10" x14ac:dyDescent="0.25">
      <c r="A3993" t="s">
        <v>4160</v>
      </c>
      <c r="B3993" t="s">
        <v>158</v>
      </c>
      <c r="C3993" t="s">
        <v>122</v>
      </c>
      <c r="D3993" t="s">
        <v>64</v>
      </c>
      <c r="E3993" t="s">
        <v>138</v>
      </c>
      <c r="F3993" s="1">
        <v>42904</v>
      </c>
      <c r="G3993" s="1">
        <v>42909</v>
      </c>
      <c r="H3993">
        <v>5115</v>
      </c>
      <c r="I3993" t="str">
        <f>IF(COUNTIF(Products!$A$2:$A$8,C3993)=0,C3993,"")</f>
        <v/>
      </c>
      <c r="J3993">
        <f>IF(OR(E3993="Prospecting",E3993="Engaging"),VLOOKUP(C3993,Products!$A$2:$C$8,3,FALSE),0)</f>
        <v>0</v>
      </c>
    </row>
    <row r="3994" spans="1:10" x14ac:dyDescent="0.25">
      <c r="A3994" t="s">
        <v>4161</v>
      </c>
      <c r="B3994" t="s">
        <v>154</v>
      </c>
      <c r="C3994" t="s">
        <v>125</v>
      </c>
      <c r="D3994" t="s">
        <v>50</v>
      </c>
      <c r="E3994" t="s">
        <v>155</v>
      </c>
      <c r="F3994" s="1">
        <v>42904</v>
      </c>
      <c r="I3994" t="str">
        <f>IF(COUNTIF(Products!$A$2:$A$8,C3994)=0,C3994,"")</f>
        <v/>
      </c>
      <c r="J3994">
        <f>IF(OR(E3994="Prospecting",E3994="Engaging"),VLOOKUP(C3994,Products!$A$2:$C$8,3,FALSE),0)</f>
        <v>3393</v>
      </c>
    </row>
    <row r="3995" spans="1:10" x14ac:dyDescent="0.25">
      <c r="A3995" t="s">
        <v>4162</v>
      </c>
      <c r="B3995" t="s">
        <v>303</v>
      </c>
      <c r="C3995" t="s">
        <v>120</v>
      </c>
      <c r="D3995" t="s">
        <v>94</v>
      </c>
      <c r="E3995" t="s">
        <v>159</v>
      </c>
      <c r="F3995" s="1">
        <v>42904</v>
      </c>
      <c r="G3995" s="1">
        <v>42968</v>
      </c>
      <c r="H3995">
        <v>0</v>
      </c>
      <c r="I3995" t="str">
        <f>IF(COUNTIF(Products!$A$2:$A$8,C3995)=0,C3995,"")</f>
        <v/>
      </c>
      <c r="J3995">
        <f>IF(OR(E3995="Prospecting",E3995="Engaging"),VLOOKUP(C3995,Products!$A$2:$C$8,3,FALSE),0)</f>
        <v>0</v>
      </c>
    </row>
    <row r="3996" spans="1:10" x14ac:dyDescent="0.25">
      <c r="A3996" t="s">
        <v>4163</v>
      </c>
      <c r="B3996" t="s">
        <v>303</v>
      </c>
      <c r="C3996" t="s">
        <v>127</v>
      </c>
      <c r="D3996" t="s">
        <v>64</v>
      </c>
      <c r="E3996" t="s">
        <v>138</v>
      </c>
      <c r="F3996" s="1">
        <v>42904</v>
      </c>
      <c r="G3996" s="1">
        <v>42917</v>
      </c>
      <c r="H3996">
        <v>1149</v>
      </c>
      <c r="I3996" t="str">
        <f>IF(COUNTIF(Products!$A$2:$A$8,C3996)=0,C3996,"")</f>
        <v/>
      </c>
      <c r="J3996">
        <f>IF(OR(E3996="Prospecting",E3996="Engaging"),VLOOKUP(C3996,Products!$A$2:$C$8,3,FALSE),0)</f>
        <v>0</v>
      </c>
    </row>
    <row r="3997" spans="1:10" x14ac:dyDescent="0.25">
      <c r="A3997" t="s">
        <v>4164</v>
      </c>
      <c r="B3997" t="s">
        <v>303</v>
      </c>
      <c r="C3997" t="s">
        <v>122</v>
      </c>
      <c r="D3997" t="s">
        <v>14</v>
      </c>
      <c r="E3997" t="s">
        <v>138</v>
      </c>
      <c r="F3997" s="1">
        <v>42904</v>
      </c>
      <c r="G3997" s="1">
        <v>42993</v>
      </c>
      <c r="H3997">
        <v>5220</v>
      </c>
      <c r="I3997" t="str">
        <f>IF(COUNTIF(Products!$A$2:$A$8,C3997)=0,C3997,"")</f>
        <v/>
      </c>
      <c r="J3997">
        <f>IF(OR(E3997="Prospecting",E3997="Engaging"),VLOOKUP(C3997,Products!$A$2:$C$8,3,FALSE),0)</f>
        <v>0</v>
      </c>
    </row>
    <row r="3998" spans="1:10" x14ac:dyDescent="0.25">
      <c r="A3998" t="s">
        <v>4165</v>
      </c>
      <c r="B3998" t="s">
        <v>303</v>
      </c>
      <c r="C3998" t="s">
        <v>123</v>
      </c>
      <c r="D3998" t="s">
        <v>94</v>
      </c>
      <c r="E3998" t="s">
        <v>138</v>
      </c>
      <c r="F3998" s="1">
        <v>42904</v>
      </c>
      <c r="G3998" s="1">
        <v>42908</v>
      </c>
      <c r="H3998">
        <v>60</v>
      </c>
      <c r="I3998" t="str">
        <f>IF(COUNTIF(Products!$A$2:$A$8,C3998)=0,C3998,"")</f>
        <v/>
      </c>
      <c r="J3998">
        <f>IF(OR(E3998="Prospecting",E3998="Engaging"),VLOOKUP(C3998,Products!$A$2:$C$8,3,FALSE),0)</f>
        <v>0</v>
      </c>
    </row>
    <row r="3999" spans="1:10" x14ac:dyDescent="0.25">
      <c r="A3999" t="s">
        <v>4166</v>
      </c>
      <c r="B3999" t="s">
        <v>180</v>
      </c>
      <c r="C3999" t="s">
        <v>120</v>
      </c>
      <c r="E3999" t="s">
        <v>155</v>
      </c>
      <c r="F3999" s="1">
        <v>42904</v>
      </c>
      <c r="I3999" t="str">
        <f>IF(COUNTIF(Products!$A$2:$A$8,C3999)=0,C3999,"")</f>
        <v/>
      </c>
      <c r="J3999">
        <f>IF(OR(E3999="Prospecting",E3999="Engaging"),VLOOKUP(C3999,Products!$A$2:$C$8,3,FALSE),0)</f>
        <v>550</v>
      </c>
    </row>
    <row r="4000" spans="1:10" x14ac:dyDescent="0.25">
      <c r="A4000" t="s">
        <v>4167</v>
      </c>
      <c r="B4000" t="s">
        <v>180</v>
      </c>
      <c r="C4000" t="s">
        <v>120</v>
      </c>
      <c r="D4000" t="s">
        <v>72</v>
      </c>
      <c r="E4000" t="s">
        <v>138</v>
      </c>
      <c r="F4000" s="1">
        <v>42904</v>
      </c>
      <c r="G4000" s="1">
        <v>42908</v>
      </c>
      <c r="H4000">
        <v>551</v>
      </c>
      <c r="I4000" t="str">
        <f>IF(COUNTIF(Products!$A$2:$A$8,C4000)=0,C4000,"")</f>
        <v/>
      </c>
      <c r="J4000">
        <f>IF(OR(E4000="Prospecting",E4000="Engaging"),VLOOKUP(C4000,Products!$A$2:$C$8,3,FALSE),0)</f>
        <v>0</v>
      </c>
    </row>
    <row r="4001" spans="1:10" x14ac:dyDescent="0.25">
      <c r="A4001" t="s">
        <v>4168</v>
      </c>
      <c r="B4001" t="s">
        <v>150</v>
      </c>
      <c r="C4001" t="s">
        <v>120</v>
      </c>
      <c r="D4001" t="s">
        <v>23</v>
      </c>
      <c r="E4001" t="s">
        <v>138</v>
      </c>
      <c r="F4001" s="1">
        <v>42904</v>
      </c>
      <c r="G4001" s="1">
        <v>43006</v>
      </c>
      <c r="H4001">
        <v>505</v>
      </c>
      <c r="I4001" t="str">
        <f>IF(COUNTIF(Products!$A$2:$A$8,C4001)=0,C4001,"")</f>
        <v/>
      </c>
      <c r="J4001">
        <f>IF(OR(E4001="Prospecting",E4001="Engaging"),VLOOKUP(C4001,Products!$A$2:$C$8,3,FALSE),0)</f>
        <v>0</v>
      </c>
    </row>
    <row r="4002" spans="1:10" x14ac:dyDescent="0.25">
      <c r="A4002" t="s">
        <v>4169</v>
      </c>
      <c r="B4002" t="s">
        <v>205</v>
      </c>
      <c r="C4002" t="s">
        <v>120</v>
      </c>
      <c r="D4002" t="s">
        <v>77</v>
      </c>
      <c r="E4002" t="s">
        <v>159</v>
      </c>
      <c r="F4002" s="1">
        <v>42904</v>
      </c>
      <c r="G4002" s="1">
        <v>42981</v>
      </c>
      <c r="H4002">
        <v>0</v>
      </c>
      <c r="I4002" t="str">
        <f>IF(COUNTIF(Products!$A$2:$A$8,C4002)=0,C4002,"")</f>
        <v/>
      </c>
      <c r="J4002">
        <f>IF(OR(E4002="Prospecting",E4002="Engaging"),VLOOKUP(C4002,Products!$A$2:$C$8,3,FALSE),0)</f>
        <v>0</v>
      </c>
    </row>
    <row r="4003" spans="1:10" x14ac:dyDescent="0.25">
      <c r="A4003" t="s">
        <v>4170</v>
      </c>
      <c r="B4003" t="s">
        <v>205</v>
      </c>
      <c r="C4003" t="s">
        <v>126</v>
      </c>
      <c r="D4003" t="s">
        <v>53</v>
      </c>
      <c r="E4003" t="s">
        <v>138</v>
      </c>
      <c r="F4003" s="1">
        <v>42904</v>
      </c>
      <c r="G4003" s="1">
        <v>42968</v>
      </c>
      <c r="H4003">
        <v>5472</v>
      </c>
      <c r="I4003" t="str">
        <f>IF(COUNTIF(Products!$A$2:$A$8,C4003)=0,C4003,"")</f>
        <v/>
      </c>
      <c r="J4003">
        <f>IF(OR(E4003="Prospecting",E4003="Engaging"),VLOOKUP(C4003,Products!$A$2:$C$8,3,FALSE),0)</f>
        <v>0</v>
      </c>
    </row>
    <row r="4004" spans="1:10" x14ac:dyDescent="0.25">
      <c r="A4004" t="s">
        <v>4171</v>
      </c>
      <c r="B4004" t="s">
        <v>152</v>
      </c>
      <c r="C4004" t="s">
        <v>122</v>
      </c>
      <c r="D4004" t="s">
        <v>51</v>
      </c>
      <c r="E4004" t="s">
        <v>159</v>
      </c>
      <c r="F4004" s="1">
        <v>42904</v>
      </c>
      <c r="G4004" s="1">
        <v>42907</v>
      </c>
      <c r="H4004">
        <v>0</v>
      </c>
      <c r="I4004" t="str">
        <f>IF(COUNTIF(Products!$A$2:$A$8,C4004)=0,C4004,"")</f>
        <v/>
      </c>
      <c r="J4004">
        <f>IF(OR(E4004="Prospecting",E4004="Engaging"),VLOOKUP(C4004,Products!$A$2:$C$8,3,FALSE),0)</f>
        <v>0</v>
      </c>
    </row>
    <row r="4005" spans="1:10" x14ac:dyDescent="0.25">
      <c r="A4005" t="s">
        <v>4172</v>
      </c>
      <c r="B4005" t="s">
        <v>148</v>
      </c>
      <c r="C4005" t="s">
        <v>120</v>
      </c>
      <c r="D4005" t="s">
        <v>38</v>
      </c>
      <c r="E4005" t="s">
        <v>159</v>
      </c>
      <c r="F4005" s="1">
        <v>42904</v>
      </c>
      <c r="G4005" s="1">
        <v>42976</v>
      </c>
      <c r="H4005">
        <v>0</v>
      </c>
      <c r="I4005" t="str">
        <f>IF(COUNTIF(Products!$A$2:$A$8,C4005)=0,C4005,"")</f>
        <v/>
      </c>
      <c r="J4005">
        <f>IF(OR(E4005="Prospecting",E4005="Engaging"),VLOOKUP(C4005,Products!$A$2:$C$8,3,FALSE),0)</f>
        <v>0</v>
      </c>
    </row>
    <row r="4006" spans="1:10" x14ac:dyDescent="0.25">
      <c r="A4006" t="s">
        <v>4173</v>
      </c>
      <c r="B4006" t="s">
        <v>146</v>
      </c>
      <c r="C4006" t="s">
        <v>120</v>
      </c>
      <c r="D4006" t="s">
        <v>46</v>
      </c>
      <c r="E4006" t="s">
        <v>159</v>
      </c>
      <c r="F4006" s="1">
        <v>42905</v>
      </c>
      <c r="G4006" s="1">
        <v>42975</v>
      </c>
      <c r="H4006">
        <v>0</v>
      </c>
      <c r="I4006" t="str">
        <f>IF(COUNTIF(Products!$A$2:$A$8,C4006)=0,C4006,"")</f>
        <v/>
      </c>
      <c r="J4006">
        <f>IF(OR(E4006="Prospecting",E4006="Engaging"),VLOOKUP(C4006,Products!$A$2:$C$8,3,FALSE),0)</f>
        <v>0</v>
      </c>
    </row>
    <row r="4007" spans="1:10" x14ac:dyDescent="0.25">
      <c r="A4007" t="s">
        <v>4174</v>
      </c>
      <c r="B4007" t="s">
        <v>146</v>
      </c>
      <c r="C4007" t="s">
        <v>126</v>
      </c>
      <c r="D4007" t="s">
        <v>61</v>
      </c>
      <c r="E4007" t="s">
        <v>138</v>
      </c>
      <c r="F4007" s="1">
        <v>42905</v>
      </c>
      <c r="G4007" s="1">
        <v>42971</v>
      </c>
      <c r="H4007">
        <v>5271</v>
      </c>
      <c r="I4007" t="str">
        <f>IF(COUNTIF(Products!$A$2:$A$8,C4007)=0,C4007,"")</f>
        <v/>
      </c>
      <c r="J4007">
        <f>IF(OR(E4007="Prospecting",E4007="Engaging"),VLOOKUP(C4007,Products!$A$2:$C$8,3,FALSE),0)</f>
        <v>0</v>
      </c>
    </row>
    <row r="4008" spans="1:10" x14ac:dyDescent="0.25">
      <c r="A4008" t="s">
        <v>4175</v>
      </c>
      <c r="B4008" t="s">
        <v>222</v>
      </c>
      <c r="C4008" t="s">
        <v>123</v>
      </c>
      <c r="D4008" t="s">
        <v>16</v>
      </c>
      <c r="E4008" t="s">
        <v>138</v>
      </c>
      <c r="F4008" s="1">
        <v>42905</v>
      </c>
      <c r="G4008" s="1">
        <v>42970</v>
      </c>
      <c r="H4008">
        <v>49</v>
      </c>
      <c r="I4008" t="str">
        <f>IF(COUNTIF(Products!$A$2:$A$8,C4008)=0,C4008,"")</f>
        <v/>
      </c>
      <c r="J4008">
        <f>IF(OR(E4008="Prospecting",E4008="Engaging"),VLOOKUP(C4008,Products!$A$2:$C$8,3,FALSE),0)</f>
        <v>0</v>
      </c>
    </row>
    <row r="4009" spans="1:10" x14ac:dyDescent="0.25">
      <c r="A4009" t="s">
        <v>4176</v>
      </c>
      <c r="B4009" t="s">
        <v>207</v>
      </c>
      <c r="C4009" t="s">
        <v>125</v>
      </c>
      <c r="D4009" t="s">
        <v>81</v>
      </c>
      <c r="E4009" t="s">
        <v>159</v>
      </c>
      <c r="F4009" s="1">
        <v>42905</v>
      </c>
      <c r="G4009" s="1">
        <v>42916</v>
      </c>
      <c r="H4009">
        <v>0</v>
      </c>
      <c r="I4009" t="str">
        <f>IF(COUNTIF(Products!$A$2:$A$8,C4009)=0,C4009,"")</f>
        <v/>
      </c>
      <c r="J4009">
        <f>IF(OR(E4009="Prospecting",E4009="Engaging"),VLOOKUP(C4009,Products!$A$2:$C$8,3,FALSE),0)</f>
        <v>0</v>
      </c>
    </row>
    <row r="4010" spans="1:10" x14ac:dyDescent="0.25">
      <c r="A4010" t="s">
        <v>4177</v>
      </c>
      <c r="B4010" t="s">
        <v>239</v>
      </c>
      <c r="C4010" t="s">
        <v>127</v>
      </c>
      <c r="E4010" t="s">
        <v>155</v>
      </c>
      <c r="F4010" s="1">
        <v>42905</v>
      </c>
      <c r="I4010" t="str">
        <f>IF(COUNTIF(Products!$A$2:$A$8,C4010)=0,C4010,"")</f>
        <v/>
      </c>
      <c r="J4010">
        <f>IF(OR(E4010="Prospecting",E4010="Engaging"),VLOOKUP(C4010,Products!$A$2:$C$8,3,FALSE),0)</f>
        <v>1096</v>
      </c>
    </row>
    <row r="4011" spans="1:10" x14ac:dyDescent="0.25">
      <c r="A4011" t="s">
        <v>4178</v>
      </c>
      <c r="B4011" t="s">
        <v>239</v>
      </c>
      <c r="C4011" t="s">
        <v>127</v>
      </c>
      <c r="D4011" t="s">
        <v>63</v>
      </c>
      <c r="E4011" t="s">
        <v>138</v>
      </c>
      <c r="F4011" s="1">
        <v>42905</v>
      </c>
      <c r="G4011" s="1">
        <v>42999</v>
      </c>
      <c r="H4011">
        <v>1236</v>
      </c>
      <c r="I4011" t="str">
        <f>IF(COUNTIF(Products!$A$2:$A$8,C4011)=0,C4011,"")</f>
        <v/>
      </c>
      <c r="J4011">
        <f>IF(OR(E4011="Prospecting",E4011="Engaging"),VLOOKUP(C4011,Products!$A$2:$C$8,3,FALSE),0)</f>
        <v>0</v>
      </c>
    </row>
    <row r="4012" spans="1:10" x14ac:dyDescent="0.25">
      <c r="A4012" t="s">
        <v>4179</v>
      </c>
      <c r="B4012" t="s">
        <v>171</v>
      </c>
      <c r="C4012" t="s">
        <v>122</v>
      </c>
      <c r="D4012" t="s">
        <v>112</v>
      </c>
      <c r="E4012" t="s">
        <v>138</v>
      </c>
      <c r="F4012" s="1">
        <v>42905</v>
      </c>
      <c r="G4012" s="1">
        <v>42907</v>
      </c>
      <c r="H4012">
        <v>5388</v>
      </c>
      <c r="I4012" t="str">
        <f>IF(COUNTIF(Products!$A$2:$A$8,C4012)=0,C4012,"")</f>
        <v/>
      </c>
      <c r="J4012">
        <f>IF(OR(E4012="Prospecting",E4012="Engaging"),VLOOKUP(C4012,Products!$A$2:$C$8,3,FALSE),0)</f>
        <v>0</v>
      </c>
    </row>
    <row r="4013" spans="1:10" x14ac:dyDescent="0.25">
      <c r="A4013" t="s">
        <v>4180</v>
      </c>
      <c r="B4013" t="s">
        <v>140</v>
      </c>
      <c r="C4013" t="s">
        <v>122</v>
      </c>
      <c r="D4013" t="s">
        <v>28</v>
      </c>
      <c r="E4013" t="s">
        <v>159</v>
      </c>
      <c r="F4013" s="1">
        <v>42905</v>
      </c>
      <c r="G4013" s="1">
        <v>42974</v>
      </c>
      <c r="H4013">
        <v>0</v>
      </c>
      <c r="I4013" t="str">
        <f>IF(COUNTIF(Products!$A$2:$A$8,C4013)=0,C4013,"")</f>
        <v/>
      </c>
      <c r="J4013">
        <f>IF(OR(E4013="Prospecting",E4013="Engaging"),VLOOKUP(C4013,Products!$A$2:$C$8,3,FALSE),0)</f>
        <v>0</v>
      </c>
    </row>
    <row r="4014" spans="1:10" x14ac:dyDescent="0.25">
      <c r="A4014" t="s">
        <v>4181</v>
      </c>
      <c r="B4014" t="s">
        <v>140</v>
      </c>
      <c r="C4014" t="s">
        <v>122</v>
      </c>
      <c r="D4014" t="s">
        <v>46</v>
      </c>
      <c r="E4014" t="s">
        <v>138</v>
      </c>
      <c r="F4014" s="1">
        <v>42905</v>
      </c>
      <c r="G4014" s="1">
        <v>43004</v>
      </c>
      <c r="H4014">
        <v>5449</v>
      </c>
      <c r="I4014" t="str">
        <f>IF(COUNTIF(Products!$A$2:$A$8,C4014)=0,C4014,"")</f>
        <v/>
      </c>
      <c r="J4014">
        <f>IF(OR(E4014="Prospecting",E4014="Engaging"),VLOOKUP(C4014,Products!$A$2:$C$8,3,FALSE),0)</f>
        <v>0</v>
      </c>
    </row>
    <row r="4015" spans="1:10" x14ac:dyDescent="0.25">
      <c r="A4015" t="s">
        <v>4182</v>
      </c>
      <c r="B4015" t="s">
        <v>140</v>
      </c>
      <c r="C4015" t="s">
        <v>122</v>
      </c>
      <c r="D4015" t="s">
        <v>46</v>
      </c>
      <c r="E4015" t="s">
        <v>138</v>
      </c>
      <c r="F4015" s="1">
        <v>42905</v>
      </c>
      <c r="G4015" s="1">
        <v>42911</v>
      </c>
      <c r="H4015">
        <v>5030</v>
      </c>
      <c r="I4015" t="str">
        <f>IF(COUNTIF(Products!$A$2:$A$8,C4015)=0,C4015,"")</f>
        <v/>
      </c>
      <c r="J4015">
        <f>IF(OR(E4015="Prospecting",E4015="Engaging"),VLOOKUP(C4015,Products!$A$2:$C$8,3,FALSE),0)</f>
        <v>0</v>
      </c>
    </row>
    <row r="4016" spans="1:10" x14ac:dyDescent="0.25">
      <c r="A4016" t="s">
        <v>4183</v>
      </c>
      <c r="B4016" t="s">
        <v>140</v>
      </c>
      <c r="C4016" t="s">
        <v>122</v>
      </c>
      <c r="D4016" t="s">
        <v>61</v>
      </c>
      <c r="E4016" t="s">
        <v>138</v>
      </c>
      <c r="F4016" s="1">
        <v>42905</v>
      </c>
      <c r="G4016" s="1">
        <v>42969</v>
      </c>
      <c r="H4016">
        <v>5195</v>
      </c>
      <c r="I4016" t="str">
        <f>IF(COUNTIF(Products!$A$2:$A$8,C4016)=0,C4016,"")</f>
        <v/>
      </c>
      <c r="J4016">
        <f>IF(OR(E4016="Prospecting",E4016="Engaging"),VLOOKUP(C4016,Products!$A$2:$C$8,3,FALSE),0)</f>
        <v>0</v>
      </c>
    </row>
    <row r="4017" spans="1:10" x14ac:dyDescent="0.25">
      <c r="A4017" t="s">
        <v>4184</v>
      </c>
      <c r="B4017" t="s">
        <v>164</v>
      </c>
      <c r="C4017" t="s">
        <v>123</v>
      </c>
      <c r="D4017" t="s">
        <v>27</v>
      </c>
      <c r="E4017" t="s">
        <v>138</v>
      </c>
      <c r="F4017" s="1">
        <v>42905</v>
      </c>
      <c r="G4017" s="1">
        <v>42911</v>
      </c>
      <c r="H4017">
        <v>55</v>
      </c>
      <c r="I4017" t="str">
        <f>IF(COUNTIF(Products!$A$2:$A$8,C4017)=0,C4017,"")</f>
        <v/>
      </c>
      <c r="J4017">
        <f>IF(OR(E4017="Prospecting",E4017="Engaging"),VLOOKUP(C4017,Products!$A$2:$C$8,3,FALSE),0)</f>
        <v>0</v>
      </c>
    </row>
    <row r="4018" spans="1:10" x14ac:dyDescent="0.25">
      <c r="A4018" t="s">
        <v>4185</v>
      </c>
      <c r="B4018" t="s">
        <v>164</v>
      </c>
      <c r="C4018" t="s">
        <v>123</v>
      </c>
      <c r="D4018" t="s">
        <v>38</v>
      </c>
      <c r="E4018" t="s">
        <v>138</v>
      </c>
      <c r="F4018" s="1">
        <v>42905</v>
      </c>
      <c r="G4018" s="1">
        <v>43007</v>
      </c>
      <c r="H4018">
        <v>62</v>
      </c>
      <c r="I4018" t="str">
        <f>IF(COUNTIF(Products!$A$2:$A$8,C4018)=0,C4018,"")</f>
        <v/>
      </c>
      <c r="J4018">
        <f>IF(OR(E4018="Prospecting",E4018="Engaging"),VLOOKUP(C4018,Products!$A$2:$C$8,3,FALSE),0)</f>
        <v>0</v>
      </c>
    </row>
    <row r="4019" spans="1:10" x14ac:dyDescent="0.25">
      <c r="A4019" t="s">
        <v>4186</v>
      </c>
      <c r="B4019" t="s">
        <v>154</v>
      </c>
      <c r="C4019" t="s">
        <v>120</v>
      </c>
      <c r="D4019" t="s">
        <v>100</v>
      </c>
      <c r="E4019" t="s">
        <v>138</v>
      </c>
      <c r="F4019" s="1">
        <v>42905</v>
      </c>
      <c r="G4019" s="1">
        <v>42966</v>
      </c>
      <c r="H4019">
        <v>459</v>
      </c>
      <c r="I4019" t="str">
        <f>IF(COUNTIF(Products!$A$2:$A$8,C4019)=0,C4019,"")</f>
        <v/>
      </c>
      <c r="J4019">
        <f>IF(OR(E4019="Prospecting",E4019="Engaging"),VLOOKUP(C4019,Products!$A$2:$C$8,3,FALSE),0)</f>
        <v>0</v>
      </c>
    </row>
    <row r="4020" spans="1:10" x14ac:dyDescent="0.25">
      <c r="A4020" t="s">
        <v>4187</v>
      </c>
      <c r="B4020" t="s">
        <v>180</v>
      </c>
      <c r="C4020" t="s">
        <v>120</v>
      </c>
      <c r="D4020" t="s">
        <v>109</v>
      </c>
      <c r="E4020" t="s">
        <v>159</v>
      </c>
      <c r="F4020" s="1">
        <v>42905</v>
      </c>
      <c r="G4020" s="1">
        <v>42972</v>
      </c>
      <c r="H4020">
        <v>0</v>
      </c>
      <c r="I4020" t="str">
        <f>IF(COUNTIF(Products!$A$2:$A$8,C4020)=0,C4020,"")</f>
        <v/>
      </c>
      <c r="J4020">
        <f>IF(OR(E4020="Prospecting",E4020="Engaging"),VLOOKUP(C4020,Products!$A$2:$C$8,3,FALSE),0)</f>
        <v>0</v>
      </c>
    </row>
    <row r="4021" spans="1:10" x14ac:dyDescent="0.25">
      <c r="A4021" t="s">
        <v>4188</v>
      </c>
      <c r="B4021" t="s">
        <v>180</v>
      </c>
      <c r="C4021" t="s">
        <v>127</v>
      </c>
      <c r="D4021" t="s">
        <v>109</v>
      </c>
      <c r="E4021" t="s">
        <v>138</v>
      </c>
      <c r="F4021" s="1">
        <v>42905</v>
      </c>
      <c r="G4021" s="1">
        <v>42954</v>
      </c>
      <c r="H4021">
        <v>1097</v>
      </c>
      <c r="I4021" t="str">
        <f>IF(COUNTIF(Products!$A$2:$A$8,C4021)=0,C4021,"")</f>
        <v/>
      </c>
      <c r="J4021">
        <f>IF(OR(E4021="Prospecting",E4021="Engaging"),VLOOKUP(C4021,Products!$A$2:$C$8,3,FALSE),0)</f>
        <v>0</v>
      </c>
    </row>
    <row r="4022" spans="1:10" x14ac:dyDescent="0.25">
      <c r="A4022" t="s">
        <v>4189</v>
      </c>
      <c r="B4022" t="s">
        <v>180</v>
      </c>
      <c r="C4022" t="s">
        <v>126</v>
      </c>
      <c r="D4022" t="s">
        <v>82</v>
      </c>
      <c r="E4022" t="s">
        <v>138</v>
      </c>
      <c r="F4022" s="1">
        <v>42905</v>
      </c>
      <c r="G4022" s="1">
        <v>43007</v>
      </c>
      <c r="H4022">
        <v>5033</v>
      </c>
      <c r="I4022" t="str">
        <f>IF(COUNTIF(Products!$A$2:$A$8,C4022)=0,C4022,"")</f>
        <v/>
      </c>
      <c r="J4022">
        <f>IF(OR(E4022="Prospecting",E4022="Engaging"),VLOOKUP(C4022,Products!$A$2:$C$8,3,FALSE),0)</f>
        <v>0</v>
      </c>
    </row>
    <row r="4023" spans="1:10" x14ac:dyDescent="0.25">
      <c r="A4023" t="s">
        <v>4190</v>
      </c>
      <c r="B4023" t="s">
        <v>191</v>
      </c>
      <c r="C4023" t="s">
        <v>127</v>
      </c>
      <c r="E4023" t="s">
        <v>155</v>
      </c>
      <c r="F4023" s="1">
        <v>42905</v>
      </c>
      <c r="I4023" t="str">
        <f>IF(COUNTIF(Products!$A$2:$A$8,C4023)=0,C4023,"")</f>
        <v/>
      </c>
      <c r="J4023">
        <f>IF(OR(E4023="Prospecting",E4023="Engaging"),VLOOKUP(C4023,Products!$A$2:$C$8,3,FALSE),0)</f>
        <v>1096</v>
      </c>
    </row>
    <row r="4024" spans="1:10" x14ac:dyDescent="0.25">
      <c r="A4024" t="s">
        <v>4191</v>
      </c>
      <c r="B4024" t="s">
        <v>191</v>
      </c>
      <c r="C4024" t="s">
        <v>122</v>
      </c>
      <c r="D4024" t="s">
        <v>17</v>
      </c>
      <c r="E4024" t="s">
        <v>138</v>
      </c>
      <c r="F4024" s="1">
        <v>42905</v>
      </c>
      <c r="G4024" s="1">
        <v>43000</v>
      </c>
      <c r="H4024">
        <v>4966</v>
      </c>
      <c r="I4024" t="str">
        <f>IF(COUNTIF(Products!$A$2:$A$8,C4024)=0,C4024,"")</f>
        <v/>
      </c>
      <c r="J4024">
        <f>IF(OR(E4024="Prospecting",E4024="Engaging"),VLOOKUP(C4024,Products!$A$2:$C$8,3,FALSE),0)</f>
        <v>0</v>
      </c>
    </row>
    <row r="4025" spans="1:10" x14ac:dyDescent="0.25">
      <c r="A4025" t="s">
        <v>4192</v>
      </c>
      <c r="B4025" t="s">
        <v>191</v>
      </c>
      <c r="C4025" t="s">
        <v>123</v>
      </c>
      <c r="D4025" t="s">
        <v>44</v>
      </c>
      <c r="E4025" t="s">
        <v>138</v>
      </c>
      <c r="F4025" s="1">
        <v>42905</v>
      </c>
      <c r="G4025" s="1">
        <v>42910</v>
      </c>
      <c r="H4025">
        <v>52</v>
      </c>
      <c r="I4025" t="str">
        <f>IF(COUNTIF(Products!$A$2:$A$8,C4025)=0,C4025,"")</f>
        <v/>
      </c>
      <c r="J4025">
        <f>IF(OR(E4025="Prospecting",E4025="Engaging"),VLOOKUP(C4025,Products!$A$2:$C$8,3,FALSE),0)</f>
        <v>0</v>
      </c>
    </row>
    <row r="4026" spans="1:10" x14ac:dyDescent="0.25">
      <c r="A4026" t="s">
        <v>4193</v>
      </c>
      <c r="B4026" t="s">
        <v>150</v>
      </c>
      <c r="C4026" t="s">
        <v>123</v>
      </c>
      <c r="D4026" t="s">
        <v>34</v>
      </c>
      <c r="E4026" t="s">
        <v>138</v>
      </c>
      <c r="F4026" s="1">
        <v>42905</v>
      </c>
      <c r="G4026" s="1">
        <v>42913</v>
      </c>
      <c r="H4026">
        <v>54</v>
      </c>
      <c r="I4026" t="str">
        <f>IF(COUNTIF(Products!$A$2:$A$8,C4026)=0,C4026,"")</f>
        <v/>
      </c>
      <c r="J4026">
        <f>IF(OR(E4026="Prospecting",E4026="Engaging"),VLOOKUP(C4026,Products!$A$2:$C$8,3,FALSE),0)</f>
        <v>0</v>
      </c>
    </row>
    <row r="4027" spans="1:10" x14ac:dyDescent="0.25">
      <c r="A4027" t="s">
        <v>4194</v>
      </c>
      <c r="B4027" t="s">
        <v>162</v>
      </c>
      <c r="C4027" t="s">
        <v>122</v>
      </c>
      <c r="E4027" t="s">
        <v>155</v>
      </c>
      <c r="F4027" s="1">
        <v>42905</v>
      </c>
      <c r="I4027" t="str">
        <f>IF(COUNTIF(Products!$A$2:$A$8,C4027)=0,C4027,"")</f>
        <v/>
      </c>
      <c r="J4027">
        <f>IF(OR(E4027="Prospecting",E4027="Engaging"),VLOOKUP(C4027,Products!$A$2:$C$8,3,FALSE),0)</f>
        <v>4821</v>
      </c>
    </row>
    <row r="4028" spans="1:10" x14ac:dyDescent="0.25">
      <c r="A4028" t="s">
        <v>4195</v>
      </c>
      <c r="B4028" t="s">
        <v>162</v>
      </c>
      <c r="C4028" t="s">
        <v>126</v>
      </c>
      <c r="D4028" t="s">
        <v>41</v>
      </c>
      <c r="E4028" t="s">
        <v>138</v>
      </c>
      <c r="F4028" s="1">
        <v>42905</v>
      </c>
      <c r="G4028" s="1">
        <v>42990</v>
      </c>
      <c r="H4028">
        <v>5816</v>
      </c>
      <c r="I4028" t="str">
        <f>IF(COUNTIF(Products!$A$2:$A$8,C4028)=0,C4028,"")</f>
        <v/>
      </c>
      <c r="J4028">
        <f>IF(OR(E4028="Prospecting",E4028="Engaging"),VLOOKUP(C4028,Products!$A$2:$C$8,3,FALSE),0)</f>
        <v>0</v>
      </c>
    </row>
    <row r="4029" spans="1:10" x14ac:dyDescent="0.25">
      <c r="A4029" t="s">
        <v>4196</v>
      </c>
      <c r="B4029" t="s">
        <v>162</v>
      </c>
      <c r="C4029" t="s">
        <v>123</v>
      </c>
      <c r="D4029" t="s">
        <v>27</v>
      </c>
      <c r="E4029" t="s">
        <v>138</v>
      </c>
      <c r="F4029" s="1">
        <v>42905</v>
      </c>
      <c r="G4029" s="1">
        <v>42981</v>
      </c>
      <c r="H4029">
        <v>53</v>
      </c>
      <c r="I4029" t="str">
        <f>IF(COUNTIF(Products!$A$2:$A$8,C4029)=0,C4029,"")</f>
        <v/>
      </c>
      <c r="J4029">
        <f>IF(OR(E4029="Prospecting",E4029="Engaging"),VLOOKUP(C4029,Products!$A$2:$C$8,3,FALSE),0)</f>
        <v>0</v>
      </c>
    </row>
    <row r="4030" spans="1:10" x14ac:dyDescent="0.25">
      <c r="A4030" t="s">
        <v>4197</v>
      </c>
      <c r="B4030" t="s">
        <v>162</v>
      </c>
      <c r="C4030" t="s">
        <v>125</v>
      </c>
      <c r="D4030" t="s">
        <v>82</v>
      </c>
      <c r="E4030" t="s">
        <v>138</v>
      </c>
      <c r="F4030" s="1">
        <v>42905</v>
      </c>
      <c r="G4030" s="1">
        <v>42962</v>
      </c>
      <c r="H4030">
        <v>3994</v>
      </c>
      <c r="I4030" t="str">
        <f>IF(COUNTIF(Products!$A$2:$A$8,C4030)=0,C4030,"")</f>
        <v/>
      </c>
      <c r="J4030">
        <f>IF(OR(E4030="Prospecting",E4030="Engaging"),VLOOKUP(C4030,Products!$A$2:$C$8,3,FALSE),0)</f>
        <v>0</v>
      </c>
    </row>
    <row r="4031" spans="1:10" x14ac:dyDescent="0.25">
      <c r="A4031" t="s">
        <v>4198</v>
      </c>
      <c r="B4031" t="s">
        <v>137</v>
      </c>
      <c r="C4031" t="s">
        <v>126</v>
      </c>
      <c r="D4031" t="s">
        <v>77</v>
      </c>
      <c r="E4031" t="s">
        <v>159</v>
      </c>
      <c r="F4031" s="1">
        <v>42905</v>
      </c>
      <c r="G4031" s="1">
        <v>42914</v>
      </c>
      <c r="H4031">
        <v>0</v>
      </c>
      <c r="I4031" t="str">
        <f>IF(COUNTIF(Products!$A$2:$A$8,C4031)=0,C4031,"")</f>
        <v/>
      </c>
      <c r="J4031">
        <f>IF(OR(E4031="Prospecting",E4031="Engaging"),VLOOKUP(C4031,Products!$A$2:$C$8,3,FALSE),0)</f>
        <v>0</v>
      </c>
    </row>
    <row r="4032" spans="1:10" x14ac:dyDescent="0.25">
      <c r="A4032" t="s">
        <v>4199</v>
      </c>
      <c r="B4032" t="s">
        <v>137</v>
      </c>
      <c r="C4032" t="s">
        <v>123</v>
      </c>
      <c r="D4032" t="s">
        <v>95</v>
      </c>
      <c r="E4032" t="s">
        <v>138</v>
      </c>
      <c r="F4032" s="1">
        <v>42905</v>
      </c>
      <c r="G4032" s="1">
        <v>42982</v>
      </c>
      <c r="H4032">
        <v>57</v>
      </c>
      <c r="I4032" t="str">
        <f>IF(COUNTIF(Products!$A$2:$A$8,C4032)=0,C4032,"")</f>
        <v/>
      </c>
      <c r="J4032">
        <f>IF(OR(E4032="Prospecting",E4032="Engaging"),VLOOKUP(C4032,Products!$A$2:$C$8,3,FALSE),0)</f>
        <v>0</v>
      </c>
    </row>
    <row r="4033" spans="1:10" x14ac:dyDescent="0.25">
      <c r="A4033" t="s">
        <v>4200</v>
      </c>
      <c r="B4033" t="s">
        <v>193</v>
      </c>
      <c r="C4033" t="s">
        <v>123</v>
      </c>
      <c r="D4033" t="s">
        <v>27</v>
      </c>
      <c r="E4033" t="s">
        <v>159</v>
      </c>
      <c r="F4033" s="1">
        <v>42905</v>
      </c>
      <c r="G4033" s="1">
        <v>42918</v>
      </c>
      <c r="H4033">
        <v>0</v>
      </c>
      <c r="I4033" t="str">
        <f>IF(COUNTIF(Products!$A$2:$A$8,C4033)=0,C4033,"")</f>
        <v/>
      </c>
      <c r="J4033">
        <f>IF(OR(E4033="Prospecting",E4033="Engaging"),VLOOKUP(C4033,Products!$A$2:$C$8,3,FALSE),0)</f>
        <v>0</v>
      </c>
    </row>
    <row r="4034" spans="1:10" x14ac:dyDescent="0.25">
      <c r="A4034" t="s">
        <v>4201</v>
      </c>
      <c r="B4034" t="s">
        <v>166</v>
      </c>
      <c r="C4034" t="s">
        <v>125</v>
      </c>
      <c r="D4034" t="s">
        <v>90</v>
      </c>
      <c r="E4034" t="s">
        <v>138</v>
      </c>
      <c r="F4034" s="1">
        <v>42905</v>
      </c>
      <c r="G4034" s="1">
        <v>42952</v>
      </c>
      <c r="H4034">
        <v>3752</v>
      </c>
      <c r="I4034" t="str">
        <f>IF(COUNTIF(Products!$A$2:$A$8,C4034)=0,C4034,"")</f>
        <v/>
      </c>
      <c r="J4034">
        <f>IF(OR(E4034="Prospecting",E4034="Engaging"),VLOOKUP(C4034,Products!$A$2:$C$8,3,FALSE),0)</f>
        <v>0</v>
      </c>
    </row>
    <row r="4035" spans="1:10" x14ac:dyDescent="0.25">
      <c r="A4035" t="s">
        <v>4202</v>
      </c>
      <c r="B4035" t="s">
        <v>187</v>
      </c>
      <c r="C4035" t="s">
        <v>122</v>
      </c>
      <c r="D4035" t="s">
        <v>27</v>
      </c>
      <c r="E4035" t="s">
        <v>138</v>
      </c>
      <c r="F4035" s="1">
        <v>42905</v>
      </c>
      <c r="G4035" s="1">
        <v>42999</v>
      </c>
      <c r="H4035">
        <v>4759</v>
      </c>
      <c r="I4035" t="str">
        <f>IF(COUNTIF(Products!$A$2:$A$8,C4035)=0,C4035,"")</f>
        <v/>
      </c>
      <c r="J4035">
        <f>IF(OR(E4035="Prospecting",E4035="Engaging"),VLOOKUP(C4035,Products!$A$2:$C$8,3,FALSE),0)</f>
        <v>0</v>
      </c>
    </row>
    <row r="4036" spans="1:10" x14ac:dyDescent="0.25">
      <c r="A4036" t="s">
        <v>4203</v>
      </c>
      <c r="B4036" t="s">
        <v>169</v>
      </c>
      <c r="C4036" t="s">
        <v>120</v>
      </c>
      <c r="D4036" t="s">
        <v>95</v>
      </c>
      <c r="E4036" t="s">
        <v>138</v>
      </c>
      <c r="F4036" s="1">
        <v>42905</v>
      </c>
      <c r="G4036" s="1">
        <v>42971</v>
      </c>
      <c r="H4036">
        <v>555</v>
      </c>
      <c r="I4036" t="str">
        <f>IF(COUNTIF(Products!$A$2:$A$8,C4036)=0,C4036,"")</f>
        <v/>
      </c>
      <c r="J4036">
        <f>IF(OR(E4036="Prospecting",E4036="Engaging"),VLOOKUP(C4036,Products!$A$2:$C$8,3,FALSE),0)</f>
        <v>0</v>
      </c>
    </row>
    <row r="4037" spans="1:10" x14ac:dyDescent="0.25">
      <c r="A4037" t="s">
        <v>4204</v>
      </c>
      <c r="B4037" t="s">
        <v>177</v>
      </c>
      <c r="C4037" t="s">
        <v>120</v>
      </c>
      <c r="D4037" t="s">
        <v>105</v>
      </c>
      <c r="E4037" t="s">
        <v>159</v>
      </c>
      <c r="F4037" s="1">
        <v>42905</v>
      </c>
      <c r="G4037" s="1">
        <v>42910</v>
      </c>
      <c r="H4037">
        <v>0</v>
      </c>
      <c r="I4037" t="str">
        <f>IF(COUNTIF(Products!$A$2:$A$8,C4037)=0,C4037,"")</f>
        <v/>
      </c>
      <c r="J4037">
        <f>IF(OR(E4037="Prospecting",E4037="Engaging"),VLOOKUP(C4037,Products!$A$2:$C$8,3,FALSE),0)</f>
        <v>0</v>
      </c>
    </row>
    <row r="4038" spans="1:10" x14ac:dyDescent="0.25">
      <c r="A4038" t="s">
        <v>4205</v>
      </c>
      <c r="B4038" t="s">
        <v>144</v>
      </c>
      <c r="C4038" t="s">
        <v>120</v>
      </c>
      <c r="E4038" t="s">
        <v>155</v>
      </c>
      <c r="F4038" s="1">
        <v>42905</v>
      </c>
      <c r="I4038" t="str">
        <f>IF(COUNTIF(Products!$A$2:$A$8,C4038)=0,C4038,"")</f>
        <v/>
      </c>
      <c r="J4038">
        <f>IF(OR(E4038="Prospecting",E4038="Engaging"),VLOOKUP(C4038,Products!$A$2:$C$8,3,FALSE),0)</f>
        <v>550</v>
      </c>
    </row>
    <row r="4039" spans="1:10" x14ac:dyDescent="0.25">
      <c r="A4039" t="s">
        <v>4206</v>
      </c>
      <c r="B4039" t="s">
        <v>144</v>
      </c>
      <c r="C4039" t="s">
        <v>127</v>
      </c>
      <c r="D4039" t="s">
        <v>69</v>
      </c>
      <c r="E4039" t="s">
        <v>138</v>
      </c>
      <c r="F4039" s="1">
        <v>42905</v>
      </c>
      <c r="G4039" s="1">
        <v>42998</v>
      </c>
      <c r="H4039">
        <v>1213</v>
      </c>
      <c r="I4039" t="str">
        <f>IF(COUNTIF(Products!$A$2:$A$8,C4039)=0,C4039,"")</f>
        <v/>
      </c>
      <c r="J4039">
        <f>IF(OR(E4039="Prospecting",E4039="Engaging"),VLOOKUP(C4039,Products!$A$2:$C$8,3,FALSE),0)</f>
        <v>0</v>
      </c>
    </row>
    <row r="4040" spans="1:10" x14ac:dyDescent="0.25">
      <c r="A4040" t="s">
        <v>4207</v>
      </c>
      <c r="B4040" t="s">
        <v>144</v>
      </c>
      <c r="C4040" t="s">
        <v>122</v>
      </c>
      <c r="D4040" t="s">
        <v>41</v>
      </c>
      <c r="E4040" t="s">
        <v>138</v>
      </c>
      <c r="F4040" s="1">
        <v>42905</v>
      </c>
      <c r="G4040" s="1">
        <v>42986</v>
      </c>
      <c r="H4040">
        <v>4428</v>
      </c>
      <c r="I4040" t="str">
        <f>IF(COUNTIF(Products!$A$2:$A$8,C4040)=0,C4040,"")</f>
        <v/>
      </c>
      <c r="J4040">
        <f>IF(OR(E4040="Prospecting",E4040="Engaging"),VLOOKUP(C4040,Products!$A$2:$C$8,3,FALSE),0)</f>
        <v>0</v>
      </c>
    </row>
    <row r="4041" spans="1:10" x14ac:dyDescent="0.25">
      <c r="A4041" t="s">
        <v>4208</v>
      </c>
      <c r="B4041" t="s">
        <v>222</v>
      </c>
      <c r="C4041" t="s">
        <v>126</v>
      </c>
      <c r="D4041" t="s">
        <v>108</v>
      </c>
      <c r="E4041" t="s">
        <v>159</v>
      </c>
      <c r="F4041" s="1">
        <v>42906</v>
      </c>
      <c r="G4041" s="1">
        <v>42918</v>
      </c>
      <c r="H4041">
        <v>0</v>
      </c>
      <c r="I4041" t="str">
        <f>IF(COUNTIF(Products!$A$2:$A$8,C4041)=0,C4041,"")</f>
        <v/>
      </c>
      <c r="J4041">
        <f>IF(OR(E4041="Prospecting",E4041="Engaging"),VLOOKUP(C4041,Products!$A$2:$C$8,3,FALSE),0)</f>
        <v>0</v>
      </c>
    </row>
    <row r="4042" spans="1:10" x14ac:dyDescent="0.25">
      <c r="A4042" t="s">
        <v>4209</v>
      </c>
      <c r="B4042" t="s">
        <v>207</v>
      </c>
      <c r="C4042" t="s">
        <v>126</v>
      </c>
      <c r="D4042" t="s">
        <v>27</v>
      </c>
      <c r="E4042" t="s">
        <v>155</v>
      </c>
      <c r="F4042" s="1">
        <v>42906</v>
      </c>
      <c r="I4042" t="str">
        <f>IF(COUNTIF(Products!$A$2:$A$8,C4042)=0,C4042,"")</f>
        <v/>
      </c>
      <c r="J4042">
        <f>IF(OR(E4042="Prospecting",E4042="Engaging"),VLOOKUP(C4042,Products!$A$2:$C$8,3,FALSE),0)</f>
        <v>5482</v>
      </c>
    </row>
    <row r="4043" spans="1:10" x14ac:dyDescent="0.25">
      <c r="A4043" t="s">
        <v>4210</v>
      </c>
      <c r="B4043" t="s">
        <v>207</v>
      </c>
      <c r="C4043" t="s">
        <v>122</v>
      </c>
      <c r="D4043" t="s">
        <v>69</v>
      </c>
      <c r="E4043" t="s">
        <v>159</v>
      </c>
      <c r="F4043" s="1">
        <v>42906</v>
      </c>
      <c r="G4043" s="1">
        <v>42955</v>
      </c>
      <c r="H4043">
        <v>0</v>
      </c>
      <c r="I4043" t="str">
        <f>IF(COUNTIF(Products!$A$2:$A$8,C4043)=0,C4043,"")</f>
        <v/>
      </c>
      <c r="J4043">
        <f>IF(OR(E4043="Prospecting",E4043="Engaging"),VLOOKUP(C4043,Products!$A$2:$C$8,3,FALSE),0)</f>
        <v>0</v>
      </c>
    </row>
    <row r="4044" spans="1:10" x14ac:dyDescent="0.25">
      <c r="A4044" t="s">
        <v>4211</v>
      </c>
      <c r="B4044" t="s">
        <v>264</v>
      </c>
      <c r="C4044" t="s">
        <v>126</v>
      </c>
      <c r="D4044" t="s">
        <v>96</v>
      </c>
      <c r="E4044" t="s">
        <v>159</v>
      </c>
      <c r="F4044" s="1">
        <v>42906</v>
      </c>
      <c r="G4044" s="1">
        <v>42913</v>
      </c>
      <c r="H4044">
        <v>0</v>
      </c>
      <c r="I4044" t="str">
        <f>IF(COUNTIF(Products!$A$2:$A$8,C4044)=0,C4044,"")</f>
        <v/>
      </c>
      <c r="J4044">
        <f>IF(OR(E4044="Prospecting",E4044="Engaging"),VLOOKUP(C4044,Products!$A$2:$C$8,3,FALSE),0)</f>
        <v>0</v>
      </c>
    </row>
    <row r="4045" spans="1:10" x14ac:dyDescent="0.25">
      <c r="A4045" t="s">
        <v>4212</v>
      </c>
      <c r="B4045" t="s">
        <v>239</v>
      </c>
      <c r="C4045" t="s">
        <v>120</v>
      </c>
      <c r="D4045" t="s">
        <v>108</v>
      </c>
      <c r="E4045" t="s">
        <v>159</v>
      </c>
      <c r="F4045" s="1">
        <v>42906</v>
      </c>
      <c r="G4045" s="1">
        <v>42999</v>
      </c>
      <c r="H4045">
        <v>0</v>
      </c>
      <c r="I4045" t="str">
        <f>IF(COUNTIF(Products!$A$2:$A$8,C4045)=0,C4045,"")</f>
        <v/>
      </c>
      <c r="J4045">
        <f>IF(OR(E4045="Prospecting",E4045="Engaging"),VLOOKUP(C4045,Products!$A$2:$C$8,3,FALSE),0)</f>
        <v>0</v>
      </c>
    </row>
    <row r="4046" spans="1:10" x14ac:dyDescent="0.25">
      <c r="A4046" t="s">
        <v>4213</v>
      </c>
      <c r="B4046" t="s">
        <v>171</v>
      </c>
      <c r="C4046" t="s">
        <v>122</v>
      </c>
      <c r="D4046" t="s">
        <v>65</v>
      </c>
      <c r="E4046" t="s">
        <v>159</v>
      </c>
      <c r="F4046" s="1">
        <v>42906</v>
      </c>
      <c r="G4046" s="1">
        <v>42911</v>
      </c>
      <c r="H4046">
        <v>0</v>
      </c>
      <c r="I4046" t="str">
        <f>IF(COUNTIF(Products!$A$2:$A$8,C4046)=0,C4046,"")</f>
        <v/>
      </c>
      <c r="J4046">
        <f>IF(OR(E4046="Prospecting",E4046="Engaging"),VLOOKUP(C4046,Products!$A$2:$C$8,3,FALSE),0)</f>
        <v>0</v>
      </c>
    </row>
    <row r="4047" spans="1:10" x14ac:dyDescent="0.25">
      <c r="A4047" t="s">
        <v>4214</v>
      </c>
      <c r="B4047" t="s">
        <v>171</v>
      </c>
      <c r="C4047" t="s">
        <v>123</v>
      </c>
      <c r="D4047" t="s">
        <v>67</v>
      </c>
      <c r="E4047" t="s">
        <v>138</v>
      </c>
      <c r="F4047" s="1">
        <v>42906</v>
      </c>
      <c r="G4047" s="1">
        <v>42972</v>
      </c>
      <c r="H4047">
        <v>62</v>
      </c>
      <c r="I4047" t="str">
        <f>IF(COUNTIF(Products!$A$2:$A$8,C4047)=0,C4047,"")</f>
        <v/>
      </c>
      <c r="J4047">
        <f>IF(OR(E4047="Prospecting",E4047="Engaging"),VLOOKUP(C4047,Products!$A$2:$C$8,3,FALSE),0)</f>
        <v>0</v>
      </c>
    </row>
    <row r="4048" spans="1:10" x14ac:dyDescent="0.25">
      <c r="A4048" t="s">
        <v>4215</v>
      </c>
      <c r="B4048" t="s">
        <v>140</v>
      </c>
      <c r="C4048" t="s">
        <v>122</v>
      </c>
      <c r="D4048" t="s">
        <v>14</v>
      </c>
      <c r="E4048" t="s">
        <v>159</v>
      </c>
      <c r="F4048" s="1">
        <v>42906</v>
      </c>
      <c r="G4048" s="1">
        <v>42989</v>
      </c>
      <c r="H4048">
        <v>0</v>
      </c>
      <c r="I4048" t="str">
        <f>IF(COUNTIF(Products!$A$2:$A$8,C4048)=0,C4048,"")</f>
        <v/>
      </c>
      <c r="J4048">
        <f>IF(OR(E4048="Prospecting",E4048="Engaging"),VLOOKUP(C4048,Products!$A$2:$C$8,3,FALSE),0)</f>
        <v>0</v>
      </c>
    </row>
    <row r="4049" spans="1:10" x14ac:dyDescent="0.25">
      <c r="A4049" t="s">
        <v>4216</v>
      </c>
      <c r="B4049" t="s">
        <v>224</v>
      </c>
      <c r="C4049" t="s">
        <v>125</v>
      </c>
      <c r="D4049" t="s">
        <v>92</v>
      </c>
      <c r="E4049" t="s">
        <v>138</v>
      </c>
      <c r="F4049" s="1">
        <v>42906</v>
      </c>
      <c r="G4049" s="1">
        <v>42956</v>
      </c>
      <c r="H4049">
        <v>3546</v>
      </c>
      <c r="I4049" t="str">
        <f>IF(COUNTIF(Products!$A$2:$A$8,C4049)=0,C4049,"")</f>
        <v/>
      </c>
      <c r="J4049">
        <f>IF(OR(E4049="Prospecting",E4049="Engaging"),VLOOKUP(C4049,Products!$A$2:$C$8,3,FALSE),0)</f>
        <v>0</v>
      </c>
    </row>
    <row r="4050" spans="1:10" x14ac:dyDescent="0.25">
      <c r="A4050" t="s">
        <v>4217</v>
      </c>
      <c r="B4050" t="s">
        <v>173</v>
      </c>
      <c r="C4050" t="s">
        <v>123</v>
      </c>
      <c r="D4050" t="s">
        <v>98</v>
      </c>
      <c r="E4050" t="s">
        <v>155</v>
      </c>
      <c r="F4050" s="1">
        <v>42906</v>
      </c>
      <c r="I4050" t="str">
        <f>IF(COUNTIF(Products!$A$2:$A$8,C4050)=0,C4050,"")</f>
        <v/>
      </c>
      <c r="J4050">
        <f>IF(OR(E4050="Prospecting",E4050="Engaging"),VLOOKUP(C4050,Products!$A$2:$C$8,3,FALSE),0)</f>
        <v>55</v>
      </c>
    </row>
    <row r="4051" spans="1:10" x14ac:dyDescent="0.25">
      <c r="A4051" t="s">
        <v>4218</v>
      </c>
      <c r="B4051" t="s">
        <v>154</v>
      </c>
      <c r="C4051" t="s">
        <v>120</v>
      </c>
      <c r="D4051" t="s">
        <v>33</v>
      </c>
      <c r="E4051" t="s">
        <v>155</v>
      </c>
      <c r="F4051" s="1">
        <v>42906</v>
      </c>
      <c r="I4051" t="str">
        <f>IF(COUNTIF(Products!$A$2:$A$8,C4051)=0,C4051,"")</f>
        <v/>
      </c>
      <c r="J4051">
        <f>IF(OR(E4051="Prospecting",E4051="Engaging"),VLOOKUP(C4051,Products!$A$2:$C$8,3,FALSE),0)</f>
        <v>550</v>
      </c>
    </row>
    <row r="4052" spans="1:10" x14ac:dyDescent="0.25">
      <c r="A4052" t="s">
        <v>4219</v>
      </c>
      <c r="B4052" t="s">
        <v>154</v>
      </c>
      <c r="C4052" t="s">
        <v>123</v>
      </c>
      <c r="E4052" t="s">
        <v>155</v>
      </c>
      <c r="F4052" s="1">
        <v>42906</v>
      </c>
      <c r="I4052" t="str">
        <f>IF(COUNTIF(Products!$A$2:$A$8,C4052)=0,C4052,"")</f>
        <v/>
      </c>
      <c r="J4052">
        <f>IF(OR(E4052="Prospecting",E4052="Engaging"),VLOOKUP(C4052,Products!$A$2:$C$8,3,FALSE),0)</f>
        <v>55</v>
      </c>
    </row>
    <row r="4053" spans="1:10" x14ac:dyDescent="0.25">
      <c r="A4053" t="s">
        <v>4220</v>
      </c>
      <c r="B4053" t="s">
        <v>303</v>
      </c>
      <c r="C4053" t="s">
        <v>127</v>
      </c>
      <c r="D4053" t="s">
        <v>61</v>
      </c>
      <c r="E4053" t="s">
        <v>138</v>
      </c>
      <c r="F4053" s="1">
        <v>42906</v>
      </c>
      <c r="G4053" s="1">
        <v>42967</v>
      </c>
      <c r="H4053">
        <v>1132</v>
      </c>
      <c r="I4053" t="str">
        <f>IF(COUNTIF(Products!$A$2:$A$8,C4053)=0,C4053,"")</f>
        <v/>
      </c>
      <c r="J4053">
        <f>IF(OR(E4053="Prospecting",E4053="Engaging"),VLOOKUP(C4053,Products!$A$2:$C$8,3,FALSE),0)</f>
        <v>0</v>
      </c>
    </row>
    <row r="4054" spans="1:10" x14ac:dyDescent="0.25">
      <c r="A4054" t="s">
        <v>4221</v>
      </c>
      <c r="B4054" t="s">
        <v>180</v>
      </c>
      <c r="C4054" t="s">
        <v>125</v>
      </c>
      <c r="E4054" t="s">
        <v>155</v>
      </c>
      <c r="F4054" s="1">
        <v>42906</v>
      </c>
      <c r="I4054" t="str">
        <f>IF(COUNTIF(Products!$A$2:$A$8,C4054)=0,C4054,"")</f>
        <v/>
      </c>
      <c r="J4054">
        <f>IF(OR(E4054="Prospecting",E4054="Engaging"),VLOOKUP(C4054,Products!$A$2:$C$8,3,FALSE),0)</f>
        <v>3393</v>
      </c>
    </row>
    <row r="4055" spans="1:10" x14ac:dyDescent="0.25">
      <c r="A4055" t="s">
        <v>4222</v>
      </c>
      <c r="B4055" t="s">
        <v>180</v>
      </c>
      <c r="C4055" t="s">
        <v>120</v>
      </c>
      <c r="D4055" t="s">
        <v>23</v>
      </c>
      <c r="E4055" t="s">
        <v>159</v>
      </c>
      <c r="F4055" s="1">
        <v>42906</v>
      </c>
      <c r="G4055" s="1">
        <v>42960</v>
      </c>
      <c r="H4055">
        <v>0</v>
      </c>
      <c r="I4055" t="str">
        <f>IF(COUNTIF(Products!$A$2:$A$8,C4055)=0,C4055,"")</f>
        <v/>
      </c>
      <c r="J4055">
        <f>IF(OR(E4055="Prospecting",E4055="Engaging"),VLOOKUP(C4055,Products!$A$2:$C$8,3,FALSE),0)</f>
        <v>0</v>
      </c>
    </row>
    <row r="4056" spans="1:10" x14ac:dyDescent="0.25">
      <c r="A4056" t="s">
        <v>4223</v>
      </c>
      <c r="B4056" t="s">
        <v>162</v>
      </c>
      <c r="C4056" t="s">
        <v>123</v>
      </c>
      <c r="D4056" t="s">
        <v>27</v>
      </c>
      <c r="E4056" t="s">
        <v>138</v>
      </c>
      <c r="F4056" s="1">
        <v>42906</v>
      </c>
      <c r="G4056" s="1">
        <v>42966</v>
      </c>
      <c r="H4056">
        <v>57</v>
      </c>
      <c r="I4056" t="str">
        <f>IF(COUNTIF(Products!$A$2:$A$8,C4056)=0,C4056,"")</f>
        <v/>
      </c>
      <c r="J4056">
        <f>IF(OR(E4056="Prospecting",E4056="Engaging"),VLOOKUP(C4056,Products!$A$2:$C$8,3,FALSE),0)</f>
        <v>0</v>
      </c>
    </row>
    <row r="4057" spans="1:10" x14ac:dyDescent="0.25">
      <c r="A4057" t="s">
        <v>4224</v>
      </c>
      <c r="B4057" t="s">
        <v>162</v>
      </c>
      <c r="C4057" t="s">
        <v>123</v>
      </c>
      <c r="D4057" t="s">
        <v>38</v>
      </c>
      <c r="E4057" t="s">
        <v>138</v>
      </c>
      <c r="F4057" s="1">
        <v>42906</v>
      </c>
      <c r="G4057" s="1">
        <v>42909</v>
      </c>
      <c r="H4057">
        <v>61</v>
      </c>
      <c r="I4057" t="str">
        <f>IF(COUNTIF(Products!$A$2:$A$8,C4057)=0,C4057,"")</f>
        <v/>
      </c>
      <c r="J4057">
        <f>IF(OR(E4057="Prospecting",E4057="Engaging"),VLOOKUP(C4057,Products!$A$2:$C$8,3,FALSE),0)</f>
        <v>0</v>
      </c>
    </row>
    <row r="4058" spans="1:10" x14ac:dyDescent="0.25">
      <c r="A4058" t="s">
        <v>4225</v>
      </c>
      <c r="B4058" t="s">
        <v>162</v>
      </c>
      <c r="C4058" t="s">
        <v>123</v>
      </c>
      <c r="D4058" t="s">
        <v>83</v>
      </c>
      <c r="E4058" t="s">
        <v>138</v>
      </c>
      <c r="F4058" s="1">
        <v>42906</v>
      </c>
      <c r="G4058" s="1">
        <v>42917</v>
      </c>
      <c r="H4058">
        <v>57</v>
      </c>
      <c r="I4058" t="str">
        <f>IF(COUNTIF(Products!$A$2:$A$8,C4058)=0,C4058,"")</f>
        <v/>
      </c>
      <c r="J4058">
        <f>IF(OR(E4058="Prospecting",E4058="Engaging"),VLOOKUP(C4058,Products!$A$2:$C$8,3,FALSE),0)</f>
        <v>0</v>
      </c>
    </row>
    <row r="4059" spans="1:10" x14ac:dyDescent="0.25">
      <c r="A4059" t="s">
        <v>4226</v>
      </c>
      <c r="B4059" t="s">
        <v>193</v>
      </c>
      <c r="C4059" t="s">
        <v>120</v>
      </c>
      <c r="D4059" t="s">
        <v>25</v>
      </c>
      <c r="E4059" t="s">
        <v>138</v>
      </c>
      <c r="F4059" s="1">
        <v>42906</v>
      </c>
      <c r="G4059" s="1">
        <v>42992</v>
      </c>
      <c r="H4059">
        <v>649</v>
      </c>
      <c r="I4059" t="str">
        <f>IF(COUNTIF(Products!$A$2:$A$8,C4059)=0,C4059,"")</f>
        <v/>
      </c>
      <c r="J4059">
        <f>IF(OR(E4059="Prospecting",E4059="Engaging"),VLOOKUP(C4059,Products!$A$2:$C$8,3,FALSE),0)</f>
        <v>0</v>
      </c>
    </row>
    <row r="4060" spans="1:10" x14ac:dyDescent="0.25">
      <c r="A4060" t="s">
        <v>4227</v>
      </c>
      <c r="B4060" t="s">
        <v>187</v>
      </c>
      <c r="C4060" t="s">
        <v>122</v>
      </c>
      <c r="E4060" t="s">
        <v>155</v>
      </c>
      <c r="F4060" s="1">
        <v>42906</v>
      </c>
      <c r="I4060" t="str">
        <f>IF(COUNTIF(Products!$A$2:$A$8,C4060)=0,C4060,"")</f>
        <v/>
      </c>
      <c r="J4060">
        <f>IF(OR(E4060="Prospecting",E4060="Engaging"),VLOOKUP(C4060,Products!$A$2:$C$8,3,FALSE),0)</f>
        <v>4821</v>
      </c>
    </row>
    <row r="4061" spans="1:10" x14ac:dyDescent="0.25">
      <c r="A4061" t="s">
        <v>4228</v>
      </c>
      <c r="B4061" t="s">
        <v>187</v>
      </c>
      <c r="C4061" t="s">
        <v>122</v>
      </c>
      <c r="D4061" t="s">
        <v>37</v>
      </c>
      <c r="E4061" t="s">
        <v>159</v>
      </c>
      <c r="F4061" s="1">
        <v>42906</v>
      </c>
      <c r="G4061" s="1">
        <v>42962</v>
      </c>
      <c r="H4061">
        <v>0</v>
      </c>
      <c r="I4061" t="str">
        <f>IF(COUNTIF(Products!$A$2:$A$8,C4061)=0,C4061,"")</f>
        <v/>
      </c>
      <c r="J4061">
        <f>IF(OR(E4061="Prospecting",E4061="Engaging"),VLOOKUP(C4061,Products!$A$2:$C$8,3,FALSE),0)</f>
        <v>0</v>
      </c>
    </row>
    <row r="4062" spans="1:10" x14ac:dyDescent="0.25">
      <c r="A4062" t="s">
        <v>4229</v>
      </c>
      <c r="B4062" t="s">
        <v>169</v>
      </c>
      <c r="C4062" t="s">
        <v>126</v>
      </c>
      <c r="D4062" t="s">
        <v>42</v>
      </c>
      <c r="E4062" t="s">
        <v>138</v>
      </c>
      <c r="F4062" s="1">
        <v>42906</v>
      </c>
      <c r="G4062" s="1">
        <v>42917</v>
      </c>
      <c r="H4062">
        <v>4813</v>
      </c>
      <c r="I4062" t="str">
        <f>IF(COUNTIF(Products!$A$2:$A$8,C4062)=0,C4062,"")</f>
        <v/>
      </c>
      <c r="J4062">
        <f>IF(OR(E4062="Prospecting",E4062="Engaging"),VLOOKUP(C4062,Products!$A$2:$C$8,3,FALSE),0)</f>
        <v>0</v>
      </c>
    </row>
    <row r="4063" spans="1:10" x14ac:dyDescent="0.25">
      <c r="A4063" t="s">
        <v>4230</v>
      </c>
      <c r="B4063" t="s">
        <v>148</v>
      </c>
      <c r="C4063" t="s">
        <v>123</v>
      </c>
      <c r="D4063" t="s">
        <v>34</v>
      </c>
      <c r="E4063" t="s">
        <v>159</v>
      </c>
      <c r="F4063" s="1">
        <v>42906</v>
      </c>
      <c r="G4063" s="1">
        <v>42909</v>
      </c>
      <c r="H4063">
        <v>0</v>
      </c>
      <c r="I4063" t="str">
        <f>IF(COUNTIF(Products!$A$2:$A$8,C4063)=0,C4063,"")</f>
        <v/>
      </c>
      <c r="J4063">
        <f>IF(OR(E4063="Prospecting",E4063="Engaging"),VLOOKUP(C4063,Products!$A$2:$C$8,3,FALSE),0)</f>
        <v>0</v>
      </c>
    </row>
    <row r="4064" spans="1:10" x14ac:dyDescent="0.25">
      <c r="A4064" t="s">
        <v>4231</v>
      </c>
      <c r="B4064" t="s">
        <v>148</v>
      </c>
      <c r="C4064" t="s">
        <v>123</v>
      </c>
      <c r="D4064" t="s">
        <v>17</v>
      </c>
      <c r="E4064" t="s">
        <v>138</v>
      </c>
      <c r="F4064" s="1">
        <v>42906</v>
      </c>
      <c r="G4064" s="1">
        <v>42917</v>
      </c>
      <c r="H4064">
        <v>51</v>
      </c>
      <c r="I4064" t="str">
        <f>IF(COUNTIF(Products!$A$2:$A$8,C4064)=0,C4064,"")</f>
        <v/>
      </c>
      <c r="J4064">
        <f>IF(OR(E4064="Prospecting",E4064="Engaging"),VLOOKUP(C4064,Products!$A$2:$C$8,3,FALSE),0)</f>
        <v>0</v>
      </c>
    </row>
    <row r="4065" spans="1:10" x14ac:dyDescent="0.25">
      <c r="A4065" t="s">
        <v>4232</v>
      </c>
      <c r="B4065" t="s">
        <v>148</v>
      </c>
      <c r="C4065" t="s">
        <v>125</v>
      </c>
      <c r="D4065" t="s">
        <v>56</v>
      </c>
      <c r="E4065" t="s">
        <v>138</v>
      </c>
      <c r="F4065" s="1">
        <v>42906</v>
      </c>
      <c r="G4065" s="1">
        <v>42991</v>
      </c>
      <c r="H4065">
        <v>3241</v>
      </c>
      <c r="I4065" t="str">
        <f>IF(COUNTIF(Products!$A$2:$A$8,C4065)=0,C4065,"")</f>
        <v/>
      </c>
      <c r="J4065">
        <f>IF(OR(E4065="Prospecting",E4065="Engaging"),VLOOKUP(C4065,Products!$A$2:$C$8,3,FALSE),0)</f>
        <v>0</v>
      </c>
    </row>
    <row r="4066" spans="1:10" x14ac:dyDescent="0.25">
      <c r="A4066" t="s">
        <v>4233</v>
      </c>
      <c r="B4066" t="s">
        <v>177</v>
      </c>
      <c r="C4066" t="s">
        <v>123</v>
      </c>
      <c r="D4066" t="s">
        <v>63</v>
      </c>
      <c r="E4066" t="s">
        <v>159</v>
      </c>
      <c r="F4066" s="1">
        <v>42906</v>
      </c>
      <c r="G4066" s="1">
        <v>42951</v>
      </c>
      <c r="H4066">
        <v>0</v>
      </c>
      <c r="I4066" t="str">
        <f>IF(COUNTIF(Products!$A$2:$A$8,C4066)=0,C4066,"")</f>
        <v/>
      </c>
      <c r="J4066">
        <f>IF(OR(E4066="Prospecting",E4066="Engaging"),VLOOKUP(C4066,Products!$A$2:$C$8,3,FALSE),0)</f>
        <v>0</v>
      </c>
    </row>
    <row r="4067" spans="1:10" x14ac:dyDescent="0.25">
      <c r="A4067" t="s">
        <v>4234</v>
      </c>
      <c r="B4067" t="s">
        <v>177</v>
      </c>
      <c r="C4067" t="s">
        <v>120</v>
      </c>
      <c r="D4067" t="s">
        <v>98</v>
      </c>
      <c r="E4067" t="s">
        <v>138</v>
      </c>
      <c r="F4067" s="1">
        <v>42906</v>
      </c>
      <c r="G4067" s="1">
        <v>42990</v>
      </c>
      <c r="H4067">
        <v>592</v>
      </c>
      <c r="I4067" t="str">
        <f>IF(COUNTIF(Products!$A$2:$A$8,C4067)=0,C4067,"")</f>
        <v/>
      </c>
      <c r="J4067">
        <f>IF(OR(E4067="Prospecting",E4067="Engaging"),VLOOKUP(C4067,Products!$A$2:$C$8,3,FALSE),0)</f>
        <v>0</v>
      </c>
    </row>
    <row r="4068" spans="1:10" x14ac:dyDescent="0.25">
      <c r="A4068" t="s">
        <v>4235</v>
      </c>
      <c r="B4068" t="s">
        <v>196</v>
      </c>
      <c r="C4068" t="s">
        <v>125</v>
      </c>
      <c r="E4068" t="s">
        <v>155</v>
      </c>
      <c r="F4068" s="1">
        <v>42906</v>
      </c>
      <c r="I4068" t="str">
        <f>IF(COUNTIF(Products!$A$2:$A$8,C4068)=0,C4068,"")</f>
        <v/>
      </c>
      <c r="J4068">
        <f>IF(OR(E4068="Prospecting",E4068="Engaging"),VLOOKUP(C4068,Products!$A$2:$C$8,3,FALSE),0)</f>
        <v>3393</v>
      </c>
    </row>
    <row r="4069" spans="1:10" x14ac:dyDescent="0.25">
      <c r="A4069" t="s">
        <v>4236</v>
      </c>
      <c r="B4069" t="s">
        <v>196</v>
      </c>
      <c r="C4069" t="s">
        <v>120</v>
      </c>
      <c r="D4069" t="s">
        <v>115</v>
      </c>
      <c r="E4069" t="s">
        <v>138</v>
      </c>
      <c r="F4069" s="1">
        <v>42906</v>
      </c>
      <c r="G4069" s="1">
        <v>42998</v>
      </c>
      <c r="H4069">
        <v>506</v>
      </c>
      <c r="I4069" t="str">
        <f>IF(COUNTIF(Products!$A$2:$A$8,C4069)=0,C4069,"")</f>
        <v/>
      </c>
      <c r="J4069">
        <f>IF(OR(E4069="Prospecting",E4069="Engaging"),VLOOKUP(C4069,Products!$A$2:$C$8,3,FALSE),0)</f>
        <v>0</v>
      </c>
    </row>
    <row r="4070" spans="1:10" x14ac:dyDescent="0.25">
      <c r="A4070" t="s">
        <v>4237</v>
      </c>
      <c r="B4070" t="s">
        <v>144</v>
      </c>
      <c r="C4070" t="s">
        <v>125</v>
      </c>
      <c r="E4070" t="s">
        <v>155</v>
      </c>
      <c r="F4070" s="1">
        <v>42906</v>
      </c>
      <c r="I4070" t="str">
        <f>IF(COUNTIF(Products!$A$2:$A$8,C4070)=0,C4070,"")</f>
        <v/>
      </c>
      <c r="J4070">
        <f>IF(OR(E4070="Prospecting",E4070="Engaging"),VLOOKUP(C4070,Products!$A$2:$C$8,3,FALSE),0)</f>
        <v>3393</v>
      </c>
    </row>
    <row r="4071" spans="1:10" x14ac:dyDescent="0.25">
      <c r="A4071" t="s">
        <v>4238</v>
      </c>
      <c r="B4071" t="s">
        <v>144</v>
      </c>
      <c r="C4071" t="s">
        <v>120</v>
      </c>
      <c r="D4071" t="s">
        <v>71</v>
      </c>
      <c r="E4071" t="s">
        <v>159</v>
      </c>
      <c r="F4071" s="1">
        <v>42906</v>
      </c>
      <c r="G4071" s="1">
        <v>43003</v>
      </c>
      <c r="H4071">
        <v>0</v>
      </c>
      <c r="I4071" t="str">
        <f>IF(COUNTIF(Products!$A$2:$A$8,C4071)=0,C4071,"")</f>
        <v/>
      </c>
      <c r="J4071">
        <f>IF(OR(E4071="Prospecting",E4071="Engaging"),VLOOKUP(C4071,Products!$A$2:$C$8,3,FALSE),0)</f>
        <v>0</v>
      </c>
    </row>
    <row r="4072" spans="1:10" x14ac:dyDescent="0.25">
      <c r="A4072" t="s">
        <v>4239</v>
      </c>
      <c r="B4072" t="s">
        <v>146</v>
      </c>
      <c r="C4072" t="s">
        <v>125</v>
      </c>
      <c r="D4072" t="s">
        <v>26</v>
      </c>
      <c r="E4072" t="s">
        <v>138</v>
      </c>
      <c r="F4072" s="1">
        <v>42907</v>
      </c>
      <c r="G4072" s="1">
        <v>42984</v>
      </c>
      <c r="H4072">
        <v>3571</v>
      </c>
      <c r="I4072" t="str">
        <f>IF(COUNTIF(Products!$A$2:$A$8,C4072)=0,C4072,"")</f>
        <v/>
      </c>
      <c r="J4072">
        <f>IF(OR(E4072="Prospecting",E4072="Engaging"),VLOOKUP(C4072,Products!$A$2:$C$8,3,FALSE),0)</f>
        <v>0</v>
      </c>
    </row>
    <row r="4073" spans="1:10" x14ac:dyDescent="0.25">
      <c r="A4073" t="s">
        <v>4240</v>
      </c>
      <c r="B4073" t="s">
        <v>207</v>
      </c>
      <c r="C4073" t="s">
        <v>120</v>
      </c>
      <c r="D4073" t="s">
        <v>102</v>
      </c>
      <c r="E4073" t="s">
        <v>159</v>
      </c>
      <c r="F4073" s="1">
        <v>42907</v>
      </c>
      <c r="G4073" s="1">
        <v>42977</v>
      </c>
      <c r="H4073">
        <v>0</v>
      </c>
      <c r="I4073" t="str">
        <f>IF(COUNTIF(Products!$A$2:$A$8,C4073)=0,C4073,"")</f>
        <v/>
      </c>
      <c r="J4073">
        <f>IF(OR(E4073="Prospecting",E4073="Engaging"),VLOOKUP(C4073,Products!$A$2:$C$8,3,FALSE),0)</f>
        <v>0</v>
      </c>
    </row>
    <row r="4074" spans="1:10" x14ac:dyDescent="0.25">
      <c r="A4074" t="s">
        <v>4241</v>
      </c>
      <c r="B4074" t="s">
        <v>207</v>
      </c>
      <c r="C4074" t="s">
        <v>123</v>
      </c>
      <c r="D4074" t="s">
        <v>65</v>
      </c>
      <c r="E4074" t="s">
        <v>138</v>
      </c>
      <c r="F4074" s="1">
        <v>42907</v>
      </c>
      <c r="G4074" s="1">
        <v>42919</v>
      </c>
      <c r="H4074">
        <v>60</v>
      </c>
      <c r="I4074" t="str">
        <f>IF(COUNTIF(Products!$A$2:$A$8,C4074)=0,C4074,"")</f>
        <v/>
      </c>
      <c r="J4074">
        <f>IF(OR(E4074="Prospecting",E4074="Engaging"),VLOOKUP(C4074,Products!$A$2:$C$8,3,FALSE),0)</f>
        <v>0</v>
      </c>
    </row>
    <row r="4075" spans="1:10" x14ac:dyDescent="0.25">
      <c r="A4075" t="s">
        <v>4242</v>
      </c>
      <c r="B4075" t="s">
        <v>207</v>
      </c>
      <c r="C4075" t="s">
        <v>123</v>
      </c>
      <c r="D4075" t="s">
        <v>69</v>
      </c>
      <c r="E4075" t="s">
        <v>138</v>
      </c>
      <c r="F4075" s="1">
        <v>42907</v>
      </c>
      <c r="G4075" s="1">
        <v>42993</v>
      </c>
      <c r="H4075">
        <v>59</v>
      </c>
      <c r="I4075" t="str">
        <f>IF(COUNTIF(Products!$A$2:$A$8,C4075)=0,C4075,"")</f>
        <v/>
      </c>
      <c r="J4075">
        <f>IF(OR(E4075="Prospecting",E4075="Engaging"),VLOOKUP(C4075,Products!$A$2:$C$8,3,FALSE),0)</f>
        <v>0</v>
      </c>
    </row>
    <row r="4076" spans="1:10" x14ac:dyDescent="0.25">
      <c r="A4076" t="s">
        <v>4243</v>
      </c>
      <c r="B4076" t="s">
        <v>239</v>
      </c>
      <c r="C4076" t="s">
        <v>120</v>
      </c>
      <c r="D4076" t="s">
        <v>92</v>
      </c>
      <c r="E4076" t="s">
        <v>138</v>
      </c>
      <c r="F4076" s="1">
        <v>42907</v>
      </c>
      <c r="G4076" s="1">
        <v>42911</v>
      </c>
      <c r="H4076">
        <v>551</v>
      </c>
      <c r="I4076" t="str">
        <f>IF(COUNTIF(Products!$A$2:$A$8,C4076)=0,C4076,"")</f>
        <v/>
      </c>
      <c r="J4076">
        <f>IF(OR(E4076="Prospecting",E4076="Engaging"),VLOOKUP(C4076,Products!$A$2:$C$8,3,FALSE),0)</f>
        <v>0</v>
      </c>
    </row>
    <row r="4077" spans="1:10" x14ac:dyDescent="0.25">
      <c r="A4077" t="s">
        <v>4244</v>
      </c>
      <c r="B4077" t="s">
        <v>171</v>
      </c>
      <c r="C4077" t="s">
        <v>122</v>
      </c>
      <c r="E4077" t="s">
        <v>155</v>
      </c>
      <c r="F4077" s="1">
        <v>42907</v>
      </c>
      <c r="I4077" t="str">
        <f>IF(COUNTIF(Products!$A$2:$A$8,C4077)=0,C4077,"")</f>
        <v/>
      </c>
      <c r="J4077">
        <f>IF(OR(E4077="Prospecting",E4077="Engaging"),VLOOKUP(C4077,Products!$A$2:$C$8,3,FALSE),0)</f>
        <v>4821</v>
      </c>
    </row>
    <row r="4078" spans="1:10" x14ac:dyDescent="0.25">
      <c r="A4078" t="s">
        <v>4245</v>
      </c>
      <c r="B4078" t="s">
        <v>140</v>
      </c>
      <c r="C4078" t="s">
        <v>122</v>
      </c>
      <c r="D4078" t="s">
        <v>46</v>
      </c>
      <c r="E4078" t="s">
        <v>159</v>
      </c>
      <c r="F4078" s="1">
        <v>42907</v>
      </c>
      <c r="G4078" s="1">
        <v>42917</v>
      </c>
      <c r="H4078">
        <v>0</v>
      </c>
      <c r="I4078" t="str">
        <f>IF(COUNTIF(Products!$A$2:$A$8,C4078)=0,C4078,"")</f>
        <v/>
      </c>
      <c r="J4078">
        <f>IF(OR(E4078="Prospecting",E4078="Engaging"),VLOOKUP(C4078,Products!$A$2:$C$8,3,FALSE),0)</f>
        <v>0</v>
      </c>
    </row>
    <row r="4079" spans="1:10" x14ac:dyDescent="0.25">
      <c r="A4079" t="s">
        <v>4246</v>
      </c>
      <c r="B4079" t="s">
        <v>140</v>
      </c>
      <c r="C4079" t="s">
        <v>122</v>
      </c>
      <c r="D4079" t="s">
        <v>64</v>
      </c>
      <c r="E4079" t="s">
        <v>159</v>
      </c>
      <c r="F4079" s="1">
        <v>42907</v>
      </c>
      <c r="G4079" s="1">
        <v>42918</v>
      </c>
      <c r="H4079">
        <v>0</v>
      </c>
      <c r="I4079" t="str">
        <f>IF(COUNTIF(Products!$A$2:$A$8,C4079)=0,C4079,"")</f>
        <v/>
      </c>
      <c r="J4079">
        <f>IF(OR(E4079="Prospecting",E4079="Engaging"),VLOOKUP(C4079,Products!$A$2:$C$8,3,FALSE),0)</f>
        <v>0</v>
      </c>
    </row>
    <row r="4080" spans="1:10" x14ac:dyDescent="0.25">
      <c r="A4080" t="s">
        <v>4247</v>
      </c>
      <c r="B4080" t="s">
        <v>140</v>
      </c>
      <c r="C4080" t="s">
        <v>122</v>
      </c>
      <c r="D4080" t="s">
        <v>64</v>
      </c>
      <c r="E4080" t="s">
        <v>138</v>
      </c>
      <c r="F4080" s="1">
        <v>42907</v>
      </c>
      <c r="G4080" s="1">
        <v>42917</v>
      </c>
      <c r="H4080">
        <v>4826</v>
      </c>
      <c r="I4080" t="str">
        <f>IF(COUNTIF(Products!$A$2:$A$8,C4080)=0,C4080,"")</f>
        <v/>
      </c>
      <c r="J4080">
        <f>IF(OR(E4080="Prospecting",E4080="Engaging"),VLOOKUP(C4080,Products!$A$2:$C$8,3,FALSE),0)</f>
        <v>0</v>
      </c>
    </row>
    <row r="4081" spans="1:10" x14ac:dyDescent="0.25">
      <c r="A4081" t="s">
        <v>4248</v>
      </c>
      <c r="B4081" t="s">
        <v>173</v>
      </c>
      <c r="C4081" t="s">
        <v>123</v>
      </c>
      <c r="D4081" t="s">
        <v>57</v>
      </c>
      <c r="E4081" t="s">
        <v>138</v>
      </c>
      <c r="F4081" s="1">
        <v>42907</v>
      </c>
      <c r="G4081" s="1">
        <v>43008</v>
      </c>
      <c r="H4081">
        <v>58</v>
      </c>
      <c r="I4081" t="str">
        <f>IF(COUNTIF(Products!$A$2:$A$8,C4081)=0,C4081,"")</f>
        <v/>
      </c>
      <c r="J4081">
        <f>IF(OR(E4081="Prospecting",E4081="Engaging"),VLOOKUP(C4081,Products!$A$2:$C$8,3,FALSE),0)</f>
        <v>0</v>
      </c>
    </row>
    <row r="4082" spans="1:10" x14ac:dyDescent="0.25">
      <c r="A4082" t="s">
        <v>4249</v>
      </c>
      <c r="B4082" t="s">
        <v>198</v>
      </c>
      <c r="C4082" t="s">
        <v>122</v>
      </c>
      <c r="D4082" t="s">
        <v>50</v>
      </c>
      <c r="E4082" t="s">
        <v>138</v>
      </c>
      <c r="F4082" s="1">
        <v>42907</v>
      </c>
      <c r="G4082" s="1">
        <v>42912</v>
      </c>
      <c r="H4082">
        <v>5622</v>
      </c>
      <c r="I4082" t="str">
        <f>IF(COUNTIF(Products!$A$2:$A$8,C4082)=0,C4082,"")</f>
        <v/>
      </c>
      <c r="J4082">
        <f>IF(OR(E4082="Prospecting",E4082="Engaging"),VLOOKUP(C4082,Products!$A$2:$C$8,3,FALSE),0)</f>
        <v>0</v>
      </c>
    </row>
    <row r="4083" spans="1:10" x14ac:dyDescent="0.25">
      <c r="A4083" t="s">
        <v>4250</v>
      </c>
      <c r="B4083" t="s">
        <v>158</v>
      </c>
      <c r="C4083" t="s">
        <v>123</v>
      </c>
      <c r="D4083" t="s">
        <v>61</v>
      </c>
      <c r="E4083" t="s">
        <v>159</v>
      </c>
      <c r="F4083" s="1">
        <v>42907</v>
      </c>
      <c r="G4083" s="1">
        <v>42918</v>
      </c>
      <c r="H4083">
        <v>0</v>
      </c>
      <c r="I4083" t="str">
        <f>IF(COUNTIF(Products!$A$2:$A$8,C4083)=0,C4083,"")</f>
        <v/>
      </c>
      <c r="J4083">
        <f>IF(OR(E4083="Prospecting",E4083="Engaging"),VLOOKUP(C4083,Products!$A$2:$C$8,3,FALSE),0)</f>
        <v>0</v>
      </c>
    </row>
    <row r="4084" spans="1:10" x14ac:dyDescent="0.25">
      <c r="A4084" t="s">
        <v>4251</v>
      </c>
      <c r="B4084" t="s">
        <v>158</v>
      </c>
      <c r="C4084" t="s">
        <v>125</v>
      </c>
      <c r="D4084" t="s">
        <v>36</v>
      </c>
      <c r="E4084" t="s">
        <v>138</v>
      </c>
      <c r="F4084" s="1">
        <v>42907</v>
      </c>
      <c r="G4084" s="1">
        <v>42974</v>
      </c>
      <c r="H4084">
        <v>3177</v>
      </c>
      <c r="I4084" t="str">
        <f>IF(COUNTIF(Products!$A$2:$A$8,C4084)=0,C4084,"")</f>
        <v/>
      </c>
      <c r="J4084">
        <f>IF(OR(E4084="Prospecting",E4084="Engaging"),VLOOKUP(C4084,Products!$A$2:$C$8,3,FALSE),0)</f>
        <v>0</v>
      </c>
    </row>
    <row r="4085" spans="1:10" x14ac:dyDescent="0.25">
      <c r="A4085" t="s">
        <v>4252</v>
      </c>
      <c r="B4085" t="s">
        <v>180</v>
      </c>
      <c r="C4085" t="s">
        <v>123</v>
      </c>
      <c r="D4085" t="s">
        <v>38</v>
      </c>
      <c r="E4085" t="s">
        <v>138</v>
      </c>
      <c r="F4085" s="1">
        <v>42907</v>
      </c>
      <c r="G4085" s="1">
        <v>42958</v>
      </c>
      <c r="H4085">
        <v>56</v>
      </c>
      <c r="I4085" t="str">
        <f>IF(COUNTIF(Products!$A$2:$A$8,C4085)=0,C4085,"")</f>
        <v/>
      </c>
      <c r="J4085">
        <f>IF(OR(E4085="Prospecting",E4085="Engaging"),VLOOKUP(C4085,Products!$A$2:$C$8,3,FALSE),0)</f>
        <v>0</v>
      </c>
    </row>
    <row r="4086" spans="1:10" x14ac:dyDescent="0.25">
      <c r="A4086" t="s">
        <v>4253</v>
      </c>
      <c r="B4086" t="s">
        <v>191</v>
      </c>
      <c r="C4086" t="s">
        <v>122</v>
      </c>
      <c r="E4086" t="s">
        <v>155</v>
      </c>
      <c r="F4086" s="1">
        <v>42907</v>
      </c>
      <c r="I4086" t="str">
        <f>IF(COUNTIF(Products!$A$2:$A$8,C4086)=0,C4086,"")</f>
        <v/>
      </c>
      <c r="J4086">
        <f>IF(OR(E4086="Prospecting",E4086="Engaging"),VLOOKUP(C4086,Products!$A$2:$C$8,3,FALSE),0)</f>
        <v>4821</v>
      </c>
    </row>
    <row r="4087" spans="1:10" x14ac:dyDescent="0.25">
      <c r="A4087" t="s">
        <v>4254</v>
      </c>
      <c r="B4087" t="s">
        <v>162</v>
      </c>
      <c r="C4087" t="s">
        <v>127</v>
      </c>
      <c r="D4087" t="s">
        <v>67</v>
      </c>
      <c r="E4087" t="s">
        <v>138</v>
      </c>
      <c r="F4087" s="1">
        <v>42907</v>
      </c>
      <c r="G4087" s="1">
        <v>43000</v>
      </c>
      <c r="H4087">
        <v>990</v>
      </c>
      <c r="I4087" t="str">
        <f>IF(COUNTIF(Products!$A$2:$A$8,C4087)=0,C4087,"")</f>
        <v/>
      </c>
      <c r="J4087">
        <f>IF(OR(E4087="Prospecting",E4087="Engaging"),VLOOKUP(C4087,Products!$A$2:$C$8,3,FALSE),0)</f>
        <v>0</v>
      </c>
    </row>
    <row r="4088" spans="1:10" x14ac:dyDescent="0.25">
      <c r="A4088" t="s">
        <v>4255</v>
      </c>
      <c r="B4088" t="s">
        <v>152</v>
      </c>
      <c r="C4088" t="s">
        <v>120</v>
      </c>
      <c r="D4088" t="s">
        <v>77</v>
      </c>
      <c r="E4088" t="s">
        <v>138</v>
      </c>
      <c r="F4088" s="1">
        <v>42907</v>
      </c>
      <c r="G4088" s="1">
        <v>43008</v>
      </c>
      <c r="H4088">
        <v>587</v>
      </c>
      <c r="I4088" t="str">
        <f>IF(COUNTIF(Products!$A$2:$A$8,C4088)=0,C4088,"")</f>
        <v/>
      </c>
      <c r="J4088">
        <f>IF(OR(E4088="Prospecting",E4088="Engaging"),VLOOKUP(C4088,Products!$A$2:$C$8,3,FALSE),0)</f>
        <v>0</v>
      </c>
    </row>
    <row r="4089" spans="1:10" x14ac:dyDescent="0.25">
      <c r="A4089" t="s">
        <v>4256</v>
      </c>
      <c r="B4089" t="s">
        <v>187</v>
      </c>
      <c r="C4089" t="s">
        <v>126</v>
      </c>
      <c r="D4089" t="s">
        <v>16</v>
      </c>
      <c r="E4089" t="s">
        <v>138</v>
      </c>
      <c r="F4089" s="1">
        <v>42907</v>
      </c>
      <c r="G4089" s="1">
        <v>42913</v>
      </c>
      <c r="H4089">
        <v>6229</v>
      </c>
      <c r="I4089" t="str">
        <f>IF(COUNTIF(Products!$A$2:$A$8,C4089)=0,C4089,"")</f>
        <v/>
      </c>
      <c r="J4089">
        <f>IF(OR(E4089="Prospecting",E4089="Engaging"),VLOOKUP(C4089,Products!$A$2:$C$8,3,FALSE),0)</f>
        <v>0</v>
      </c>
    </row>
    <row r="4090" spans="1:10" x14ac:dyDescent="0.25">
      <c r="A4090" t="s">
        <v>4257</v>
      </c>
      <c r="B4090" t="s">
        <v>169</v>
      </c>
      <c r="C4090" t="s">
        <v>123</v>
      </c>
      <c r="D4090" t="s">
        <v>77</v>
      </c>
      <c r="E4090" t="s">
        <v>159</v>
      </c>
      <c r="F4090" s="1">
        <v>42907</v>
      </c>
      <c r="G4090" s="1">
        <v>42949</v>
      </c>
      <c r="H4090">
        <v>0</v>
      </c>
      <c r="I4090" t="str">
        <f>IF(COUNTIF(Products!$A$2:$A$8,C4090)=0,C4090,"")</f>
        <v/>
      </c>
      <c r="J4090">
        <f>IF(OR(E4090="Prospecting",E4090="Engaging"),VLOOKUP(C4090,Products!$A$2:$C$8,3,FALSE),0)</f>
        <v>0</v>
      </c>
    </row>
    <row r="4091" spans="1:10" x14ac:dyDescent="0.25">
      <c r="A4091" t="s">
        <v>4258</v>
      </c>
      <c r="B4091" t="s">
        <v>148</v>
      </c>
      <c r="C4091" t="s">
        <v>127</v>
      </c>
      <c r="D4091" t="s">
        <v>107</v>
      </c>
      <c r="E4091" t="s">
        <v>138</v>
      </c>
      <c r="F4091" s="1">
        <v>42907</v>
      </c>
      <c r="G4091" s="1">
        <v>43001</v>
      </c>
      <c r="H4091">
        <v>1027</v>
      </c>
      <c r="I4091" t="str">
        <f>IF(COUNTIF(Products!$A$2:$A$8,C4091)=0,C4091,"")</f>
        <v/>
      </c>
      <c r="J4091">
        <f>IF(OR(E4091="Prospecting",E4091="Engaging"),VLOOKUP(C4091,Products!$A$2:$C$8,3,FALSE),0)</f>
        <v>0</v>
      </c>
    </row>
    <row r="4092" spans="1:10" x14ac:dyDescent="0.25">
      <c r="A4092" t="s">
        <v>4259</v>
      </c>
      <c r="B4092" t="s">
        <v>148</v>
      </c>
      <c r="C4092" t="s">
        <v>125</v>
      </c>
      <c r="D4092" t="s">
        <v>90</v>
      </c>
      <c r="E4092" t="s">
        <v>138</v>
      </c>
      <c r="F4092" s="1">
        <v>42907</v>
      </c>
      <c r="G4092" s="1">
        <v>42909</v>
      </c>
      <c r="H4092">
        <v>3559</v>
      </c>
      <c r="I4092" t="str">
        <f>IF(COUNTIF(Products!$A$2:$A$8,C4092)=0,C4092,"")</f>
        <v/>
      </c>
      <c r="J4092">
        <f>IF(OR(E4092="Prospecting",E4092="Engaging"),VLOOKUP(C4092,Products!$A$2:$C$8,3,FALSE),0)</f>
        <v>0</v>
      </c>
    </row>
    <row r="4093" spans="1:10" x14ac:dyDescent="0.25">
      <c r="A4093" t="s">
        <v>4260</v>
      </c>
      <c r="B4093" t="s">
        <v>144</v>
      </c>
      <c r="C4093" t="s">
        <v>120</v>
      </c>
      <c r="D4093" t="s">
        <v>57</v>
      </c>
      <c r="E4093" t="s">
        <v>138</v>
      </c>
      <c r="F4093" s="1">
        <v>42907</v>
      </c>
      <c r="G4093" s="1">
        <v>42975</v>
      </c>
      <c r="H4093">
        <v>506</v>
      </c>
      <c r="I4093" t="str">
        <f>IF(COUNTIF(Products!$A$2:$A$8,C4093)=0,C4093,"")</f>
        <v/>
      </c>
      <c r="J4093">
        <f>IF(OR(E4093="Prospecting",E4093="Engaging"),VLOOKUP(C4093,Products!$A$2:$C$8,3,FALSE),0)</f>
        <v>0</v>
      </c>
    </row>
    <row r="4094" spans="1:10" x14ac:dyDescent="0.25">
      <c r="A4094" t="s">
        <v>4261</v>
      </c>
      <c r="B4094" t="s">
        <v>146</v>
      </c>
      <c r="C4094" t="s">
        <v>123</v>
      </c>
      <c r="D4094" t="s">
        <v>55</v>
      </c>
      <c r="E4094" t="s">
        <v>159</v>
      </c>
      <c r="F4094" s="1">
        <v>42908</v>
      </c>
      <c r="G4094" s="1">
        <v>42919</v>
      </c>
      <c r="H4094">
        <v>0</v>
      </c>
      <c r="I4094" t="str">
        <f>IF(COUNTIF(Products!$A$2:$A$8,C4094)=0,C4094,"")</f>
        <v/>
      </c>
      <c r="J4094">
        <f>IF(OR(E4094="Prospecting",E4094="Engaging"),VLOOKUP(C4094,Products!$A$2:$C$8,3,FALSE),0)</f>
        <v>0</v>
      </c>
    </row>
    <row r="4095" spans="1:10" x14ac:dyDescent="0.25">
      <c r="A4095" t="s">
        <v>4262</v>
      </c>
      <c r="B4095" t="s">
        <v>146</v>
      </c>
      <c r="C4095" t="s">
        <v>125</v>
      </c>
      <c r="D4095" t="s">
        <v>51</v>
      </c>
      <c r="E4095" t="s">
        <v>159</v>
      </c>
      <c r="F4095" s="1">
        <v>42908</v>
      </c>
      <c r="G4095" s="1">
        <v>42958</v>
      </c>
      <c r="H4095">
        <v>0</v>
      </c>
      <c r="I4095" t="str">
        <f>IF(COUNTIF(Products!$A$2:$A$8,C4095)=0,C4095,"")</f>
        <v/>
      </c>
      <c r="J4095">
        <f>IF(OR(E4095="Prospecting",E4095="Engaging"),VLOOKUP(C4095,Products!$A$2:$C$8,3,FALSE),0)</f>
        <v>0</v>
      </c>
    </row>
    <row r="4096" spans="1:10" x14ac:dyDescent="0.25">
      <c r="A4096" t="s">
        <v>4263</v>
      </c>
      <c r="B4096" t="s">
        <v>146</v>
      </c>
      <c r="C4096" t="s">
        <v>126</v>
      </c>
      <c r="D4096" t="s">
        <v>94</v>
      </c>
      <c r="E4096" t="s">
        <v>138</v>
      </c>
      <c r="F4096" s="1">
        <v>42908</v>
      </c>
      <c r="G4096" s="1">
        <v>42990</v>
      </c>
      <c r="H4096">
        <v>6250</v>
      </c>
      <c r="I4096" t="str">
        <f>IF(COUNTIF(Products!$A$2:$A$8,C4096)=0,C4096,"")</f>
        <v/>
      </c>
      <c r="J4096">
        <f>IF(OR(E4096="Prospecting",E4096="Engaging"),VLOOKUP(C4096,Products!$A$2:$C$8,3,FALSE),0)</f>
        <v>0</v>
      </c>
    </row>
    <row r="4097" spans="1:10" x14ac:dyDescent="0.25">
      <c r="A4097" t="s">
        <v>4264</v>
      </c>
      <c r="B4097" t="s">
        <v>264</v>
      </c>
      <c r="C4097" t="s">
        <v>125</v>
      </c>
      <c r="D4097" t="s">
        <v>61</v>
      </c>
      <c r="E4097" t="s">
        <v>138</v>
      </c>
      <c r="F4097" s="1">
        <v>42908</v>
      </c>
      <c r="G4097" s="1">
        <v>42990</v>
      </c>
      <c r="H4097">
        <v>3510</v>
      </c>
      <c r="I4097" t="str">
        <f>IF(COUNTIF(Products!$A$2:$A$8,C4097)=0,C4097,"")</f>
        <v/>
      </c>
      <c r="J4097">
        <f>IF(OR(E4097="Prospecting",E4097="Engaging"),VLOOKUP(C4097,Products!$A$2:$C$8,3,FALSE),0)</f>
        <v>0</v>
      </c>
    </row>
    <row r="4098" spans="1:10" x14ac:dyDescent="0.25">
      <c r="A4098" t="s">
        <v>4265</v>
      </c>
      <c r="B4098" t="s">
        <v>171</v>
      </c>
      <c r="C4098" t="s">
        <v>123</v>
      </c>
      <c r="E4098" t="s">
        <v>155</v>
      </c>
      <c r="F4098" s="1">
        <v>42908</v>
      </c>
      <c r="I4098" t="str">
        <f>IF(COUNTIF(Products!$A$2:$A$8,C4098)=0,C4098,"")</f>
        <v/>
      </c>
      <c r="J4098">
        <f>IF(OR(E4098="Prospecting",E4098="Engaging"),VLOOKUP(C4098,Products!$A$2:$C$8,3,FALSE),0)</f>
        <v>55</v>
      </c>
    </row>
    <row r="4099" spans="1:10" x14ac:dyDescent="0.25">
      <c r="A4099" t="s">
        <v>4266</v>
      </c>
      <c r="B4099" t="s">
        <v>171</v>
      </c>
      <c r="C4099" t="s">
        <v>127</v>
      </c>
      <c r="D4099" t="s">
        <v>105</v>
      </c>
      <c r="E4099" t="s">
        <v>138</v>
      </c>
      <c r="F4099" s="1">
        <v>42908</v>
      </c>
      <c r="G4099" s="1">
        <v>42989</v>
      </c>
      <c r="H4099">
        <v>1078</v>
      </c>
      <c r="I4099" t="str">
        <f>IF(COUNTIF(Products!$A$2:$A$8,C4099)=0,C4099,"")</f>
        <v/>
      </c>
      <c r="J4099">
        <f>IF(OR(E4099="Prospecting",E4099="Engaging"),VLOOKUP(C4099,Products!$A$2:$C$8,3,FALSE),0)</f>
        <v>0</v>
      </c>
    </row>
    <row r="4100" spans="1:10" x14ac:dyDescent="0.25">
      <c r="A4100" t="s">
        <v>4267</v>
      </c>
      <c r="B4100" t="s">
        <v>224</v>
      </c>
      <c r="C4100" t="s">
        <v>120</v>
      </c>
      <c r="D4100" t="s">
        <v>25</v>
      </c>
      <c r="E4100" t="s">
        <v>138</v>
      </c>
      <c r="F4100" s="1">
        <v>42908</v>
      </c>
      <c r="G4100" s="1">
        <v>42918</v>
      </c>
      <c r="H4100">
        <v>553</v>
      </c>
      <c r="I4100" t="str">
        <f>IF(COUNTIF(Products!$A$2:$A$8,C4100)=0,C4100,"")</f>
        <v/>
      </c>
      <c r="J4100">
        <f>IF(OR(E4100="Prospecting",E4100="Engaging"),VLOOKUP(C4100,Products!$A$2:$C$8,3,FALSE),0)</f>
        <v>0</v>
      </c>
    </row>
    <row r="4101" spans="1:10" x14ac:dyDescent="0.25">
      <c r="A4101" t="s">
        <v>4268</v>
      </c>
      <c r="B4101" t="s">
        <v>303</v>
      </c>
      <c r="C4101" t="s">
        <v>120</v>
      </c>
      <c r="D4101" t="s">
        <v>103</v>
      </c>
      <c r="E4101" t="s">
        <v>138</v>
      </c>
      <c r="F4101" s="1">
        <v>42908</v>
      </c>
      <c r="G4101" s="1">
        <v>42974</v>
      </c>
      <c r="H4101">
        <v>612</v>
      </c>
      <c r="I4101" t="str">
        <f>IF(COUNTIF(Products!$A$2:$A$8,C4101)=0,C4101,"")</f>
        <v/>
      </c>
      <c r="J4101">
        <f>IF(OR(E4101="Prospecting",E4101="Engaging"),VLOOKUP(C4101,Products!$A$2:$C$8,3,FALSE),0)</f>
        <v>0</v>
      </c>
    </row>
    <row r="4102" spans="1:10" x14ac:dyDescent="0.25">
      <c r="A4102" t="s">
        <v>4269</v>
      </c>
      <c r="B4102" t="s">
        <v>303</v>
      </c>
      <c r="C4102" t="s">
        <v>127</v>
      </c>
      <c r="D4102" t="s">
        <v>46</v>
      </c>
      <c r="E4102" t="s">
        <v>138</v>
      </c>
      <c r="F4102" s="1">
        <v>42908</v>
      </c>
      <c r="G4102" s="1">
        <v>42912</v>
      </c>
      <c r="H4102">
        <v>1033</v>
      </c>
      <c r="I4102" t="str">
        <f>IF(COUNTIF(Products!$A$2:$A$8,C4102)=0,C4102,"")</f>
        <v/>
      </c>
      <c r="J4102">
        <f>IF(OR(E4102="Prospecting",E4102="Engaging"),VLOOKUP(C4102,Products!$A$2:$C$8,3,FALSE),0)</f>
        <v>0</v>
      </c>
    </row>
    <row r="4103" spans="1:10" x14ac:dyDescent="0.25">
      <c r="A4103" t="s">
        <v>4270</v>
      </c>
      <c r="B4103" t="s">
        <v>303</v>
      </c>
      <c r="C4103" t="s">
        <v>127</v>
      </c>
      <c r="D4103" t="s">
        <v>32</v>
      </c>
      <c r="E4103" t="s">
        <v>138</v>
      </c>
      <c r="F4103" s="1">
        <v>42908</v>
      </c>
      <c r="G4103" s="1">
        <v>42991</v>
      </c>
      <c r="H4103">
        <v>1051</v>
      </c>
      <c r="I4103" t="str">
        <f>IF(COUNTIF(Products!$A$2:$A$8,C4103)=0,C4103,"")</f>
        <v/>
      </c>
      <c r="J4103">
        <f>IF(OR(E4103="Prospecting",E4103="Engaging"),VLOOKUP(C4103,Products!$A$2:$C$8,3,FALSE),0)</f>
        <v>0</v>
      </c>
    </row>
    <row r="4104" spans="1:10" x14ac:dyDescent="0.25">
      <c r="A4104" t="s">
        <v>4271</v>
      </c>
      <c r="B4104" t="s">
        <v>191</v>
      </c>
      <c r="C4104" t="s">
        <v>120</v>
      </c>
      <c r="D4104" t="s">
        <v>109</v>
      </c>
      <c r="E4104" t="s">
        <v>138</v>
      </c>
      <c r="F4104" s="1">
        <v>42908</v>
      </c>
      <c r="G4104" s="1">
        <v>43000</v>
      </c>
      <c r="H4104">
        <v>628</v>
      </c>
      <c r="I4104" t="str">
        <f>IF(COUNTIF(Products!$A$2:$A$8,C4104)=0,C4104,"")</f>
        <v/>
      </c>
      <c r="J4104">
        <f>IF(OR(E4104="Prospecting",E4104="Engaging"),VLOOKUP(C4104,Products!$A$2:$C$8,3,FALSE),0)</f>
        <v>0</v>
      </c>
    </row>
    <row r="4105" spans="1:10" x14ac:dyDescent="0.25">
      <c r="A4105" t="s">
        <v>4272</v>
      </c>
      <c r="B4105" t="s">
        <v>150</v>
      </c>
      <c r="C4105" t="s">
        <v>126</v>
      </c>
      <c r="D4105" t="s">
        <v>57</v>
      </c>
      <c r="E4105" t="s">
        <v>138</v>
      </c>
      <c r="F4105" s="1">
        <v>42908</v>
      </c>
      <c r="G4105" s="1">
        <v>42982</v>
      </c>
      <c r="H4105">
        <v>4916</v>
      </c>
      <c r="I4105" t="str">
        <f>IF(COUNTIF(Products!$A$2:$A$8,C4105)=0,C4105,"")</f>
        <v/>
      </c>
      <c r="J4105">
        <f>IF(OR(E4105="Prospecting",E4105="Engaging"),VLOOKUP(C4105,Products!$A$2:$C$8,3,FALSE),0)</f>
        <v>0</v>
      </c>
    </row>
    <row r="4106" spans="1:10" x14ac:dyDescent="0.25">
      <c r="A4106" t="s">
        <v>4273</v>
      </c>
      <c r="B4106" t="s">
        <v>205</v>
      </c>
      <c r="C4106" t="s">
        <v>125</v>
      </c>
      <c r="D4106" t="s">
        <v>94</v>
      </c>
      <c r="E4106" t="s">
        <v>138</v>
      </c>
      <c r="F4106" s="1">
        <v>42908</v>
      </c>
      <c r="G4106" s="1">
        <v>43006</v>
      </c>
      <c r="H4106">
        <v>3590</v>
      </c>
      <c r="I4106" t="str">
        <f>IF(COUNTIF(Products!$A$2:$A$8,C4106)=0,C4106,"")</f>
        <v/>
      </c>
      <c r="J4106">
        <f>IF(OR(E4106="Prospecting",E4106="Engaging"),VLOOKUP(C4106,Products!$A$2:$C$8,3,FALSE),0)</f>
        <v>0</v>
      </c>
    </row>
    <row r="4107" spans="1:10" x14ac:dyDescent="0.25">
      <c r="A4107" t="s">
        <v>4274</v>
      </c>
      <c r="B4107" t="s">
        <v>137</v>
      </c>
      <c r="C4107" t="s">
        <v>125</v>
      </c>
      <c r="D4107" t="s">
        <v>33</v>
      </c>
      <c r="E4107" t="s">
        <v>138</v>
      </c>
      <c r="F4107" s="1">
        <v>42908</v>
      </c>
      <c r="G4107" s="1">
        <v>42963</v>
      </c>
      <c r="H4107">
        <v>3207</v>
      </c>
      <c r="I4107" t="str">
        <f>IF(COUNTIF(Products!$A$2:$A$8,C4107)=0,C4107,"")</f>
        <v/>
      </c>
      <c r="J4107">
        <f>IF(OR(E4107="Prospecting",E4107="Engaging"),VLOOKUP(C4107,Products!$A$2:$C$8,3,FALSE),0)</f>
        <v>0</v>
      </c>
    </row>
    <row r="4108" spans="1:10" x14ac:dyDescent="0.25">
      <c r="A4108" t="s">
        <v>4275</v>
      </c>
      <c r="B4108" t="s">
        <v>137</v>
      </c>
      <c r="C4108" t="s">
        <v>125</v>
      </c>
      <c r="D4108" t="s">
        <v>116</v>
      </c>
      <c r="E4108" t="s">
        <v>138</v>
      </c>
      <c r="F4108" s="1">
        <v>42908</v>
      </c>
      <c r="G4108" s="1">
        <v>42999</v>
      </c>
      <c r="H4108">
        <v>2739</v>
      </c>
      <c r="I4108" t="str">
        <f>IF(COUNTIF(Products!$A$2:$A$8,C4108)=0,C4108,"")</f>
        <v/>
      </c>
      <c r="J4108">
        <f>IF(OR(E4108="Prospecting",E4108="Engaging"),VLOOKUP(C4108,Products!$A$2:$C$8,3,FALSE),0)</f>
        <v>0</v>
      </c>
    </row>
    <row r="4109" spans="1:10" x14ac:dyDescent="0.25">
      <c r="A4109" t="s">
        <v>4276</v>
      </c>
      <c r="B4109" t="s">
        <v>152</v>
      </c>
      <c r="C4109" t="s">
        <v>120</v>
      </c>
      <c r="D4109" t="s">
        <v>55</v>
      </c>
      <c r="E4109" t="s">
        <v>138</v>
      </c>
      <c r="F4109" s="1">
        <v>42908</v>
      </c>
      <c r="G4109" s="1">
        <v>42919</v>
      </c>
      <c r="H4109">
        <v>557</v>
      </c>
      <c r="I4109" t="str">
        <f>IF(COUNTIF(Products!$A$2:$A$8,C4109)=0,C4109,"")</f>
        <v/>
      </c>
      <c r="J4109">
        <f>IF(OR(E4109="Prospecting",E4109="Engaging"),VLOOKUP(C4109,Products!$A$2:$C$8,3,FALSE),0)</f>
        <v>0</v>
      </c>
    </row>
    <row r="4110" spans="1:10" x14ac:dyDescent="0.25">
      <c r="A4110" t="s">
        <v>4277</v>
      </c>
      <c r="B4110" t="s">
        <v>193</v>
      </c>
      <c r="C4110" t="s">
        <v>122</v>
      </c>
      <c r="D4110" t="s">
        <v>110</v>
      </c>
      <c r="E4110" t="s">
        <v>138</v>
      </c>
      <c r="F4110" s="1">
        <v>42908</v>
      </c>
      <c r="G4110" s="1">
        <v>42916</v>
      </c>
      <c r="H4110">
        <v>5302</v>
      </c>
      <c r="I4110" t="str">
        <f>IF(COUNTIF(Products!$A$2:$A$8,C4110)=0,C4110,"")</f>
        <v/>
      </c>
      <c r="J4110">
        <f>IF(OR(E4110="Prospecting",E4110="Engaging"),VLOOKUP(C4110,Products!$A$2:$C$8,3,FALSE),0)</f>
        <v>0</v>
      </c>
    </row>
    <row r="4111" spans="1:10" x14ac:dyDescent="0.25">
      <c r="A4111" t="s">
        <v>4278</v>
      </c>
      <c r="B4111" t="s">
        <v>169</v>
      </c>
      <c r="C4111" t="s">
        <v>123</v>
      </c>
      <c r="D4111" t="s">
        <v>33</v>
      </c>
      <c r="E4111" t="s">
        <v>159</v>
      </c>
      <c r="F4111" s="1">
        <v>42908</v>
      </c>
      <c r="G4111" s="1">
        <v>42973</v>
      </c>
      <c r="H4111">
        <v>0</v>
      </c>
      <c r="I4111" t="str">
        <f>IF(COUNTIF(Products!$A$2:$A$8,C4111)=0,C4111,"")</f>
        <v/>
      </c>
      <c r="J4111">
        <f>IF(OR(E4111="Prospecting",E4111="Engaging"),VLOOKUP(C4111,Products!$A$2:$C$8,3,FALSE),0)</f>
        <v>0</v>
      </c>
    </row>
    <row r="4112" spans="1:10" x14ac:dyDescent="0.25">
      <c r="A4112" t="s">
        <v>4279</v>
      </c>
      <c r="B4112" t="s">
        <v>169</v>
      </c>
      <c r="C4112" t="s">
        <v>125</v>
      </c>
      <c r="D4112" t="s">
        <v>116</v>
      </c>
      <c r="E4112" t="s">
        <v>138</v>
      </c>
      <c r="F4112" s="1">
        <v>42908</v>
      </c>
      <c r="G4112" s="1">
        <v>42917</v>
      </c>
      <c r="H4112">
        <v>3465</v>
      </c>
      <c r="I4112" t="str">
        <f>IF(COUNTIF(Products!$A$2:$A$8,C4112)=0,C4112,"")</f>
        <v/>
      </c>
      <c r="J4112">
        <f>IF(OR(E4112="Prospecting",E4112="Engaging"),VLOOKUP(C4112,Products!$A$2:$C$8,3,FALSE),0)</f>
        <v>0</v>
      </c>
    </row>
    <row r="4113" spans="1:10" x14ac:dyDescent="0.25">
      <c r="A4113" t="s">
        <v>4280</v>
      </c>
      <c r="B4113" t="s">
        <v>144</v>
      </c>
      <c r="C4113" t="s">
        <v>127</v>
      </c>
      <c r="E4113" t="s">
        <v>155</v>
      </c>
      <c r="F4113" s="1">
        <v>42908</v>
      </c>
      <c r="I4113" t="str">
        <f>IF(COUNTIF(Products!$A$2:$A$8,C4113)=0,C4113,"")</f>
        <v/>
      </c>
      <c r="J4113">
        <f>IF(OR(E4113="Prospecting",E4113="Engaging"),VLOOKUP(C4113,Products!$A$2:$C$8,3,FALSE),0)</f>
        <v>1096</v>
      </c>
    </row>
    <row r="4114" spans="1:10" x14ac:dyDescent="0.25">
      <c r="A4114" t="s">
        <v>4281</v>
      </c>
      <c r="B4114" t="s">
        <v>144</v>
      </c>
      <c r="C4114" t="s">
        <v>122</v>
      </c>
      <c r="D4114" t="s">
        <v>114</v>
      </c>
      <c r="E4114" t="s">
        <v>138</v>
      </c>
      <c r="F4114" s="1">
        <v>42908</v>
      </c>
      <c r="G4114" s="1">
        <v>42984</v>
      </c>
      <c r="H4114">
        <v>4356</v>
      </c>
      <c r="I4114" t="str">
        <f>IF(COUNTIF(Products!$A$2:$A$8,C4114)=0,C4114,"")</f>
        <v/>
      </c>
      <c r="J4114">
        <f>IF(OR(E4114="Prospecting",E4114="Engaging"),VLOOKUP(C4114,Products!$A$2:$C$8,3,FALSE),0)</f>
        <v>0</v>
      </c>
    </row>
    <row r="4115" spans="1:10" x14ac:dyDescent="0.25">
      <c r="A4115" t="s">
        <v>4282</v>
      </c>
      <c r="B4115" t="s">
        <v>222</v>
      </c>
      <c r="C4115" t="s">
        <v>122</v>
      </c>
      <c r="D4115" t="s">
        <v>50</v>
      </c>
      <c r="E4115" t="s">
        <v>138</v>
      </c>
      <c r="F4115" s="1">
        <v>42909</v>
      </c>
      <c r="G4115" s="1">
        <v>42999</v>
      </c>
      <c r="H4115">
        <v>5301</v>
      </c>
      <c r="I4115" t="str">
        <f>IF(COUNTIF(Products!$A$2:$A$8,C4115)=0,C4115,"")</f>
        <v/>
      </c>
      <c r="J4115">
        <f>IF(OR(E4115="Prospecting",E4115="Engaging"),VLOOKUP(C4115,Products!$A$2:$C$8,3,FALSE),0)</f>
        <v>0</v>
      </c>
    </row>
    <row r="4116" spans="1:10" x14ac:dyDescent="0.25">
      <c r="A4116" t="s">
        <v>4283</v>
      </c>
      <c r="B4116" t="s">
        <v>207</v>
      </c>
      <c r="C4116" t="s">
        <v>125</v>
      </c>
      <c r="E4116" t="s">
        <v>155</v>
      </c>
      <c r="F4116" s="1">
        <v>42909</v>
      </c>
      <c r="I4116" t="str">
        <f>IF(COUNTIF(Products!$A$2:$A$8,C4116)=0,C4116,"")</f>
        <v/>
      </c>
      <c r="J4116">
        <f>IF(OR(E4116="Prospecting",E4116="Engaging"),VLOOKUP(C4116,Products!$A$2:$C$8,3,FALSE),0)</f>
        <v>3393</v>
      </c>
    </row>
    <row r="4117" spans="1:10" x14ac:dyDescent="0.25">
      <c r="A4117" t="s">
        <v>4284</v>
      </c>
      <c r="B4117" t="s">
        <v>264</v>
      </c>
      <c r="C4117" t="s">
        <v>125</v>
      </c>
      <c r="D4117" t="s">
        <v>85</v>
      </c>
      <c r="E4117" t="s">
        <v>159</v>
      </c>
      <c r="F4117" s="1">
        <v>42909</v>
      </c>
      <c r="G4117" s="1">
        <v>42920</v>
      </c>
      <c r="H4117">
        <v>0</v>
      </c>
      <c r="I4117" t="str">
        <f>IF(COUNTIF(Products!$A$2:$A$8,C4117)=0,C4117,"")</f>
        <v/>
      </c>
      <c r="J4117">
        <f>IF(OR(E4117="Prospecting",E4117="Engaging"),VLOOKUP(C4117,Products!$A$2:$C$8,3,FALSE),0)</f>
        <v>0</v>
      </c>
    </row>
    <row r="4118" spans="1:10" x14ac:dyDescent="0.25">
      <c r="A4118" t="s">
        <v>4285</v>
      </c>
      <c r="B4118" t="s">
        <v>264</v>
      </c>
      <c r="C4118" t="s">
        <v>123</v>
      </c>
      <c r="D4118" t="s">
        <v>104</v>
      </c>
      <c r="E4118" t="s">
        <v>138</v>
      </c>
      <c r="F4118" s="1">
        <v>42909</v>
      </c>
      <c r="G4118" s="1">
        <v>42921</v>
      </c>
      <c r="H4118">
        <v>66</v>
      </c>
      <c r="I4118" t="str">
        <f>IF(COUNTIF(Products!$A$2:$A$8,C4118)=0,C4118,"")</f>
        <v/>
      </c>
      <c r="J4118">
        <f>IF(OR(E4118="Prospecting",E4118="Engaging"),VLOOKUP(C4118,Products!$A$2:$C$8,3,FALSE),0)</f>
        <v>0</v>
      </c>
    </row>
    <row r="4119" spans="1:10" x14ac:dyDescent="0.25">
      <c r="A4119" t="s">
        <v>4286</v>
      </c>
      <c r="B4119" t="s">
        <v>239</v>
      </c>
      <c r="C4119" t="s">
        <v>120</v>
      </c>
      <c r="D4119" t="s">
        <v>106</v>
      </c>
      <c r="E4119" t="s">
        <v>159</v>
      </c>
      <c r="F4119" s="1">
        <v>42909</v>
      </c>
      <c r="G4119" s="1">
        <v>42919</v>
      </c>
      <c r="H4119">
        <v>0</v>
      </c>
      <c r="I4119" t="str">
        <f>IF(COUNTIF(Products!$A$2:$A$8,C4119)=0,C4119,"")</f>
        <v/>
      </c>
      <c r="J4119">
        <f>IF(OR(E4119="Prospecting",E4119="Engaging"),VLOOKUP(C4119,Products!$A$2:$C$8,3,FALSE),0)</f>
        <v>0</v>
      </c>
    </row>
    <row r="4120" spans="1:10" x14ac:dyDescent="0.25">
      <c r="A4120" t="s">
        <v>4287</v>
      </c>
      <c r="B4120" t="s">
        <v>239</v>
      </c>
      <c r="C4120" t="s">
        <v>122</v>
      </c>
      <c r="D4120" t="s">
        <v>7</v>
      </c>
      <c r="E4120" t="s">
        <v>159</v>
      </c>
      <c r="F4120" s="1">
        <v>42909</v>
      </c>
      <c r="G4120" s="1">
        <v>42917</v>
      </c>
      <c r="H4120">
        <v>0</v>
      </c>
      <c r="I4120" t="str">
        <f>IF(COUNTIF(Products!$A$2:$A$8,C4120)=0,C4120,"")</f>
        <v/>
      </c>
      <c r="J4120">
        <f>IF(OR(E4120="Prospecting",E4120="Engaging"),VLOOKUP(C4120,Products!$A$2:$C$8,3,FALSE),0)</f>
        <v>0</v>
      </c>
    </row>
    <row r="4121" spans="1:10" x14ac:dyDescent="0.25">
      <c r="A4121" t="s">
        <v>4288</v>
      </c>
      <c r="B4121" t="s">
        <v>239</v>
      </c>
      <c r="C4121" t="s">
        <v>126</v>
      </c>
      <c r="D4121" t="s">
        <v>65</v>
      </c>
      <c r="E4121" t="s">
        <v>138</v>
      </c>
      <c r="F4121" s="1">
        <v>42909</v>
      </c>
      <c r="G4121" s="1">
        <v>42917</v>
      </c>
      <c r="H4121">
        <v>5640</v>
      </c>
      <c r="I4121" t="str">
        <f>IF(COUNTIF(Products!$A$2:$A$8,C4121)=0,C4121,"")</f>
        <v/>
      </c>
      <c r="J4121">
        <f>IF(OR(E4121="Prospecting",E4121="Engaging"),VLOOKUP(C4121,Products!$A$2:$C$8,3,FALSE),0)</f>
        <v>0</v>
      </c>
    </row>
    <row r="4122" spans="1:10" x14ac:dyDescent="0.25">
      <c r="A4122" t="s">
        <v>4289</v>
      </c>
      <c r="B4122" t="s">
        <v>171</v>
      </c>
      <c r="C4122" t="s">
        <v>125</v>
      </c>
      <c r="D4122" t="s">
        <v>68</v>
      </c>
      <c r="E4122" t="s">
        <v>159</v>
      </c>
      <c r="F4122" s="1">
        <v>42909</v>
      </c>
      <c r="G4122" s="1">
        <v>42977</v>
      </c>
      <c r="H4122">
        <v>0</v>
      </c>
      <c r="I4122" t="str">
        <f>IF(COUNTIF(Products!$A$2:$A$8,C4122)=0,C4122,"")</f>
        <v/>
      </c>
      <c r="J4122">
        <f>IF(OR(E4122="Prospecting",E4122="Engaging"),VLOOKUP(C4122,Products!$A$2:$C$8,3,FALSE),0)</f>
        <v>0</v>
      </c>
    </row>
    <row r="4123" spans="1:10" x14ac:dyDescent="0.25">
      <c r="A4123" t="s">
        <v>4290</v>
      </c>
      <c r="B4123" t="s">
        <v>171</v>
      </c>
      <c r="C4123" t="s">
        <v>127</v>
      </c>
      <c r="D4123" t="s">
        <v>67</v>
      </c>
      <c r="E4123" t="s">
        <v>138</v>
      </c>
      <c r="F4123" s="1">
        <v>42909</v>
      </c>
      <c r="G4123" s="1">
        <v>43006</v>
      </c>
      <c r="H4123">
        <v>1291</v>
      </c>
      <c r="I4123" t="str">
        <f>IF(COUNTIF(Products!$A$2:$A$8,C4123)=0,C4123,"")</f>
        <v/>
      </c>
      <c r="J4123">
        <f>IF(OR(E4123="Prospecting",E4123="Engaging"),VLOOKUP(C4123,Products!$A$2:$C$8,3,FALSE),0)</f>
        <v>0</v>
      </c>
    </row>
    <row r="4124" spans="1:10" x14ac:dyDescent="0.25">
      <c r="A4124" t="s">
        <v>4291</v>
      </c>
      <c r="B4124" t="s">
        <v>171</v>
      </c>
      <c r="C4124" t="s">
        <v>122</v>
      </c>
      <c r="D4124" t="s">
        <v>73</v>
      </c>
      <c r="E4124" t="s">
        <v>138</v>
      </c>
      <c r="F4124" s="1">
        <v>42909</v>
      </c>
      <c r="G4124" s="1">
        <v>43005</v>
      </c>
      <c r="H4124">
        <v>3729</v>
      </c>
      <c r="I4124" t="str">
        <f>IF(COUNTIF(Products!$A$2:$A$8,C4124)=0,C4124,"")</f>
        <v/>
      </c>
      <c r="J4124">
        <f>IF(OR(E4124="Prospecting",E4124="Engaging"),VLOOKUP(C4124,Products!$A$2:$C$8,3,FALSE),0)</f>
        <v>0</v>
      </c>
    </row>
    <row r="4125" spans="1:10" x14ac:dyDescent="0.25">
      <c r="A4125" t="s">
        <v>4292</v>
      </c>
      <c r="B4125" t="s">
        <v>140</v>
      </c>
      <c r="C4125" t="s">
        <v>122</v>
      </c>
      <c r="D4125" t="s">
        <v>104</v>
      </c>
      <c r="E4125" t="s">
        <v>159</v>
      </c>
      <c r="F4125" s="1">
        <v>42909</v>
      </c>
      <c r="G4125" s="1">
        <v>42970</v>
      </c>
      <c r="H4125">
        <v>0</v>
      </c>
      <c r="I4125" t="str">
        <f>IF(COUNTIF(Products!$A$2:$A$8,C4125)=0,C4125,"")</f>
        <v/>
      </c>
      <c r="J4125">
        <f>IF(OR(E4125="Prospecting",E4125="Engaging"),VLOOKUP(C4125,Products!$A$2:$C$8,3,FALSE),0)</f>
        <v>0</v>
      </c>
    </row>
    <row r="4126" spans="1:10" x14ac:dyDescent="0.25">
      <c r="A4126" t="s">
        <v>4293</v>
      </c>
      <c r="B4126" t="s">
        <v>158</v>
      </c>
      <c r="C4126" t="s">
        <v>123</v>
      </c>
      <c r="D4126" t="s">
        <v>28</v>
      </c>
      <c r="E4126" t="s">
        <v>138</v>
      </c>
      <c r="F4126" s="1">
        <v>42909</v>
      </c>
      <c r="G4126" s="1">
        <v>42919</v>
      </c>
      <c r="H4126">
        <v>49</v>
      </c>
      <c r="I4126" t="str">
        <f>IF(COUNTIF(Products!$A$2:$A$8,C4126)=0,C4126,"")</f>
        <v/>
      </c>
      <c r="J4126">
        <f>IF(OR(E4126="Prospecting",E4126="Engaging"),VLOOKUP(C4126,Products!$A$2:$C$8,3,FALSE),0)</f>
        <v>0</v>
      </c>
    </row>
    <row r="4127" spans="1:10" x14ac:dyDescent="0.25">
      <c r="A4127" t="s">
        <v>4294</v>
      </c>
      <c r="B4127" t="s">
        <v>164</v>
      </c>
      <c r="C4127" t="s">
        <v>125</v>
      </c>
      <c r="D4127" t="s">
        <v>93</v>
      </c>
      <c r="E4127" t="s">
        <v>159</v>
      </c>
      <c r="F4127" s="1">
        <v>42909</v>
      </c>
      <c r="G4127" s="1">
        <v>42919</v>
      </c>
      <c r="H4127">
        <v>0</v>
      </c>
      <c r="I4127" t="str">
        <f>IF(COUNTIF(Products!$A$2:$A$8,C4127)=0,C4127,"")</f>
        <v/>
      </c>
      <c r="J4127">
        <f>IF(OR(E4127="Prospecting",E4127="Engaging"),VLOOKUP(C4127,Products!$A$2:$C$8,3,FALSE),0)</f>
        <v>0</v>
      </c>
    </row>
    <row r="4128" spans="1:10" x14ac:dyDescent="0.25">
      <c r="A4128" t="s">
        <v>4295</v>
      </c>
      <c r="B4128" t="s">
        <v>164</v>
      </c>
      <c r="C4128" t="s">
        <v>127</v>
      </c>
      <c r="D4128" t="s">
        <v>83</v>
      </c>
      <c r="E4128" t="s">
        <v>138</v>
      </c>
      <c r="F4128" s="1">
        <v>42909</v>
      </c>
      <c r="G4128" s="1">
        <v>42990</v>
      </c>
      <c r="H4128">
        <v>1099</v>
      </c>
      <c r="I4128" t="str">
        <f>IF(COUNTIF(Products!$A$2:$A$8,C4128)=0,C4128,"")</f>
        <v/>
      </c>
      <c r="J4128">
        <f>IF(OR(E4128="Prospecting",E4128="Engaging"),VLOOKUP(C4128,Products!$A$2:$C$8,3,FALSE),0)</f>
        <v>0</v>
      </c>
    </row>
    <row r="4129" spans="1:10" x14ac:dyDescent="0.25">
      <c r="A4129" t="s">
        <v>4296</v>
      </c>
      <c r="B4129" t="s">
        <v>191</v>
      </c>
      <c r="C4129" t="s">
        <v>122</v>
      </c>
      <c r="D4129" t="s">
        <v>71</v>
      </c>
      <c r="E4129" t="s">
        <v>159</v>
      </c>
      <c r="F4129" s="1">
        <v>42909</v>
      </c>
      <c r="G4129" s="1">
        <v>42920</v>
      </c>
      <c r="H4129">
        <v>0</v>
      </c>
      <c r="I4129" t="str">
        <f>IF(COUNTIF(Products!$A$2:$A$8,C4129)=0,C4129,"")</f>
        <v/>
      </c>
      <c r="J4129">
        <f>IF(OR(E4129="Prospecting",E4129="Engaging"),VLOOKUP(C4129,Products!$A$2:$C$8,3,FALSE),0)</f>
        <v>0</v>
      </c>
    </row>
    <row r="4130" spans="1:10" x14ac:dyDescent="0.25">
      <c r="A4130" t="s">
        <v>4297</v>
      </c>
      <c r="B4130" t="s">
        <v>217</v>
      </c>
      <c r="C4130" t="s">
        <v>125</v>
      </c>
      <c r="D4130" t="s">
        <v>27</v>
      </c>
      <c r="E4130" t="s">
        <v>159</v>
      </c>
      <c r="F4130" s="1">
        <v>42909</v>
      </c>
      <c r="G4130" s="1">
        <v>42919</v>
      </c>
      <c r="H4130">
        <v>0</v>
      </c>
      <c r="I4130" t="str">
        <f>IF(COUNTIF(Products!$A$2:$A$8,C4130)=0,C4130,"")</f>
        <v/>
      </c>
      <c r="J4130">
        <f>IF(OR(E4130="Prospecting",E4130="Engaging"),VLOOKUP(C4130,Products!$A$2:$C$8,3,FALSE),0)</f>
        <v>0</v>
      </c>
    </row>
    <row r="4131" spans="1:10" x14ac:dyDescent="0.25">
      <c r="A4131" t="s">
        <v>4298</v>
      </c>
      <c r="B4131" t="s">
        <v>205</v>
      </c>
      <c r="C4131" t="s">
        <v>125</v>
      </c>
      <c r="D4131" t="s">
        <v>70</v>
      </c>
      <c r="E4131" t="s">
        <v>159</v>
      </c>
      <c r="F4131" s="1">
        <v>42909</v>
      </c>
      <c r="G4131" s="1">
        <v>43000</v>
      </c>
      <c r="H4131">
        <v>0</v>
      </c>
      <c r="I4131" t="str">
        <f>IF(COUNTIF(Products!$A$2:$A$8,C4131)=0,C4131,"")</f>
        <v/>
      </c>
      <c r="J4131">
        <f>IF(OR(E4131="Prospecting",E4131="Engaging"),VLOOKUP(C4131,Products!$A$2:$C$8,3,FALSE),0)</f>
        <v>0</v>
      </c>
    </row>
    <row r="4132" spans="1:10" x14ac:dyDescent="0.25">
      <c r="A4132" t="s">
        <v>4299</v>
      </c>
      <c r="B4132" t="s">
        <v>152</v>
      </c>
      <c r="C4132" t="s">
        <v>127</v>
      </c>
      <c r="D4132" t="s">
        <v>27</v>
      </c>
      <c r="E4132" t="s">
        <v>138</v>
      </c>
      <c r="F4132" s="1">
        <v>42909</v>
      </c>
      <c r="G4132" s="1">
        <v>42918</v>
      </c>
      <c r="H4132">
        <v>932</v>
      </c>
      <c r="I4132" t="str">
        <f>IF(COUNTIF(Products!$A$2:$A$8,C4132)=0,C4132,"")</f>
        <v/>
      </c>
      <c r="J4132">
        <f>IF(OR(E4132="Prospecting",E4132="Engaging"),VLOOKUP(C4132,Products!$A$2:$C$8,3,FALSE),0)</f>
        <v>0</v>
      </c>
    </row>
    <row r="4133" spans="1:10" x14ac:dyDescent="0.25">
      <c r="A4133" t="s">
        <v>4300</v>
      </c>
      <c r="B4133" t="s">
        <v>193</v>
      </c>
      <c r="C4133" t="s">
        <v>120</v>
      </c>
      <c r="D4133" t="s">
        <v>92</v>
      </c>
      <c r="E4133" t="s">
        <v>159</v>
      </c>
      <c r="F4133" s="1">
        <v>42909</v>
      </c>
      <c r="G4133" s="1">
        <v>42917</v>
      </c>
      <c r="H4133">
        <v>0</v>
      </c>
      <c r="I4133" t="str">
        <f>IF(COUNTIF(Products!$A$2:$A$8,C4133)=0,C4133,"")</f>
        <v/>
      </c>
      <c r="J4133">
        <f>IF(OR(E4133="Prospecting",E4133="Engaging"),VLOOKUP(C4133,Products!$A$2:$C$8,3,FALSE),0)</f>
        <v>0</v>
      </c>
    </row>
    <row r="4134" spans="1:10" x14ac:dyDescent="0.25">
      <c r="A4134" t="s">
        <v>4301</v>
      </c>
      <c r="B4134" t="s">
        <v>193</v>
      </c>
      <c r="C4134" t="s">
        <v>127</v>
      </c>
      <c r="D4134" t="s">
        <v>35</v>
      </c>
      <c r="E4134" t="s">
        <v>138</v>
      </c>
      <c r="F4134" s="1">
        <v>42909</v>
      </c>
      <c r="G4134" s="1">
        <v>42920</v>
      </c>
      <c r="H4134">
        <v>880</v>
      </c>
      <c r="I4134" t="str">
        <f>IF(COUNTIF(Products!$A$2:$A$8,C4134)=0,C4134,"")</f>
        <v/>
      </c>
      <c r="J4134">
        <f>IF(OR(E4134="Prospecting",E4134="Engaging"),VLOOKUP(C4134,Products!$A$2:$C$8,3,FALSE),0)</f>
        <v>0</v>
      </c>
    </row>
    <row r="4135" spans="1:10" x14ac:dyDescent="0.25">
      <c r="A4135" t="s">
        <v>4302</v>
      </c>
      <c r="B4135" t="s">
        <v>193</v>
      </c>
      <c r="C4135" t="s">
        <v>122</v>
      </c>
      <c r="D4135" t="s">
        <v>48</v>
      </c>
      <c r="E4135" t="s">
        <v>138</v>
      </c>
      <c r="F4135" s="1">
        <v>42909</v>
      </c>
      <c r="G4135" s="1">
        <v>42996</v>
      </c>
      <c r="H4135">
        <v>4801</v>
      </c>
      <c r="I4135" t="str">
        <f>IF(COUNTIF(Products!$A$2:$A$8,C4135)=0,C4135,"")</f>
        <v/>
      </c>
      <c r="J4135">
        <f>IF(OR(E4135="Prospecting",E4135="Engaging"),VLOOKUP(C4135,Products!$A$2:$C$8,3,FALSE),0)</f>
        <v>0</v>
      </c>
    </row>
    <row r="4136" spans="1:10" x14ac:dyDescent="0.25">
      <c r="A4136" t="s">
        <v>4303</v>
      </c>
      <c r="B4136" t="s">
        <v>187</v>
      </c>
      <c r="C4136" t="s">
        <v>123</v>
      </c>
      <c r="D4136" t="s">
        <v>69</v>
      </c>
      <c r="E4136" t="s">
        <v>138</v>
      </c>
      <c r="F4136" s="1">
        <v>42909</v>
      </c>
      <c r="G4136" s="1">
        <v>42917</v>
      </c>
      <c r="H4136">
        <v>59</v>
      </c>
      <c r="I4136" t="str">
        <f>IF(COUNTIF(Products!$A$2:$A$8,C4136)=0,C4136,"")</f>
        <v/>
      </c>
      <c r="J4136">
        <f>IF(OR(E4136="Prospecting",E4136="Engaging"),VLOOKUP(C4136,Products!$A$2:$C$8,3,FALSE),0)</f>
        <v>0</v>
      </c>
    </row>
    <row r="4137" spans="1:10" x14ac:dyDescent="0.25">
      <c r="A4137" t="s">
        <v>4304</v>
      </c>
      <c r="B4137" t="s">
        <v>169</v>
      </c>
      <c r="C4137" t="s">
        <v>123</v>
      </c>
      <c r="D4137" t="s">
        <v>42</v>
      </c>
      <c r="E4137" t="s">
        <v>159</v>
      </c>
      <c r="F4137" s="1">
        <v>42909</v>
      </c>
      <c r="G4137" s="1">
        <v>42921</v>
      </c>
      <c r="H4137">
        <v>0</v>
      </c>
      <c r="I4137" t="str">
        <f>IF(COUNTIF(Products!$A$2:$A$8,C4137)=0,C4137,"")</f>
        <v/>
      </c>
      <c r="J4137">
        <f>IF(OR(E4137="Prospecting",E4137="Engaging"),VLOOKUP(C4137,Products!$A$2:$C$8,3,FALSE),0)</f>
        <v>0</v>
      </c>
    </row>
    <row r="4138" spans="1:10" x14ac:dyDescent="0.25">
      <c r="A4138" t="s">
        <v>4305</v>
      </c>
      <c r="B4138" t="s">
        <v>169</v>
      </c>
      <c r="C4138" t="s">
        <v>123</v>
      </c>
      <c r="D4138" t="s">
        <v>88</v>
      </c>
      <c r="E4138" t="s">
        <v>138</v>
      </c>
      <c r="F4138" s="1">
        <v>42909</v>
      </c>
      <c r="G4138" s="1">
        <v>43007</v>
      </c>
      <c r="H4138">
        <v>52</v>
      </c>
      <c r="I4138" t="str">
        <f>IF(COUNTIF(Products!$A$2:$A$8,C4138)=0,C4138,"")</f>
        <v/>
      </c>
      <c r="J4138">
        <f>IF(OR(E4138="Prospecting",E4138="Engaging"),VLOOKUP(C4138,Products!$A$2:$C$8,3,FALSE),0)</f>
        <v>0</v>
      </c>
    </row>
    <row r="4139" spans="1:10" x14ac:dyDescent="0.25">
      <c r="A4139" t="s">
        <v>4306</v>
      </c>
      <c r="B4139" t="s">
        <v>169</v>
      </c>
      <c r="C4139" t="s">
        <v>125</v>
      </c>
      <c r="D4139" t="s">
        <v>94</v>
      </c>
      <c r="E4139" t="s">
        <v>138</v>
      </c>
      <c r="F4139" s="1">
        <v>42909</v>
      </c>
      <c r="G4139" s="1">
        <v>42999</v>
      </c>
      <c r="H4139">
        <v>2949</v>
      </c>
      <c r="I4139" t="str">
        <f>IF(COUNTIF(Products!$A$2:$A$8,C4139)=0,C4139,"")</f>
        <v/>
      </c>
      <c r="J4139">
        <f>IF(OR(E4139="Prospecting",E4139="Engaging"),VLOOKUP(C4139,Products!$A$2:$C$8,3,FALSE),0)</f>
        <v>0</v>
      </c>
    </row>
    <row r="4140" spans="1:10" x14ac:dyDescent="0.25">
      <c r="A4140" t="s">
        <v>4307</v>
      </c>
      <c r="B4140" t="s">
        <v>148</v>
      </c>
      <c r="C4140" t="s">
        <v>122</v>
      </c>
      <c r="D4140" t="s">
        <v>34</v>
      </c>
      <c r="E4140" t="s">
        <v>159</v>
      </c>
      <c r="F4140" s="1">
        <v>42909</v>
      </c>
      <c r="G4140" s="1">
        <v>42922</v>
      </c>
      <c r="H4140">
        <v>0</v>
      </c>
      <c r="I4140" t="str">
        <f>IF(COUNTIF(Products!$A$2:$A$8,C4140)=0,C4140,"")</f>
        <v/>
      </c>
      <c r="J4140">
        <f>IF(OR(E4140="Prospecting",E4140="Engaging"),VLOOKUP(C4140,Products!$A$2:$C$8,3,FALSE),0)</f>
        <v>0</v>
      </c>
    </row>
    <row r="4141" spans="1:10" x14ac:dyDescent="0.25">
      <c r="A4141" t="s">
        <v>4308</v>
      </c>
      <c r="B4141" t="s">
        <v>177</v>
      </c>
      <c r="C4141" t="s">
        <v>123</v>
      </c>
      <c r="D4141" t="s">
        <v>10</v>
      </c>
      <c r="E4141" t="s">
        <v>155</v>
      </c>
      <c r="F4141" s="1">
        <v>42909</v>
      </c>
      <c r="I4141" t="str">
        <f>IF(COUNTIF(Products!$A$2:$A$8,C4141)=0,C4141,"")</f>
        <v/>
      </c>
      <c r="J4141">
        <f>IF(OR(E4141="Prospecting",E4141="Engaging"),VLOOKUP(C4141,Products!$A$2:$C$8,3,FALSE),0)</f>
        <v>55</v>
      </c>
    </row>
    <row r="4142" spans="1:10" x14ac:dyDescent="0.25">
      <c r="A4142" t="s">
        <v>4309</v>
      </c>
      <c r="B4142" t="s">
        <v>177</v>
      </c>
      <c r="C4142" t="s">
        <v>123</v>
      </c>
      <c r="D4142" t="s">
        <v>69</v>
      </c>
      <c r="E4142" t="s">
        <v>138</v>
      </c>
      <c r="F4142" s="1">
        <v>42909</v>
      </c>
      <c r="G4142" s="1">
        <v>42962</v>
      </c>
      <c r="H4142">
        <v>50</v>
      </c>
      <c r="I4142" t="str">
        <f>IF(COUNTIF(Products!$A$2:$A$8,C4142)=0,C4142,"")</f>
        <v/>
      </c>
      <c r="J4142">
        <f>IF(OR(E4142="Prospecting",E4142="Engaging"),VLOOKUP(C4142,Products!$A$2:$C$8,3,FALSE),0)</f>
        <v>0</v>
      </c>
    </row>
    <row r="4143" spans="1:10" x14ac:dyDescent="0.25">
      <c r="A4143" t="s">
        <v>4310</v>
      </c>
      <c r="B4143" t="s">
        <v>177</v>
      </c>
      <c r="C4143" t="s">
        <v>125</v>
      </c>
      <c r="D4143" t="s">
        <v>84</v>
      </c>
      <c r="E4143" t="s">
        <v>138</v>
      </c>
      <c r="F4143" s="1">
        <v>42909</v>
      </c>
      <c r="G4143" s="1">
        <v>42916</v>
      </c>
      <c r="H4143">
        <v>3863</v>
      </c>
      <c r="I4143" t="str">
        <f>IF(COUNTIF(Products!$A$2:$A$8,C4143)=0,C4143,"")</f>
        <v/>
      </c>
      <c r="J4143">
        <f>IF(OR(E4143="Prospecting",E4143="Engaging"),VLOOKUP(C4143,Products!$A$2:$C$8,3,FALSE),0)</f>
        <v>0</v>
      </c>
    </row>
    <row r="4144" spans="1:10" x14ac:dyDescent="0.25">
      <c r="A4144" t="s">
        <v>4311</v>
      </c>
      <c r="B4144" t="s">
        <v>144</v>
      </c>
      <c r="C4144" t="s">
        <v>122</v>
      </c>
      <c r="D4144" t="s">
        <v>67</v>
      </c>
      <c r="E4144" t="s">
        <v>155</v>
      </c>
      <c r="F4144" s="1">
        <v>42909</v>
      </c>
      <c r="I4144" t="str">
        <f>IF(COUNTIF(Products!$A$2:$A$8,C4144)=0,C4144,"")</f>
        <v/>
      </c>
      <c r="J4144">
        <f>IF(OR(E4144="Prospecting",E4144="Engaging"),VLOOKUP(C4144,Products!$A$2:$C$8,3,FALSE),0)</f>
        <v>4821</v>
      </c>
    </row>
    <row r="4145" spans="1:10" x14ac:dyDescent="0.25">
      <c r="A4145" t="s">
        <v>4312</v>
      </c>
      <c r="B4145" t="s">
        <v>144</v>
      </c>
      <c r="C4145" t="s">
        <v>120</v>
      </c>
      <c r="D4145" t="s">
        <v>47</v>
      </c>
      <c r="E4145" t="s">
        <v>159</v>
      </c>
      <c r="F4145" s="1">
        <v>42909</v>
      </c>
      <c r="G4145" s="1">
        <v>42920</v>
      </c>
      <c r="H4145">
        <v>0</v>
      </c>
      <c r="I4145" t="str">
        <f>IF(COUNTIF(Products!$A$2:$A$8,C4145)=0,C4145,"")</f>
        <v/>
      </c>
      <c r="J4145">
        <f>IF(OR(E4145="Prospecting",E4145="Engaging"),VLOOKUP(C4145,Products!$A$2:$C$8,3,FALSE),0)</f>
        <v>0</v>
      </c>
    </row>
    <row r="4146" spans="1:10" x14ac:dyDescent="0.25">
      <c r="A4146" t="s">
        <v>4313</v>
      </c>
      <c r="B4146" t="s">
        <v>146</v>
      </c>
      <c r="C4146" t="s">
        <v>123</v>
      </c>
      <c r="D4146" t="s">
        <v>94</v>
      </c>
      <c r="E4146" t="s">
        <v>138</v>
      </c>
      <c r="F4146" s="1">
        <v>42910</v>
      </c>
      <c r="G4146" s="1">
        <v>42918</v>
      </c>
      <c r="H4146">
        <v>64</v>
      </c>
      <c r="I4146" t="str">
        <f>IF(COUNTIF(Products!$A$2:$A$8,C4146)=0,C4146,"")</f>
        <v/>
      </c>
      <c r="J4146">
        <f>IF(OR(E4146="Prospecting",E4146="Engaging"),VLOOKUP(C4146,Products!$A$2:$C$8,3,FALSE),0)</f>
        <v>0</v>
      </c>
    </row>
    <row r="4147" spans="1:10" x14ac:dyDescent="0.25">
      <c r="A4147" t="s">
        <v>4314</v>
      </c>
      <c r="B4147" t="s">
        <v>222</v>
      </c>
      <c r="C4147" t="s">
        <v>126</v>
      </c>
      <c r="E4147" t="s">
        <v>155</v>
      </c>
      <c r="F4147" s="1">
        <v>42910</v>
      </c>
      <c r="I4147" t="str">
        <f>IF(COUNTIF(Products!$A$2:$A$8,C4147)=0,C4147,"")</f>
        <v/>
      </c>
      <c r="J4147">
        <f>IF(OR(E4147="Prospecting",E4147="Engaging"),VLOOKUP(C4147,Products!$A$2:$C$8,3,FALSE),0)</f>
        <v>5482</v>
      </c>
    </row>
    <row r="4148" spans="1:10" x14ac:dyDescent="0.25">
      <c r="A4148" t="s">
        <v>4315</v>
      </c>
      <c r="B4148" t="s">
        <v>239</v>
      </c>
      <c r="C4148" t="s">
        <v>122</v>
      </c>
      <c r="E4148" t="s">
        <v>155</v>
      </c>
      <c r="F4148" s="1">
        <v>42910</v>
      </c>
      <c r="I4148" t="str">
        <f>IF(COUNTIF(Products!$A$2:$A$8,C4148)=0,C4148,"")</f>
        <v/>
      </c>
      <c r="J4148">
        <f>IF(OR(E4148="Prospecting",E4148="Engaging"),VLOOKUP(C4148,Products!$A$2:$C$8,3,FALSE),0)</f>
        <v>4821</v>
      </c>
    </row>
    <row r="4149" spans="1:10" x14ac:dyDescent="0.25">
      <c r="A4149" t="s">
        <v>4316</v>
      </c>
      <c r="B4149" t="s">
        <v>239</v>
      </c>
      <c r="C4149" t="s">
        <v>127</v>
      </c>
      <c r="D4149" t="s">
        <v>105</v>
      </c>
      <c r="E4149" t="s">
        <v>159</v>
      </c>
      <c r="F4149" s="1">
        <v>42910</v>
      </c>
      <c r="G4149" s="1">
        <v>42919</v>
      </c>
      <c r="H4149">
        <v>0</v>
      </c>
      <c r="I4149" t="str">
        <f>IF(COUNTIF(Products!$A$2:$A$8,C4149)=0,C4149,"")</f>
        <v/>
      </c>
      <c r="J4149">
        <f>IF(OR(E4149="Prospecting",E4149="Engaging"),VLOOKUP(C4149,Products!$A$2:$C$8,3,FALSE),0)</f>
        <v>0</v>
      </c>
    </row>
    <row r="4150" spans="1:10" x14ac:dyDescent="0.25">
      <c r="A4150" t="s">
        <v>4317</v>
      </c>
      <c r="B4150" t="s">
        <v>239</v>
      </c>
      <c r="C4150" t="s">
        <v>126</v>
      </c>
      <c r="D4150" t="s">
        <v>68</v>
      </c>
      <c r="E4150" t="s">
        <v>138</v>
      </c>
      <c r="F4150" s="1">
        <v>42910</v>
      </c>
      <c r="G4150" s="1">
        <v>42969</v>
      </c>
      <c r="H4150">
        <v>5038</v>
      </c>
      <c r="I4150" t="str">
        <f>IF(COUNTIF(Products!$A$2:$A$8,C4150)=0,C4150,"")</f>
        <v/>
      </c>
      <c r="J4150">
        <f>IF(OR(E4150="Prospecting",E4150="Engaging"),VLOOKUP(C4150,Products!$A$2:$C$8,3,FALSE),0)</f>
        <v>0</v>
      </c>
    </row>
    <row r="4151" spans="1:10" x14ac:dyDescent="0.25">
      <c r="A4151" t="s">
        <v>4318</v>
      </c>
      <c r="B4151" t="s">
        <v>239</v>
      </c>
      <c r="C4151" t="s">
        <v>122</v>
      </c>
      <c r="D4151" t="s">
        <v>115</v>
      </c>
      <c r="E4151" t="s">
        <v>138</v>
      </c>
      <c r="F4151" s="1">
        <v>42910</v>
      </c>
      <c r="G4151" s="1">
        <v>42918</v>
      </c>
      <c r="H4151">
        <v>5088</v>
      </c>
      <c r="I4151" t="str">
        <f>IF(COUNTIF(Products!$A$2:$A$8,C4151)=0,C4151,"")</f>
        <v/>
      </c>
      <c r="J4151">
        <f>IF(OR(E4151="Prospecting",E4151="Engaging"),VLOOKUP(C4151,Products!$A$2:$C$8,3,FALSE),0)</f>
        <v>0</v>
      </c>
    </row>
    <row r="4152" spans="1:10" x14ac:dyDescent="0.25">
      <c r="A4152" t="s">
        <v>4319</v>
      </c>
      <c r="B4152" t="s">
        <v>158</v>
      </c>
      <c r="C4152" t="s">
        <v>123</v>
      </c>
      <c r="D4152" t="s">
        <v>95</v>
      </c>
      <c r="E4152" t="s">
        <v>138</v>
      </c>
      <c r="F4152" s="1">
        <v>42910</v>
      </c>
      <c r="G4152" s="1">
        <v>42961</v>
      </c>
      <c r="H4152">
        <v>48</v>
      </c>
      <c r="I4152" t="str">
        <f>IF(COUNTIF(Products!$A$2:$A$8,C4152)=0,C4152,"")</f>
        <v/>
      </c>
      <c r="J4152">
        <f>IF(OR(E4152="Prospecting",E4152="Engaging"),VLOOKUP(C4152,Products!$A$2:$C$8,3,FALSE),0)</f>
        <v>0</v>
      </c>
    </row>
    <row r="4153" spans="1:10" x14ac:dyDescent="0.25">
      <c r="A4153" t="s">
        <v>4320</v>
      </c>
      <c r="B4153" t="s">
        <v>164</v>
      </c>
      <c r="C4153" t="s">
        <v>127</v>
      </c>
      <c r="D4153" t="s">
        <v>29</v>
      </c>
      <c r="E4153" t="s">
        <v>159</v>
      </c>
      <c r="F4153" s="1">
        <v>42910</v>
      </c>
      <c r="G4153" s="1">
        <v>42920</v>
      </c>
      <c r="H4153">
        <v>0</v>
      </c>
      <c r="I4153" t="str">
        <f>IF(COUNTIF(Products!$A$2:$A$8,C4153)=0,C4153,"")</f>
        <v/>
      </c>
      <c r="J4153">
        <f>IF(OR(E4153="Prospecting",E4153="Engaging"),VLOOKUP(C4153,Products!$A$2:$C$8,3,FALSE),0)</f>
        <v>0</v>
      </c>
    </row>
    <row r="4154" spans="1:10" x14ac:dyDescent="0.25">
      <c r="A4154" t="s">
        <v>4321</v>
      </c>
      <c r="B4154" t="s">
        <v>191</v>
      </c>
      <c r="C4154" t="s">
        <v>122</v>
      </c>
      <c r="D4154" t="s">
        <v>10</v>
      </c>
      <c r="E4154" t="s">
        <v>155</v>
      </c>
      <c r="F4154" s="1">
        <v>42910</v>
      </c>
      <c r="I4154" t="str">
        <f>IF(COUNTIF(Products!$A$2:$A$8,C4154)=0,C4154,"")</f>
        <v/>
      </c>
      <c r="J4154">
        <f>IF(OR(E4154="Prospecting",E4154="Engaging"),VLOOKUP(C4154,Products!$A$2:$C$8,3,FALSE),0)</f>
        <v>4821</v>
      </c>
    </row>
    <row r="4155" spans="1:10" x14ac:dyDescent="0.25">
      <c r="A4155" t="s">
        <v>4322</v>
      </c>
      <c r="B4155" t="s">
        <v>191</v>
      </c>
      <c r="C4155" t="s">
        <v>127</v>
      </c>
      <c r="D4155" t="s">
        <v>57</v>
      </c>
      <c r="E4155" t="s">
        <v>159</v>
      </c>
      <c r="F4155" s="1">
        <v>42910</v>
      </c>
      <c r="G4155" s="1">
        <v>42986</v>
      </c>
      <c r="H4155">
        <v>0</v>
      </c>
      <c r="I4155" t="str">
        <f>IF(COUNTIF(Products!$A$2:$A$8,C4155)=0,C4155,"")</f>
        <v/>
      </c>
      <c r="J4155">
        <f>IF(OR(E4155="Prospecting",E4155="Engaging"),VLOOKUP(C4155,Products!$A$2:$C$8,3,FALSE),0)</f>
        <v>0</v>
      </c>
    </row>
    <row r="4156" spans="1:10" x14ac:dyDescent="0.25">
      <c r="A4156" t="s">
        <v>4323</v>
      </c>
      <c r="B4156" t="s">
        <v>191</v>
      </c>
      <c r="C4156" t="s">
        <v>126</v>
      </c>
      <c r="D4156" t="s">
        <v>72</v>
      </c>
      <c r="E4156" t="s">
        <v>138</v>
      </c>
      <c r="F4156" s="1">
        <v>42910</v>
      </c>
      <c r="G4156" s="1">
        <v>43008</v>
      </c>
      <c r="H4156">
        <v>5056</v>
      </c>
      <c r="I4156" t="str">
        <f>IF(COUNTIF(Products!$A$2:$A$8,C4156)=0,C4156,"")</f>
        <v/>
      </c>
      <c r="J4156">
        <f>IF(OR(E4156="Prospecting",E4156="Engaging"),VLOOKUP(C4156,Products!$A$2:$C$8,3,FALSE),0)</f>
        <v>0</v>
      </c>
    </row>
    <row r="4157" spans="1:10" x14ac:dyDescent="0.25">
      <c r="A4157" t="s">
        <v>4324</v>
      </c>
      <c r="B4157" t="s">
        <v>150</v>
      </c>
      <c r="C4157" t="s">
        <v>123</v>
      </c>
      <c r="D4157" t="s">
        <v>17</v>
      </c>
      <c r="E4157" t="s">
        <v>138</v>
      </c>
      <c r="F4157" s="1">
        <v>42910</v>
      </c>
      <c r="G4157" s="1">
        <v>42918</v>
      </c>
      <c r="H4157">
        <v>59</v>
      </c>
      <c r="I4157" t="str">
        <f>IF(COUNTIF(Products!$A$2:$A$8,C4157)=0,C4157,"")</f>
        <v/>
      </c>
      <c r="J4157">
        <f>IF(OR(E4157="Prospecting",E4157="Engaging"),VLOOKUP(C4157,Products!$A$2:$C$8,3,FALSE),0)</f>
        <v>0</v>
      </c>
    </row>
    <row r="4158" spans="1:10" x14ac:dyDescent="0.25">
      <c r="A4158" t="s">
        <v>4325</v>
      </c>
      <c r="B4158" t="s">
        <v>162</v>
      </c>
      <c r="C4158" t="s">
        <v>127</v>
      </c>
      <c r="D4158" t="s">
        <v>23</v>
      </c>
      <c r="E4158" t="s">
        <v>159</v>
      </c>
      <c r="F4158" s="1">
        <v>42910</v>
      </c>
      <c r="G4158" s="1">
        <v>42967</v>
      </c>
      <c r="H4158">
        <v>0</v>
      </c>
      <c r="I4158" t="str">
        <f>IF(COUNTIF(Products!$A$2:$A$8,C4158)=0,C4158,"")</f>
        <v/>
      </c>
      <c r="J4158">
        <f>IF(OR(E4158="Prospecting",E4158="Engaging"),VLOOKUP(C4158,Products!$A$2:$C$8,3,FALSE),0)</f>
        <v>0</v>
      </c>
    </row>
    <row r="4159" spans="1:10" x14ac:dyDescent="0.25">
      <c r="A4159" t="s">
        <v>4326</v>
      </c>
      <c r="B4159" t="s">
        <v>162</v>
      </c>
      <c r="C4159" t="s">
        <v>120</v>
      </c>
      <c r="D4159" t="s">
        <v>39</v>
      </c>
      <c r="E4159" t="s">
        <v>138</v>
      </c>
      <c r="F4159" s="1">
        <v>42910</v>
      </c>
      <c r="G4159" s="1">
        <v>42968</v>
      </c>
      <c r="H4159">
        <v>562</v>
      </c>
      <c r="I4159" t="str">
        <f>IF(COUNTIF(Products!$A$2:$A$8,C4159)=0,C4159,"")</f>
        <v/>
      </c>
      <c r="J4159">
        <f>IF(OR(E4159="Prospecting",E4159="Engaging"),VLOOKUP(C4159,Products!$A$2:$C$8,3,FALSE),0)</f>
        <v>0</v>
      </c>
    </row>
    <row r="4160" spans="1:10" x14ac:dyDescent="0.25">
      <c r="A4160" t="s">
        <v>4327</v>
      </c>
      <c r="B4160" t="s">
        <v>137</v>
      </c>
      <c r="C4160" t="s">
        <v>123</v>
      </c>
      <c r="D4160" t="s">
        <v>26</v>
      </c>
      <c r="E4160" t="s">
        <v>138</v>
      </c>
      <c r="F4160" s="1">
        <v>42910</v>
      </c>
      <c r="G4160" s="1">
        <v>42988</v>
      </c>
      <c r="H4160">
        <v>63</v>
      </c>
      <c r="I4160" t="str">
        <f>IF(COUNTIF(Products!$A$2:$A$8,C4160)=0,C4160,"")</f>
        <v/>
      </c>
      <c r="J4160">
        <f>IF(OR(E4160="Prospecting",E4160="Engaging"),VLOOKUP(C4160,Products!$A$2:$C$8,3,FALSE),0)</f>
        <v>0</v>
      </c>
    </row>
    <row r="4161" spans="1:10" x14ac:dyDescent="0.25">
      <c r="A4161" t="s">
        <v>4328</v>
      </c>
      <c r="B4161" t="s">
        <v>137</v>
      </c>
      <c r="C4161" t="s">
        <v>125</v>
      </c>
      <c r="D4161" t="s">
        <v>12</v>
      </c>
      <c r="E4161" t="s">
        <v>138</v>
      </c>
      <c r="F4161" s="1">
        <v>42910</v>
      </c>
      <c r="G4161" s="1">
        <v>42921</v>
      </c>
      <c r="H4161">
        <v>3355</v>
      </c>
      <c r="I4161" t="str">
        <f>IF(COUNTIF(Products!$A$2:$A$8,C4161)=0,C4161,"")</f>
        <v/>
      </c>
      <c r="J4161">
        <f>IF(OR(E4161="Prospecting",E4161="Engaging"),VLOOKUP(C4161,Products!$A$2:$C$8,3,FALSE),0)</f>
        <v>0</v>
      </c>
    </row>
    <row r="4162" spans="1:10" x14ac:dyDescent="0.25">
      <c r="A4162" t="s">
        <v>4329</v>
      </c>
      <c r="B4162" t="s">
        <v>148</v>
      </c>
      <c r="C4162" t="s">
        <v>123</v>
      </c>
      <c r="E4162" t="s">
        <v>155</v>
      </c>
      <c r="F4162" s="1">
        <v>42910</v>
      </c>
      <c r="I4162" t="str">
        <f>IF(COUNTIF(Products!$A$2:$A$8,C4162)=0,C4162,"")</f>
        <v/>
      </c>
      <c r="J4162">
        <f>IF(OR(E4162="Prospecting",E4162="Engaging"),VLOOKUP(C4162,Products!$A$2:$C$8,3,FALSE),0)</f>
        <v>55</v>
      </c>
    </row>
    <row r="4163" spans="1:10" x14ac:dyDescent="0.25">
      <c r="A4163" t="s">
        <v>4330</v>
      </c>
      <c r="B4163" t="s">
        <v>177</v>
      </c>
      <c r="C4163" t="s">
        <v>125</v>
      </c>
      <c r="D4163" t="s">
        <v>19</v>
      </c>
      <c r="E4163" t="s">
        <v>159</v>
      </c>
      <c r="F4163" s="1">
        <v>42910</v>
      </c>
      <c r="G4163" s="1">
        <v>42921</v>
      </c>
      <c r="H4163">
        <v>0</v>
      </c>
      <c r="I4163" t="str">
        <f>IF(COUNTIF(Products!$A$2:$A$8,C4163)=0,C4163,"")</f>
        <v/>
      </c>
      <c r="J4163">
        <f>IF(OR(E4163="Prospecting",E4163="Engaging"),VLOOKUP(C4163,Products!$A$2:$C$8,3,FALSE),0)</f>
        <v>0</v>
      </c>
    </row>
    <row r="4164" spans="1:10" x14ac:dyDescent="0.25">
      <c r="A4164" t="s">
        <v>4331</v>
      </c>
      <c r="B4164" t="s">
        <v>177</v>
      </c>
      <c r="C4164" t="s">
        <v>123</v>
      </c>
      <c r="D4164" t="s">
        <v>25</v>
      </c>
      <c r="E4164" t="s">
        <v>138</v>
      </c>
      <c r="F4164" s="1">
        <v>42910</v>
      </c>
      <c r="G4164" s="1">
        <v>42995</v>
      </c>
      <c r="H4164">
        <v>55</v>
      </c>
      <c r="I4164" t="str">
        <f>IF(COUNTIF(Products!$A$2:$A$8,C4164)=0,C4164,"")</f>
        <v/>
      </c>
      <c r="J4164">
        <f>IF(OR(E4164="Prospecting",E4164="Engaging"),VLOOKUP(C4164,Products!$A$2:$C$8,3,FALSE),0)</f>
        <v>0</v>
      </c>
    </row>
    <row r="4165" spans="1:10" x14ac:dyDescent="0.25">
      <c r="A4165" t="s">
        <v>4332</v>
      </c>
      <c r="B4165" t="s">
        <v>144</v>
      </c>
      <c r="C4165" t="s">
        <v>126</v>
      </c>
      <c r="D4165" t="s">
        <v>78</v>
      </c>
      <c r="E4165" t="s">
        <v>138</v>
      </c>
      <c r="F4165" s="1">
        <v>42910</v>
      </c>
      <c r="G4165" s="1">
        <v>43001</v>
      </c>
      <c r="H4165">
        <v>4059</v>
      </c>
      <c r="I4165" t="str">
        <f>IF(COUNTIF(Products!$A$2:$A$8,C4165)=0,C4165,"")</f>
        <v/>
      </c>
      <c r="J4165">
        <f>IF(OR(E4165="Prospecting",E4165="Engaging"),VLOOKUP(C4165,Products!$A$2:$C$8,3,FALSE),0)</f>
        <v>0</v>
      </c>
    </row>
    <row r="4166" spans="1:10" x14ac:dyDescent="0.25">
      <c r="A4166" t="s">
        <v>4333</v>
      </c>
      <c r="B4166" t="s">
        <v>207</v>
      </c>
      <c r="C4166" t="s">
        <v>125</v>
      </c>
      <c r="D4166" t="s">
        <v>20</v>
      </c>
      <c r="E4166" t="s">
        <v>159</v>
      </c>
      <c r="F4166" s="1">
        <v>42911</v>
      </c>
      <c r="G4166" s="1">
        <v>42920</v>
      </c>
      <c r="H4166">
        <v>0</v>
      </c>
      <c r="I4166" t="str">
        <f>IF(COUNTIF(Products!$A$2:$A$8,C4166)=0,C4166,"")</f>
        <v/>
      </c>
      <c r="J4166">
        <f>IF(OR(E4166="Prospecting",E4166="Engaging"),VLOOKUP(C4166,Products!$A$2:$C$8,3,FALSE),0)</f>
        <v>0</v>
      </c>
    </row>
    <row r="4167" spans="1:10" x14ac:dyDescent="0.25">
      <c r="A4167" t="s">
        <v>4334</v>
      </c>
      <c r="B4167" t="s">
        <v>264</v>
      </c>
      <c r="C4167" t="s">
        <v>127</v>
      </c>
      <c r="D4167" t="s">
        <v>26</v>
      </c>
      <c r="E4167" t="s">
        <v>138</v>
      </c>
      <c r="F4167" s="1">
        <v>42911</v>
      </c>
      <c r="G4167" s="1">
        <v>42956</v>
      </c>
      <c r="H4167">
        <v>1128</v>
      </c>
      <c r="I4167" t="str">
        <f>IF(COUNTIF(Products!$A$2:$A$8,C4167)=0,C4167,"")</f>
        <v/>
      </c>
      <c r="J4167">
        <f>IF(OR(E4167="Prospecting",E4167="Engaging"),VLOOKUP(C4167,Products!$A$2:$C$8,3,FALSE),0)</f>
        <v>0</v>
      </c>
    </row>
    <row r="4168" spans="1:10" x14ac:dyDescent="0.25">
      <c r="A4168" t="s">
        <v>4335</v>
      </c>
      <c r="B4168" t="s">
        <v>171</v>
      </c>
      <c r="C4168" t="s">
        <v>122</v>
      </c>
      <c r="E4168" t="s">
        <v>155</v>
      </c>
      <c r="F4168" s="1">
        <v>42911</v>
      </c>
      <c r="I4168" t="str">
        <f>IF(COUNTIF(Products!$A$2:$A$8,C4168)=0,C4168,"")</f>
        <v/>
      </c>
      <c r="J4168">
        <f>IF(OR(E4168="Prospecting",E4168="Engaging"),VLOOKUP(C4168,Products!$A$2:$C$8,3,FALSE),0)</f>
        <v>4821</v>
      </c>
    </row>
    <row r="4169" spans="1:10" x14ac:dyDescent="0.25">
      <c r="A4169" t="s">
        <v>4336</v>
      </c>
      <c r="B4169" t="s">
        <v>140</v>
      </c>
      <c r="C4169" t="s">
        <v>127</v>
      </c>
      <c r="D4169" t="s">
        <v>28</v>
      </c>
      <c r="E4169" t="s">
        <v>159</v>
      </c>
      <c r="F4169" s="1">
        <v>42911</v>
      </c>
      <c r="G4169" s="1">
        <v>42917</v>
      </c>
      <c r="H4169">
        <v>0</v>
      </c>
      <c r="I4169" t="str">
        <f>IF(COUNTIF(Products!$A$2:$A$8,C4169)=0,C4169,"")</f>
        <v/>
      </c>
      <c r="J4169">
        <f>IF(OR(E4169="Prospecting",E4169="Engaging"),VLOOKUP(C4169,Products!$A$2:$C$8,3,FALSE),0)</f>
        <v>0</v>
      </c>
    </row>
    <row r="4170" spans="1:10" x14ac:dyDescent="0.25">
      <c r="A4170" t="s">
        <v>4337</v>
      </c>
      <c r="B4170" t="s">
        <v>140</v>
      </c>
      <c r="C4170" t="s">
        <v>126</v>
      </c>
      <c r="D4170" t="s">
        <v>88</v>
      </c>
      <c r="E4170" t="s">
        <v>138</v>
      </c>
      <c r="F4170" s="1">
        <v>42911</v>
      </c>
      <c r="G4170" s="1">
        <v>42924</v>
      </c>
      <c r="H4170">
        <v>5536</v>
      </c>
      <c r="I4170" t="str">
        <f>IF(COUNTIF(Products!$A$2:$A$8,C4170)=0,C4170,"")</f>
        <v/>
      </c>
      <c r="J4170">
        <f>IF(OR(E4170="Prospecting",E4170="Engaging"),VLOOKUP(C4170,Products!$A$2:$C$8,3,FALSE),0)</f>
        <v>0</v>
      </c>
    </row>
    <row r="4171" spans="1:10" x14ac:dyDescent="0.25">
      <c r="A4171" t="s">
        <v>4338</v>
      </c>
      <c r="B4171" t="s">
        <v>140</v>
      </c>
      <c r="C4171" t="s">
        <v>122</v>
      </c>
      <c r="D4171" t="s">
        <v>51</v>
      </c>
      <c r="E4171" t="s">
        <v>138</v>
      </c>
      <c r="F4171" s="1">
        <v>42911</v>
      </c>
      <c r="G4171" s="1">
        <v>42981</v>
      </c>
      <c r="H4171">
        <v>4964</v>
      </c>
      <c r="I4171" t="str">
        <f>IF(COUNTIF(Products!$A$2:$A$8,C4171)=0,C4171,"")</f>
        <v/>
      </c>
      <c r="J4171">
        <f>IF(OR(E4171="Prospecting",E4171="Engaging"),VLOOKUP(C4171,Products!$A$2:$C$8,3,FALSE),0)</f>
        <v>0</v>
      </c>
    </row>
    <row r="4172" spans="1:10" x14ac:dyDescent="0.25">
      <c r="A4172" t="s">
        <v>4339</v>
      </c>
      <c r="B4172" t="s">
        <v>140</v>
      </c>
      <c r="C4172" t="s">
        <v>123</v>
      </c>
      <c r="D4172" t="s">
        <v>33</v>
      </c>
      <c r="E4172" t="s">
        <v>138</v>
      </c>
      <c r="F4172" s="1">
        <v>42911</v>
      </c>
      <c r="G4172" s="1">
        <v>42919</v>
      </c>
      <c r="H4172">
        <v>54</v>
      </c>
      <c r="I4172" t="str">
        <f>IF(COUNTIF(Products!$A$2:$A$8,C4172)=0,C4172,"")</f>
        <v/>
      </c>
      <c r="J4172">
        <f>IF(OR(E4172="Prospecting",E4172="Engaging"),VLOOKUP(C4172,Products!$A$2:$C$8,3,FALSE),0)</f>
        <v>0</v>
      </c>
    </row>
    <row r="4173" spans="1:10" x14ac:dyDescent="0.25">
      <c r="A4173" t="s">
        <v>4340</v>
      </c>
      <c r="B4173" t="s">
        <v>140</v>
      </c>
      <c r="C4173" t="s">
        <v>123</v>
      </c>
      <c r="D4173" t="s">
        <v>88</v>
      </c>
      <c r="E4173" t="s">
        <v>138</v>
      </c>
      <c r="F4173" s="1">
        <v>42911</v>
      </c>
      <c r="G4173" s="1">
        <v>42949</v>
      </c>
      <c r="H4173">
        <v>56</v>
      </c>
      <c r="I4173" t="str">
        <f>IF(COUNTIF(Products!$A$2:$A$8,C4173)=0,C4173,"")</f>
        <v/>
      </c>
      <c r="J4173">
        <f>IF(OR(E4173="Prospecting",E4173="Engaging"),VLOOKUP(C4173,Products!$A$2:$C$8,3,FALSE),0)</f>
        <v>0</v>
      </c>
    </row>
    <row r="4174" spans="1:10" x14ac:dyDescent="0.25">
      <c r="A4174" t="s">
        <v>4341</v>
      </c>
      <c r="B4174" t="s">
        <v>224</v>
      </c>
      <c r="C4174" t="s">
        <v>126</v>
      </c>
      <c r="D4174" t="s">
        <v>106</v>
      </c>
      <c r="E4174" t="s">
        <v>159</v>
      </c>
      <c r="F4174" s="1">
        <v>42911</v>
      </c>
      <c r="G4174" s="1">
        <v>42918</v>
      </c>
      <c r="H4174">
        <v>0</v>
      </c>
      <c r="I4174" t="str">
        <f>IF(COUNTIF(Products!$A$2:$A$8,C4174)=0,C4174,"")</f>
        <v/>
      </c>
      <c r="J4174">
        <f>IF(OR(E4174="Prospecting",E4174="Engaging"),VLOOKUP(C4174,Products!$A$2:$C$8,3,FALSE),0)</f>
        <v>0</v>
      </c>
    </row>
    <row r="4175" spans="1:10" x14ac:dyDescent="0.25">
      <c r="A4175" t="s">
        <v>4342</v>
      </c>
      <c r="B4175" t="s">
        <v>224</v>
      </c>
      <c r="C4175" t="s">
        <v>122</v>
      </c>
      <c r="D4175" t="s">
        <v>50</v>
      </c>
      <c r="E4175" t="s">
        <v>159</v>
      </c>
      <c r="F4175" s="1">
        <v>42911</v>
      </c>
      <c r="G4175" s="1">
        <v>42966</v>
      </c>
      <c r="H4175">
        <v>0</v>
      </c>
      <c r="I4175" t="str">
        <f>IF(COUNTIF(Products!$A$2:$A$8,C4175)=0,C4175,"")</f>
        <v/>
      </c>
      <c r="J4175">
        <f>IF(OR(E4175="Prospecting",E4175="Engaging"),VLOOKUP(C4175,Products!$A$2:$C$8,3,FALSE),0)</f>
        <v>0</v>
      </c>
    </row>
    <row r="4176" spans="1:10" x14ac:dyDescent="0.25">
      <c r="A4176" t="s">
        <v>4343</v>
      </c>
      <c r="B4176" t="s">
        <v>224</v>
      </c>
      <c r="C4176" t="s">
        <v>125</v>
      </c>
      <c r="D4176" t="s">
        <v>115</v>
      </c>
      <c r="E4176" t="s">
        <v>138</v>
      </c>
      <c r="F4176" s="1">
        <v>42911</v>
      </c>
      <c r="G4176" s="1">
        <v>42921</v>
      </c>
      <c r="H4176">
        <v>3423</v>
      </c>
      <c r="I4176" t="str">
        <f>IF(COUNTIF(Products!$A$2:$A$8,C4176)=0,C4176,"")</f>
        <v/>
      </c>
      <c r="J4176">
        <f>IF(OR(E4176="Prospecting",E4176="Engaging"),VLOOKUP(C4176,Products!$A$2:$C$8,3,FALSE),0)</f>
        <v>0</v>
      </c>
    </row>
    <row r="4177" spans="1:10" x14ac:dyDescent="0.25">
      <c r="A4177" t="s">
        <v>4344</v>
      </c>
      <c r="B4177" t="s">
        <v>173</v>
      </c>
      <c r="C4177" t="s">
        <v>123</v>
      </c>
      <c r="D4177" t="s">
        <v>66</v>
      </c>
      <c r="E4177" t="s">
        <v>159</v>
      </c>
      <c r="F4177" s="1">
        <v>42911</v>
      </c>
      <c r="G4177" s="1">
        <v>42991</v>
      </c>
      <c r="H4177">
        <v>0</v>
      </c>
      <c r="I4177" t="str">
        <f>IF(COUNTIF(Products!$A$2:$A$8,C4177)=0,C4177,"")</f>
        <v/>
      </c>
      <c r="J4177">
        <f>IF(OR(E4177="Prospecting",E4177="Engaging"),VLOOKUP(C4177,Products!$A$2:$C$8,3,FALSE),0)</f>
        <v>0</v>
      </c>
    </row>
    <row r="4178" spans="1:10" x14ac:dyDescent="0.25">
      <c r="A4178" t="s">
        <v>4345</v>
      </c>
      <c r="B4178" t="s">
        <v>198</v>
      </c>
      <c r="C4178" t="s">
        <v>125</v>
      </c>
      <c r="D4178" t="s">
        <v>105</v>
      </c>
      <c r="E4178" t="s">
        <v>159</v>
      </c>
      <c r="F4178" s="1">
        <v>42911</v>
      </c>
      <c r="G4178" s="1">
        <v>42923</v>
      </c>
      <c r="H4178">
        <v>0</v>
      </c>
      <c r="I4178" t="str">
        <f>IF(COUNTIF(Products!$A$2:$A$8,C4178)=0,C4178,"")</f>
        <v/>
      </c>
      <c r="J4178">
        <f>IF(OR(E4178="Prospecting",E4178="Engaging"),VLOOKUP(C4178,Products!$A$2:$C$8,3,FALSE),0)</f>
        <v>0</v>
      </c>
    </row>
    <row r="4179" spans="1:10" x14ac:dyDescent="0.25">
      <c r="A4179" t="s">
        <v>4346</v>
      </c>
      <c r="B4179" t="s">
        <v>158</v>
      </c>
      <c r="C4179" t="s">
        <v>126</v>
      </c>
      <c r="D4179" t="s">
        <v>22</v>
      </c>
      <c r="E4179" t="s">
        <v>159</v>
      </c>
      <c r="F4179" s="1">
        <v>42911</v>
      </c>
      <c r="G4179" s="1">
        <v>42919</v>
      </c>
      <c r="H4179">
        <v>0</v>
      </c>
      <c r="I4179" t="str">
        <f>IF(COUNTIF(Products!$A$2:$A$8,C4179)=0,C4179,"")</f>
        <v/>
      </c>
      <c r="J4179">
        <f>IF(OR(E4179="Prospecting",E4179="Engaging"),VLOOKUP(C4179,Products!$A$2:$C$8,3,FALSE),0)</f>
        <v>0</v>
      </c>
    </row>
    <row r="4180" spans="1:10" x14ac:dyDescent="0.25">
      <c r="A4180" t="s">
        <v>4347</v>
      </c>
      <c r="B4180" t="s">
        <v>158</v>
      </c>
      <c r="C4180" t="s">
        <v>127</v>
      </c>
      <c r="D4180" t="s">
        <v>85</v>
      </c>
      <c r="E4180" t="s">
        <v>138</v>
      </c>
      <c r="F4180" s="1">
        <v>42911</v>
      </c>
      <c r="G4180" s="1">
        <v>42992</v>
      </c>
      <c r="H4180">
        <v>1102</v>
      </c>
      <c r="I4180" t="str">
        <f>IF(COUNTIF(Products!$A$2:$A$8,C4180)=0,C4180,"")</f>
        <v/>
      </c>
      <c r="J4180">
        <f>IF(OR(E4180="Prospecting",E4180="Engaging"),VLOOKUP(C4180,Products!$A$2:$C$8,3,FALSE),0)</f>
        <v>0</v>
      </c>
    </row>
    <row r="4181" spans="1:10" x14ac:dyDescent="0.25">
      <c r="A4181" t="s">
        <v>4348</v>
      </c>
      <c r="B4181" t="s">
        <v>180</v>
      </c>
      <c r="C4181" t="s">
        <v>120</v>
      </c>
      <c r="D4181" t="s">
        <v>56</v>
      </c>
      <c r="E4181" t="s">
        <v>138</v>
      </c>
      <c r="F4181" s="1">
        <v>42911</v>
      </c>
      <c r="G4181" s="1">
        <v>43000</v>
      </c>
      <c r="H4181">
        <v>519</v>
      </c>
      <c r="I4181" t="str">
        <f>IF(COUNTIF(Products!$A$2:$A$8,C4181)=0,C4181,"")</f>
        <v/>
      </c>
      <c r="J4181">
        <f>IF(OR(E4181="Prospecting",E4181="Engaging"),VLOOKUP(C4181,Products!$A$2:$C$8,3,FALSE),0)</f>
        <v>0</v>
      </c>
    </row>
    <row r="4182" spans="1:10" x14ac:dyDescent="0.25">
      <c r="A4182" t="s">
        <v>4349</v>
      </c>
      <c r="B4182" t="s">
        <v>191</v>
      </c>
      <c r="C4182" t="s">
        <v>126</v>
      </c>
      <c r="D4182" t="s">
        <v>60</v>
      </c>
      <c r="E4182" t="s">
        <v>159</v>
      </c>
      <c r="F4182" s="1">
        <v>42911</v>
      </c>
      <c r="G4182" s="1">
        <v>42918</v>
      </c>
      <c r="H4182">
        <v>0</v>
      </c>
      <c r="I4182" t="str">
        <f>IF(COUNTIF(Products!$A$2:$A$8,C4182)=0,C4182,"")</f>
        <v/>
      </c>
      <c r="J4182">
        <f>IF(OR(E4182="Prospecting",E4182="Engaging"),VLOOKUP(C4182,Products!$A$2:$C$8,3,FALSE),0)</f>
        <v>0</v>
      </c>
    </row>
    <row r="4183" spans="1:10" x14ac:dyDescent="0.25">
      <c r="A4183" t="s">
        <v>4350</v>
      </c>
      <c r="B4183" t="s">
        <v>191</v>
      </c>
      <c r="C4183" t="s">
        <v>123</v>
      </c>
      <c r="D4183" t="s">
        <v>60</v>
      </c>
      <c r="E4183" t="s">
        <v>159</v>
      </c>
      <c r="F4183" s="1">
        <v>42911</v>
      </c>
      <c r="G4183" s="1">
        <v>42974</v>
      </c>
      <c r="H4183">
        <v>0</v>
      </c>
      <c r="I4183" t="str">
        <f>IF(COUNTIF(Products!$A$2:$A$8,C4183)=0,C4183,"")</f>
        <v/>
      </c>
      <c r="J4183">
        <f>IF(OR(E4183="Prospecting",E4183="Engaging"),VLOOKUP(C4183,Products!$A$2:$C$8,3,FALSE),0)</f>
        <v>0</v>
      </c>
    </row>
    <row r="4184" spans="1:10" x14ac:dyDescent="0.25">
      <c r="A4184" t="s">
        <v>4351</v>
      </c>
      <c r="B4184" t="s">
        <v>217</v>
      </c>
      <c r="C4184" t="s">
        <v>127</v>
      </c>
      <c r="D4184" t="s">
        <v>64</v>
      </c>
      <c r="E4184" t="s">
        <v>159</v>
      </c>
      <c r="F4184" s="1">
        <v>42911</v>
      </c>
      <c r="G4184" s="1">
        <v>42974</v>
      </c>
      <c r="H4184">
        <v>0</v>
      </c>
      <c r="I4184" t="str">
        <f>IF(COUNTIF(Products!$A$2:$A$8,C4184)=0,C4184,"")</f>
        <v/>
      </c>
      <c r="J4184">
        <f>IF(OR(E4184="Prospecting",E4184="Engaging"),VLOOKUP(C4184,Products!$A$2:$C$8,3,FALSE),0)</f>
        <v>0</v>
      </c>
    </row>
    <row r="4185" spans="1:10" x14ac:dyDescent="0.25">
      <c r="A4185" t="s">
        <v>4352</v>
      </c>
      <c r="B4185" t="s">
        <v>217</v>
      </c>
      <c r="C4185" t="s">
        <v>125</v>
      </c>
      <c r="D4185" t="s">
        <v>14</v>
      </c>
      <c r="E4185" t="s">
        <v>159</v>
      </c>
      <c r="F4185" s="1">
        <v>42911</v>
      </c>
      <c r="G4185" s="1">
        <v>42920</v>
      </c>
      <c r="H4185">
        <v>0</v>
      </c>
      <c r="I4185" t="str">
        <f>IF(COUNTIF(Products!$A$2:$A$8,C4185)=0,C4185,"")</f>
        <v/>
      </c>
      <c r="J4185">
        <f>IF(OR(E4185="Prospecting",E4185="Engaging"),VLOOKUP(C4185,Products!$A$2:$C$8,3,FALSE),0)</f>
        <v>0</v>
      </c>
    </row>
    <row r="4186" spans="1:10" x14ac:dyDescent="0.25">
      <c r="A4186" t="s">
        <v>4353</v>
      </c>
      <c r="B4186" t="s">
        <v>217</v>
      </c>
      <c r="C4186" t="s">
        <v>126</v>
      </c>
      <c r="D4186" t="s">
        <v>64</v>
      </c>
      <c r="E4186" t="s">
        <v>138</v>
      </c>
      <c r="F4186" s="1">
        <v>42911</v>
      </c>
      <c r="G4186" s="1">
        <v>42919</v>
      </c>
      <c r="H4186">
        <v>5536</v>
      </c>
      <c r="I4186" t="str">
        <f>IF(COUNTIF(Products!$A$2:$A$8,C4186)=0,C4186,"")</f>
        <v/>
      </c>
      <c r="J4186">
        <f>IF(OR(E4186="Prospecting",E4186="Engaging"),VLOOKUP(C4186,Products!$A$2:$C$8,3,FALSE),0)</f>
        <v>0</v>
      </c>
    </row>
    <row r="4187" spans="1:10" x14ac:dyDescent="0.25">
      <c r="A4187" t="s">
        <v>4354</v>
      </c>
      <c r="B4187" t="s">
        <v>205</v>
      </c>
      <c r="C4187" t="s">
        <v>126</v>
      </c>
      <c r="D4187" t="s">
        <v>12</v>
      </c>
      <c r="E4187" t="s">
        <v>159</v>
      </c>
      <c r="F4187" s="1">
        <v>42911</v>
      </c>
      <c r="G4187" s="1">
        <v>42961</v>
      </c>
      <c r="H4187">
        <v>0</v>
      </c>
      <c r="I4187" t="str">
        <f>IF(COUNTIF(Products!$A$2:$A$8,C4187)=0,C4187,"")</f>
        <v/>
      </c>
      <c r="J4187">
        <f>IF(OR(E4187="Prospecting",E4187="Engaging"),VLOOKUP(C4187,Products!$A$2:$C$8,3,FALSE),0)</f>
        <v>0</v>
      </c>
    </row>
    <row r="4188" spans="1:10" x14ac:dyDescent="0.25">
      <c r="A4188" t="s">
        <v>4355</v>
      </c>
      <c r="B4188" t="s">
        <v>205</v>
      </c>
      <c r="C4188" t="s">
        <v>127</v>
      </c>
      <c r="D4188" t="s">
        <v>77</v>
      </c>
      <c r="E4188" t="s">
        <v>138</v>
      </c>
      <c r="F4188" s="1">
        <v>42911</v>
      </c>
      <c r="G4188" s="1">
        <v>42918</v>
      </c>
      <c r="H4188">
        <v>839</v>
      </c>
      <c r="I4188" t="str">
        <f>IF(COUNTIF(Products!$A$2:$A$8,C4188)=0,C4188,"")</f>
        <v/>
      </c>
      <c r="J4188">
        <f>IF(OR(E4188="Prospecting",E4188="Engaging"),VLOOKUP(C4188,Products!$A$2:$C$8,3,FALSE),0)</f>
        <v>0</v>
      </c>
    </row>
    <row r="4189" spans="1:10" x14ac:dyDescent="0.25">
      <c r="A4189" t="s">
        <v>4356</v>
      </c>
      <c r="B4189" t="s">
        <v>162</v>
      </c>
      <c r="C4189" t="s">
        <v>120</v>
      </c>
      <c r="D4189" t="s">
        <v>29</v>
      </c>
      <c r="E4189" t="s">
        <v>138</v>
      </c>
      <c r="F4189" s="1">
        <v>42911</v>
      </c>
      <c r="G4189" s="1">
        <v>42984</v>
      </c>
      <c r="H4189">
        <v>500</v>
      </c>
      <c r="I4189" t="str">
        <f>IF(COUNTIF(Products!$A$2:$A$8,C4189)=0,C4189,"")</f>
        <v/>
      </c>
      <c r="J4189">
        <f>IF(OR(E4189="Prospecting",E4189="Engaging"),VLOOKUP(C4189,Products!$A$2:$C$8,3,FALSE),0)</f>
        <v>0</v>
      </c>
    </row>
    <row r="4190" spans="1:10" x14ac:dyDescent="0.25">
      <c r="A4190" t="s">
        <v>4357</v>
      </c>
      <c r="B4190" t="s">
        <v>137</v>
      </c>
      <c r="C4190" t="s">
        <v>125</v>
      </c>
      <c r="D4190" t="s">
        <v>85</v>
      </c>
      <c r="E4190" t="s">
        <v>138</v>
      </c>
      <c r="F4190" s="1">
        <v>42911</v>
      </c>
      <c r="G4190" s="1">
        <v>43002</v>
      </c>
      <c r="H4190">
        <v>3679</v>
      </c>
      <c r="I4190" t="str">
        <f>IF(COUNTIF(Products!$A$2:$A$8,C4190)=0,C4190,"")</f>
        <v/>
      </c>
      <c r="J4190">
        <f>IF(OR(E4190="Prospecting",E4190="Engaging"),VLOOKUP(C4190,Products!$A$2:$C$8,3,FALSE),0)</f>
        <v>0</v>
      </c>
    </row>
    <row r="4191" spans="1:10" x14ac:dyDescent="0.25">
      <c r="A4191" t="s">
        <v>4358</v>
      </c>
      <c r="B4191" t="s">
        <v>152</v>
      </c>
      <c r="C4191" t="s">
        <v>127</v>
      </c>
      <c r="D4191" t="s">
        <v>104</v>
      </c>
      <c r="E4191" t="s">
        <v>159</v>
      </c>
      <c r="F4191" s="1">
        <v>42911</v>
      </c>
      <c r="G4191" s="1">
        <v>42921</v>
      </c>
      <c r="H4191">
        <v>0</v>
      </c>
      <c r="I4191" t="str">
        <f>IF(COUNTIF(Products!$A$2:$A$8,C4191)=0,C4191,"")</f>
        <v/>
      </c>
      <c r="J4191">
        <f>IF(OR(E4191="Prospecting",E4191="Engaging"),VLOOKUP(C4191,Products!$A$2:$C$8,3,FALSE),0)</f>
        <v>0</v>
      </c>
    </row>
    <row r="4192" spans="1:10" x14ac:dyDescent="0.25">
      <c r="A4192" t="s">
        <v>4359</v>
      </c>
      <c r="B4192" t="s">
        <v>193</v>
      </c>
      <c r="C4192" t="s">
        <v>122</v>
      </c>
      <c r="D4192" t="s">
        <v>84</v>
      </c>
      <c r="E4192" t="s">
        <v>159</v>
      </c>
      <c r="F4192" s="1">
        <v>42911</v>
      </c>
      <c r="G4192" s="1">
        <v>42920</v>
      </c>
      <c r="H4192">
        <v>0</v>
      </c>
      <c r="I4192" t="str">
        <f>IF(COUNTIF(Products!$A$2:$A$8,C4192)=0,C4192,"")</f>
        <v/>
      </c>
      <c r="J4192">
        <f>IF(OR(E4192="Prospecting",E4192="Engaging"),VLOOKUP(C4192,Products!$A$2:$C$8,3,FALSE),0)</f>
        <v>0</v>
      </c>
    </row>
    <row r="4193" spans="1:10" x14ac:dyDescent="0.25">
      <c r="A4193" t="s">
        <v>4360</v>
      </c>
      <c r="B4193" t="s">
        <v>166</v>
      </c>
      <c r="C4193" t="s">
        <v>120</v>
      </c>
      <c r="E4193" t="s">
        <v>155</v>
      </c>
      <c r="F4193" s="1">
        <v>42911</v>
      </c>
      <c r="I4193" t="str">
        <f>IF(COUNTIF(Products!$A$2:$A$8,C4193)=0,C4193,"")</f>
        <v/>
      </c>
      <c r="J4193">
        <f>IF(OR(E4193="Prospecting",E4193="Engaging"),VLOOKUP(C4193,Products!$A$2:$C$8,3,FALSE),0)</f>
        <v>550</v>
      </c>
    </row>
    <row r="4194" spans="1:10" x14ac:dyDescent="0.25">
      <c r="A4194" t="s">
        <v>4361</v>
      </c>
      <c r="B4194" t="s">
        <v>187</v>
      </c>
      <c r="C4194" t="s">
        <v>120</v>
      </c>
      <c r="D4194" t="s">
        <v>88</v>
      </c>
      <c r="E4194" t="s">
        <v>155</v>
      </c>
      <c r="F4194" s="1">
        <v>42911</v>
      </c>
      <c r="I4194" t="str">
        <f>IF(COUNTIF(Products!$A$2:$A$8,C4194)=0,C4194,"")</f>
        <v/>
      </c>
      <c r="J4194">
        <f>IF(OR(E4194="Prospecting",E4194="Engaging"),VLOOKUP(C4194,Products!$A$2:$C$8,3,FALSE),0)</f>
        <v>550</v>
      </c>
    </row>
    <row r="4195" spans="1:10" x14ac:dyDescent="0.25">
      <c r="A4195" t="s">
        <v>4362</v>
      </c>
      <c r="B4195" t="s">
        <v>169</v>
      </c>
      <c r="C4195" t="s">
        <v>123</v>
      </c>
      <c r="D4195" t="s">
        <v>26</v>
      </c>
      <c r="E4195" t="s">
        <v>159</v>
      </c>
      <c r="F4195" s="1">
        <v>42911</v>
      </c>
      <c r="G4195" s="1">
        <v>42954</v>
      </c>
      <c r="H4195">
        <v>0</v>
      </c>
      <c r="I4195" t="str">
        <f>IF(COUNTIF(Products!$A$2:$A$8,C4195)=0,C4195,"")</f>
        <v/>
      </c>
      <c r="J4195">
        <f>IF(OR(E4195="Prospecting",E4195="Engaging"),VLOOKUP(C4195,Products!$A$2:$C$8,3,FALSE),0)</f>
        <v>0</v>
      </c>
    </row>
    <row r="4196" spans="1:10" x14ac:dyDescent="0.25">
      <c r="A4196" t="s">
        <v>4363</v>
      </c>
      <c r="B4196" t="s">
        <v>148</v>
      </c>
      <c r="C4196" t="s">
        <v>126</v>
      </c>
      <c r="E4196" t="s">
        <v>155</v>
      </c>
      <c r="F4196" s="1">
        <v>42911</v>
      </c>
      <c r="I4196" t="str">
        <f>IF(COUNTIF(Products!$A$2:$A$8,C4196)=0,C4196,"")</f>
        <v/>
      </c>
      <c r="J4196">
        <f>IF(OR(E4196="Prospecting",E4196="Engaging"),VLOOKUP(C4196,Products!$A$2:$C$8,3,FALSE),0)</f>
        <v>5482</v>
      </c>
    </row>
    <row r="4197" spans="1:10" x14ac:dyDescent="0.25">
      <c r="A4197" t="s">
        <v>4364</v>
      </c>
      <c r="B4197" t="s">
        <v>148</v>
      </c>
      <c r="C4197" t="s">
        <v>122</v>
      </c>
      <c r="E4197" t="s">
        <v>155</v>
      </c>
      <c r="F4197" s="1">
        <v>42911</v>
      </c>
      <c r="I4197" t="str">
        <f>IF(COUNTIF(Products!$A$2:$A$8,C4197)=0,C4197,"")</f>
        <v/>
      </c>
      <c r="J4197">
        <f>IF(OR(E4197="Prospecting",E4197="Engaging"),VLOOKUP(C4197,Products!$A$2:$C$8,3,FALSE),0)</f>
        <v>4821</v>
      </c>
    </row>
    <row r="4198" spans="1:10" x14ac:dyDescent="0.25">
      <c r="A4198" t="s">
        <v>4365</v>
      </c>
      <c r="B4198" t="s">
        <v>148</v>
      </c>
      <c r="C4198" t="s">
        <v>120</v>
      </c>
      <c r="D4198" t="s">
        <v>90</v>
      </c>
      <c r="E4198" t="s">
        <v>159</v>
      </c>
      <c r="F4198" s="1">
        <v>42911</v>
      </c>
      <c r="G4198" s="1">
        <v>42920</v>
      </c>
      <c r="H4198">
        <v>0</v>
      </c>
      <c r="I4198" t="str">
        <f>IF(COUNTIF(Products!$A$2:$A$8,C4198)=0,C4198,"")</f>
        <v/>
      </c>
      <c r="J4198">
        <f>IF(OR(E4198="Prospecting",E4198="Engaging"),VLOOKUP(C4198,Products!$A$2:$C$8,3,FALSE),0)</f>
        <v>0</v>
      </c>
    </row>
    <row r="4199" spans="1:10" x14ac:dyDescent="0.25">
      <c r="A4199" t="s">
        <v>4366</v>
      </c>
      <c r="B4199" t="s">
        <v>148</v>
      </c>
      <c r="C4199" t="s">
        <v>126</v>
      </c>
      <c r="D4199" t="s">
        <v>17</v>
      </c>
      <c r="E4199" t="s">
        <v>159</v>
      </c>
      <c r="F4199" s="1">
        <v>42911</v>
      </c>
      <c r="G4199" s="1">
        <v>42918</v>
      </c>
      <c r="H4199">
        <v>0</v>
      </c>
      <c r="I4199" t="str">
        <f>IF(COUNTIF(Products!$A$2:$A$8,C4199)=0,C4199,"")</f>
        <v/>
      </c>
      <c r="J4199">
        <f>IF(OR(E4199="Prospecting",E4199="Engaging"),VLOOKUP(C4199,Products!$A$2:$C$8,3,FALSE),0)</f>
        <v>0</v>
      </c>
    </row>
    <row r="4200" spans="1:10" x14ac:dyDescent="0.25">
      <c r="A4200" t="s">
        <v>4367</v>
      </c>
      <c r="B4200" t="s">
        <v>148</v>
      </c>
      <c r="C4200" t="s">
        <v>125</v>
      </c>
      <c r="D4200" t="s">
        <v>56</v>
      </c>
      <c r="E4200" t="s">
        <v>138</v>
      </c>
      <c r="F4200" s="1">
        <v>42911</v>
      </c>
      <c r="G4200" s="1">
        <v>42916</v>
      </c>
      <c r="H4200">
        <v>3815</v>
      </c>
      <c r="I4200" t="str">
        <f>IF(COUNTIF(Products!$A$2:$A$8,C4200)=0,C4200,"")</f>
        <v/>
      </c>
      <c r="J4200">
        <f>IF(OR(E4200="Prospecting",E4200="Engaging"),VLOOKUP(C4200,Products!$A$2:$C$8,3,FALSE),0)</f>
        <v>0</v>
      </c>
    </row>
    <row r="4201" spans="1:10" x14ac:dyDescent="0.25">
      <c r="A4201" t="s">
        <v>4368</v>
      </c>
      <c r="B4201" t="s">
        <v>148</v>
      </c>
      <c r="C4201" t="s">
        <v>125</v>
      </c>
      <c r="D4201" t="s">
        <v>100</v>
      </c>
      <c r="E4201" t="s">
        <v>138</v>
      </c>
      <c r="F4201" s="1">
        <v>42911</v>
      </c>
      <c r="G4201" s="1">
        <v>42913</v>
      </c>
      <c r="H4201">
        <v>2753</v>
      </c>
      <c r="I4201" t="str">
        <f>IF(COUNTIF(Products!$A$2:$A$8,C4201)=0,C4201,"")</f>
        <v/>
      </c>
      <c r="J4201">
        <f>IF(OR(E4201="Prospecting",E4201="Engaging"),VLOOKUP(C4201,Products!$A$2:$C$8,3,FALSE),0)</f>
        <v>0</v>
      </c>
    </row>
    <row r="4202" spans="1:10" x14ac:dyDescent="0.25">
      <c r="A4202" t="s">
        <v>4369</v>
      </c>
      <c r="B4202" t="s">
        <v>177</v>
      </c>
      <c r="C4202" t="s">
        <v>123</v>
      </c>
      <c r="E4202" t="s">
        <v>155</v>
      </c>
      <c r="F4202" s="1">
        <v>42911</v>
      </c>
      <c r="I4202" t="str">
        <f>IF(COUNTIF(Products!$A$2:$A$8,C4202)=0,C4202,"")</f>
        <v/>
      </c>
      <c r="J4202">
        <f>IF(OR(E4202="Prospecting",E4202="Engaging"),VLOOKUP(C4202,Products!$A$2:$C$8,3,FALSE),0)</f>
        <v>55</v>
      </c>
    </row>
    <row r="4203" spans="1:10" x14ac:dyDescent="0.25">
      <c r="A4203" t="s">
        <v>4370</v>
      </c>
      <c r="B4203" t="s">
        <v>177</v>
      </c>
      <c r="C4203" t="s">
        <v>123</v>
      </c>
      <c r="D4203" t="s">
        <v>108</v>
      </c>
      <c r="E4203" t="s">
        <v>138</v>
      </c>
      <c r="F4203" s="1">
        <v>42911</v>
      </c>
      <c r="G4203" s="1">
        <v>42918</v>
      </c>
      <c r="H4203">
        <v>60</v>
      </c>
      <c r="I4203" t="str">
        <f>IF(COUNTIF(Products!$A$2:$A$8,C4203)=0,C4203,"")</f>
        <v/>
      </c>
      <c r="J4203">
        <f>IF(OR(E4203="Prospecting",E4203="Engaging"),VLOOKUP(C4203,Products!$A$2:$C$8,3,FALSE),0)</f>
        <v>0</v>
      </c>
    </row>
    <row r="4204" spans="1:10" x14ac:dyDescent="0.25">
      <c r="A4204" t="s">
        <v>4371</v>
      </c>
      <c r="B4204" t="s">
        <v>144</v>
      </c>
      <c r="C4204" t="s">
        <v>120</v>
      </c>
      <c r="D4204" t="s">
        <v>67</v>
      </c>
      <c r="E4204" t="s">
        <v>159</v>
      </c>
      <c r="F4204" s="1">
        <v>42911</v>
      </c>
      <c r="G4204" s="1">
        <v>42918</v>
      </c>
      <c r="H4204">
        <v>0</v>
      </c>
      <c r="I4204" t="str">
        <f>IF(COUNTIF(Products!$A$2:$A$8,C4204)=0,C4204,"")</f>
        <v/>
      </c>
      <c r="J4204">
        <f>IF(OR(E4204="Prospecting",E4204="Engaging"),VLOOKUP(C4204,Products!$A$2:$C$8,3,FALSE),0)</f>
        <v>0</v>
      </c>
    </row>
    <row r="4205" spans="1:10" x14ac:dyDescent="0.25">
      <c r="A4205" t="s">
        <v>4372</v>
      </c>
      <c r="B4205" t="s">
        <v>144</v>
      </c>
      <c r="C4205" t="s">
        <v>127</v>
      </c>
      <c r="D4205" t="s">
        <v>87</v>
      </c>
      <c r="E4205" t="s">
        <v>138</v>
      </c>
      <c r="F4205" s="1">
        <v>42911</v>
      </c>
      <c r="G4205" s="1">
        <v>42919</v>
      </c>
      <c r="H4205">
        <v>1137</v>
      </c>
      <c r="I4205" t="str">
        <f>IF(COUNTIF(Products!$A$2:$A$8,C4205)=0,C4205,"")</f>
        <v/>
      </c>
      <c r="J4205">
        <f>IF(OR(E4205="Prospecting",E4205="Engaging"),VLOOKUP(C4205,Products!$A$2:$C$8,3,FALSE),0)</f>
        <v>0</v>
      </c>
    </row>
    <row r="4206" spans="1:10" x14ac:dyDescent="0.25">
      <c r="A4206" t="s">
        <v>4373</v>
      </c>
      <c r="B4206" t="s">
        <v>222</v>
      </c>
      <c r="C4206" t="s">
        <v>126</v>
      </c>
      <c r="D4206" t="s">
        <v>110</v>
      </c>
      <c r="E4206" t="s">
        <v>138</v>
      </c>
      <c r="F4206" s="1">
        <v>42912</v>
      </c>
      <c r="G4206" s="1">
        <v>42920</v>
      </c>
      <c r="H4206">
        <v>5201</v>
      </c>
      <c r="I4206" t="str">
        <f>IF(COUNTIF(Products!$A$2:$A$8,C4206)=0,C4206,"")</f>
        <v/>
      </c>
      <c r="J4206">
        <f>IF(OR(E4206="Prospecting",E4206="Engaging"),VLOOKUP(C4206,Products!$A$2:$C$8,3,FALSE),0)</f>
        <v>0</v>
      </c>
    </row>
    <row r="4207" spans="1:10" x14ac:dyDescent="0.25">
      <c r="A4207" t="s">
        <v>4374</v>
      </c>
      <c r="B4207" t="s">
        <v>207</v>
      </c>
      <c r="C4207" t="s">
        <v>120</v>
      </c>
      <c r="D4207" t="s">
        <v>73</v>
      </c>
      <c r="E4207" t="s">
        <v>159</v>
      </c>
      <c r="F4207" s="1">
        <v>42912</v>
      </c>
      <c r="G4207" s="1">
        <v>43005</v>
      </c>
      <c r="H4207">
        <v>0</v>
      </c>
      <c r="I4207" t="str">
        <f>IF(COUNTIF(Products!$A$2:$A$8,C4207)=0,C4207,"")</f>
        <v/>
      </c>
      <c r="J4207">
        <f>IF(OR(E4207="Prospecting",E4207="Engaging"),VLOOKUP(C4207,Products!$A$2:$C$8,3,FALSE),0)</f>
        <v>0</v>
      </c>
    </row>
    <row r="4208" spans="1:10" x14ac:dyDescent="0.25">
      <c r="A4208" t="s">
        <v>4375</v>
      </c>
      <c r="B4208" t="s">
        <v>207</v>
      </c>
      <c r="C4208" t="s">
        <v>125</v>
      </c>
      <c r="D4208" t="s">
        <v>19</v>
      </c>
      <c r="E4208" t="s">
        <v>159</v>
      </c>
      <c r="F4208" s="1">
        <v>42912</v>
      </c>
      <c r="G4208" s="1">
        <v>42919</v>
      </c>
      <c r="H4208">
        <v>0</v>
      </c>
      <c r="I4208" t="str">
        <f>IF(COUNTIF(Products!$A$2:$A$8,C4208)=0,C4208,"")</f>
        <v/>
      </c>
      <c r="J4208">
        <f>IF(OR(E4208="Prospecting",E4208="Engaging"),VLOOKUP(C4208,Products!$A$2:$C$8,3,FALSE),0)</f>
        <v>0</v>
      </c>
    </row>
    <row r="4209" spans="1:10" x14ac:dyDescent="0.25">
      <c r="A4209" t="s">
        <v>4376</v>
      </c>
      <c r="B4209" t="s">
        <v>264</v>
      </c>
      <c r="C4209" t="s">
        <v>120</v>
      </c>
      <c r="D4209" t="s">
        <v>103</v>
      </c>
      <c r="E4209" t="s">
        <v>138</v>
      </c>
      <c r="F4209" s="1">
        <v>42912</v>
      </c>
      <c r="G4209" s="1">
        <v>42922</v>
      </c>
      <c r="H4209">
        <v>612</v>
      </c>
      <c r="I4209" t="str">
        <f>IF(COUNTIF(Products!$A$2:$A$8,C4209)=0,C4209,"")</f>
        <v/>
      </c>
      <c r="J4209">
        <f>IF(OR(E4209="Prospecting",E4209="Engaging"),VLOOKUP(C4209,Products!$A$2:$C$8,3,FALSE),0)</f>
        <v>0</v>
      </c>
    </row>
    <row r="4210" spans="1:10" x14ac:dyDescent="0.25">
      <c r="A4210" t="s">
        <v>4377</v>
      </c>
      <c r="B4210" t="s">
        <v>239</v>
      </c>
      <c r="C4210" t="s">
        <v>126</v>
      </c>
      <c r="D4210" t="s">
        <v>35</v>
      </c>
      <c r="E4210" t="s">
        <v>138</v>
      </c>
      <c r="F4210" s="1">
        <v>42912</v>
      </c>
      <c r="G4210" s="1">
        <v>42989</v>
      </c>
      <c r="H4210">
        <v>4905</v>
      </c>
      <c r="I4210" t="str">
        <f>IF(COUNTIF(Products!$A$2:$A$8,C4210)=0,C4210,"")</f>
        <v/>
      </c>
      <c r="J4210">
        <f>IF(OR(E4210="Prospecting",E4210="Engaging"),VLOOKUP(C4210,Products!$A$2:$C$8,3,FALSE),0)</f>
        <v>0</v>
      </c>
    </row>
    <row r="4211" spans="1:10" x14ac:dyDescent="0.25">
      <c r="A4211" t="s">
        <v>4378</v>
      </c>
      <c r="B4211" t="s">
        <v>171</v>
      </c>
      <c r="C4211" t="s">
        <v>125</v>
      </c>
      <c r="E4211" t="s">
        <v>155</v>
      </c>
      <c r="F4211" s="1">
        <v>42912</v>
      </c>
      <c r="I4211" t="str">
        <f>IF(COUNTIF(Products!$A$2:$A$8,C4211)=0,C4211,"")</f>
        <v/>
      </c>
      <c r="J4211">
        <f>IF(OR(E4211="Prospecting",E4211="Engaging"),VLOOKUP(C4211,Products!$A$2:$C$8,3,FALSE),0)</f>
        <v>3393</v>
      </c>
    </row>
    <row r="4212" spans="1:10" x14ac:dyDescent="0.25">
      <c r="A4212" t="s">
        <v>4379</v>
      </c>
      <c r="B4212" t="s">
        <v>171</v>
      </c>
      <c r="C4212" t="s">
        <v>123</v>
      </c>
      <c r="D4212" t="s">
        <v>102</v>
      </c>
      <c r="E4212" t="s">
        <v>159</v>
      </c>
      <c r="F4212" s="1">
        <v>42912</v>
      </c>
      <c r="G4212" s="1">
        <v>42923</v>
      </c>
      <c r="H4212">
        <v>0</v>
      </c>
      <c r="I4212" t="str">
        <f>IF(COUNTIF(Products!$A$2:$A$8,C4212)=0,C4212,"")</f>
        <v/>
      </c>
      <c r="J4212">
        <f>IF(OR(E4212="Prospecting",E4212="Engaging"),VLOOKUP(C4212,Products!$A$2:$C$8,3,FALSE),0)</f>
        <v>0</v>
      </c>
    </row>
    <row r="4213" spans="1:10" x14ac:dyDescent="0.25">
      <c r="A4213" t="s">
        <v>4380</v>
      </c>
      <c r="B4213" t="s">
        <v>140</v>
      </c>
      <c r="C4213" t="s">
        <v>122</v>
      </c>
      <c r="D4213" t="s">
        <v>96</v>
      </c>
      <c r="E4213" t="s">
        <v>159</v>
      </c>
      <c r="F4213" s="1">
        <v>42912</v>
      </c>
      <c r="G4213" s="1">
        <v>42919</v>
      </c>
      <c r="H4213">
        <v>0</v>
      </c>
      <c r="I4213" t="str">
        <f>IF(COUNTIF(Products!$A$2:$A$8,C4213)=0,C4213,"")</f>
        <v/>
      </c>
      <c r="J4213">
        <f>IF(OR(E4213="Prospecting",E4213="Engaging"),VLOOKUP(C4213,Products!$A$2:$C$8,3,FALSE),0)</f>
        <v>0</v>
      </c>
    </row>
    <row r="4214" spans="1:10" x14ac:dyDescent="0.25">
      <c r="A4214" t="s">
        <v>4381</v>
      </c>
      <c r="B4214" t="s">
        <v>140</v>
      </c>
      <c r="C4214" t="s">
        <v>127</v>
      </c>
      <c r="D4214" t="s">
        <v>96</v>
      </c>
      <c r="E4214" t="s">
        <v>138</v>
      </c>
      <c r="F4214" s="1">
        <v>42912</v>
      </c>
      <c r="G4214" s="1">
        <v>42978</v>
      </c>
      <c r="H4214">
        <v>1028</v>
      </c>
      <c r="I4214" t="str">
        <f>IF(COUNTIF(Products!$A$2:$A$8,C4214)=0,C4214,"")</f>
        <v/>
      </c>
      <c r="J4214">
        <f>IF(OR(E4214="Prospecting",E4214="Engaging"),VLOOKUP(C4214,Products!$A$2:$C$8,3,FALSE),0)</f>
        <v>0</v>
      </c>
    </row>
    <row r="4215" spans="1:10" x14ac:dyDescent="0.25">
      <c r="A4215" t="s">
        <v>4382</v>
      </c>
      <c r="B4215" t="s">
        <v>140</v>
      </c>
      <c r="C4215" t="s">
        <v>126</v>
      </c>
      <c r="D4215" t="s">
        <v>26</v>
      </c>
      <c r="E4215" t="s">
        <v>138</v>
      </c>
      <c r="F4215" s="1">
        <v>42912</v>
      </c>
      <c r="G4215" s="1">
        <v>42990</v>
      </c>
      <c r="H4215">
        <v>4430</v>
      </c>
      <c r="I4215" t="str">
        <f>IF(COUNTIF(Products!$A$2:$A$8,C4215)=0,C4215,"")</f>
        <v/>
      </c>
      <c r="J4215">
        <f>IF(OR(E4215="Prospecting",E4215="Engaging"),VLOOKUP(C4215,Products!$A$2:$C$8,3,FALSE),0)</f>
        <v>0</v>
      </c>
    </row>
    <row r="4216" spans="1:10" x14ac:dyDescent="0.25">
      <c r="A4216" t="s">
        <v>4383</v>
      </c>
      <c r="B4216" t="s">
        <v>224</v>
      </c>
      <c r="C4216" t="s">
        <v>127</v>
      </c>
      <c r="D4216" t="s">
        <v>35</v>
      </c>
      <c r="E4216" t="s">
        <v>159</v>
      </c>
      <c r="F4216" s="1">
        <v>42912</v>
      </c>
      <c r="G4216" s="1">
        <v>42996</v>
      </c>
      <c r="H4216">
        <v>0</v>
      </c>
      <c r="I4216" t="str">
        <f>IF(COUNTIF(Products!$A$2:$A$8,C4216)=0,C4216,"")</f>
        <v/>
      </c>
      <c r="J4216">
        <f>IF(OR(E4216="Prospecting",E4216="Engaging"),VLOOKUP(C4216,Products!$A$2:$C$8,3,FALSE),0)</f>
        <v>0</v>
      </c>
    </row>
    <row r="4217" spans="1:10" x14ac:dyDescent="0.25">
      <c r="A4217" t="s">
        <v>4384</v>
      </c>
      <c r="B4217" t="s">
        <v>224</v>
      </c>
      <c r="C4217" t="s">
        <v>127</v>
      </c>
      <c r="D4217" t="s">
        <v>81</v>
      </c>
      <c r="E4217" t="s">
        <v>159</v>
      </c>
      <c r="F4217" s="1">
        <v>42912</v>
      </c>
      <c r="G4217" s="1">
        <v>42925</v>
      </c>
      <c r="H4217">
        <v>0</v>
      </c>
      <c r="I4217" t="str">
        <f>IF(COUNTIF(Products!$A$2:$A$8,C4217)=0,C4217,"")</f>
        <v/>
      </c>
      <c r="J4217">
        <f>IF(OR(E4217="Prospecting",E4217="Engaging"),VLOOKUP(C4217,Products!$A$2:$C$8,3,FALSE),0)</f>
        <v>0</v>
      </c>
    </row>
    <row r="4218" spans="1:10" x14ac:dyDescent="0.25">
      <c r="A4218" t="s">
        <v>4385</v>
      </c>
      <c r="B4218" t="s">
        <v>224</v>
      </c>
      <c r="C4218" t="s">
        <v>122</v>
      </c>
      <c r="D4218" t="s">
        <v>111</v>
      </c>
      <c r="E4218" t="s">
        <v>159</v>
      </c>
      <c r="F4218" s="1">
        <v>42912</v>
      </c>
      <c r="G4218" s="1">
        <v>42919</v>
      </c>
      <c r="H4218">
        <v>0</v>
      </c>
      <c r="I4218" t="str">
        <f>IF(COUNTIF(Products!$A$2:$A$8,C4218)=0,C4218,"")</f>
        <v/>
      </c>
      <c r="J4218">
        <f>IF(OR(E4218="Prospecting",E4218="Engaging"),VLOOKUP(C4218,Products!$A$2:$C$8,3,FALSE),0)</f>
        <v>0</v>
      </c>
    </row>
    <row r="4219" spans="1:10" x14ac:dyDescent="0.25">
      <c r="A4219" t="s">
        <v>4386</v>
      </c>
      <c r="B4219" t="s">
        <v>224</v>
      </c>
      <c r="C4219" t="s">
        <v>120</v>
      </c>
      <c r="D4219" t="s">
        <v>16</v>
      </c>
      <c r="E4219" t="s">
        <v>138</v>
      </c>
      <c r="F4219" s="1">
        <v>42912</v>
      </c>
      <c r="G4219" s="1">
        <v>42922</v>
      </c>
      <c r="H4219">
        <v>541</v>
      </c>
      <c r="I4219" t="str">
        <f>IF(COUNTIF(Products!$A$2:$A$8,C4219)=0,C4219,"")</f>
        <v/>
      </c>
      <c r="J4219">
        <f>IF(OR(E4219="Prospecting",E4219="Engaging"),VLOOKUP(C4219,Products!$A$2:$C$8,3,FALSE),0)</f>
        <v>0</v>
      </c>
    </row>
    <row r="4220" spans="1:10" x14ac:dyDescent="0.25">
      <c r="A4220" t="s">
        <v>4387</v>
      </c>
      <c r="B4220" t="s">
        <v>173</v>
      </c>
      <c r="C4220" t="s">
        <v>122</v>
      </c>
      <c r="D4220" t="s">
        <v>59</v>
      </c>
      <c r="E4220" t="s">
        <v>159</v>
      </c>
      <c r="F4220" s="1">
        <v>42912</v>
      </c>
      <c r="G4220" s="1">
        <v>42921</v>
      </c>
      <c r="H4220">
        <v>0</v>
      </c>
      <c r="I4220" t="str">
        <f>IF(COUNTIF(Products!$A$2:$A$8,C4220)=0,C4220,"")</f>
        <v/>
      </c>
      <c r="J4220">
        <f>IF(OR(E4220="Prospecting",E4220="Engaging"),VLOOKUP(C4220,Products!$A$2:$C$8,3,FALSE),0)</f>
        <v>0</v>
      </c>
    </row>
    <row r="4221" spans="1:10" x14ac:dyDescent="0.25">
      <c r="A4221" t="s">
        <v>4388</v>
      </c>
      <c r="B4221" t="s">
        <v>158</v>
      </c>
      <c r="C4221" t="s">
        <v>122</v>
      </c>
      <c r="D4221" t="s">
        <v>22</v>
      </c>
      <c r="E4221" t="s">
        <v>138</v>
      </c>
      <c r="F4221" s="1">
        <v>42912</v>
      </c>
      <c r="G4221" s="1">
        <v>42918</v>
      </c>
      <c r="H4221">
        <v>5081</v>
      </c>
      <c r="I4221" t="str">
        <f>IF(COUNTIF(Products!$A$2:$A$8,C4221)=0,C4221,"")</f>
        <v/>
      </c>
      <c r="J4221">
        <f>IF(OR(E4221="Prospecting",E4221="Engaging"),VLOOKUP(C4221,Products!$A$2:$C$8,3,FALSE),0)</f>
        <v>0</v>
      </c>
    </row>
    <row r="4222" spans="1:10" x14ac:dyDescent="0.25">
      <c r="A4222" t="s">
        <v>4389</v>
      </c>
      <c r="B4222" t="s">
        <v>158</v>
      </c>
      <c r="C4222" t="s">
        <v>125</v>
      </c>
      <c r="D4222" t="s">
        <v>85</v>
      </c>
      <c r="E4222" t="s">
        <v>138</v>
      </c>
      <c r="F4222" s="1">
        <v>42912</v>
      </c>
      <c r="G4222" s="1">
        <v>42914</v>
      </c>
      <c r="H4222">
        <v>3478</v>
      </c>
      <c r="I4222" t="str">
        <f>IF(COUNTIF(Products!$A$2:$A$8,C4222)=0,C4222,"")</f>
        <v/>
      </c>
      <c r="J4222">
        <f>IF(OR(E4222="Prospecting",E4222="Engaging"),VLOOKUP(C4222,Products!$A$2:$C$8,3,FALSE),0)</f>
        <v>0</v>
      </c>
    </row>
    <row r="4223" spans="1:10" x14ac:dyDescent="0.25">
      <c r="A4223" t="s">
        <v>4390</v>
      </c>
      <c r="B4223" t="s">
        <v>154</v>
      </c>
      <c r="C4223" t="s">
        <v>122</v>
      </c>
      <c r="D4223" t="s">
        <v>66</v>
      </c>
      <c r="E4223" t="s">
        <v>138</v>
      </c>
      <c r="F4223" s="1">
        <v>42912</v>
      </c>
      <c r="G4223" s="1">
        <v>42993</v>
      </c>
      <c r="H4223">
        <v>5541</v>
      </c>
      <c r="I4223" t="str">
        <f>IF(COUNTIF(Products!$A$2:$A$8,C4223)=0,C4223,"")</f>
        <v/>
      </c>
      <c r="J4223">
        <f>IF(OR(E4223="Prospecting",E4223="Engaging"),VLOOKUP(C4223,Products!$A$2:$C$8,3,FALSE),0)</f>
        <v>0</v>
      </c>
    </row>
    <row r="4224" spans="1:10" x14ac:dyDescent="0.25">
      <c r="A4224" t="s">
        <v>4391</v>
      </c>
      <c r="B4224" t="s">
        <v>303</v>
      </c>
      <c r="C4224" t="s">
        <v>120</v>
      </c>
      <c r="D4224" t="s">
        <v>22</v>
      </c>
      <c r="E4224" t="s">
        <v>138</v>
      </c>
      <c r="F4224" s="1">
        <v>42912</v>
      </c>
      <c r="G4224" s="1">
        <v>42919</v>
      </c>
      <c r="H4224">
        <v>504</v>
      </c>
      <c r="I4224" t="str">
        <f>IF(COUNTIF(Products!$A$2:$A$8,C4224)=0,C4224,"")</f>
        <v/>
      </c>
      <c r="J4224">
        <f>IF(OR(E4224="Prospecting",E4224="Engaging"),VLOOKUP(C4224,Products!$A$2:$C$8,3,FALSE),0)</f>
        <v>0</v>
      </c>
    </row>
    <row r="4225" spans="1:10" x14ac:dyDescent="0.25">
      <c r="A4225" t="s">
        <v>4392</v>
      </c>
      <c r="B4225" t="s">
        <v>191</v>
      </c>
      <c r="C4225" t="s">
        <v>127</v>
      </c>
      <c r="E4225" t="s">
        <v>155</v>
      </c>
      <c r="F4225" s="1">
        <v>42912</v>
      </c>
      <c r="I4225" t="str">
        <f>IF(COUNTIF(Products!$A$2:$A$8,C4225)=0,C4225,"")</f>
        <v/>
      </c>
      <c r="J4225">
        <f>IF(OR(E4225="Prospecting",E4225="Engaging"),VLOOKUP(C4225,Products!$A$2:$C$8,3,FALSE),0)</f>
        <v>1096</v>
      </c>
    </row>
    <row r="4226" spans="1:10" x14ac:dyDescent="0.25">
      <c r="A4226" t="s">
        <v>4393</v>
      </c>
      <c r="B4226" t="s">
        <v>217</v>
      </c>
      <c r="C4226" t="s">
        <v>120</v>
      </c>
      <c r="D4226" t="s">
        <v>14</v>
      </c>
      <c r="E4226" t="s">
        <v>159</v>
      </c>
      <c r="F4226" s="1">
        <v>42912</v>
      </c>
      <c r="G4226" s="1">
        <v>42957</v>
      </c>
      <c r="H4226">
        <v>0</v>
      </c>
      <c r="I4226" t="str">
        <f>IF(COUNTIF(Products!$A$2:$A$8,C4226)=0,C4226,"")</f>
        <v/>
      </c>
      <c r="J4226">
        <f>IF(OR(E4226="Prospecting",E4226="Engaging"),VLOOKUP(C4226,Products!$A$2:$C$8,3,FALSE),0)</f>
        <v>0</v>
      </c>
    </row>
    <row r="4227" spans="1:10" x14ac:dyDescent="0.25">
      <c r="A4227" t="s">
        <v>4394</v>
      </c>
      <c r="B4227" t="s">
        <v>217</v>
      </c>
      <c r="C4227" t="s">
        <v>120</v>
      </c>
      <c r="D4227" t="s">
        <v>36</v>
      </c>
      <c r="E4227" t="s">
        <v>159</v>
      </c>
      <c r="F4227" s="1">
        <v>42912</v>
      </c>
      <c r="G4227" s="1">
        <v>42919</v>
      </c>
      <c r="H4227">
        <v>0</v>
      </c>
      <c r="I4227" t="str">
        <f>IF(COUNTIF(Products!$A$2:$A$8,C4227)=0,C4227,"")</f>
        <v/>
      </c>
      <c r="J4227">
        <f>IF(OR(E4227="Prospecting",E4227="Engaging"),VLOOKUP(C4227,Products!$A$2:$C$8,3,FALSE),0)</f>
        <v>0</v>
      </c>
    </row>
    <row r="4228" spans="1:10" x14ac:dyDescent="0.25">
      <c r="A4228" t="s">
        <v>4395</v>
      </c>
      <c r="B4228" t="s">
        <v>150</v>
      </c>
      <c r="C4228" t="s">
        <v>125</v>
      </c>
      <c r="D4228" t="s">
        <v>47</v>
      </c>
      <c r="E4228" t="s">
        <v>138</v>
      </c>
      <c r="F4228" s="1">
        <v>42912</v>
      </c>
      <c r="G4228" s="1">
        <v>42971</v>
      </c>
      <c r="H4228">
        <v>3838</v>
      </c>
      <c r="I4228" t="str">
        <f>IF(COUNTIF(Products!$A$2:$A$8,C4228)=0,C4228,"")</f>
        <v/>
      </c>
      <c r="J4228">
        <f>IF(OR(E4228="Prospecting",E4228="Engaging"),VLOOKUP(C4228,Products!$A$2:$C$8,3,FALSE),0)</f>
        <v>0</v>
      </c>
    </row>
    <row r="4229" spans="1:10" x14ac:dyDescent="0.25">
      <c r="A4229" t="s">
        <v>4396</v>
      </c>
      <c r="B4229" t="s">
        <v>205</v>
      </c>
      <c r="C4229" t="s">
        <v>126</v>
      </c>
      <c r="D4229" t="s">
        <v>91</v>
      </c>
      <c r="E4229" t="s">
        <v>138</v>
      </c>
      <c r="F4229" s="1">
        <v>42912</v>
      </c>
      <c r="G4229" s="1">
        <v>42973</v>
      </c>
      <c r="H4229">
        <v>5217</v>
      </c>
      <c r="I4229" t="str">
        <f>IF(COUNTIF(Products!$A$2:$A$8,C4229)=0,C4229,"")</f>
        <v/>
      </c>
      <c r="J4229">
        <f>IF(OR(E4229="Prospecting",E4229="Engaging"),VLOOKUP(C4229,Products!$A$2:$C$8,3,FALSE),0)</f>
        <v>0</v>
      </c>
    </row>
    <row r="4230" spans="1:10" x14ac:dyDescent="0.25">
      <c r="A4230" t="s">
        <v>4397</v>
      </c>
      <c r="B4230" t="s">
        <v>205</v>
      </c>
      <c r="C4230" t="s">
        <v>126</v>
      </c>
      <c r="D4230" t="s">
        <v>96</v>
      </c>
      <c r="E4230" t="s">
        <v>138</v>
      </c>
      <c r="F4230" s="1">
        <v>42912</v>
      </c>
      <c r="G4230" s="1">
        <v>42921</v>
      </c>
      <c r="H4230">
        <v>4181</v>
      </c>
      <c r="I4230" t="str">
        <f>IF(COUNTIF(Products!$A$2:$A$8,C4230)=0,C4230,"")</f>
        <v/>
      </c>
      <c r="J4230">
        <f>IF(OR(E4230="Prospecting",E4230="Engaging"),VLOOKUP(C4230,Products!$A$2:$C$8,3,FALSE),0)</f>
        <v>0</v>
      </c>
    </row>
    <row r="4231" spans="1:10" x14ac:dyDescent="0.25">
      <c r="A4231" t="s">
        <v>4398</v>
      </c>
      <c r="B4231" t="s">
        <v>162</v>
      </c>
      <c r="C4231" t="s">
        <v>120</v>
      </c>
      <c r="D4231" t="s">
        <v>60</v>
      </c>
      <c r="E4231" t="s">
        <v>138</v>
      </c>
      <c r="F4231" s="1">
        <v>42912</v>
      </c>
      <c r="G4231" s="1">
        <v>42922</v>
      </c>
      <c r="H4231">
        <v>518</v>
      </c>
      <c r="I4231" t="str">
        <f>IF(COUNTIF(Products!$A$2:$A$8,C4231)=0,C4231,"")</f>
        <v/>
      </c>
      <c r="J4231">
        <f>IF(OR(E4231="Prospecting",E4231="Engaging"),VLOOKUP(C4231,Products!$A$2:$C$8,3,FALSE),0)</f>
        <v>0</v>
      </c>
    </row>
    <row r="4232" spans="1:10" x14ac:dyDescent="0.25">
      <c r="A4232" t="s">
        <v>4399</v>
      </c>
      <c r="B4232" t="s">
        <v>137</v>
      </c>
      <c r="C4232" t="s">
        <v>120</v>
      </c>
      <c r="D4232" t="s">
        <v>96</v>
      </c>
      <c r="E4232" t="s">
        <v>138</v>
      </c>
      <c r="F4232" s="1">
        <v>42912</v>
      </c>
      <c r="G4232" s="1">
        <v>42995</v>
      </c>
      <c r="H4232">
        <v>533</v>
      </c>
      <c r="I4232" t="str">
        <f>IF(COUNTIF(Products!$A$2:$A$8,C4232)=0,C4232,"")</f>
        <v/>
      </c>
      <c r="J4232">
        <f>IF(OR(E4232="Prospecting",E4232="Engaging"),VLOOKUP(C4232,Products!$A$2:$C$8,3,FALSE),0)</f>
        <v>0</v>
      </c>
    </row>
    <row r="4233" spans="1:10" x14ac:dyDescent="0.25">
      <c r="A4233" t="s">
        <v>4400</v>
      </c>
      <c r="B4233" t="s">
        <v>166</v>
      </c>
      <c r="C4233" t="s">
        <v>125</v>
      </c>
      <c r="D4233" t="s">
        <v>93</v>
      </c>
      <c r="E4233" t="s">
        <v>138</v>
      </c>
      <c r="F4233" s="1">
        <v>42912</v>
      </c>
      <c r="G4233" s="1">
        <v>42950</v>
      </c>
      <c r="H4233">
        <v>3855</v>
      </c>
      <c r="I4233" t="str">
        <f>IF(COUNTIF(Products!$A$2:$A$8,C4233)=0,C4233,"")</f>
        <v/>
      </c>
      <c r="J4233">
        <f>IF(OR(E4233="Prospecting",E4233="Engaging"),VLOOKUP(C4233,Products!$A$2:$C$8,3,FALSE),0)</f>
        <v>0</v>
      </c>
    </row>
    <row r="4234" spans="1:10" x14ac:dyDescent="0.25">
      <c r="A4234" t="s">
        <v>4401</v>
      </c>
      <c r="B4234" t="s">
        <v>148</v>
      </c>
      <c r="C4234" t="s">
        <v>120</v>
      </c>
      <c r="D4234" t="s">
        <v>83</v>
      </c>
      <c r="E4234" t="s">
        <v>159</v>
      </c>
      <c r="F4234" s="1">
        <v>42912</v>
      </c>
      <c r="G4234" s="1">
        <v>42923</v>
      </c>
      <c r="H4234">
        <v>0</v>
      </c>
      <c r="I4234" t="str">
        <f>IF(COUNTIF(Products!$A$2:$A$8,C4234)=0,C4234,"")</f>
        <v/>
      </c>
      <c r="J4234">
        <f>IF(OR(E4234="Prospecting",E4234="Engaging"),VLOOKUP(C4234,Products!$A$2:$C$8,3,FALSE),0)</f>
        <v>0</v>
      </c>
    </row>
    <row r="4235" spans="1:10" x14ac:dyDescent="0.25">
      <c r="A4235" t="s">
        <v>4402</v>
      </c>
      <c r="B4235" t="s">
        <v>144</v>
      </c>
      <c r="C4235" t="s">
        <v>122</v>
      </c>
      <c r="D4235" t="s">
        <v>84</v>
      </c>
      <c r="E4235" t="s">
        <v>155</v>
      </c>
      <c r="F4235" s="1">
        <v>42912</v>
      </c>
      <c r="I4235" t="str">
        <f>IF(COUNTIF(Products!$A$2:$A$8,C4235)=0,C4235,"")</f>
        <v/>
      </c>
      <c r="J4235">
        <f>IF(OR(E4235="Prospecting",E4235="Engaging"),VLOOKUP(C4235,Products!$A$2:$C$8,3,FALSE),0)</f>
        <v>4821</v>
      </c>
    </row>
    <row r="4236" spans="1:10" x14ac:dyDescent="0.25">
      <c r="A4236" t="s">
        <v>4403</v>
      </c>
      <c r="B4236" t="s">
        <v>144</v>
      </c>
      <c r="C4236" t="s">
        <v>120</v>
      </c>
      <c r="D4236" t="s">
        <v>75</v>
      </c>
      <c r="E4236" t="s">
        <v>138</v>
      </c>
      <c r="F4236" s="1">
        <v>42912</v>
      </c>
      <c r="G4236" s="1">
        <v>42920</v>
      </c>
      <c r="H4236">
        <v>617</v>
      </c>
      <c r="I4236" t="str">
        <f>IF(COUNTIF(Products!$A$2:$A$8,C4236)=0,C4236,"")</f>
        <v/>
      </c>
      <c r="J4236">
        <f>IF(OR(E4236="Prospecting",E4236="Engaging"),VLOOKUP(C4236,Products!$A$2:$C$8,3,FALSE),0)</f>
        <v>0</v>
      </c>
    </row>
    <row r="4237" spans="1:10" x14ac:dyDescent="0.25">
      <c r="A4237" t="s">
        <v>4404</v>
      </c>
      <c r="B4237" t="s">
        <v>146</v>
      </c>
      <c r="C4237" t="s">
        <v>127</v>
      </c>
      <c r="D4237" t="s">
        <v>77</v>
      </c>
      <c r="E4237" t="s">
        <v>138</v>
      </c>
      <c r="F4237" s="1">
        <v>42913</v>
      </c>
      <c r="G4237" s="1">
        <v>42922</v>
      </c>
      <c r="H4237">
        <v>991</v>
      </c>
      <c r="I4237" t="str">
        <f>IF(COUNTIF(Products!$A$2:$A$8,C4237)=0,C4237,"")</f>
        <v/>
      </c>
      <c r="J4237">
        <f>IF(OR(E4237="Prospecting",E4237="Engaging"),VLOOKUP(C4237,Products!$A$2:$C$8,3,FALSE),0)</f>
        <v>0</v>
      </c>
    </row>
    <row r="4238" spans="1:10" x14ac:dyDescent="0.25">
      <c r="A4238" t="s">
        <v>4405</v>
      </c>
      <c r="B4238" t="s">
        <v>207</v>
      </c>
      <c r="C4238" t="s">
        <v>122</v>
      </c>
      <c r="D4238" t="s">
        <v>81</v>
      </c>
      <c r="E4238" t="s">
        <v>159</v>
      </c>
      <c r="F4238" s="1">
        <v>42913</v>
      </c>
      <c r="G4238" s="1">
        <v>42971</v>
      </c>
      <c r="H4238">
        <v>0</v>
      </c>
      <c r="I4238" t="str">
        <f>IF(COUNTIF(Products!$A$2:$A$8,C4238)=0,C4238,"")</f>
        <v/>
      </c>
      <c r="J4238">
        <f>IF(OR(E4238="Prospecting",E4238="Engaging"),VLOOKUP(C4238,Products!$A$2:$C$8,3,FALSE),0)</f>
        <v>0</v>
      </c>
    </row>
    <row r="4239" spans="1:10" x14ac:dyDescent="0.25">
      <c r="A4239" t="s">
        <v>4406</v>
      </c>
      <c r="B4239" t="s">
        <v>264</v>
      </c>
      <c r="C4239" t="s">
        <v>120</v>
      </c>
      <c r="D4239" t="s">
        <v>33</v>
      </c>
      <c r="E4239" t="s">
        <v>138</v>
      </c>
      <c r="F4239" s="1">
        <v>42913</v>
      </c>
      <c r="G4239" s="1">
        <v>42948</v>
      </c>
      <c r="H4239">
        <v>513</v>
      </c>
      <c r="I4239" t="str">
        <f>IF(COUNTIF(Products!$A$2:$A$8,C4239)=0,C4239,"")</f>
        <v/>
      </c>
      <c r="J4239">
        <f>IF(OR(E4239="Prospecting",E4239="Engaging"),VLOOKUP(C4239,Products!$A$2:$C$8,3,FALSE),0)</f>
        <v>0</v>
      </c>
    </row>
    <row r="4240" spans="1:10" x14ac:dyDescent="0.25">
      <c r="A4240" t="s">
        <v>4407</v>
      </c>
      <c r="B4240" t="s">
        <v>239</v>
      </c>
      <c r="C4240" t="s">
        <v>126</v>
      </c>
      <c r="D4240" t="s">
        <v>48</v>
      </c>
      <c r="E4240" t="s">
        <v>138</v>
      </c>
      <c r="F4240" s="1">
        <v>42913</v>
      </c>
      <c r="G4240" s="1">
        <v>42923</v>
      </c>
      <c r="H4240">
        <v>5121</v>
      </c>
      <c r="I4240" t="str">
        <f>IF(COUNTIF(Products!$A$2:$A$8,C4240)=0,C4240,"")</f>
        <v/>
      </c>
      <c r="J4240">
        <f>IF(OR(E4240="Prospecting",E4240="Engaging"),VLOOKUP(C4240,Products!$A$2:$C$8,3,FALSE),0)</f>
        <v>0</v>
      </c>
    </row>
    <row r="4241" spans="1:10" x14ac:dyDescent="0.25">
      <c r="A4241" t="s">
        <v>4408</v>
      </c>
      <c r="B4241" t="s">
        <v>171</v>
      </c>
      <c r="C4241" t="s">
        <v>122</v>
      </c>
      <c r="E4241" t="s">
        <v>155</v>
      </c>
      <c r="F4241" s="1">
        <v>42913</v>
      </c>
      <c r="I4241" t="str">
        <f>IF(COUNTIF(Products!$A$2:$A$8,C4241)=0,C4241,"")</f>
        <v/>
      </c>
      <c r="J4241">
        <f>IF(OR(E4241="Prospecting",E4241="Engaging"),VLOOKUP(C4241,Products!$A$2:$C$8,3,FALSE),0)</f>
        <v>4821</v>
      </c>
    </row>
    <row r="4242" spans="1:10" x14ac:dyDescent="0.25">
      <c r="A4242" t="s">
        <v>4409</v>
      </c>
      <c r="B4242" t="s">
        <v>171</v>
      </c>
      <c r="C4242" t="s">
        <v>125</v>
      </c>
      <c r="D4242" t="s">
        <v>67</v>
      </c>
      <c r="E4242" t="s">
        <v>159</v>
      </c>
      <c r="F4242" s="1">
        <v>42913</v>
      </c>
      <c r="G4242" s="1">
        <v>42917</v>
      </c>
      <c r="H4242">
        <v>0</v>
      </c>
      <c r="I4242" t="str">
        <f>IF(COUNTIF(Products!$A$2:$A$8,C4242)=0,C4242,"")</f>
        <v/>
      </c>
      <c r="J4242">
        <f>IF(OR(E4242="Prospecting",E4242="Engaging"),VLOOKUP(C4242,Products!$A$2:$C$8,3,FALSE),0)</f>
        <v>0</v>
      </c>
    </row>
    <row r="4243" spans="1:10" x14ac:dyDescent="0.25">
      <c r="A4243" t="s">
        <v>4410</v>
      </c>
      <c r="B4243" t="s">
        <v>140</v>
      </c>
      <c r="C4243" t="s">
        <v>120</v>
      </c>
      <c r="D4243" t="s">
        <v>27</v>
      </c>
      <c r="E4243" t="s">
        <v>159</v>
      </c>
      <c r="F4243" s="1">
        <v>42913</v>
      </c>
      <c r="G4243" s="1">
        <v>42922</v>
      </c>
      <c r="H4243">
        <v>0</v>
      </c>
      <c r="I4243" t="str">
        <f>IF(COUNTIF(Products!$A$2:$A$8,C4243)=0,C4243,"")</f>
        <v/>
      </c>
      <c r="J4243">
        <f>IF(OR(E4243="Prospecting",E4243="Engaging"),VLOOKUP(C4243,Products!$A$2:$C$8,3,FALSE),0)</f>
        <v>0</v>
      </c>
    </row>
    <row r="4244" spans="1:10" x14ac:dyDescent="0.25">
      <c r="A4244" t="s">
        <v>4411</v>
      </c>
      <c r="B4244" t="s">
        <v>140</v>
      </c>
      <c r="C4244" t="s">
        <v>122</v>
      </c>
      <c r="D4244" t="s">
        <v>116</v>
      </c>
      <c r="E4244" t="s">
        <v>138</v>
      </c>
      <c r="F4244" s="1">
        <v>42913</v>
      </c>
      <c r="G4244" s="1">
        <v>42922</v>
      </c>
      <c r="H4244">
        <v>4635</v>
      </c>
      <c r="I4244" t="str">
        <f>IF(COUNTIF(Products!$A$2:$A$8,C4244)=0,C4244,"")</f>
        <v/>
      </c>
      <c r="J4244">
        <f>IF(OR(E4244="Prospecting",E4244="Engaging"),VLOOKUP(C4244,Products!$A$2:$C$8,3,FALSE),0)</f>
        <v>0</v>
      </c>
    </row>
    <row r="4245" spans="1:10" x14ac:dyDescent="0.25">
      <c r="A4245" t="s">
        <v>4412</v>
      </c>
      <c r="B4245" t="s">
        <v>224</v>
      </c>
      <c r="C4245" t="s">
        <v>126</v>
      </c>
      <c r="D4245" t="s">
        <v>115</v>
      </c>
      <c r="E4245" t="s">
        <v>159</v>
      </c>
      <c r="F4245" s="1">
        <v>42913</v>
      </c>
      <c r="G4245" s="1">
        <v>42986</v>
      </c>
      <c r="H4245">
        <v>0</v>
      </c>
      <c r="I4245" t="str">
        <f>IF(COUNTIF(Products!$A$2:$A$8,C4245)=0,C4245,"")</f>
        <v/>
      </c>
      <c r="J4245">
        <f>IF(OR(E4245="Prospecting",E4245="Engaging"),VLOOKUP(C4245,Products!$A$2:$C$8,3,FALSE),0)</f>
        <v>0</v>
      </c>
    </row>
    <row r="4246" spans="1:10" x14ac:dyDescent="0.25">
      <c r="A4246" t="s">
        <v>4413</v>
      </c>
      <c r="B4246" t="s">
        <v>198</v>
      </c>
      <c r="C4246" t="s">
        <v>120</v>
      </c>
      <c r="D4246" t="s">
        <v>65</v>
      </c>
      <c r="E4246" t="s">
        <v>138</v>
      </c>
      <c r="F4246" s="1">
        <v>42913</v>
      </c>
      <c r="G4246" s="1">
        <v>42998</v>
      </c>
      <c r="H4246">
        <v>470</v>
      </c>
      <c r="I4246" t="str">
        <f>IF(COUNTIF(Products!$A$2:$A$8,C4246)=0,C4246,"")</f>
        <v/>
      </c>
      <c r="J4246">
        <f>IF(OR(E4246="Prospecting",E4246="Engaging"),VLOOKUP(C4246,Products!$A$2:$C$8,3,FALSE),0)</f>
        <v>0</v>
      </c>
    </row>
    <row r="4247" spans="1:10" x14ac:dyDescent="0.25">
      <c r="A4247" t="s">
        <v>4414</v>
      </c>
      <c r="B4247" t="s">
        <v>158</v>
      </c>
      <c r="C4247" t="s">
        <v>123</v>
      </c>
      <c r="D4247" t="s">
        <v>64</v>
      </c>
      <c r="E4247" t="s">
        <v>159</v>
      </c>
      <c r="F4247" s="1">
        <v>42913</v>
      </c>
      <c r="G4247" s="1">
        <v>42979</v>
      </c>
      <c r="H4247">
        <v>0</v>
      </c>
      <c r="I4247" t="str">
        <f>IF(COUNTIF(Products!$A$2:$A$8,C4247)=0,C4247,"")</f>
        <v/>
      </c>
      <c r="J4247">
        <f>IF(OR(E4247="Prospecting",E4247="Engaging"),VLOOKUP(C4247,Products!$A$2:$C$8,3,FALSE),0)</f>
        <v>0</v>
      </c>
    </row>
    <row r="4248" spans="1:10" x14ac:dyDescent="0.25">
      <c r="A4248" t="s">
        <v>4415</v>
      </c>
      <c r="B4248" t="s">
        <v>158</v>
      </c>
      <c r="C4248" t="s">
        <v>126</v>
      </c>
      <c r="D4248" t="s">
        <v>104</v>
      </c>
      <c r="E4248" t="s">
        <v>138</v>
      </c>
      <c r="F4248" s="1">
        <v>42913</v>
      </c>
      <c r="G4248" s="1">
        <v>42995</v>
      </c>
      <c r="H4248">
        <v>6193</v>
      </c>
      <c r="I4248" t="str">
        <f>IF(COUNTIF(Products!$A$2:$A$8,C4248)=0,C4248,"")</f>
        <v/>
      </c>
      <c r="J4248">
        <f>IF(OR(E4248="Prospecting",E4248="Engaging"),VLOOKUP(C4248,Products!$A$2:$C$8,3,FALSE),0)</f>
        <v>0</v>
      </c>
    </row>
    <row r="4249" spans="1:10" x14ac:dyDescent="0.25">
      <c r="A4249" t="s">
        <v>4416</v>
      </c>
      <c r="B4249" t="s">
        <v>154</v>
      </c>
      <c r="C4249" t="s">
        <v>122</v>
      </c>
      <c r="D4249" t="s">
        <v>39</v>
      </c>
      <c r="E4249" t="s">
        <v>138</v>
      </c>
      <c r="F4249" s="1">
        <v>42913</v>
      </c>
      <c r="G4249" s="1">
        <v>42994</v>
      </c>
      <c r="H4249">
        <v>4277</v>
      </c>
      <c r="I4249" t="str">
        <f>IF(COUNTIF(Products!$A$2:$A$8,C4249)=0,C4249,"")</f>
        <v/>
      </c>
      <c r="J4249">
        <f>IF(OR(E4249="Prospecting",E4249="Engaging"),VLOOKUP(C4249,Products!$A$2:$C$8,3,FALSE),0)</f>
        <v>0</v>
      </c>
    </row>
    <row r="4250" spans="1:10" x14ac:dyDescent="0.25">
      <c r="A4250" t="s">
        <v>4417</v>
      </c>
      <c r="B4250" t="s">
        <v>180</v>
      </c>
      <c r="C4250" t="s">
        <v>123</v>
      </c>
      <c r="D4250" t="s">
        <v>17</v>
      </c>
      <c r="E4250" t="s">
        <v>138</v>
      </c>
      <c r="F4250" s="1">
        <v>42913</v>
      </c>
      <c r="G4250" s="1">
        <v>42923</v>
      </c>
      <c r="H4250">
        <v>59</v>
      </c>
      <c r="I4250" t="str">
        <f>IF(COUNTIF(Products!$A$2:$A$8,C4250)=0,C4250,"")</f>
        <v/>
      </c>
      <c r="J4250">
        <f>IF(OR(E4250="Prospecting",E4250="Engaging"),VLOOKUP(C4250,Products!$A$2:$C$8,3,FALSE),0)</f>
        <v>0</v>
      </c>
    </row>
    <row r="4251" spans="1:10" x14ac:dyDescent="0.25">
      <c r="A4251" t="s">
        <v>4418</v>
      </c>
      <c r="B4251" t="s">
        <v>191</v>
      </c>
      <c r="C4251" t="s">
        <v>122</v>
      </c>
      <c r="D4251" t="s">
        <v>107</v>
      </c>
      <c r="E4251" t="s">
        <v>159</v>
      </c>
      <c r="F4251" s="1">
        <v>42913</v>
      </c>
      <c r="G4251" s="1">
        <v>42986</v>
      </c>
      <c r="H4251">
        <v>0</v>
      </c>
      <c r="I4251" t="str">
        <f>IF(COUNTIF(Products!$A$2:$A$8,C4251)=0,C4251,"")</f>
        <v/>
      </c>
      <c r="J4251">
        <f>IF(OR(E4251="Prospecting",E4251="Engaging"),VLOOKUP(C4251,Products!$A$2:$C$8,3,FALSE),0)</f>
        <v>0</v>
      </c>
    </row>
    <row r="4252" spans="1:10" x14ac:dyDescent="0.25">
      <c r="A4252" t="s">
        <v>4419</v>
      </c>
      <c r="B4252" t="s">
        <v>150</v>
      </c>
      <c r="C4252" t="s">
        <v>120</v>
      </c>
      <c r="D4252" t="s">
        <v>27</v>
      </c>
      <c r="E4252" t="s">
        <v>159</v>
      </c>
      <c r="F4252" s="1">
        <v>42913</v>
      </c>
      <c r="G4252" s="1">
        <v>42922</v>
      </c>
      <c r="H4252">
        <v>0</v>
      </c>
      <c r="I4252" t="str">
        <f>IF(COUNTIF(Products!$A$2:$A$8,C4252)=0,C4252,"")</f>
        <v/>
      </c>
      <c r="J4252">
        <f>IF(OR(E4252="Prospecting",E4252="Engaging"),VLOOKUP(C4252,Products!$A$2:$C$8,3,FALSE),0)</f>
        <v>0</v>
      </c>
    </row>
    <row r="4253" spans="1:10" x14ac:dyDescent="0.25">
      <c r="A4253" t="s">
        <v>4420</v>
      </c>
      <c r="B4253" t="s">
        <v>150</v>
      </c>
      <c r="C4253" t="s">
        <v>122</v>
      </c>
      <c r="D4253" t="s">
        <v>57</v>
      </c>
      <c r="E4253" t="s">
        <v>159</v>
      </c>
      <c r="F4253" s="1">
        <v>42913</v>
      </c>
      <c r="G4253" s="1">
        <v>42921</v>
      </c>
      <c r="H4253">
        <v>0</v>
      </c>
      <c r="I4253" t="str">
        <f>IF(COUNTIF(Products!$A$2:$A$8,C4253)=0,C4253,"")</f>
        <v/>
      </c>
      <c r="J4253">
        <f>IF(OR(E4253="Prospecting",E4253="Engaging"),VLOOKUP(C4253,Products!$A$2:$C$8,3,FALSE),0)</f>
        <v>0</v>
      </c>
    </row>
    <row r="4254" spans="1:10" x14ac:dyDescent="0.25">
      <c r="A4254" t="s">
        <v>4421</v>
      </c>
      <c r="B4254" t="s">
        <v>205</v>
      </c>
      <c r="C4254" t="s">
        <v>127</v>
      </c>
      <c r="D4254" t="s">
        <v>53</v>
      </c>
      <c r="E4254" t="s">
        <v>138</v>
      </c>
      <c r="F4254" s="1">
        <v>42913</v>
      </c>
      <c r="G4254" s="1">
        <v>42918</v>
      </c>
      <c r="H4254">
        <v>1176</v>
      </c>
      <c r="I4254" t="str">
        <f>IF(COUNTIF(Products!$A$2:$A$8,C4254)=0,C4254,"")</f>
        <v/>
      </c>
      <c r="J4254">
        <f>IF(OR(E4254="Prospecting",E4254="Engaging"),VLOOKUP(C4254,Products!$A$2:$C$8,3,FALSE),0)</f>
        <v>0</v>
      </c>
    </row>
    <row r="4255" spans="1:10" x14ac:dyDescent="0.25">
      <c r="A4255" t="s">
        <v>4422</v>
      </c>
      <c r="B4255" t="s">
        <v>137</v>
      </c>
      <c r="C4255" t="s">
        <v>126</v>
      </c>
      <c r="D4255" t="s">
        <v>42</v>
      </c>
      <c r="E4255" t="s">
        <v>159</v>
      </c>
      <c r="F4255" s="1">
        <v>42913</v>
      </c>
      <c r="G4255" s="1">
        <v>42924</v>
      </c>
      <c r="H4255">
        <v>0</v>
      </c>
      <c r="I4255" t="str">
        <f>IF(COUNTIF(Products!$A$2:$A$8,C4255)=0,C4255,"")</f>
        <v/>
      </c>
      <c r="J4255">
        <f>IF(OR(E4255="Prospecting",E4255="Engaging"),VLOOKUP(C4255,Products!$A$2:$C$8,3,FALSE),0)</f>
        <v>0</v>
      </c>
    </row>
    <row r="4256" spans="1:10" x14ac:dyDescent="0.25">
      <c r="A4256" t="s">
        <v>4423</v>
      </c>
      <c r="B4256" t="s">
        <v>137</v>
      </c>
      <c r="C4256" t="s">
        <v>120</v>
      </c>
      <c r="D4256" t="s">
        <v>95</v>
      </c>
      <c r="E4256" t="s">
        <v>138</v>
      </c>
      <c r="F4256" s="1">
        <v>42913</v>
      </c>
      <c r="G4256" s="1">
        <v>42921</v>
      </c>
      <c r="H4256">
        <v>541</v>
      </c>
      <c r="I4256" t="str">
        <f>IF(COUNTIF(Products!$A$2:$A$8,C4256)=0,C4256,"")</f>
        <v/>
      </c>
      <c r="J4256">
        <f>IF(OR(E4256="Prospecting",E4256="Engaging"),VLOOKUP(C4256,Products!$A$2:$C$8,3,FALSE),0)</f>
        <v>0</v>
      </c>
    </row>
    <row r="4257" spans="1:10" x14ac:dyDescent="0.25">
      <c r="A4257" t="s">
        <v>4424</v>
      </c>
      <c r="B4257" t="s">
        <v>152</v>
      </c>
      <c r="C4257" t="s">
        <v>126</v>
      </c>
      <c r="D4257" t="s">
        <v>33</v>
      </c>
      <c r="E4257" t="s">
        <v>138</v>
      </c>
      <c r="F4257" s="1">
        <v>42913</v>
      </c>
      <c r="G4257" s="1">
        <v>42917</v>
      </c>
      <c r="H4257">
        <v>4766</v>
      </c>
      <c r="I4257" t="str">
        <f>IF(COUNTIF(Products!$A$2:$A$8,C4257)=0,C4257,"")</f>
        <v/>
      </c>
      <c r="J4257">
        <f>IF(OR(E4257="Prospecting",E4257="Engaging"),VLOOKUP(C4257,Products!$A$2:$C$8,3,FALSE),0)</f>
        <v>0</v>
      </c>
    </row>
    <row r="4258" spans="1:10" x14ac:dyDescent="0.25">
      <c r="A4258" t="s">
        <v>4425</v>
      </c>
      <c r="B4258" t="s">
        <v>193</v>
      </c>
      <c r="C4258" t="s">
        <v>125</v>
      </c>
      <c r="D4258" t="s">
        <v>65</v>
      </c>
      <c r="E4258" t="s">
        <v>159</v>
      </c>
      <c r="F4258" s="1">
        <v>42913</v>
      </c>
      <c r="G4258" s="1">
        <v>42984</v>
      </c>
      <c r="H4258">
        <v>0</v>
      </c>
      <c r="I4258" t="str">
        <f>IF(COUNTIF(Products!$A$2:$A$8,C4258)=0,C4258,"")</f>
        <v/>
      </c>
      <c r="J4258">
        <f>IF(OR(E4258="Prospecting",E4258="Engaging"),VLOOKUP(C4258,Products!$A$2:$C$8,3,FALSE),0)</f>
        <v>0</v>
      </c>
    </row>
    <row r="4259" spans="1:10" x14ac:dyDescent="0.25">
      <c r="A4259" t="s">
        <v>4426</v>
      </c>
      <c r="B4259" t="s">
        <v>193</v>
      </c>
      <c r="C4259" t="s">
        <v>122</v>
      </c>
      <c r="D4259" t="s">
        <v>106</v>
      </c>
      <c r="E4259" t="s">
        <v>138</v>
      </c>
      <c r="F4259" s="1">
        <v>42913</v>
      </c>
      <c r="G4259" s="1">
        <v>42917</v>
      </c>
      <c r="H4259">
        <v>4785</v>
      </c>
      <c r="I4259" t="str">
        <f>IF(COUNTIF(Products!$A$2:$A$8,C4259)=0,C4259,"")</f>
        <v/>
      </c>
      <c r="J4259">
        <f>IF(OR(E4259="Prospecting",E4259="Engaging"),VLOOKUP(C4259,Products!$A$2:$C$8,3,FALSE),0)</f>
        <v>0</v>
      </c>
    </row>
    <row r="4260" spans="1:10" x14ac:dyDescent="0.25">
      <c r="A4260" t="s">
        <v>4427</v>
      </c>
      <c r="B4260" t="s">
        <v>169</v>
      </c>
      <c r="C4260" t="s">
        <v>125</v>
      </c>
      <c r="D4260" t="s">
        <v>85</v>
      </c>
      <c r="E4260" t="s">
        <v>138</v>
      </c>
      <c r="F4260" s="1">
        <v>42913</v>
      </c>
      <c r="G4260" s="1">
        <v>42990</v>
      </c>
      <c r="H4260">
        <v>3046</v>
      </c>
      <c r="I4260" t="str">
        <f>IF(COUNTIF(Products!$A$2:$A$8,C4260)=0,C4260,"")</f>
        <v/>
      </c>
      <c r="J4260">
        <f>IF(OR(E4260="Prospecting",E4260="Engaging"),VLOOKUP(C4260,Products!$A$2:$C$8,3,FALSE),0)</f>
        <v>0</v>
      </c>
    </row>
    <row r="4261" spans="1:10" x14ac:dyDescent="0.25">
      <c r="A4261" t="s">
        <v>4428</v>
      </c>
      <c r="B4261" t="s">
        <v>169</v>
      </c>
      <c r="C4261" t="s">
        <v>125</v>
      </c>
      <c r="D4261" t="s">
        <v>88</v>
      </c>
      <c r="E4261" t="s">
        <v>138</v>
      </c>
      <c r="F4261" s="1">
        <v>42913</v>
      </c>
      <c r="G4261" s="1">
        <v>42920</v>
      </c>
      <c r="H4261">
        <v>3548</v>
      </c>
      <c r="I4261" t="str">
        <f>IF(COUNTIF(Products!$A$2:$A$8,C4261)=0,C4261,"")</f>
        <v/>
      </c>
      <c r="J4261">
        <f>IF(OR(E4261="Prospecting",E4261="Engaging"),VLOOKUP(C4261,Products!$A$2:$C$8,3,FALSE),0)</f>
        <v>0</v>
      </c>
    </row>
    <row r="4262" spans="1:10" x14ac:dyDescent="0.25">
      <c r="A4262" t="s">
        <v>4429</v>
      </c>
      <c r="B4262" t="s">
        <v>148</v>
      </c>
      <c r="C4262" t="s">
        <v>125</v>
      </c>
      <c r="D4262" t="s">
        <v>87</v>
      </c>
      <c r="E4262" t="s">
        <v>159</v>
      </c>
      <c r="F4262" s="1">
        <v>42913</v>
      </c>
      <c r="G4262" s="1">
        <v>42922</v>
      </c>
      <c r="H4262">
        <v>0</v>
      </c>
      <c r="I4262" t="str">
        <f>IF(COUNTIF(Products!$A$2:$A$8,C4262)=0,C4262,"")</f>
        <v/>
      </c>
      <c r="J4262">
        <f>IF(OR(E4262="Prospecting",E4262="Engaging"),VLOOKUP(C4262,Products!$A$2:$C$8,3,FALSE),0)</f>
        <v>0</v>
      </c>
    </row>
    <row r="4263" spans="1:10" x14ac:dyDescent="0.25">
      <c r="A4263" t="s">
        <v>4430</v>
      </c>
      <c r="B4263" t="s">
        <v>148</v>
      </c>
      <c r="C4263" t="s">
        <v>125</v>
      </c>
      <c r="D4263" t="s">
        <v>87</v>
      </c>
      <c r="E4263" t="s">
        <v>138</v>
      </c>
      <c r="F4263" s="1">
        <v>42913</v>
      </c>
      <c r="G4263" s="1">
        <v>42923</v>
      </c>
      <c r="H4263">
        <v>3615</v>
      </c>
      <c r="I4263" t="str">
        <f>IF(COUNTIF(Products!$A$2:$A$8,C4263)=0,C4263,"")</f>
        <v/>
      </c>
      <c r="J4263">
        <f>IF(OR(E4263="Prospecting",E4263="Engaging"),VLOOKUP(C4263,Products!$A$2:$C$8,3,FALSE),0)</f>
        <v>0</v>
      </c>
    </row>
    <row r="4264" spans="1:10" x14ac:dyDescent="0.25">
      <c r="A4264" t="s">
        <v>4431</v>
      </c>
      <c r="B4264" t="s">
        <v>177</v>
      </c>
      <c r="C4264" t="s">
        <v>122</v>
      </c>
      <c r="E4264" t="s">
        <v>155</v>
      </c>
      <c r="F4264" s="1">
        <v>42913</v>
      </c>
      <c r="I4264" t="str">
        <f>IF(COUNTIF(Products!$A$2:$A$8,C4264)=0,C4264,"")</f>
        <v/>
      </c>
      <c r="J4264">
        <f>IF(OR(E4264="Prospecting",E4264="Engaging"),VLOOKUP(C4264,Products!$A$2:$C$8,3,FALSE),0)</f>
        <v>4821</v>
      </c>
    </row>
    <row r="4265" spans="1:10" x14ac:dyDescent="0.25">
      <c r="A4265" t="s">
        <v>4432</v>
      </c>
      <c r="B4265" t="s">
        <v>146</v>
      </c>
      <c r="C4265" t="s">
        <v>120</v>
      </c>
      <c r="D4265" t="s">
        <v>51</v>
      </c>
      <c r="E4265" t="s">
        <v>138</v>
      </c>
      <c r="F4265" s="1">
        <v>42914</v>
      </c>
      <c r="G4265" s="1">
        <v>42989</v>
      </c>
      <c r="H4265">
        <v>631</v>
      </c>
      <c r="I4265" t="str">
        <f>IF(COUNTIF(Products!$A$2:$A$8,C4265)=0,C4265,"")</f>
        <v/>
      </c>
      <c r="J4265">
        <f>IF(OR(E4265="Prospecting",E4265="Engaging"),VLOOKUP(C4265,Products!$A$2:$C$8,3,FALSE),0)</f>
        <v>0</v>
      </c>
    </row>
    <row r="4266" spans="1:10" x14ac:dyDescent="0.25">
      <c r="A4266" t="s">
        <v>4433</v>
      </c>
      <c r="B4266" t="s">
        <v>207</v>
      </c>
      <c r="C4266" t="s">
        <v>120</v>
      </c>
      <c r="D4266" t="s">
        <v>67</v>
      </c>
      <c r="E4266" t="s">
        <v>159</v>
      </c>
      <c r="F4266" s="1">
        <v>42914</v>
      </c>
      <c r="G4266" s="1">
        <v>42917</v>
      </c>
      <c r="H4266">
        <v>0</v>
      </c>
      <c r="I4266" t="str">
        <f>IF(COUNTIF(Products!$A$2:$A$8,C4266)=0,C4266,"")</f>
        <v/>
      </c>
      <c r="J4266">
        <f>IF(OR(E4266="Prospecting",E4266="Engaging"),VLOOKUP(C4266,Products!$A$2:$C$8,3,FALSE),0)</f>
        <v>0</v>
      </c>
    </row>
    <row r="4267" spans="1:10" x14ac:dyDescent="0.25">
      <c r="A4267" t="s">
        <v>4434</v>
      </c>
      <c r="B4267" t="s">
        <v>264</v>
      </c>
      <c r="C4267" t="s">
        <v>120</v>
      </c>
      <c r="D4267" t="s">
        <v>61</v>
      </c>
      <c r="E4267" t="s">
        <v>159</v>
      </c>
      <c r="F4267" s="1">
        <v>42914</v>
      </c>
      <c r="G4267" s="1">
        <v>42958</v>
      </c>
      <c r="H4267">
        <v>0</v>
      </c>
      <c r="I4267" t="str">
        <f>IF(COUNTIF(Products!$A$2:$A$8,C4267)=0,C4267,"")</f>
        <v/>
      </c>
      <c r="J4267">
        <f>IF(OR(E4267="Prospecting",E4267="Engaging"),VLOOKUP(C4267,Products!$A$2:$C$8,3,FALSE),0)</f>
        <v>0</v>
      </c>
    </row>
    <row r="4268" spans="1:10" x14ac:dyDescent="0.25">
      <c r="A4268" t="s">
        <v>4435</v>
      </c>
      <c r="B4268" t="s">
        <v>264</v>
      </c>
      <c r="C4268" t="s">
        <v>123</v>
      </c>
      <c r="D4268" t="s">
        <v>51</v>
      </c>
      <c r="E4268" t="s">
        <v>159</v>
      </c>
      <c r="F4268" s="1">
        <v>42914</v>
      </c>
      <c r="G4268" s="1">
        <v>42923</v>
      </c>
      <c r="H4268">
        <v>0</v>
      </c>
      <c r="I4268" t="str">
        <f>IF(COUNTIF(Products!$A$2:$A$8,C4268)=0,C4268,"")</f>
        <v/>
      </c>
      <c r="J4268">
        <f>IF(OR(E4268="Prospecting",E4268="Engaging"),VLOOKUP(C4268,Products!$A$2:$C$8,3,FALSE),0)</f>
        <v>0</v>
      </c>
    </row>
    <row r="4269" spans="1:10" x14ac:dyDescent="0.25">
      <c r="A4269" t="s">
        <v>4436</v>
      </c>
      <c r="B4269" t="s">
        <v>171</v>
      </c>
      <c r="C4269" t="s">
        <v>122</v>
      </c>
      <c r="D4269" t="s">
        <v>25</v>
      </c>
      <c r="E4269" t="s">
        <v>159</v>
      </c>
      <c r="F4269" s="1">
        <v>42914</v>
      </c>
      <c r="G4269" s="1">
        <v>42961</v>
      </c>
      <c r="H4269">
        <v>0</v>
      </c>
      <c r="I4269" t="str">
        <f>IF(COUNTIF(Products!$A$2:$A$8,C4269)=0,C4269,"")</f>
        <v/>
      </c>
      <c r="J4269">
        <f>IF(OR(E4269="Prospecting",E4269="Engaging"),VLOOKUP(C4269,Products!$A$2:$C$8,3,FALSE),0)</f>
        <v>0</v>
      </c>
    </row>
    <row r="4270" spans="1:10" x14ac:dyDescent="0.25">
      <c r="A4270" t="s">
        <v>4437</v>
      </c>
      <c r="B4270" t="s">
        <v>140</v>
      </c>
      <c r="C4270" t="s">
        <v>122</v>
      </c>
      <c r="D4270" t="s">
        <v>27</v>
      </c>
      <c r="E4270" t="s">
        <v>159</v>
      </c>
      <c r="F4270" s="1">
        <v>42914</v>
      </c>
      <c r="G4270" s="1">
        <v>42923</v>
      </c>
      <c r="H4270">
        <v>0</v>
      </c>
      <c r="I4270" t="str">
        <f>IF(COUNTIF(Products!$A$2:$A$8,C4270)=0,C4270,"")</f>
        <v/>
      </c>
      <c r="J4270">
        <f>IF(OR(E4270="Prospecting",E4270="Engaging"),VLOOKUP(C4270,Products!$A$2:$C$8,3,FALSE),0)</f>
        <v>0</v>
      </c>
    </row>
    <row r="4271" spans="1:10" x14ac:dyDescent="0.25">
      <c r="A4271" t="s">
        <v>4438</v>
      </c>
      <c r="B4271" t="s">
        <v>140</v>
      </c>
      <c r="C4271" t="s">
        <v>122</v>
      </c>
      <c r="D4271" t="s">
        <v>94</v>
      </c>
      <c r="E4271" t="s">
        <v>159</v>
      </c>
      <c r="F4271" s="1">
        <v>42914</v>
      </c>
      <c r="G4271" s="1">
        <v>42922</v>
      </c>
      <c r="H4271">
        <v>0</v>
      </c>
      <c r="I4271" t="str">
        <f>IF(COUNTIF(Products!$A$2:$A$8,C4271)=0,C4271,"")</f>
        <v/>
      </c>
      <c r="J4271">
        <f>IF(OR(E4271="Prospecting",E4271="Engaging"),VLOOKUP(C4271,Products!$A$2:$C$8,3,FALSE),0)</f>
        <v>0</v>
      </c>
    </row>
    <row r="4272" spans="1:10" x14ac:dyDescent="0.25">
      <c r="A4272" t="s">
        <v>4439</v>
      </c>
      <c r="B4272" t="s">
        <v>140</v>
      </c>
      <c r="C4272" t="s">
        <v>122</v>
      </c>
      <c r="D4272" t="s">
        <v>96</v>
      </c>
      <c r="E4272" t="s">
        <v>138</v>
      </c>
      <c r="F4272" s="1">
        <v>42914</v>
      </c>
      <c r="G4272" s="1">
        <v>42923</v>
      </c>
      <c r="H4272">
        <v>4162</v>
      </c>
      <c r="I4272" t="str">
        <f>IF(COUNTIF(Products!$A$2:$A$8,C4272)=0,C4272,"")</f>
        <v/>
      </c>
      <c r="J4272">
        <f>IF(OR(E4272="Prospecting",E4272="Engaging"),VLOOKUP(C4272,Products!$A$2:$C$8,3,FALSE),0)</f>
        <v>0</v>
      </c>
    </row>
    <row r="4273" spans="1:10" x14ac:dyDescent="0.25">
      <c r="A4273" t="s">
        <v>4440</v>
      </c>
      <c r="B4273" t="s">
        <v>140</v>
      </c>
      <c r="C4273" t="s">
        <v>123</v>
      </c>
      <c r="D4273" t="s">
        <v>103</v>
      </c>
      <c r="E4273" t="s">
        <v>138</v>
      </c>
      <c r="F4273" s="1">
        <v>42914</v>
      </c>
      <c r="G4273" s="1">
        <v>43007</v>
      </c>
      <c r="H4273">
        <v>54</v>
      </c>
      <c r="I4273" t="str">
        <f>IF(COUNTIF(Products!$A$2:$A$8,C4273)=0,C4273,"")</f>
        <v/>
      </c>
      <c r="J4273">
        <f>IF(OR(E4273="Prospecting",E4273="Engaging"),VLOOKUP(C4273,Products!$A$2:$C$8,3,FALSE),0)</f>
        <v>0</v>
      </c>
    </row>
    <row r="4274" spans="1:10" x14ac:dyDescent="0.25">
      <c r="A4274" t="s">
        <v>4441</v>
      </c>
      <c r="B4274" t="s">
        <v>224</v>
      </c>
      <c r="C4274" t="s">
        <v>122</v>
      </c>
      <c r="D4274" t="s">
        <v>65</v>
      </c>
      <c r="E4274" t="s">
        <v>138</v>
      </c>
      <c r="F4274" s="1">
        <v>42914</v>
      </c>
      <c r="G4274" s="1">
        <v>42918</v>
      </c>
      <c r="H4274">
        <v>5064</v>
      </c>
      <c r="I4274" t="str">
        <f>IF(COUNTIF(Products!$A$2:$A$8,C4274)=0,C4274,"")</f>
        <v/>
      </c>
      <c r="J4274">
        <f>IF(OR(E4274="Prospecting",E4274="Engaging"),VLOOKUP(C4274,Products!$A$2:$C$8,3,FALSE),0)</f>
        <v>0</v>
      </c>
    </row>
    <row r="4275" spans="1:10" x14ac:dyDescent="0.25">
      <c r="A4275" t="s">
        <v>4442</v>
      </c>
      <c r="B4275" t="s">
        <v>173</v>
      </c>
      <c r="C4275" t="s">
        <v>125</v>
      </c>
      <c r="D4275" t="s">
        <v>67</v>
      </c>
      <c r="E4275" t="s">
        <v>159</v>
      </c>
      <c r="F4275" s="1">
        <v>42914</v>
      </c>
      <c r="G4275" s="1">
        <v>42923</v>
      </c>
      <c r="H4275">
        <v>0</v>
      </c>
      <c r="I4275" t="str">
        <f>IF(COUNTIF(Products!$A$2:$A$8,C4275)=0,C4275,"")</f>
        <v/>
      </c>
      <c r="J4275">
        <f>IF(OR(E4275="Prospecting",E4275="Engaging"),VLOOKUP(C4275,Products!$A$2:$C$8,3,FALSE),0)</f>
        <v>0</v>
      </c>
    </row>
    <row r="4276" spans="1:10" x14ac:dyDescent="0.25">
      <c r="A4276" t="s">
        <v>4443</v>
      </c>
      <c r="B4276" t="s">
        <v>158</v>
      </c>
      <c r="C4276" t="s">
        <v>127</v>
      </c>
      <c r="D4276" t="s">
        <v>70</v>
      </c>
      <c r="E4276" t="s">
        <v>159</v>
      </c>
      <c r="F4276" s="1">
        <v>42914</v>
      </c>
      <c r="G4276" s="1">
        <v>42976</v>
      </c>
      <c r="H4276">
        <v>0</v>
      </c>
      <c r="I4276" t="str">
        <f>IF(COUNTIF(Products!$A$2:$A$8,C4276)=0,C4276,"")</f>
        <v/>
      </c>
      <c r="J4276">
        <f>IF(OR(E4276="Prospecting",E4276="Engaging"),VLOOKUP(C4276,Products!$A$2:$C$8,3,FALSE),0)</f>
        <v>0</v>
      </c>
    </row>
    <row r="4277" spans="1:10" x14ac:dyDescent="0.25">
      <c r="A4277" t="s">
        <v>4444</v>
      </c>
      <c r="B4277" t="s">
        <v>158</v>
      </c>
      <c r="C4277" t="s">
        <v>123</v>
      </c>
      <c r="D4277" t="s">
        <v>70</v>
      </c>
      <c r="E4277" t="s">
        <v>159</v>
      </c>
      <c r="F4277" s="1">
        <v>42914</v>
      </c>
      <c r="G4277" s="1">
        <v>42925</v>
      </c>
      <c r="H4277">
        <v>0</v>
      </c>
      <c r="I4277" t="str">
        <f>IF(COUNTIF(Products!$A$2:$A$8,C4277)=0,C4277,"")</f>
        <v/>
      </c>
      <c r="J4277">
        <f>IF(OR(E4277="Prospecting",E4277="Engaging"),VLOOKUP(C4277,Products!$A$2:$C$8,3,FALSE),0)</f>
        <v>0</v>
      </c>
    </row>
    <row r="4278" spans="1:10" x14ac:dyDescent="0.25">
      <c r="A4278" t="s">
        <v>4445</v>
      </c>
      <c r="B4278" t="s">
        <v>158</v>
      </c>
      <c r="C4278" t="s">
        <v>125</v>
      </c>
      <c r="D4278" t="s">
        <v>28</v>
      </c>
      <c r="E4278" t="s">
        <v>138</v>
      </c>
      <c r="F4278" s="1">
        <v>42914</v>
      </c>
      <c r="G4278" s="1">
        <v>42923</v>
      </c>
      <c r="H4278">
        <v>3865</v>
      </c>
      <c r="I4278" t="str">
        <f>IF(COUNTIF(Products!$A$2:$A$8,C4278)=0,C4278,"")</f>
        <v/>
      </c>
      <c r="J4278">
        <f>IF(OR(E4278="Prospecting",E4278="Engaging"),VLOOKUP(C4278,Products!$A$2:$C$8,3,FALSE),0)</f>
        <v>0</v>
      </c>
    </row>
    <row r="4279" spans="1:10" x14ac:dyDescent="0.25">
      <c r="A4279" t="s">
        <v>4446</v>
      </c>
      <c r="B4279" t="s">
        <v>164</v>
      </c>
      <c r="C4279" t="s">
        <v>125</v>
      </c>
      <c r="D4279" t="s">
        <v>69</v>
      </c>
      <c r="E4279" t="s">
        <v>159</v>
      </c>
      <c r="F4279" s="1">
        <v>42914</v>
      </c>
      <c r="G4279" s="1">
        <v>42992</v>
      </c>
      <c r="H4279">
        <v>0</v>
      </c>
      <c r="I4279" t="str">
        <f>IF(COUNTIF(Products!$A$2:$A$8,C4279)=0,C4279,"")</f>
        <v/>
      </c>
      <c r="J4279">
        <f>IF(OR(E4279="Prospecting",E4279="Engaging"),VLOOKUP(C4279,Products!$A$2:$C$8,3,FALSE),0)</f>
        <v>0</v>
      </c>
    </row>
    <row r="4280" spans="1:10" x14ac:dyDescent="0.25">
      <c r="A4280" t="s">
        <v>4447</v>
      </c>
      <c r="B4280" t="s">
        <v>154</v>
      </c>
      <c r="C4280" t="s">
        <v>122</v>
      </c>
      <c r="D4280" t="s">
        <v>82</v>
      </c>
      <c r="E4280" t="s">
        <v>159</v>
      </c>
      <c r="F4280" s="1">
        <v>42914</v>
      </c>
      <c r="G4280" s="1">
        <v>42920</v>
      </c>
      <c r="H4280">
        <v>0</v>
      </c>
      <c r="I4280" t="str">
        <f>IF(COUNTIF(Products!$A$2:$A$8,C4280)=0,C4280,"")</f>
        <v/>
      </c>
      <c r="J4280">
        <f>IF(OR(E4280="Prospecting",E4280="Engaging"),VLOOKUP(C4280,Products!$A$2:$C$8,3,FALSE),0)</f>
        <v>0</v>
      </c>
    </row>
    <row r="4281" spans="1:10" x14ac:dyDescent="0.25">
      <c r="A4281" t="s">
        <v>4448</v>
      </c>
      <c r="B4281" t="s">
        <v>154</v>
      </c>
      <c r="C4281" t="s">
        <v>120</v>
      </c>
      <c r="D4281" t="s">
        <v>107</v>
      </c>
      <c r="E4281" t="s">
        <v>138</v>
      </c>
      <c r="F4281" s="1">
        <v>42914</v>
      </c>
      <c r="G4281" s="1">
        <v>42957</v>
      </c>
      <c r="H4281">
        <v>553</v>
      </c>
      <c r="I4281" t="str">
        <f>IF(COUNTIF(Products!$A$2:$A$8,C4281)=0,C4281,"")</f>
        <v/>
      </c>
      <c r="J4281">
        <f>IF(OR(E4281="Prospecting",E4281="Engaging"),VLOOKUP(C4281,Products!$A$2:$C$8,3,FALSE),0)</f>
        <v>0</v>
      </c>
    </row>
    <row r="4282" spans="1:10" x14ac:dyDescent="0.25">
      <c r="A4282" t="s">
        <v>4449</v>
      </c>
      <c r="B4282" t="s">
        <v>303</v>
      </c>
      <c r="C4282" t="s">
        <v>127</v>
      </c>
      <c r="D4282" t="s">
        <v>42</v>
      </c>
      <c r="E4282" t="s">
        <v>159</v>
      </c>
      <c r="F4282" s="1">
        <v>42914</v>
      </c>
      <c r="G4282" s="1">
        <v>42919</v>
      </c>
      <c r="H4282">
        <v>0</v>
      </c>
      <c r="I4282" t="str">
        <f>IF(COUNTIF(Products!$A$2:$A$8,C4282)=0,C4282,"")</f>
        <v/>
      </c>
      <c r="J4282">
        <f>IF(OR(E4282="Prospecting",E4282="Engaging"),VLOOKUP(C4282,Products!$A$2:$C$8,3,FALSE),0)</f>
        <v>0</v>
      </c>
    </row>
    <row r="4283" spans="1:10" x14ac:dyDescent="0.25">
      <c r="A4283" t="s">
        <v>4450</v>
      </c>
      <c r="B4283" t="s">
        <v>303</v>
      </c>
      <c r="C4283" t="s">
        <v>125</v>
      </c>
      <c r="D4283" t="s">
        <v>36</v>
      </c>
      <c r="E4283" t="s">
        <v>159</v>
      </c>
      <c r="F4283" s="1">
        <v>42914</v>
      </c>
      <c r="G4283" s="1">
        <v>42921</v>
      </c>
      <c r="H4283">
        <v>0</v>
      </c>
      <c r="I4283" t="str">
        <f>IF(COUNTIF(Products!$A$2:$A$8,C4283)=0,C4283,"")</f>
        <v/>
      </c>
      <c r="J4283">
        <f>IF(OR(E4283="Prospecting",E4283="Engaging"),VLOOKUP(C4283,Products!$A$2:$C$8,3,FALSE),0)</f>
        <v>0</v>
      </c>
    </row>
    <row r="4284" spans="1:10" x14ac:dyDescent="0.25">
      <c r="A4284" t="s">
        <v>4451</v>
      </c>
      <c r="B4284" t="s">
        <v>303</v>
      </c>
      <c r="C4284" t="s">
        <v>120</v>
      </c>
      <c r="D4284" t="s">
        <v>88</v>
      </c>
      <c r="E4284" t="s">
        <v>138</v>
      </c>
      <c r="F4284" s="1">
        <v>42914</v>
      </c>
      <c r="G4284" s="1">
        <v>42980</v>
      </c>
      <c r="H4284">
        <v>501</v>
      </c>
      <c r="I4284" t="str">
        <f>IF(COUNTIF(Products!$A$2:$A$8,C4284)=0,C4284,"")</f>
        <v/>
      </c>
      <c r="J4284">
        <f>IF(OR(E4284="Prospecting",E4284="Engaging"),VLOOKUP(C4284,Products!$A$2:$C$8,3,FALSE),0)</f>
        <v>0</v>
      </c>
    </row>
    <row r="4285" spans="1:10" x14ac:dyDescent="0.25">
      <c r="A4285" t="s">
        <v>4452</v>
      </c>
      <c r="B4285" t="s">
        <v>191</v>
      </c>
      <c r="C4285" t="s">
        <v>120</v>
      </c>
      <c r="D4285" t="s">
        <v>66</v>
      </c>
      <c r="E4285" t="s">
        <v>138</v>
      </c>
      <c r="F4285" s="1">
        <v>42914</v>
      </c>
      <c r="G4285" s="1">
        <v>43005</v>
      </c>
      <c r="H4285">
        <v>539</v>
      </c>
      <c r="I4285" t="str">
        <f>IF(COUNTIF(Products!$A$2:$A$8,C4285)=0,C4285,"")</f>
        <v/>
      </c>
      <c r="J4285">
        <f>IF(OR(E4285="Prospecting",E4285="Engaging"),VLOOKUP(C4285,Products!$A$2:$C$8,3,FALSE),0)</f>
        <v>0</v>
      </c>
    </row>
    <row r="4286" spans="1:10" x14ac:dyDescent="0.25">
      <c r="A4286" t="s">
        <v>4453</v>
      </c>
      <c r="B4286" t="s">
        <v>191</v>
      </c>
      <c r="C4286" t="s">
        <v>127</v>
      </c>
      <c r="D4286" t="s">
        <v>93</v>
      </c>
      <c r="E4286" t="s">
        <v>138</v>
      </c>
      <c r="F4286" s="1">
        <v>42914</v>
      </c>
      <c r="G4286" s="1">
        <v>42920</v>
      </c>
      <c r="H4286">
        <v>1028</v>
      </c>
      <c r="I4286" t="str">
        <f>IF(COUNTIF(Products!$A$2:$A$8,C4286)=0,C4286,"")</f>
        <v/>
      </c>
      <c r="J4286">
        <f>IF(OR(E4286="Prospecting",E4286="Engaging"),VLOOKUP(C4286,Products!$A$2:$C$8,3,FALSE),0)</f>
        <v>0</v>
      </c>
    </row>
    <row r="4287" spans="1:10" x14ac:dyDescent="0.25">
      <c r="A4287" t="s">
        <v>4454</v>
      </c>
      <c r="B4287" t="s">
        <v>191</v>
      </c>
      <c r="C4287" t="s">
        <v>122</v>
      </c>
      <c r="D4287" t="s">
        <v>75</v>
      </c>
      <c r="E4287" t="s">
        <v>138</v>
      </c>
      <c r="F4287" s="1">
        <v>42914</v>
      </c>
      <c r="G4287" s="1">
        <v>42991</v>
      </c>
      <c r="H4287">
        <v>3951</v>
      </c>
      <c r="I4287" t="str">
        <f>IF(COUNTIF(Products!$A$2:$A$8,C4287)=0,C4287,"")</f>
        <v/>
      </c>
      <c r="J4287">
        <f>IF(OR(E4287="Prospecting",E4287="Engaging"),VLOOKUP(C4287,Products!$A$2:$C$8,3,FALSE),0)</f>
        <v>0</v>
      </c>
    </row>
    <row r="4288" spans="1:10" x14ac:dyDescent="0.25">
      <c r="A4288" t="s">
        <v>4455</v>
      </c>
      <c r="B4288" t="s">
        <v>217</v>
      </c>
      <c r="C4288" t="s">
        <v>120</v>
      </c>
      <c r="D4288" t="s">
        <v>42</v>
      </c>
      <c r="E4288" t="s">
        <v>138</v>
      </c>
      <c r="F4288" s="1">
        <v>42914</v>
      </c>
      <c r="G4288" s="1">
        <v>42958</v>
      </c>
      <c r="H4288">
        <v>560</v>
      </c>
      <c r="I4288" t="str">
        <f>IF(COUNTIF(Products!$A$2:$A$8,C4288)=0,C4288,"")</f>
        <v/>
      </c>
      <c r="J4288">
        <f>IF(OR(E4288="Prospecting",E4288="Engaging"),VLOOKUP(C4288,Products!$A$2:$C$8,3,FALSE),0)</f>
        <v>0</v>
      </c>
    </row>
    <row r="4289" spans="1:10" x14ac:dyDescent="0.25">
      <c r="A4289" t="s">
        <v>4456</v>
      </c>
      <c r="B4289" t="s">
        <v>150</v>
      </c>
      <c r="C4289" t="s">
        <v>126</v>
      </c>
      <c r="D4289" t="s">
        <v>56</v>
      </c>
      <c r="E4289" t="s">
        <v>159</v>
      </c>
      <c r="F4289" s="1">
        <v>42914</v>
      </c>
      <c r="G4289" s="1">
        <v>42921</v>
      </c>
      <c r="H4289">
        <v>0</v>
      </c>
      <c r="I4289" t="str">
        <f>IF(COUNTIF(Products!$A$2:$A$8,C4289)=0,C4289,"")</f>
        <v/>
      </c>
      <c r="J4289">
        <f>IF(OR(E4289="Prospecting",E4289="Engaging"),VLOOKUP(C4289,Products!$A$2:$C$8,3,FALSE),0)</f>
        <v>0</v>
      </c>
    </row>
    <row r="4290" spans="1:10" x14ac:dyDescent="0.25">
      <c r="A4290" t="s">
        <v>4457</v>
      </c>
      <c r="B4290" t="s">
        <v>137</v>
      </c>
      <c r="C4290" t="s">
        <v>126</v>
      </c>
      <c r="D4290" t="s">
        <v>12</v>
      </c>
      <c r="E4290" t="s">
        <v>159</v>
      </c>
      <c r="F4290" s="1">
        <v>42914</v>
      </c>
      <c r="G4290" s="1">
        <v>42971</v>
      </c>
      <c r="H4290">
        <v>0</v>
      </c>
      <c r="I4290" t="str">
        <f>IF(COUNTIF(Products!$A$2:$A$8,C4290)=0,C4290,"")</f>
        <v/>
      </c>
      <c r="J4290">
        <f>IF(OR(E4290="Prospecting",E4290="Engaging"),VLOOKUP(C4290,Products!$A$2:$C$8,3,FALSE),0)</f>
        <v>0</v>
      </c>
    </row>
    <row r="4291" spans="1:10" x14ac:dyDescent="0.25">
      <c r="A4291" t="s">
        <v>4458</v>
      </c>
      <c r="B4291" t="s">
        <v>137</v>
      </c>
      <c r="C4291" t="s">
        <v>120</v>
      </c>
      <c r="D4291" t="s">
        <v>64</v>
      </c>
      <c r="E4291" t="s">
        <v>138</v>
      </c>
      <c r="F4291" s="1">
        <v>42914</v>
      </c>
      <c r="G4291" s="1">
        <v>43008</v>
      </c>
      <c r="H4291">
        <v>530</v>
      </c>
      <c r="I4291" t="str">
        <f>IF(COUNTIF(Products!$A$2:$A$8,C4291)=0,C4291,"")</f>
        <v/>
      </c>
      <c r="J4291">
        <f>IF(OR(E4291="Prospecting",E4291="Engaging"),VLOOKUP(C4291,Products!$A$2:$C$8,3,FALSE),0)</f>
        <v>0</v>
      </c>
    </row>
    <row r="4292" spans="1:10" x14ac:dyDescent="0.25">
      <c r="A4292" t="s">
        <v>4459</v>
      </c>
      <c r="B4292" t="s">
        <v>187</v>
      </c>
      <c r="C4292" t="s">
        <v>125</v>
      </c>
      <c r="E4292" t="s">
        <v>155</v>
      </c>
      <c r="F4292" s="1">
        <v>42914</v>
      </c>
      <c r="I4292" t="str">
        <f>IF(COUNTIF(Products!$A$2:$A$8,C4292)=0,C4292,"")</f>
        <v/>
      </c>
      <c r="J4292">
        <f>IF(OR(E4292="Prospecting",E4292="Engaging"),VLOOKUP(C4292,Products!$A$2:$C$8,3,FALSE),0)</f>
        <v>3393</v>
      </c>
    </row>
    <row r="4293" spans="1:10" x14ac:dyDescent="0.25">
      <c r="A4293" t="s">
        <v>4460</v>
      </c>
      <c r="B4293" t="s">
        <v>169</v>
      </c>
      <c r="C4293" t="s">
        <v>120</v>
      </c>
      <c r="D4293" t="s">
        <v>36</v>
      </c>
      <c r="E4293" t="s">
        <v>138</v>
      </c>
      <c r="F4293" s="1">
        <v>42914</v>
      </c>
      <c r="G4293" s="1">
        <v>42918</v>
      </c>
      <c r="H4293">
        <v>462</v>
      </c>
      <c r="I4293" t="str">
        <f>IF(COUNTIF(Products!$A$2:$A$8,C4293)=0,C4293,"")</f>
        <v/>
      </c>
      <c r="J4293">
        <f>IF(OR(E4293="Prospecting",E4293="Engaging"),VLOOKUP(C4293,Products!$A$2:$C$8,3,FALSE),0)</f>
        <v>0</v>
      </c>
    </row>
    <row r="4294" spans="1:10" x14ac:dyDescent="0.25">
      <c r="A4294" t="s">
        <v>4461</v>
      </c>
      <c r="B4294" t="s">
        <v>148</v>
      </c>
      <c r="C4294" t="s">
        <v>127</v>
      </c>
      <c r="D4294" t="s">
        <v>17</v>
      </c>
      <c r="E4294" t="s">
        <v>138</v>
      </c>
      <c r="F4294" s="1">
        <v>42914</v>
      </c>
      <c r="G4294" s="1">
        <v>42985</v>
      </c>
      <c r="H4294">
        <v>1211</v>
      </c>
      <c r="I4294" t="str">
        <f>IF(COUNTIF(Products!$A$2:$A$8,C4294)=0,C4294,"")</f>
        <v/>
      </c>
      <c r="J4294">
        <f>IF(OR(E4294="Prospecting",E4294="Engaging"),VLOOKUP(C4294,Products!$A$2:$C$8,3,FALSE),0)</f>
        <v>0</v>
      </c>
    </row>
    <row r="4295" spans="1:10" x14ac:dyDescent="0.25">
      <c r="A4295" t="s">
        <v>4462</v>
      </c>
      <c r="B4295" t="s">
        <v>148</v>
      </c>
      <c r="C4295" t="s">
        <v>122</v>
      </c>
      <c r="D4295" t="s">
        <v>90</v>
      </c>
      <c r="E4295" t="s">
        <v>138</v>
      </c>
      <c r="F4295" s="1">
        <v>42914</v>
      </c>
      <c r="G4295" s="1">
        <v>42919</v>
      </c>
      <c r="H4295">
        <v>4264</v>
      </c>
      <c r="I4295" t="str">
        <f>IF(COUNTIF(Products!$A$2:$A$8,C4295)=0,C4295,"")</f>
        <v/>
      </c>
      <c r="J4295">
        <f>IF(OR(E4295="Prospecting",E4295="Engaging"),VLOOKUP(C4295,Products!$A$2:$C$8,3,FALSE),0)</f>
        <v>0</v>
      </c>
    </row>
    <row r="4296" spans="1:10" x14ac:dyDescent="0.25">
      <c r="A4296" t="s">
        <v>4463</v>
      </c>
      <c r="B4296" t="s">
        <v>148</v>
      </c>
      <c r="C4296" t="s">
        <v>125</v>
      </c>
      <c r="D4296" t="s">
        <v>39</v>
      </c>
      <c r="E4296" t="s">
        <v>138</v>
      </c>
      <c r="F4296" s="1">
        <v>42914</v>
      </c>
      <c r="G4296" s="1">
        <v>42987</v>
      </c>
      <c r="H4296">
        <v>3104</v>
      </c>
      <c r="I4296" t="str">
        <f>IF(COUNTIF(Products!$A$2:$A$8,C4296)=0,C4296,"")</f>
        <v/>
      </c>
      <c r="J4296">
        <f>IF(OR(E4296="Prospecting",E4296="Engaging"),VLOOKUP(C4296,Products!$A$2:$C$8,3,FALSE),0)</f>
        <v>0</v>
      </c>
    </row>
    <row r="4297" spans="1:10" x14ac:dyDescent="0.25">
      <c r="A4297" t="s">
        <v>4464</v>
      </c>
      <c r="B4297" t="s">
        <v>177</v>
      </c>
      <c r="C4297" t="s">
        <v>125</v>
      </c>
      <c r="D4297" t="s">
        <v>75</v>
      </c>
      <c r="E4297" t="s">
        <v>155</v>
      </c>
      <c r="F4297" s="1">
        <v>42914</v>
      </c>
      <c r="I4297" t="str">
        <f>IF(COUNTIF(Products!$A$2:$A$8,C4297)=0,C4297,"")</f>
        <v/>
      </c>
      <c r="J4297">
        <f>IF(OR(E4297="Prospecting",E4297="Engaging"),VLOOKUP(C4297,Products!$A$2:$C$8,3,FALSE),0)</f>
        <v>3393</v>
      </c>
    </row>
    <row r="4298" spans="1:10" x14ac:dyDescent="0.25">
      <c r="A4298" t="s">
        <v>4465</v>
      </c>
      <c r="B4298" t="s">
        <v>177</v>
      </c>
      <c r="C4298" t="s">
        <v>123</v>
      </c>
      <c r="D4298" t="s">
        <v>50</v>
      </c>
      <c r="E4298" t="s">
        <v>138</v>
      </c>
      <c r="F4298" s="1">
        <v>42914</v>
      </c>
      <c r="G4298" s="1">
        <v>43008</v>
      </c>
      <c r="H4298">
        <v>56</v>
      </c>
      <c r="I4298" t="str">
        <f>IF(COUNTIF(Products!$A$2:$A$8,C4298)=0,C4298,"")</f>
        <v/>
      </c>
      <c r="J4298">
        <f>IF(OR(E4298="Prospecting",E4298="Engaging"),VLOOKUP(C4298,Products!$A$2:$C$8,3,FALSE),0)</f>
        <v>0</v>
      </c>
    </row>
    <row r="4299" spans="1:10" x14ac:dyDescent="0.25">
      <c r="A4299" t="s">
        <v>4466</v>
      </c>
      <c r="B4299" t="s">
        <v>146</v>
      </c>
      <c r="C4299" t="s">
        <v>127</v>
      </c>
      <c r="D4299" t="s">
        <v>12</v>
      </c>
      <c r="E4299" t="s">
        <v>138</v>
      </c>
      <c r="F4299" s="1">
        <v>42915</v>
      </c>
      <c r="G4299" s="1">
        <v>42926</v>
      </c>
      <c r="H4299">
        <v>1047</v>
      </c>
      <c r="I4299" t="str">
        <f>IF(COUNTIF(Products!$A$2:$A$8,C4299)=0,C4299,"")</f>
        <v/>
      </c>
      <c r="J4299">
        <f>IF(OR(E4299="Prospecting",E4299="Engaging"),VLOOKUP(C4299,Products!$A$2:$C$8,3,FALSE),0)</f>
        <v>0</v>
      </c>
    </row>
    <row r="4300" spans="1:10" x14ac:dyDescent="0.25">
      <c r="A4300" t="s">
        <v>4467</v>
      </c>
      <c r="B4300" t="s">
        <v>207</v>
      </c>
      <c r="C4300" t="s">
        <v>125</v>
      </c>
      <c r="D4300" t="s">
        <v>65</v>
      </c>
      <c r="E4300" t="s">
        <v>159</v>
      </c>
      <c r="F4300" s="1">
        <v>42915</v>
      </c>
      <c r="G4300" s="1">
        <v>42924</v>
      </c>
      <c r="H4300">
        <v>0</v>
      </c>
      <c r="I4300" t="str">
        <f>IF(COUNTIF(Products!$A$2:$A$8,C4300)=0,C4300,"")</f>
        <v/>
      </c>
      <c r="J4300">
        <f>IF(OR(E4300="Prospecting",E4300="Engaging"),VLOOKUP(C4300,Products!$A$2:$C$8,3,FALSE),0)</f>
        <v>0</v>
      </c>
    </row>
    <row r="4301" spans="1:10" x14ac:dyDescent="0.25">
      <c r="A4301" t="s">
        <v>4468</v>
      </c>
      <c r="B4301" t="s">
        <v>239</v>
      </c>
      <c r="C4301" t="s">
        <v>127</v>
      </c>
      <c r="E4301" t="s">
        <v>155</v>
      </c>
      <c r="F4301" s="1">
        <v>42915</v>
      </c>
      <c r="I4301" t="str">
        <f>IF(COUNTIF(Products!$A$2:$A$8,C4301)=0,C4301,"")</f>
        <v/>
      </c>
      <c r="J4301">
        <f>IF(OR(E4301="Prospecting",E4301="Engaging"),VLOOKUP(C4301,Products!$A$2:$C$8,3,FALSE),0)</f>
        <v>1096</v>
      </c>
    </row>
    <row r="4302" spans="1:10" x14ac:dyDescent="0.25">
      <c r="A4302" t="s">
        <v>4469</v>
      </c>
      <c r="B4302" t="s">
        <v>140</v>
      </c>
      <c r="C4302" t="s">
        <v>122</v>
      </c>
      <c r="D4302" t="s">
        <v>95</v>
      </c>
      <c r="E4302" t="s">
        <v>159</v>
      </c>
      <c r="F4302" s="1">
        <v>42915</v>
      </c>
      <c r="G4302" s="1">
        <v>42922</v>
      </c>
      <c r="H4302">
        <v>0</v>
      </c>
      <c r="I4302" t="str">
        <f>IF(COUNTIF(Products!$A$2:$A$8,C4302)=0,C4302,"")</f>
        <v/>
      </c>
      <c r="J4302">
        <f>IF(OR(E4302="Prospecting",E4302="Engaging"),VLOOKUP(C4302,Products!$A$2:$C$8,3,FALSE),0)</f>
        <v>0</v>
      </c>
    </row>
    <row r="4303" spans="1:10" x14ac:dyDescent="0.25">
      <c r="A4303" t="s">
        <v>4470</v>
      </c>
      <c r="B4303" t="s">
        <v>140</v>
      </c>
      <c r="C4303" t="s">
        <v>122</v>
      </c>
      <c r="D4303" t="s">
        <v>77</v>
      </c>
      <c r="E4303" t="s">
        <v>138</v>
      </c>
      <c r="F4303" s="1">
        <v>42915</v>
      </c>
      <c r="G4303" s="1">
        <v>42924</v>
      </c>
      <c r="H4303">
        <v>5321</v>
      </c>
      <c r="I4303" t="str">
        <f>IF(COUNTIF(Products!$A$2:$A$8,C4303)=0,C4303,"")</f>
        <v/>
      </c>
      <c r="J4303">
        <f>IF(OR(E4303="Prospecting",E4303="Engaging"),VLOOKUP(C4303,Products!$A$2:$C$8,3,FALSE),0)</f>
        <v>0</v>
      </c>
    </row>
    <row r="4304" spans="1:10" x14ac:dyDescent="0.25">
      <c r="A4304" t="s">
        <v>4471</v>
      </c>
      <c r="B4304" t="s">
        <v>140</v>
      </c>
      <c r="C4304" t="s">
        <v>123</v>
      </c>
      <c r="D4304" t="s">
        <v>53</v>
      </c>
      <c r="E4304" t="s">
        <v>138</v>
      </c>
      <c r="F4304" s="1">
        <v>42915</v>
      </c>
      <c r="G4304" s="1">
        <v>42922</v>
      </c>
      <c r="H4304">
        <v>57</v>
      </c>
      <c r="I4304" t="str">
        <f>IF(COUNTIF(Products!$A$2:$A$8,C4304)=0,C4304,"")</f>
        <v/>
      </c>
      <c r="J4304">
        <f>IF(OR(E4304="Prospecting",E4304="Engaging"),VLOOKUP(C4304,Products!$A$2:$C$8,3,FALSE),0)</f>
        <v>0</v>
      </c>
    </row>
    <row r="4305" spans="1:10" x14ac:dyDescent="0.25">
      <c r="A4305" t="s">
        <v>4472</v>
      </c>
      <c r="B4305" t="s">
        <v>198</v>
      </c>
      <c r="C4305" t="s">
        <v>127</v>
      </c>
      <c r="D4305" t="s">
        <v>67</v>
      </c>
      <c r="E4305" t="s">
        <v>138</v>
      </c>
      <c r="F4305" s="1">
        <v>42915</v>
      </c>
      <c r="G4305" s="1">
        <v>42924</v>
      </c>
      <c r="H4305">
        <v>950</v>
      </c>
      <c r="I4305" t="str">
        <f>IF(COUNTIF(Products!$A$2:$A$8,C4305)=0,C4305,"")</f>
        <v/>
      </c>
      <c r="J4305">
        <f>IF(OR(E4305="Prospecting",E4305="Engaging"),VLOOKUP(C4305,Products!$A$2:$C$8,3,FALSE),0)</f>
        <v>0</v>
      </c>
    </row>
    <row r="4306" spans="1:10" x14ac:dyDescent="0.25">
      <c r="A4306" t="s">
        <v>4473</v>
      </c>
      <c r="B4306" t="s">
        <v>198</v>
      </c>
      <c r="C4306" t="s">
        <v>123</v>
      </c>
      <c r="D4306" t="s">
        <v>73</v>
      </c>
      <c r="E4306" t="s">
        <v>138</v>
      </c>
      <c r="F4306" s="1">
        <v>42915</v>
      </c>
      <c r="G4306" s="1">
        <v>42985</v>
      </c>
      <c r="H4306">
        <v>61</v>
      </c>
      <c r="I4306" t="str">
        <f>IF(COUNTIF(Products!$A$2:$A$8,C4306)=0,C4306,"")</f>
        <v/>
      </c>
      <c r="J4306">
        <f>IF(OR(E4306="Prospecting",E4306="Engaging"),VLOOKUP(C4306,Products!$A$2:$C$8,3,FALSE),0)</f>
        <v>0</v>
      </c>
    </row>
    <row r="4307" spans="1:10" x14ac:dyDescent="0.25">
      <c r="A4307" t="s">
        <v>4474</v>
      </c>
      <c r="B4307" t="s">
        <v>198</v>
      </c>
      <c r="C4307" t="s">
        <v>123</v>
      </c>
      <c r="D4307" t="s">
        <v>108</v>
      </c>
      <c r="E4307" t="s">
        <v>138</v>
      </c>
      <c r="F4307" s="1">
        <v>42915</v>
      </c>
      <c r="G4307" s="1">
        <v>42924</v>
      </c>
      <c r="H4307">
        <v>62</v>
      </c>
      <c r="I4307" t="str">
        <f>IF(COUNTIF(Products!$A$2:$A$8,C4307)=0,C4307,"")</f>
        <v/>
      </c>
      <c r="J4307">
        <f>IF(OR(E4307="Prospecting",E4307="Engaging"),VLOOKUP(C4307,Products!$A$2:$C$8,3,FALSE),0)</f>
        <v>0</v>
      </c>
    </row>
    <row r="4308" spans="1:10" x14ac:dyDescent="0.25">
      <c r="A4308" t="s">
        <v>4475</v>
      </c>
      <c r="B4308" t="s">
        <v>158</v>
      </c>
      <c r="C4308" t="s">
        <v>127</v>
      </c>
      <c r="D4308" t="s">
        <v>64</v>
      </c>
      <c r="E4308" t="s">
        <v>138</v>
      </c>
      <c r="F4308" s="1">
        <v>42915</v>
      </c>
      <c r="G4308" s="1">
        <v>42923</v>
      </c>
      <c r="H4308">
        <v>1105</v>
      </c>
      <c r="I4308" t="str">
        <f>IF(COUNTIF(Products!$A$2:$A$8,C4308)=0,C4308,"")</f>
        <v/>
      </c>
      <c r="J4308">
        <f>IF(OR(E4308="Prospecting",E4308="Engaging"),VLOOKUP(C4308,Products!$A$2:$C$8,3,FALSE),0)</f>
        <v>0</v>
      </c>
    </row>
    <row r="4309" spans="1:10" x14ac:dyDescent="0.25">
      <c r="A4309" t="s">
        <v>4476</v>
      </c>
      <c r="B4309" t="s">
        <v>303</v>
      </c>
      <c r="C4309" t="s">
        <v>127</v>
      </c>
      <c r="D4309" t="s">
        <v>88</v>
      </c>
      <c r="E4309" t="s">
        <v>138</v>
      </c>
      <c r="F4309" s="1">
        <v>42915</v>
      </c>
      <c r="G4309" s="1">
        <v>42980</v>
      </c>
      <c r="H4309">
        <v>835</v>
      </c>
      <c r="I4309" t="str">
        <f>IF(COUNTIF(Products!$A$2:$A$8,C4309)=0,C4309,"")</f>
        <v/>
      </c>
      <c r="J4309">
        <f>IF(OR(E4309="Prospecting",E4309="Engaging"),VLOOKUP(C4309,Products!$A$2:$C$8,3,FALSE),0)</f>
        <v>0</v>
      </c>
    </row>
    <row r="4310" spans="1:10" x14ac:dyDescent="0.25">
      <c r="A4310" t="s">
        <v>4477</v>
      </c>
      <c r="B4310" t="s">
        <v>180</v>
      </c>
      <c r="C4310" t="s">
        <v>127</v>
      </c>
      <c r="D4310" t="s">
        <v>87</v>
      </c>
      <c r="E4310" t="s">
        <v>138</v>
      </c>
      <c r="F4310" s="1">
        <v>42915</v>
      </c>
      <c r="G4310" s="1">
        <v>42975</v>
      </c>
      <c r="H4310">
        <v>1104</v>
      </c>
      <c r="I4310" t="str">
        <f>IF(COUNTIF(Products!$A$2:$A$8,C4310)=0,C4310,"")</f>
        <v/>
      </c>
      <c r="J4310">
        <f>IF(OR(E4310="Prospecting",E4310="Engaging"),VLOOKUP(C4310,Products!$A$2:$C$8,3,FALSE),0)</f>
        <v>0</v>
      </c>
    </row>
    <row r="4311" spans="1:10" x14ac:dyDescent="0.25">
      <c r="A4311" t="s">
        <v>4478</v>
      </c>
      <c r="B4311" t="s">
        <v>180</v>
      </c>
      <c r="C4311" t="s">
        <v>125</v>
      </c>
      <c r="D4311" t="s">
        <v>67</v>
      </c>
      <c r="E4311" t="s">
        <v>138</v>
      </c>
      <c r="F4311" s="1">
        <v>42915</v>
      </c>
      <c r="G4311" s="1">
        <v>42990</v>
      </c>
      <c r="H4311">
        <v>3464</v>
      </c>
      <c r="I4311" t="str">
        <f>IF(COUNTIF(Products!$A$2:$A$8,C4311)=0,C4311,"")</f>
        <v/>
      </c>
      <c r="J4311">
        <f>IF(OR(E4311="Prospecting",E4311="Engaging"),VLOOKUP(C4311,Products!$A$2:$C$8,3,FALSE),0)</f>
        <v>0</v>
      </c>
    </row>
    <row r="4312" spans="1:10" x14ac:dyDescent="0.25">
      <c r="A4312" t="s">
        <v>4479</v>
      </c>
      <c r="B4312" t="s">
        <v>191</v>
      </c>
      <c r="C4312" t="s">
        <v>120</v>
      </c>
      <c r="E4312" t="s">
        <v>155</v>
      </c>
      <c r="F4312" s="1">
        <v>42915</v>
      </c>
      <c r="I4312" t="str">
        <f>IF(COUNTIF(Products!$A$2:$A$8,C4312)=0,C4312,"")</f>
        <v/>
      </c>
      <c r="J4312">
        <f>IF(OR(E4312="Prospecting",E4312="Engaging"),VLOOKUP(C4312,Products!$A$2:$C$8,3,FALSE),0)</f>
        <v>550</v>
      </c>
    </row>
    <row r="4313" spans="1:10" x14ac:dyDescent="0.25">
      <c r="A4313" t="s">
        <v>4480</v>
      </c>
      <c r="B4313" t="s">
        <v>191</v>
      </c>
      <c r="C4313" t="s">
        <v>120</v>
      </c>
      <c r="D4313" t="s">
        <v>41</v>
      </c>
      <c r="E4313" t="s">
        <v>159</v>
      </c>
      <c r="F4313" s="1">
        <v>42915</v>
      </c>
      <c r="G4313" s="1">
        <v>42922</v>
      </c>
      <c r="H4313">
        <v>0</v>
      </c>
      <c r="I4313" t="str">
        <f>IF(COUNTIF(Products!$A$2:$A$8,C4313)=0,C4313,"")</f>
        <v/>
      </c>
      <c r="J4313">
        <f>IF(OR(E4313="Prospecting",E4313="Engaging"),VLOOKUP(C4313,Products!$A$2:$C$8,3,FALSE),0)</f>
        <v>0</v>
      </c>
    </row>
    <row r="4314" spans="1:10" x14ac:dyDescent="0.25">
      <c r="A4314" t="s">
        <v>4481</v>
      </c>
      <c r="B4314" t="s">
        <v>217</v>
      </c>
      <c r="C4314" t="s">
        <v>123</v>
      </c>
      <c r="D4314" t="s">
        <v>91</v>
      </c>
      <c r="E4314" t="s">
        <v>159</v>
      </c>
      <c r="F4314" s="1">
        <v>42915</v>
      </c>
      <c r="G4314" s="1">
        <v>42978</v>
      </c>
      <c r="H4314">
        <v>0</v>
      </c>
      <c r="I4314" t="str">
        <f>IF(COUNTIF(Products!$A$2:$A$8,C4314)=0,C4314,"")</f>
        <v/>
      </c>
      <c r="J4314">
        <f>IF(OR(E4314="Prospecting",E4314="Engaging"),VLOOKUP(C4314,Products!$A$2:$C$8,3,FALSE),0)</f>
        <v>0</v>
      </c>
    </row>
    <row r="4315" spans="1:10" x14ac:dyDescent="0.25">
      <c r="A4315" t="s">
        <v>4482</v>
      </c>
      <c r="B4315" t="s">
        <v>217</v>
      </c>
      <c r="C4315" t="s">
        <v>125</v>
      </c>
      <c r="D4315" t="s">
        <v>96</v>
      </c>
      <c r="E4315" t="s">
        <v>159</v>
      </c>
      <c r="F4315" s="1">
        <v>42915</v>
      </c>
      <c r="G4315" s="1">
        <v>42922</v>
      </c>
      <c r="H4315">
        <v>0</v>
      </c>
      <c r="I4315" t="str">
        <f>IF(COUNTIF(Products!$A$2:$A$8,C4315)=0,C4315,"")</f>
        <v/>
      </c>
      <c r="J4315">
        <f>IF(OR(E4315="Prospecting",E4315="Engaging"),VLOOKUP(C4315,Products!$A$2:$C$8,3,FALSE),0)</f>
        <v>0</v>
      </c>
    </row>
    <row r="4316" spans="1:10" x14ac:dyDescent="0.25">
      <c r="A4316" t="s">
        <v>4483</v>
      </c>
      <c r="B4316" t="s">
        <v>150</v>
      </c>
      <c r="C4316" t="s">
        <v>122</v>
      </c>
      <c r="E4316" t="s">
        <v>155</v>
      </c>
      <c r="F4316" s="1">
        <v>42915</v>
      </c>
      <c r="I4316" t="str">
        <f>IF(COUNTIF(Products!$A$2:$A$8,C4316)=0,C4316,"")</f>
        <v/>
      </c>
      <c r="J4316">
        <f>IF(OR(E4316="Prospecting",E4316="Engaging"),VLOOKUP(C4316,Products!$A$2:$C$8,3,FALSE),0)</f>
        <v>4821</v>
      </c>
    </row>
    <row r="4317" spans="1:10" x14ac:dyDescent="0.25">
      <c r="A4317" t="s">
        <v>4484</v>
      </c>
      <c r="B4317" t="s">
        <v>150</v>
      </c>
      <c r="C4317" t="s">
        <v>120</v>
      </c>
      <c r="D4317" t="s">
        <v>61</v>
      </c>
      <c r="E4317" t="s">
        <v>159</v>
      </c>
      <c r="F4317" s="1">
        <v>42915</v>
      </c>
      <c r="G4317" s="1">
        <v>42926</v>
      </c>
      <c r="H4317">
        <v>0</v>
      </c>
      <c r="I4317" t="str">
        <f>IF(COUNTIF(Products!$A$2:$A$8,C4317)=0,C4317,"")</f>
        <v/>
      </c>
      <c r="J4317">
        <f>IF(OR(E4317="Prospecting",E4317="Engaging"),VLOOKUP(C4317,Products!$A$2:$C$8,3,FALSE),0)</f>
        <v>0</v>
      </c>
    </row>
    <row r="4318" spans="1:10" x14ac:dyDescent="0.25">
      <c r="A4318" t="s">
        <v>4485</v>
      </c>
      <c r="B4318" t="s">
        <v>150</v>
      </c>
      <c r="C4318" t="s">
        <v>123</v>
      </c>
      <c r="D4318" t="s">
        <v>27</v>
      </c>
      <c r="E4318" t="s">
        <v>159</v>
      </c>
      <c r="F4318" s="1">
        <v>42915</v>
      </c>
      <c r="G4318" s="1">
        <v>42922</v>
      </c>
      <c r="H4318">
        <v>0</v>
      </c>
      <c r="I4318" t="str">
        <f>IF(COUNTIF(Products!$A$2:$A$8,C4318)=0,C4318,"")</f>
        <v/>
      </c>
      <c r="J4318">
        <f>IF(OR(E4318="Prospecting",E4318="Engaging"),VLOOKUP(C4318,Products!$A$2:$C$8,3,FALSE),0)</f>
        <v>0</v>
      </c>
    </row>
    <row r="4319" spans="1:10" x14ac:dyDescent="0.25">
      <c r="A4319" t="s">
        <v>4486</v>
      </c>
      <c r="B4319" t="s">
        <v>150</v>
      </c>
      <c r="C4319" t="s">
        <v>123</v>
      </c>
      <c r="D4319" t="s">
        <v>93</v>
      </c>
      <c r="E4319" t="s">
        <v>159</v>
      </c>
      <c r="F4319" s="1">
        <v>42915</v>
      </c>
      <c r="G4319" s="1">
        <v>42922</v>
      </c>
      <c r="H4319">
        <v>0</v>
      </c>
      <c r="I4319" t="str">
        <f>IF(COUNTIF(Products!$A$2:$A$8,C4319)=0,C4319,"")</f>
        <v/>
      </c>
      <c r="J4319">
        <f>IF(OR(E4319="Prospecting",E4319="Engaging"),VLOOKUP(C4319,Products!$A$2:$C$8,3,FALSE),0)</f>
        <v>0</v>
      </c>
    </row>
    <row r="4320" spans="1:10" x14ac:dyDescent="0.25">
      <c r="A4320" t="s">
        <v>4487</v>
      </c>
      <c r="B4320" t="s">
        <v>162</v>
      </c>
      <c r="C4320" t="s">
        <v>122</v>
      </c>
      <c r="D4320" t="s">
        <v>29</v>
      </c>
      <c r="E4320" t="s">
        <v>159</v>
      </c>
      <c r="F4320" s="1">
        <v>42915</v>
      </c>
      <c r="G4320" s="1">
        <v>42926</v>
      </c>
      <c r="H4320">
        <v>0</v>
      </c>
      <c r="I4320" t="str">
        <f>IF(COUNTIF(Products!$A$2:$A$8,C4320)=0,C4320,"")</f>
        <v/>
      </c>
      <c r="J4320">
        <f>IF(OR(E4320="Prospecting",E4320="Engaging"),VLOOKUP(C4320,Products!$A$2:$C$8,3,FALSE),0)</f>
        <v>0</v>
      </c>
    </row>
    <row r="4321" spans="1:10" x14ac:dyDescent="0.25">
      <c r="A4321" t="s">
        <v>4488</v>
      </c>
      <c r="B4321" t="s">
        <v>137</v>
      </c>
      <c r="C4321" t="s">
        <v>125</v>
      </c>
      <c r="D4321" t="s">
        <v>89</v>
      </c>
      <c r="E4321" t="s">
        <v>138</v>
      </c>
      <c r="F4321" s="1">
        <v>42915</v>
      </c>
      <c r="G4321" s="1">
        <v>42922</v>
      </c>
      <c r="H4321">
        <v>3676</v>
      </c>
      <c r="I4321" t="str">
        <f>IF(COUNTIF(Products!$A$2:$A$8,C4321)=0,C4321,"")</f>
        <v/>
      </c>
      <c r="J4321">
        <f>IF(OR(E4321="Prospecting",E4321="Engaging"),VLOOKUP(C4321,Products!$A$2:$C$8,3,FALSE),0)</f>
        <v>0</v>
      </c>
    </row>
    <row r="4322" spans="1:10" x14ac:dyDescent="0.25">
      <c r="A4322" t="s">
        <v>4489</v>
      </c>
      <c r="B4322" t="s">
        <v>152</v>
      </c>
      <c r="C4322" t="s">
        <v>122</v>
      </c>
      <c r="D4322" t="s">
        <v>70</v>
      </c>
      <c r="E4322" t="s">
        <v>159</v>
      </c>
      <c r="F4322" s="1">
        <v>42915</v>
      </c>
      <c r="G4322" s="1">
        <v>42924</v>
      </c>
      <c r="H4322">
        <v>0</v>
      </c>
      <c r="I4322" t="str">
        <f>IF(COUNTIF(Products!$A$2:$A$8,C4322)=0,C4322,"")</f>
        <v/>
      </c>
      <c r="J4322">
        <f>IF(OR(E4322="Prospecting",E4322="Engaging"),VLOOKUP(C4322,Products!$A$2:$C$8,3,FALSE),0)</f>
        <v>0</v>
      </c>
    </row>
    <row r="4323" spans="1:10" x14ac:dyDescent="0.25">
      <c r="A4323" t="s">
        <v>4490</v>
      </c>
      <c r="B4323" t="s">
        <v>152</v>
      </c>
      <c r="C4323" t="s">
        <v>120</v>
      </c>
      <c r="D4323" t="s">
        <v>104</v>
      </c>
      <c r="E4323" t="s">
        <v>138</v>
      </c>
      <c r="F4323" s="1">
        <v>42915</v>
      </c>
      <c r="G4323" s="1">
        <v>42956</v>
      </c>
      <c r="H4323">
        <v>568</v>
      </c>
      <c r="I4323" t="str">
        <f>IF(COUNTIF(Products!$A$2:$A$8,C4323)=0,C4323,"")</f>
        <v/>
      </c>
      <c r="J4323">
        <f>IF(OR(E4323="Prospecting",E4323="Engaging"),VLOOKUP(C4323,Products!$A$2:$C$8,3,FALSE),0)</f>
        <v>0</v>
      </c>
    </row>
    <row r="4324" spans="1:10" x14ac:dyDescent="0.25">
      <c r="A4324" t="s">
        <v>4491</v>
      </c>
      <c r="B4324" t="s">
        <v>193</v>
      </c>
      <c r="C4324" t="s">
        <v>122</v>
      </c>
      <c r="D4324" t="s">
        <v>84</v>
      </c>
      <c r="E4324" t="s">
        <v>138</v>
      </c>
      <c r="F4324" s="1">
        <v>42915</v>
      </c>
      <c r="G4324" s="1">
        <v>42925</v>
      </c>
      <c r="H4324">
        <v>4837</v>
      </c>
      <c r="I4324" t="str">
        <f>IF(COUNTIF(Products!$A$2:$A$8,C4324)=0,C4324,"")</f>
        <v/>
      </c>
      <c r="J4324">
        <f>IF(OR(E4324="Prospecting",E4324="Engaging"),VLOOKUP(C4324,Products!$A$2:$C$8,3,FALSE),0)</f>
        <v>0</v>
      </c>
    </row>
    <row r="4325" spans="1:10" x14ac:dyDescent="0.25">
      <c r="A4325" t="s">
        <v>4492</v>
      </c>
      <c r="B4325" t="s">
        <v>166</v>
      </c>
      <c r="C4325" t="s">
        <v>122</v>
      </c>
      <c r="D4325" t="s">
        <v>41</v>
      </c>
      <c r="E4325" t="s">
        <v>138</v>
      </c>
      <c r="F4325" s="1">
        <v>42915</v>
      </c>
      <c r="G4325" s="1">
        <v>42966</v>
      </c>
      <c r="H4325">
        <v>4936</v>
      </c>
      <c r="I4325" t="str">
        <f>IF(COUNTIF(Products!$A$2:$A$8,C4325)=0,C4325,"")</f>
        <v/>
      </c>
      <c r="J4325">
        <f>IF(OR(E4325="Prospecting",E4325="Engaging"),VLOOKUP(C4325,Products!$A$2:$C$8,3,FALSE),0)</f>
        <v>0</v>
      </c>
    </row>
    <row r="4326" spans="1:10" x14ac:dyDescent="0.25">
      <c r="A4326" t="s">
        <v>4493</v>
      </c>
      <c r="B4326" t="s">
        <v>166</v>
      </c>
      <c r="C4326" t="s">
        <v>123</v>
      </c>
      <c r="D4326" t="s">
        <v>59</v>
      </c>
      <c r="E4326" t="s">
        <v>138</v>
      </c>
      <c r="F4326" s="1">
        <v>42915</v>
      </c>
      <c r="G4326" s="1">
        <v>42981</v>
      </c>
      <c r="H4326">
        <v>55</v>
      </c>
      <c r="I4326" t="str">
        <f>IF(COUNTIF(Products!$A$2:$A$8,C4326)=0,C4326,"")</f>
        <v/>
      </c>
      <c r="J4326">
        <f>IF(OR(E4326="Prospecting",E4326="Engaging"),VLOOKUP(C4326,Products!$A$2:$C$8,3,FALSE),0)</f>
        <v>0</v>
      </c>
    </row>
    <row r="4327" spans="1:10" x14ac:dyDescent="0.25">
      <c r="A4327" t="s">
        <v>4494</v>
      </c>
      <c r="B4327" t="s">
        <v>169</v>
      </c>
      <c r="C4327" t="s">
        <v>120</v>
      </c>
      <c r="D4327" t="s">
        <v>70</v>
      </c>
      <c r="E4327" t="s">
        <v>138</v>
      </c>
      <c r="F4327" s="1">
        <v>42915</v>
      </c>
      <c r="G4327" s="1">
        <v>42926</v>
      </c>
      <c r="H4327">
        <v>466</v>
      </c>
      <c r="I4327" t="str">
        <f>IF(COUNTIF(Products!$A$2:$A$8,C4327)=0,C4327,"")</f>
        <v/>
      </c>
      <c r="J4327">
        <f>IF(OR(E4327="Prospecting",E4327="Engaging"),VLOOKUP(C4327,Products!$A$2:$C$8,3,FALSE),0)</f>
        <v>0</v>
      </c>
    </row>
    <row r="4328" spans="1:10" x14ac:dyDescent="0.25">
      <c r="A4328" t="s">
        <v>4495</v>
      </c>
      <c r="B4328" t="s">
        <v>148</v>
      </c>
      <c r="C4328" t="s">
        <v>125</v>
      </c>
      <c r="E4328" t="s">
        <v>155</v>
      </c>
      <c r="F4328" s="1">
        <v>42915</v>
      </c>
      <c r="I4328" t="str">
        <f>IF(COUNTIF(Products!$A$2:$A$8,C4328)=0,C4328,"")</f>
        <v/>
      </c>
      <c r="J4328">
        <f>IF(OR(E4328="Prospecting",E4328="Engaging"),VLOOKUP(C4328,Products!$A$2:$C$8,3,FALSE),0)</f>
        <v>3393</v>
      </c>
    </row>
    <row r="4329" spans="1:10" x14ac:dyDescent="0.25">
      <c r="A4329" t="s">
        <v>4496</v>
      </c>
      <c r="B4329" t="s">
        <v>148</v>
      </c>
      <c r="C4329" t="s">
        <v>123</v>
      </c>
      <c r="D4329" t="s">
        <v>44</v>
      </c>
      <c r="E4329" t="s">
        <v>159</v>
      </c>
      <c r="F4329" s="1">
        <v>42915</v>
      </c>
      <c r="G4329" s="1">
        <v>42921</v>
      </c>
      <c r="H4329">
        <v>0</v>
      </c>
      <c r="I4329" t="str">
        <f>IF(COUNTIF(Products!$A$2:$A$8,C4329)=0,C4329,"")</f>
        <v/>
      </c>
      <c r="J4329">
        <f>IF(OR(E4329="Prospecting",E4329="Engaging"),VLOOKUP(C4329,Products!$A$2:$C$8,3,FALSE),0)</f>
        <v>0</v>
      </c>
    </row>
    <row r="4330" spans="1:10" x14ac:dyDescent="0.25">
      <c r="A4330" t="s">
        <v>4497</v>
      </c>
      <c r="B4330" t="s">
        <v>148</v>
      </c>
      <c r="C4330" t="s">
        <v>122</v>
      </c>
      <c r="D4330" t="s">
        <v>78</v>
      </c>
      <c r="E4330" t="s">
        <v>138</v>
      </c>
      <c r="F4330" s="1">
        <v>42915</v>
      </c>
      <c r="G4330" s="1">
        <v>42920</v>
      </c>
      <c r="H4330">
        <v>4856</v>
      </c>
      <c r="I4330" t="str">
        <f>IF(COUNTIF(Products!$A$2:$A$8,C4330)=0,C4330,"")</f>
        <v/>
      </c>
      <c r="J4330">
        <f>IF(OR(E4330="Prospecting",E4330="Engaging"),VLOOKUP(C4330,Products!$A$2:$C$8,3,FALSE),0)</f>
        <v>0</v>
      </c>
    </row>
    <row r="4331" spans="1:10" x14ac:dyDescent="0.25">
      <c r="A4331" t="s">
        <v>4498</v>
      </c>
      <c r="B4331" t="s">
        <v>148</v>
      </c>
      <c r="C4331" t="s">
        <v>125</v>
      </c>
      <c r="D4331" t="s">
        <v>82</v>
      </c>
      <c r="E4331" t="s">
        <v>138</v>
      </c>
      <c r="F4331" s="1">
        <v>42915</v>
      </c>
      <c r="G4331" s="1">
        <v>42924</v>
      </c>
      <c r="H4331">
        <v>3562</v>
      </c>
      <c r="I4331" t="str">
        <f>IF(COUNTIF(Products!$A$2:$A$8,C4331)=0,C4331,"")</f>
        <v/>
      </c>
      <c r="J4331">
        <f>IF(OR(E4331="Prospecting",E4331="Engaging"),VLOOKUP(C4331,Products!$A$2:$C$8,3,FALSE),0)</f>
        <v>0</v>
      </c>
    </row>
    <row r="4332" spans="1:10" x14ac:dyDescent="0.25">
      <c r="A4332" t="s">
        <v>4499</v>
      </c>
      <c r="B4332" t="s">
        <v>177</v>
      </c>
      <c r="C4332" t="s">
        <v>122</v>
      </c>
      <c r="D4332" t="s">
        <v>73</v>
      </c>
      <c r="E4332" t="s">
        <v>138</v>
      </c>
      <c r="F4332" s="1">
        <v>42915</v>
      </c>
      <c r="G4332" s="1">
        <v>42925</v>
      </c>
      <c r="H4332">
        <v>5159</v>
      </c>
      <c r="I4332" t="str">
        <f>IF(COUNTIF(Products!$A$2:$A$8,C4332)=0,C4332,"")</f>
        <v/>
      </c>
      <c r="J4332">
        <f>IF(OR(E4332="Prospecting",E4332="Engaging"),VLOOKUP(C4332,Products!$A$2:$C$8,3,FALSE),0)</f>
        <v>0</v>
      </c>
    </row>
    <row r="4333" spans="1:10" x14ac:dyDescent="0.25">
      <c r="A4333" t="s">
        <v>4500</v>
      </c>
      <c r="B4333" t="s">
        <v>177</v>
      </c>
      <c r="C4333" t="s">
        <v>125</v>
      </c>
      <c r="D4333" t="s">
        <v>68</v>
      </c>
      <c r="E4333" t="s">
        <v>138</v>
      </c>
      <c r="F4333" s="1">
        <v>42915</v>
      </c>
      <c r="G4333" s="1">
        <v>42927</v>
      </c>
      <c r="H4333">
        <v>3172</v>
      </c>
      <c r="I4333" t="str">
        <f>IF(COUNTIF(Products!$A$2:$A$8,C4333)=0,C4333,"")</f>
        <v/>
      </c>
      <c r="J4333">
        <f>IF(OR(E4333="Prospecting",E4333="Engaging"),VLOOKUP(C4333,Products!$A$2:$C$8,3,FALSE),0)</f>
        <v>0</v>
      </c>
    </row>
    <row r="4334" spans="1:10" x14ac:dyDescent="0.25">
      <c r="A4334" t="s">
        <v>4501</v>
      </c>
      <c r="B4334" t="s">
        <v>196</v>
      </c>
      <c r="C4334" t="s">
        <v>125</v>
      </c>
      <c r="D4334" t="s">
        <v>68</v>
      </c>
      <c r="E4334" t="s">
        <v>138</v>
      </c>
      <c r="F4334" s="1">
        <v>42915</v>
      </c>
      <c r="G4334" s="1">
        <v>42988</v>
      </c>
      <c r="H4334">
        <v>3350</v>
      </c>
      <c r="I4334" t="str">
        <f>IF(COUNTIF(Products!$A$2:$A$8,C4334)=0,C4334,"")</f>
        <v/>
      </c>
      <c r="J4334">
        <f>IF(OR(E4334="Prospecting",E4334="Engaging"),VLOOKUP(C4334,Products!$A$2:$C$8,3,FALSE),0)</f>
        <v>0</v>
      </c>
    </row>
    <row r="4335" spans="1:10" x14ac:dyDescent="0.25">
      <c r="A4335" t="s">
        <v>4502</v>
      </c>
      <c r="B4335" t="s">
        <v>144</v>
      </c>
      <c r="C4335" t="s">
        <v>120</v>
      </c>
      <c r="D4335" t="s">
        <v>56</v>
      </c>
      <c r="E4335" t="s">
        <v>138</v>
      </c>
      <c r="F4335" s="1">
        <v>42915</v>
      </c>
      <c r="G4335" s="1">
        <v>42926</v>
      </c>
      <c r="H4335">
        <v>595</v>
      </c>
      <c r="I4335" t="str">
        <f>IF(COUNTIF(Products!$A$2:$A$8,C4335)=0,C4335,"")</f>
        <v/>
      </c>
      <c r="J4335">
        <f>IF(OR(E4335="Prospecting",E4335="Engaging"),VLOOKUP(C4335,Products!$A$2:$C$8,3,FALSE),0)</f>
        <v>0</v>
      </c>
    </row>
    <row r="4336" spans="1:10" x14ac:dyDescent="0.25">
      <c r="A4336" t="s">
        <v>4503</v>
      </c>
      <c r="B4336" t="s">
        <v>146</v>
      </c>
      <c r="C4336" t="s">
        <v>120</v>
      </c>
      <c r="D4336" t="s">
        <v>12</v>
      </c>
      <c r="E4336" t="s">
        <v>138</v>
      </c>
      <c r="F4336" s="1">
        <v>42916</v>
      </c>
      <c r="G4336" s="1">
        <v>43005</v>
      </c>
      <c r="H4336">
        <v>560</v>
      </c>
      <c r="I4336" t="str">
        <f>IF(COUNTIF(Products!$A$2:$A$8,C4336)=0,C4336,"")</f>
        <v/>
      </c>
      <c r="J4336">
        <f>IF(OR(E4336="Prospecting",E4336="Engaging"),VLOOKUP(C4336,Products!$A$2:$C$8,3,FALSE),0)</f>
        <v>0</v>
      </c>
    </row>
    <row r="4337" spans="1:10" x14ac:dyDescent="0.25">
      <c r="A4337" t="s">
        <v>4504</v>
      </c>
      <c r="B4337" t="s">
        <v>222</v>
      </c>
      <c r="C4337" t="s">
        <v>127</v>
      </c>
      <c r="E4337" t="s">
        <v>155</v>
      </c>
      <c r="F4337" s="1">
        <v>42916</v>
      </c>
      <c r="I4337" t="str">
        <f>IF(COUNTIF(Products!$A$2:$A$8,C4337)=0,C4337,"")</f>
        <v/>
      </c>
      <c r="J4337">
        <f>IF(OR(E4337="Prospecting",E4337="Engaging"),VLOOKUP(C4337,Products!$A$2:$C$8,3,FALSE),0)</f>
        <v>1096</v>
      </c>
    </row>
    <row r="4338" spans="1:10" x14ac:dyDescent="0.25">
      <c r="A4338" t="s">
        <v>4505</v>
      </c>
      <c r="B4338" t="s">
        <v>222</v>
      </c>
      <c r="C4338" t="s">
        <v>127</v>
      </c>
      <c r="D4338" t="s">
        <v>110</v>
      </c>
      <c r="E4338" t="s">
        <v>138</v>
      </c>
      <c r="F4338" s="1">
        <v>42916</v>
      </c>
      <c r="G4338" s="1">
        <v>42918</v>
      </c>
      <c r="H4338">
        <v>1167</v>
      </c>
      <c r="I4338" t="str">
        <f>IF(COUNTIF(Products!$A$2:$A$8,C4338)=0,C4338,"")</f>
        <v/>
      </c>
      <c r="J4338">
        <f>IF(OR(E4338="Prospecting",E4338="Engaging"),VLOOKUP(C4338,Products!$A$2:$C$8,3,FALSE),0)</f>
        <v>0</v>
      </c>
    </row>
    <row r="4339" spans="1:10" x14ac:dyDescent="0.25">
      <c r="A4339" t="s">
        <v>4506</v>
      </c>
      <c r="B4339" t="s">
        <v>207</v>
      </c>
      <c r="C4339" t="s">
        <v>126</v>
      </c>
      <c r="D4339" t="s">
        <v>63</v>
      </c>
      <c r="E4339" t="s">
        <v>159</v>
      </c>
      <c r="F4339" s="1">
        <v>42916</v>
      </c>
      <c r="G4339" s="1">
        <v>42926</v>
      </c>
      <c r="H4339">
        <v>0</v>
      </c>
      <c r="I4339" t="str">
        <f>IF(COUNTIF(Products!$A$2:$A$8,C4339)=0,C4339,"")</f>
        <v/>
      </c>
      <c r="J4339">
        <f>IF(OR(E4339="Prospecting",E4339="Engaging"),VLOOKUP(C4339,Products!$A$2:$C$8,3,FALSE),0)</f>
        <v>0</v>
      </c>
    </row>
    <row r="4340" spans="1:10" x14ac:dyDescent="0.25">
      <c r="A4340" t="s">
        <v>4507</v>
      </c>
      <c r="B4340" t="s">
        <v>207</v>
      </c>
      <c r="C4340" t="s">
        <v>125</v>
      </c>
      <c r="D4340" t="s">
        <v>10</v>
      </c>
      <c r="E4340" t="s">
        <v>138</v>
      </c>
      <c r="F4340" s="1">
        <v>42916</v>
      </c>
      <c r="G4340" s="1">
        <v>43004</v>
      </c>
      <c r="H4340">
        <v>3280</v>
      </c>
      <c r="I4340" t="str">
        <f>IF(COUNTIF(Products!$A$2:$A$8,C4340)=0,C4340,"")</f>
        <v/>
      </c>
      <c r="J4340">
        <f>IF(OR(E4340="Prospecting",E4340="Engaging"),VLOOKUP(C4340,Products!$A$2:$C$8,3,FALSE),0)</f>
        <v>0</v>
      </c>
    </row>
    <row r="4341" spans="1:10" x14ac:dyDescent="0.25">
      <c r="A4341" t="s">
        <v>4508</v>
      </c>
      <c r="B4341" t="s">
        <v>264</v>
      </c>
      <c r="C4341" t="s">
        <v>125</v>
      </c>
      <c r="D4341" t="s">
        <v>51</v>
      </c>
      <c r="E4341" t="s">
        <v>138</v>
      </c>
      <c r="F4341" s="1">
        <v>42916</v>
      </c>
      <c r="G4341" s="1">
        <v>42993</v>
      </c>
      <c r="H4341">
        <v>3427</v>
      </c>
      <c r="I4341" t="str">
        <f>IF(COUNTIF(Products!$A$2:$A$8,C4341)=0,C4341,"")</f>
        <v/>
      </c>
      <c r="J4341">
        <f>IF(OR(E4341="Prospecting",E4341="Engaging"),VLOOKUP(C4341,Products!$A$2:$C$8,3,FALSE),0)</f>
        <v>0</v>
      </c>
    </row>
    <row r="4342" spans="1:10" x14ac:dyDescent="0.25">
      <c r="A4342" t="s">
        <v>4509</v>
      </c>
      <c r="B4342" t="s">
        <v>239</v>
      </c>
      <c r="C4342" t="s">
        <v>120</v>
      </c>
      <c r="D4342" t="s">
        <v>92</v>
      </c>
      <c r="E4342" t="s">
        <v>159</v>
      </c>
      <c r="F4342" s="1">
        <v>42916</v>
      </c>
      <c r="G4342" s="1">
        <v>42928</v>
      </c>
      <c r="H4342">
        <v>0</v>
      </c>
      <c r="I4342" t="str">
        <f>IF(COUNTIF(Products!$A$2:$A$8,C4342)=0,C4342,"")</f>
        <v/>
      </c>
      <c r="J4342">
        <f>IF(OR(E4342="Prospecting",E4342="Engaging"),VLOOKUP(C4342,Products!$A$2:$C$8,3,FALSE),0)</f>
        <v>0</v>
      </c>
    </row>
    <row r="4343" spans="1:10" x14ac:dyDescent="0.25">
      <c r="A4343" t="s">
        <v>4510</v>
      </c>
      <c r="B4343" t="s">
        <v>171</v>
      </c>
      <c r="C4343" t="s">
        <v>127</v>
      </c>
      <c r="D4343" t="s">
        <v>84</v>
      </c>
      <c r="E4343" t="s">
        <v>159</v>
      </c>
      <c r="F4343" s="1">
        <v>42916</v>
      </c>
      <c r="G4343" s="1">
        <v>42924</v>
      </c>
      <c r="H4343">
        <v>0</v>
      </c>
      <c r="I4343" t="str">
        <f>IF(COUNTIF(Products!$A$2:$A$8,C4343)=0,C4343,"")</f>
        <v/>
      </c>
      <c r="J4343">
        <f>IF(OR(E4343="Prospecting",E4343="Engaging"),VLOOKUP(C4343,Products!$A$2:$C$8,3,FALSE),0)</f>
        <v>0</v>
      </c>
    </row>
    <row r="4344" spans="1:10" x14ac:dyDescent="0.25">
      <c r="A4344" t="s">
        <v>4511</v>
      </c>
      <c r="B4344" t="s">
        <v>171</v>
      </c>
      <c r="C4344" t="s">
        <v>127</v>
      </c>
      <c r="D4344" t="s">
        <v>65</v>
      </c>
      <c r="E4344" t="s">
        <v>138</v>
      </c>
      <c r="F4344" s="1">
        <v>42916</v>
      </c>
      <c r="G4344" s="1">
        <v>43005</v>
      </c>
      <c r="H4344">
        <v>940</v>
      </c>
      <c r="I4344" t="str">
        <f>IF(COUNTIF(Products!$A$2:$A$8,C4344)=0,C4344,"")</f>
        <v/>
      </c>
      <c r="J4344">
        <f>IF(OR(E4344="Prospecting",E4344="Engaging"),VLOOKUP(C4344,Products!$A$2:$C$8,3,FALSE),0)</f>
        <v>0</v>
      </c>
    </row>
    <row r="4345" spans="1:10" x14ac:dyDescent="0.25">
      <c r="A4345" t="s">
        <v>4512</v>
      </c>
      <c r="B4345" t="s">
        <v>140</v>
      </c>
      <c r="C4345" t="s">
        <v>120</v>
      </c>
      <c r="D4345" t="s">
        <v>77</v>
      </c>
      <c r="E4345" t="s">
        <v>138</v>
      </c>
      <c r="F4345" s="1">
        <v>42916</v>
      </c>
      <c r="G4345" s="1">
        <v>43007</v>
      </c>
      <c r="H4345">
        <v>565</v>
      </c>
      <c r="I4345" t="str">
        <f>IF(COUNTIF(Products!$A$2:$A$8,C4345)=0,C4345,"")</f>
        <v/>
      </c>
      <c r="J4345">
        <f>IF(OR(E4345="Prospecting",E4345="Engaging"),VLOOKUP(C4345,Products!$A$2:$C$8,3,FALSE),0)</f>
        <v>0</v>
      </c>
    </row>
    <row r="4346" spans="1:10" x14ac:dyDescent="0.25">
      <c r="A4346" t="s">
        <v>4513</v>
      </c>
      <c r="B4346" t="s">
        <v>140</v>
      </c>
      <c r="C4346" t="s">
        <v>122</v>
      </c>
      <c r="D4346" t="s">
        <v>28</v>
      </c>
      <c r="E4346" t="s">
        <v>138</v>
      </c>
      <c r="F4346" s="1">
        <v>42916</v>
      </c>
      <c r="G4346" s="1">
        <v>42922</v>
      </c>
      <c r="H4346">
        <v>4749</v>
      </c>
      <c r="I4346" t="str">
        <f>IF(COUNTIF(Products!$A$2:$A$8,C4346)=0,C4346,"")</f>
        <v/>
      </c>
      <c r="J4346">
        <f>IF(OR(E4346="Prospecting",E4346="Engaging"),VLOOKUP(C4346,Products!$A$2:$C$8,3,FALSE),0)</f>
        <v>0</v>
      </c>
    </row>
    <row r="4347" spans="1:10" x14ac:dyDescent="0.25">
      <c r="A4347" t="s">
        <v>4514</v>
      </c>
      <c r="B4347" t="s">
        <v>173</v>
      </c>
      <c r="C4347" t="s">
        <v>123</v>
      </c>
      <c r="D4347" t="s">
        <v>71</v>
      </c>
      <c r="E4347" t="s">
        <v>138</v>
      </c>
      <c r="F4347" s="1">
        <v>42916</v>
      </c>
      <c r="G4347" s="1">
        <v>42925</v>
      </c>
      <c r="H4347">
        <v>51</v>
      </c>
      <c r="I4347" t="str">
        <f>IF(COUNTIF(Products!$A$2:$A$8,C4347)=0,C4347,"")</f>
        <v/>
      </c>
      <c r="J4347">
        <f>IF(OR(E4347="Prospecting",E4347="Engaging"),VLOOKUP(C4347,Products!$A$2:$C$8,3,FALSE),0)</f>
        <v>0</v>
      </c>
    </row>
    <row r="4348" spans="1:10" x14ac:dyDescent="0.25">
      <c r="A4348" t="s">
        <v>4515</v>
      </c>
      <c r="B4348" t="s">
        <v>158</v>
      </c>
      <c r="C4348" t="s">
        <v>123</v>
      </c>
      <c r="D4348" t="s">
        <v>95</v>
      </c>
      <c r="E4348" t="s">
        <v>159</v>
      </c>
      <c r="F4348" s="1">
        <v>42916</v>
      </c>
      <c r="G4348" s="1">
        <v>42975</v>
      </c>
      <c r="H4348">
        <v>0</v>
      </c>
      <c r="I4348" t="str">
        <f>IF(COUNTIF(Products!$A$2:$A$8,C4348)=0,C4348,"")</f>
        <v/>
      </c>
      <c r="J4348">
        <f>IF(OR(E4348="Prospecting",E4348="Engaging"),VLOOKUP(C4348,Products!$A$2:$C$8,3,FALSE),0)</f>
        <v>0</v>
      </c>
    </row>
    <row r="4349" spans="1:10" x14ac:dyDescent="0.25">
      <c r="A4349" t="s">
        <v>4516</v>
      </c>
      <c r="B4349" t="s">
        <v>154</v>
      </c>
      <c r="C4349" t="s">
        <v>127</v>
      </c>
      <c r="E4349" t="s">
        <v>155</v>
      </c>
      <c r="F4349" s="1">
        <v>42916</v>
      </c>
      <c r="I4349" t="str">
        <f>IF(COUNTIF(Products!$A$2:$A$8,C4349)=0,C4349,"")</f>
        <v/>
      </c>
      <c r="J4349">
        <f>IF(OR(E4349="Prospecting",E4349="Engaging"),VLOOKUP(C4349,Products!$A$2:$C$8,3,FALSE),0)</f>
        <v>1096</v>
      </c>
    </row>
    <row r="4350" spans="1:10" x14ac:dyDescent="0.25">
      <c r="A4350" t="s">
        <v>4517</v>
      </c>
      <c r="B4350" t="s">
        <v>154</v>
      </c>
      <c r="C4350" t="s">
        <v>122</v>
      </c>
      <c r="D4350" t="s">
        <v>109</v>
      </c>
      <c r="E4350" t="s">
        <v>159</v>
      </c>
      <c r="F4350" s="1">
        <v>42916</v>
      </c>
      <c r="G4350" s="1">
        <v>42924</v>
      </c>
      <c r="H4350">
        <v>0</v>
      </c>
      <c r="I4350" t="str">
        <f>IF(COUNTIF(Products!$A$2:$A$8,C4350)=0,C4350,"")</f>
        <v/>
      </c>
      <c r="J4350">
        <f>IF(OR(E4350="Prospecting",E4350="Engaging"),VLOOKUP(C4350,Products!$A$2:$C$8,3,FALSE),0)</f>
        <v>0</v>
      </c>
    </row>
    <row r="4351" spans="1:10" x14ac:dyDescent="0.25">
      <c r="A4351" t="s">
        <v>4518</v>
      </c>
      <c r="B4351" t="s">
        <v>303</v>
      </c>
      <c r="C4351" t="s">
        <v>120</v>
      </c>
      <c r="D4351" t="s">
        <v>77</v>
      </c>
      <c r="E4351" t="s">
        <v>159</v>
      </c>
      <c r="F4351" s="1">
        <v>42916</v>
      </c>
      <c r="G4351" s="1">
        <v>42923</v>
      </c>
      <c r="H4351">
        <v>0</v>
      </c>
      <c r="I4351" t="str">
        <f>IF(COUNTIF(Products!$A$2:$A$8,C4351)=0,C4351,"")</f>
        <v/>
      </c>
      <c r="J4351">
        <f>IF(OR(E4351="Prospecting",E4351="Engaging"),VLOOKUP(C4351,Products!$A$2:$C$8,3,FALSE),0)</f>
        <v>0</v>
      </c>
    </row>
    <row r="4352" spans="1:10" x14ac:dyDescent="0.25">
      <c r="A4352" t="s">
        <v>4519</v>
      </c>
      <c r="B4352" t="s">
        <v>150</v>
      </c>
      <c r="C4352" t="s">
        <v>123</v>
      </c>
      <c r="D4352" t="s">
        <v>34</v>
      </c>
      <c r="E4352" t="s">
        <v>159</v>
      </c>
      <c r="F4352" s="1">
        <v>42916</v>
      </c>
      <c r="G4352" s="1">
        <v>42917</v>
      </c>
      <c r="H4352">
        <v>0</v>
      </c>
      <c r="I4352" t="str">
        <f>IF(COUNTIF(Products!$A$2:$A$8,C4352)=0,C4352,"")</f>
        <v/>
      </c>
      <c r="J4352">
        <f>IF(OR(E4352="Prospecting",E4352="Engaging"),VLOOKUP(C4352,Products!$A$2:$C$8,3,FALSE),0)</f>
        <v>0</v>
      </c>
    </row>
    <row r="4353" spans="1:10" x14ac:dyDescent="0.25">
      <c r="A4353" t="s">
        <v>4520</v>
      </c>
      <c r="B4353" t="s">
        <v>205</v>
      </c>
      <c r="C4353" t="s">
        <v>125</v>
      </c>
      <c r="D4353" t="s">
        <v>70</v>
      </c>
      <c r="E4353" t="s">
        <v>138</v>
      </c>
      <c r="F4353" s="1">
        <v>42916</v>
      </c>
      <c r="G4353" s="1">
        <v>42925</v>
      </c>
      <c r="H4353">
        <v>3699</v>
      </c>
      <c r="I4353" t="str">
        <f>IF(COUNTIF(Products!$A$2:$A$8,C4353)=0,C4353,"")</f>
        <v/>
      </c>
      <c r="J4353">
        <f>IF(OR(E4353="Prospecting",E4353="Engaging"),VLOOKUP(C4353,Products!$A$2:$C$8,3,FALSE),0)</f>
        <v>0</v>
      </c>
    </row>
    <row r="4354" spans="1:10" x14ac:dyDescent="0.25">
      <c r="A4354" t="s">
        <v>4521</v>
      </c>
      <c r="B4354" t="s">
        <v>162</v>
      </c>
      <c r="C4354" t="s">
        <v>126</v>
      </c>
      <c r="D4354" t="s">
        <v>23</v>
      </c>
      <c r="E4354" t="s">
        <v>138</v>
      </c>
      <c r="F4354" s="1">
        <v>42916</v>
      </c>
      <c r="G4354" s="1">
        <v>42923</v>
      </c>
      <c r="H4354">
        <v>5909</v>
      </c>
      <c r="I4354" t="str">
        <f>IF(COUNTIF(Products!$A$2:$A$8,C4354)=0,C4354,"")</f>
        <v/>
      </c>
      <c r="J4354">
        <f>IF(OR(E4354="Prospecting",E4354="Engaging"),VLOOKUP(C4354,Products!$A$2:$C$8,3,FALSE),0)</f>
        <v>0</v>
      </c>
    </row>
    <row r="4355" spans="1:10" x14ac:dyDescent="0.25">
      <c r="A4355" t="s">
        <v>4522</v>
      </c>
      <c r="B4355" t="s">
        <v>137</v>
      </c>
      <c r="C4355" t="s">
        <v>120</v>
      </c>
      <c r="D4355" t="s">
        <v>27</v>
      </c>
      <c r="E4355" t="s">
        <v>159</v>
      </c>
      <c r="F4355" s="1">
        <v>42916</v>
      </c>
      <c r="G4355" s="1">
        <v>43040</v>
      </c>
      <c r="H4355">
        <v>0</v>
      </c>
      <c r="I4355" t="str">
        <f>IF(COUNTIF(Products!$A$2:$A$8,C4355)=0,C4355,"")</f>
        <v/>
      </c>
      <c r="J4355">
        <f>IF(OR(E4355="Prospecting",E4355="Engaging"),VLOOKUP(C4355,Products!$A$2:$C$8,3,FALSE),0)</f>
        <v>0</v>
      </c>
    </row>
    <row r="4356" spans="1:10" x14ac:dyDescent="0.25">
      <c r="A4356" t="s">
        <v>4523</v>
      </c>
      <c r="B4356" t="s">
        <v>152</v>
      </c>
      <c r="C4356" t="s">
        <v>122</v>
      </c>
      <c r="D4356" t="s">
        <v>36</v>
      </c>
      <c r="E4356" t="s">
        <v>159</v>
      </c>
      <c r="F4356" s="1">
        <v>42916</v>
      </c>
      <c r="G4356" s="1">
        <v>42917</v>
      </c>
      <c r="H4356">
        <v>0</v>
      </c>
      <c r="I4356" t="str">
        <f>IF(COUNTIF(Products!$A$2:$A$8,C4356)=0,C4356,"")</f>
        <v/>
      </c>
      <c r="J4356">
        <f>IF(OR(E4356="Prospecting",E4356="Engaging"),VLOOKUP(C4356,Products!$A$2:$C$8,3,FALSE),0)</f>
        <v>0</v>
      </c>
    </row>
    <row r="4357" spans="1:10" x14ac:dyDescent="0.25">
      <c r="A4357" t="s">
        <v>4524</v>
      </c>
      <c r="B4357" t="s">
        <v>193</v>
      </c>
      <c r="C4357" t="s">
        <v>126</v>
      </c>
      <c r="D4357" t="s">
        <v>27</v>
      </c>
      <c r="E4357" t="s">
        <v>159</v>
      </c>
      <c r="F4357" s="1">
        <v>42916</v>
      </c>
      <c r="G4357" s="1">
        <v>42923</v>
      </c>
      <c r="H4357">
        <v>0</v>
      </c>
      <c r="I4357" t="str">
        <f>IF(COUNTIF(Products!$A$2:$A$8,C4357)=0,C4357,"")</f>
        <v/>
      </c>
      <c r="J4357">
        <f>IF(OR(E4357="Prospecting",E4357="Engaging"),VLOOKUP(C4357,Products!$A$2:$C$8,3,FALSE),0)</f>
        <v>0</v>
      </c>
    </row>
    <row r="4358" spans="1:10" x14ac:dyDescent="0.25">
      <c r="A4358" t="s">
        <v>4525</v>
      </c>
      <c r="B4358" t="s">
        <v>193</v>
      </c>
      <c r="C4358" t="s">
        <v>126</v>
      </c>
      <c r="D4358" t="s">
        <v>25</v>
      </c>
      <c r="E4358" t="s">
        <v>138</v>
      </c>
      <c r="F4358" s="1">
        <v>42916</v>
      </c>
      <c r="G4358" s="1">
        <v>42997</v>
      </c>
      <c r="H4358">
        <v>5927</v>
      </c>
      <c r="I4358" t="str">
        <f>IF(COUNTIF(Products!$A$2:$A$8,C4358)=0,C4358,"")</f>
        <v/>
      </c>
      <c r="J4358">
        <f>IF(OR(E4358="Prospecting",E4358="Engaging"),VLOOKUP(C4358,Products!$A$2:$C$8,3,FALSE),0)</f>
        <v>0</v>
      </c>
    </row>
    <row r="4359" spans="1:10" x14ac:dyDescent="0.25">
      <c r="A4359" t="s">
        <v>4526</v>
      </c>
      <c r="B4359" t="s">
        <v>193</v>
      </c>
      <c r="C4359" t="s">
        <v>123</v>
      </c>
      <c r="D4359" t="s">
        <v>19</v>
      </c>
      <c r="E4359" t="s">
        <v>138</v>
      </c>
      <c r="F4359" s="1">
        <v>42916</v>
      </c>
      <c r="G4359" s="1">
        <v>42996</v>
      </c>
      <c r="H4359">
        <v>60</v>
      </c>
      <c r="I4359" t="str">
        <f>IF(COUNTIF(Products!$A$2:$A$8,C4359)=0,C4359,"")</f>
        <v/>
      </c>
      <c r="J4359">
        <f>IF(OR(E4359="Prospecting",E4359="Engaging"),VLOOKUP(C4359,Products!$A$2:$C$8,3,FALSE),0)</f>
        <v>0</v>
      </c>
    </row>
    <row r="4360" spans="1:10" x14ac:dyDescent="0.25">
      <c r="A4360" t="s">
        <v>4527</v>
      </c>
      <c r="B4360" t="s">
        <v>193</v>
      </c>
      <c r="C4360" t="s">
        <v>125</v>
      </c>
      <c r="D4360" t="s">
        <v>112</v>
      </c>
      <c r="E4360" t="s">
        <v>138</v>
      </c>
      <c r="F4360" s="1">
        <v>42916</v>
      </c>
      <c r="G4360" s="1">
        <v>42927</v>
      </c>
      <c r="H4360">
        <v>3351</v>
      </c>
      <c r="I4360" t="str">
        <f>IF(COUNTIF(Products!$A$2:$A$8,C4360)=0,C4360,"")</f>
        <v/>
      </c>
      <c r="J4360">
        <f>IF(OR(E4360="Prospecting",E4360="Engaging"),VLOOKUP(C4360,Products!$A$2:$C$8,3,FALSE),0)</f>
        <v>0</v>
      </c>
    </row>
    <row r="4361" spans="1:10" x14ac:dyDescent="0.25">
      <c r="A4361" t="s">
        <v>4528</v>
      </c>
      <c r="B4361" t="s">
        <v>166</v>
      </c>
      <c r="C4361" t="s">
        <v>123</v>
      </c>
      <c r="D4361" t="s">
        <v>75</v>
      </c>
      <c r="E4361" t="s">
        <v>138</v>
      </c>
      <c r="F4361" s="1">
        <v>42916</v>
      </c>
      <c r="G4361" s="1">
        <v>42925</v>
      </c>
      <c r="H4361">
        <v>64</v>
      </c>
      <c r="I4361" t="str">
        <f>IF(COUNTIF(Products!$A$2:$A$8,C4361)=0,C4361,"")</f>
        <v/>
      </c>
      <c r="J4361">
        <f>IF(OR(E4361="Prospecting",E4361="Engaging"),VLOOKUP(C4361,Products!$A$2:$C$8,3,FALSE),0)</f>
        <v>0</v>
      </c>
    </row>
    <row r="4362" spans="1:10" x14ac:dyDescent="0.25">
      <c r="A4362" t="s">
        <v>4529</v>
      </c>
      <c r="B4362" t="s">
        <v>187</v>
      </c>
      <c r="C4362" t="s">
        <v>125</v>
      </c>
      <c r="D4362" t="s">
        <v>35</v>
      </c>
      <c r="E4362" t="s">
        <v>159</v>
      </c>
      <c r="F4362" s="1">
        <v>42916</v>
      </c>
      <c r="G4362" s="1">
        <v>42918</v>
      </c>
      <c r="H4362">
        <v>0</v>
      </c>
      <c r="I4362" t="str">
        <f>IF(COUNTIF(Products!$A$2:$A$8,C4362)=0,C4362,"")</f>
        <v/>
      </c>
      <c r="J4362">
        <f>IF(OR(E4362="Prospecting",E4362="Engaging"),VLOOKUP(C4362,Products!$A$2:$C$8,3,FALSE),0)</f>
        <v>0</v>
      </c>
    </row>
    <row r="4363" spans="1:10" x14ac:dyDescent="0.25">
      <c r="A4363" t="s">
        <v>4530</v>
      </c>
      <c r="B4363" t="s">
        <v>169</v>
      </c>
      <c r="C4363" t="s">
        <v>123</v>
      </c>
      <c r="D4363" t="s">
        <v>30</v>
      </c>
      <c r="E4363" t="s">
        <v>138</v>
      </c>
      <c r="F4363" s="1">
        <v>42916</v>
      </c>
      <c r="G4363" s="1">
        <v>42927</v>
      </c>
      <c r="H4363">
        <v>47</v>
      </c>
      <c r="I4363" t="str">
        <f>IF(COUNTIF(Products!$A$2:$A$8,C4363)=0,C4363,"")</f>
        <v/>
      </c>
      <c r="J4363">
        <f>IF(OR(E4363="Prospecting",E4363="Engaging"),VLOOKUP(C4363,Products!$A$2:$C$8,3,FALSE),0)</f>
        <v>0</v>
      </c>
    </row>
    <row r="4364" spans="1:10" x14ac:dyDescent="0.25">
      <c r="A4364" t="s">
        <v>4531</v>
      </c>
      <c r="B4364" t="s">
        <v>169</v>
      </c>
      <c r="C4364" t="s">
        <v>123</v>
      </c>
      <c r="D4364" t="s">
        <v>36</v>
      </c>
      <c r="E4364" t="s">
        <v>138</v>
      </c>
      <c r="F4364" s="1">
        <v>42916</v>
      </c>
      <c r="G4364" s="1">
        <v>42917</v>
      </c>
      <c r="H4364">
        <v>53</v>
      </c>
      <c r="I4364" t="str">
        <f>IF(COUNTIF(Products!$A$2:$A$8,C4364)=0,C4364,"")</f>
        <v/>
      </c>
      <c r="J4364">
        <f>IF(OR(E4364="Prospecting",E4364="Engaging"),VLOOKUP(C4364,Products!$A$2:$C$8,3,FALSE),0)</f>
        <v>0</v>
      </c>
    </row>
    <row r="4365" spans="1:10" x14ac:dyDescent="0.25">
      <c r="A4365" t="s">
        <v>4532</v>
      </c>
      <c r="B4365" t="s">
        <v>148</v>
      </c>
      <c r="C4365" t="s">
        <v>120</v>
      </c>
      <c r="D4365" t="s">
        <v>109</v>
      </c>
      <c r="E4365" t="s">
        <v>159</v>
      </c>
      <c r="F4365" s="1">
        <v>42916</v>
      </c>
      <c r="G4365" s="1">
        <v>42928</v>
      </c>
      <c r="H4365">
        <v>0</v>
      </c>
      <c r="I4365" t="str">
        <f>IF(COUNTIF(Products!$A$2:$A$8,C4365)=0,C4365,"")</f>
        <v/>
      </c>
      <c r="J4365">
        <f>IF(OR(E4365="Prospecting",E4365="Engaging"),VLOOKUP(C4365,Products!$A$2:$C$8,3,FALSE),0)</f>
        <v>0</v>
      </c>
    </row>
    <row r="4366" spans="1:10" x14ac:dyDescent="0.25">
      <c r="A4366" t="s">
        <v>4533</v>
      </c>
      <c r="B4366" t="s">
        <v>177</v>
      </c>
      <c r="C4366" t="s">
        <v>120</v>
      </c>
      <c r="D4366" t="s">
        <v>7</v>
      </c>
      <c r="E4366" t="s">
        <v>159</v>
      </c>
      <c r="F4366" s="1">
        <v>42916</v>
      </c>
      <c r="G4366" s="1">
        <v>43001</v>
      </c>
      <c r="H4366">
        <v>0</v>
      </c>
      <c r="I4366" t="str">
        <f>IF(COUNTIF(Products!$A$2:$A$8,C4366)=0,C4366,"")</f>
        <v/>
      </c>
      <c r="J4366">
        <f>IF(OR(E4366="Prospecting",E4366="Engaging"),VLOOKUP(C4366,Products!$A$2:$C$8,3,FALSE),0)</f>
        <v>0</v>
      </c>
    </row>
    <row r="4367" spans="1:10" x14ac:dyDescent="0.25">
      <c r="A4367" t="s">
        <v>4534</v>
      </c>
      <c r="B4367" t="s">
        <v>222</v>
      </c>
      <c r="C4367" t="s">
        <v>127</v>
      </c>
      <c r="D4367" t="s">
        <v>96</v>
      </c>
      <c r="E4367" t="s">
        <v>155</v>
      </c>
      <c r="F4367" s="1">
        <v>42917</v>
      </c>
      <c r="I4367" t="str">
        <f>IF(COUNTIF(Products!$A$2:$A$8,C4367)=0,C4367,"")</f>
        <v/>
      </c>
      <c r="J4367">
        <f>IF(OR(E4367="Prospecting",E4367="Engaging"),VLOOKUP(C4367,Products!$A$2:$C$8,3,FALSE),0)</f>
        <v>1096</v>
      </c>
    </row>
    <row r="4368" spans="1:10" x14ac:dyDescent="0.25">
      <c r="A4368" t="s">
        <v>4535</v>
      </c>
      <c r="B4368" t="s">
        <v>222</v>
      </c>
      <c r="C4368" t="s">
        <v>127</v>
      </c>
      <c r="D4368" t="s">
        <v>7</v>
      </c>
      <c r="E4368" t="s">
        <v>159</v>
      </c>
      <c r="F4368" s="1">
        <v>42917</v>
      </c>
      <c r="G4368" s="1">
        <v>42962</v>
      </c>
      <c r="H4368">
        <v>0</v>
      </c>
      <c r="I4368" t="str">
        <f>IF(COUNTIF(Products!$A$2:$A$8,C4368)=0,C4368,"")</f>
        <v/>
      </c>
      <c r="J4368">
        <f>IF(OR(E4368="Prospecting",E4368="Engaging"),VLOOKUP(C4368,Products!$A$2:$C$8,3,FALSE),0)</f>
        <v>0</v>
      </c>
    </row>
    <row r="4369" spans="1:10" x14ac:dyDescent="0.25">
      <c r="A4369" t="s">
        <v>4536</v>
      </c>
      <c r="B4369" t="s">
        <v>264</v>
      </c>
      <c r="C4369" t="s">
        <v>126</v>
      </c>
      <c r="D4369" t="s">
        <v>53</v>
      </c>
      <c r="E4369" t="s">
        <v>138</v>
      </c>
      <c r="F4369" s="1">
        <v>42917</v>
      </c>
      <c r="G4369" s="1">
        <v>42927</v>
      </c>
      <c r="H4369">
        <v>4391</v>
      </c>
      <c r="I4369" t="str">
        <f>IF(COUNTIF(Products!$A$2:$A$8,C4369)=0,C4369,"")</f>
        <v/>
      </c>
      <c r="J4369">
        <f>IF(OR(E4369="Prospecting",E4369="Engaging"),VLOOKUP(C4369,Products!$A$2:$C$8,3,FALSE),0)</f>
        <v>0</v>
      </c>
    </row>
    <row r="4370" spans="1:10" x14ac:dyDescent="0.25">
      <c r="A4370" t="s">
        <v>4537</v>
      </c>
      <c r="B4370" t="s">
        <v>239</v>
      </c>
      <c r="C4370" t="s">
        <v>126</v>
      </c>
      <c r="E4370" t="s">
        <v>155</v>
      </c>
      <c r="F4370" s="1">
        <v>42917</v>
      </c>
      <c r="I4370" t="str">
        <f>IF(COUNTIF(Products!$A$2:$A$8,C4370)=0,C4370,"")</f>
        <v/>
      </c>
      <c r="J4370">
        <f>IF(OR(E4370="Prospecting",E4370="Engaging"),VLOOKUP(C4370,Products!$A$2:$C$8,3,FALSE),0)</f>
        <v>5482</v>
      </c>
    </row>
    <row r="4371" spans="1:10" x14ac:dyDescent="0.25">
      <c r="A4371" t="s">
        <v>4538</v>
      </c>
      <c r="B4371" t="s">
        <v>239</v>
      </c>
      <c r="C4371" t="s">
        <v>125</v>
      </c>
      <c r="E4371" t="s">
        <v>155</v>
      </c>
      <c r="F4371" s="1">
        <v>42917</v>
      </c>
      <c r="I4371" t="str">
        <f>IF(COUNTIF(Products!$A$2:$A$8,C4371)=0,C4371,"")</f>
        <v/>
      </c>
      <c r="J4371">
        <f>IF(OR(E4371="Prospecting",E4371="Engaging"),VLOOKUP(C4371,Products!$A$2:$C$8,3,FALSE),0)</f>
        <v>3393</v>
      </c>
    </row>
    <row r="4372" spans="1:10" x14ac:dyDescent="0.25">
      <c r="A4372" t="s">
        <v>4539</v>
      </c>
      <c r="B4372" t="s">
        <v>140</v>
      </c>
      <c r="C4372" t="s">
        <v>127</v>
      </c>
      <c r="D4372" t="s">
        <v>95</v>
      </c>
      <c r="E4372" t="s">
        <v>138</v>
      </c>
      <c r="F4372" s="1">
        <v>42917</v>
      </c>
      <c r="G4372" s="1">
        <v>42927</v>
      </c>
      <c r="H4372">
        <v>1308</v>
      </c>
      <c r="I4372" t="str">
        <f>IF(COUNTIF(Products!$A$2:$A$8,C4372)=0,C4372,"")</f>
        <v/>
      </c>
      <c r="J4372">
        <f>IF(OR(E4372="Prospecting",E4372="Engaging"),VLOOKUP(C4372,Products!$A$2:$C$8,3,FALSE),0)</f>
        <v>0</v>
      </c>
    </row>
    <row r="4373" spans="1:10" x14ac:dyDescent="0.25">
      <c r="A4373" t="s">
        <v>4540</v>
      </c>
      <c r="B4373" t="s">
        <v>140</v>
      </c>
      <c r="C4373" t="s">
        <v>122</v>
      </c>
      <c r="D4373" t="s">
        <v>85</v>
      </c>
      <c r="E4373" t="s">
        <v>138</v>
      </c>
      <c r="F4373" s="1">
        <v>42917</v>
      </c>
      <c r="G4373" s="1">
        <v>43001</v>
      </c>
      <c r="H4373">
        <v>4888</v>
      </c>
      <c r="I4373" t="str">
        <f>IF(COUNTIF(Products!$A$2:$A$8,C4373)=0,C4373,"")</f>
        <v/>
      </c>
      <c r="J4373">
        <f>IF(OR(E4373="Prospecting",E4373="Engaging"),VLOOKUP(C4373,Products!$A$2:$C$8,3,FALSE),0)</f>
        <v>0</v>
      </c>
    </row>
    <row r="4374" spans="1:10" x14ac:dyDescent="0.25">
      <c r="A4374" t="s">
        <v>4541</v>
      </c>
      <c r="B4374" t="s">
        <v>224</v>
      </c>
      <c r="C4374" t="s">
        <v>120</v>
      </c>
      <c r="D4374" t="s">
        <v>27</v>
      </c>
      <c r="E4374" t="s">
        <v>138</v>
      </c>
      <c r="F4374" s="1">
        <v>42917</v>
      </c>
      <c r="G4374" s="1">
        <v>43003</v>
      </c>
      <c r="H4374">
        <v>535</v>
      </c>
      <c r="I4374" t="str">
        <f>IF(COUNTIF(Products!$A$2:$A$8,C4374)=0,C4374,"")</f>
        <v/>
      </c>
      <c r="J4374">
        <f>IF(OR(E4374="Prospecting",E4374="Engaging"),VLOOKUP(C4374,Products!$A$2:$C$8,3,FALSE),0)</f>
        <v>0</v>
      </c>
    </row>
    <row r="4375" spans="1:10" x14ac:dyDescent="0.25">
      <c r="A4375" t="s">
        <v>4542</v>
      </c>
      <c r="B4375" t="s">
        <v>173</v>
      </c>
      <c r="C4375" t="s">
        <v>126</v>
      </c>
      <c r="D4375" t="s">
        <v>29</v>
      </c>
      <c r="E4375" t="s">
        <v>159</v>
      </c>
      <c r="F4375" s="1">
        <v>42917</v>
      </c>
      <c r="G4375" s="1">
        <v>43042</v>
      </c>
      <c r="H4375">
        <v>0</v>
      </c>
      <c r="I4375" t="str">
        <f>IF(COUNTIF(Products!$A$2:$A$8,C4375)=0,C4375,"")</f>
        <v/>
      </c>
      <c r="J4375">
        <f>IF(OR(E4375="Prospecting",E4375="Engaging"),VLOOKUP(C4375,Products!$A$2:$C$8,3,FALSE),0)</f>
        <v>0</v>
      </c>
    </row>
    <row r="4376" spans="1:10" x14ac:dyDescent="0.25">
      <c r="A4376" t="s">
        <v>4543</v>
      </c>
      <c r="B4376" t="s">
        <v>198</v>
      </c>
      <c r="C4376" t="s">
        <v>123</v>
      </c>
      <c r="D4376" t="s">
        <v>10</v>
      </c>
      <c r="E4376" t="s">
        <v>159</v>
      </c>
      <c r="F4376" s="1">
        <v>42917</v>
      </c>
      <c r="G4376" s="1">
        <v>42994</v>
      </c>
      <c r="H4376">
        <v>0</v>
      </c>
      <c r="I4376" t="str">
        <f>IF(COUNTIF(Products!$A$2:$A$8,C4376)=0,C4376,"")</f>
        <v/>
      </c>
      <c r="J4376">
        <f>IF(OR(E4376="Prospecting",E4376="Engaging"),VLOOKUP(C4376,Products!$A$2:$C$8,3,FALSE),0)</f>
        <v>0</v>
      </c>
    </row>
    <row r="4377" spans="1:10" x14ac:dyDescent="0.25">
      <c r="A4377" t="s">
        <v>4544</v>
      </c>
      <c r="B4377" t="s">
        <v>158</v>
      </c>
      <c r="C4377" t="s">
        <v>125</v>
      </c>
      <c r="D4377" t="s">
        <v>64</v>
      </c>
      <c r="E4377" t="s">
        <v>138</v>
      </c>
      <c r="F4377" s="1">
        <v>42917</v>
      </c>
      <c r="G4377" s="1">
        <v>42922</v>
      </c>
      <c r="H4377">
        <v>3252</v>
      </c>
      <c r="I4377" t="str">
        <f>IF(COUNTIF(Products!$A$2:$A$8,C4377)=0,C4377,"")</f>
        <v/>
      </c>
      <c r="J4377">
        <f>IF(OR(E4377="Prospecting",E4377="Engaging"),VLOOKUP(C4377,Products!$A$2:$C$8,3,FALSE),0)</f>
        <v>0</v>
      </c>
    </row>
    <row r="4378" spans="1:10" x14ac:dyDescent="0.25">
      <c r="A4378" t="s">
        <v>4545</v>
      </c>
      <c r="B4378" t="s">
        <v>164</v>
      </c>
      <c r="C4378" t="s">
        <v>127</v>
      </c>
      <c r="E4378" t="s">
        <v>155</v>
      </c>
      <c r="F4378" s="1">
        <v>42917</v>
      </c>
      <c r="I4378" t="str">
        <f>IF(COUNTIF(Products!$A$2:$A$8,C4378)=0,C4378,"")</f>
        <v/>
      </c>
      <c r="J4378">
        <f>IF(OR(E4378="Prospecting",E4378="Engaging"),VLOOKUP(C4378,Products!$A$2:$C$8,3,FALSE),0)</f>
        <v>1096</v>
      </c>
    </row>
    <row r="4379" spans="1:10" x14ac:dyDescent="0.25">
      <c r="A4379" t="s">
        <v>4546</v>
      </c>
      <c r="B4379" t="s">
        <v>303</v>
      </c>
      <c r="C4379" t="s">
        <v>120</v>
      </c>
      <c r="D4379" t="s">
        <v>61</v>
      </c>
      <c r="E4379" t="s">
        <v>159</v>
      </c>
      <c r="F4379" s="1">
        <v>42917</v>
      </c>
      <c r="G4379" s="1">
        <v>42919</v>
      </c>
      <c r="H4379">
        <v>0</v>
      </c>
      <c r="I4379" t="str">
        <f>IF(COUNTIF(Products!$A$2:$A$8,C4379)=0,C4379,"")</f>
        <v/>
      </c>
      <c r="J4379">
        <f>IF(OR(E4379="Prospecting",E4379="Engaging"),VLOOKUP(C4379,Products!$A$2:$C$8,3,FALSE),0)</f>
        <v>0</v>
      </c>
    </row>
    <row r="4380" spans="1:10" x14ac:dyDescent="0.25">
      <c r="A4380" t="s">
        <v>4547</v>
      </c>
      <c r="B4380" t="s">
        <v>303</v>
      </c>
      <c r="C4380" t="s">
        <v>123</v>
      </c>
      <c r="D4380" t="s">
        <v>103</v>
      </c>
      <c r="E4380" t="s">
        <v>159</v>
      </c>
      <c r="F4380" s="1">
        <v>42917</v>
      </c>
      <c r="G4380" s="1">
        <v>42974</v>
      </c>
      <c r="H4380">
        <v>0</v>
      </c>
      <c r="I4380" t="str">
        <f>IF(COUNTIF(Products!$A$2:$A$8,C4380)=0,C4380,"")</f>
        <v/>
      </c>
      <c r="J4380">
        <f>IF(OR(E4380="Prospecting",E4380="Engaging"),VLOOKUP(C4380,Products!$A$2:$C$8,3,FALSE),0)</f>
        <v>0</v>
      </c>
    </row>
    <row r="4381" spans="1:10" x14ac:dyDescent="0.25">
      <c r="A4381" t="s">
        <v>4548</v>
      </c>
      <c r="B4381" t="s">
        <v>303</v>
      </c>
      <c r="C4381" t="s">
        <v>120</v>
      </c>
      <c r="D4381" t="s">
        <v>91</v>
      </c>
      <c r="E4381" t="s">
        <v>138</v>
      </c>
      <c r="F4381" s="1">
        <v>42917</v>
      </c>
      <c r="G4381" s="1">
        <v>42927</v>
      </c>
      <c r="H4381">
        <v>574</v>
      </c>
      <c r="I4381" t="str">
        <f>IF(COUNTIF(Products!$A$2:$A$8,C4381)=0,C4381,"")</f>
        <v/>
      </c>
      <c r="J4381">
        <f>IF(OR(E4381="Prospecting",E4381="Engaging"),VLOOKUP(C4381,Products!$A$2:$C$8,3,FALSE),0)</f>
        <v>0</v>
      </c>
    </row>
    <row r="4382" spans="1:10" x14ac:dyDescent="0.25">
      <c r="A4382" t="s">
        <v>4549</v>
      </c>
      <c r="B4382" t="s">
        <v>303</v>
      </c>
      <c r="C4382" t="s">
        <v>127</v>
      </c>
      <c r="D4382" t="s">
        <v>26</v>
      </c>
      <c r="E4382" t="s">
        <v>138</v>
      </c>
      <c r="F4382" s="1">
        <v>42917</v>
      </c>
      <c r="G4382" s="1">
        <v>42958</v>
      </c>
      <c r="H4382">
        <v>1012</v>
      </c>
      <c r="I4382" t="str">
        <f>IF(COUNTIF(Products!$A$2:$A$8,C4382)=0,C4382,"")</f>
        <v/>
      </c>
      <c r="J4382">
        <f>IF(OR(E4382="Prospecting",E4382="Engaging"),VLOOKUP(C4382,Products!$A$2:$C$8,3,FALSE),0)</f>
        <v>0</v>
      </c>
    </row>
    <row r="4383" spans="1:10" x14ac:dyDescent="0.25">
      <c r="A4383" t="s">
        <v>4550</v>
      </c>
      <c r="B4383" t="s">
        <v>191</v>
      </c>
      <c r="C4383" t="s">
        <v>122</v>
      </c>
      <c r="D4383" t="s">
        <v>29</v>
      </c>
      <c r="E4383" t="s">
        <v>155</v>
      </c>
      <c r="F4383" s="1">
        <v>42917</v>
      </c>
      <c r="I4383" t="str">
        <f>IF(COUNTIF(Products!$A$2:$A$8,C4383)=0,C4383,"")</f>
        <v/>
      </c>
      <c r="J4383">
        <f>IF(OR(E4383="Prospecting",E4383="Engaging"),VLOOKUP(C4383,Products!$A$2:$C$8,3,FALSE),0)</f>
        <v>4821</v>
      </c>
    </row>
    <row r="4384" spans="1:10" x14ac:dyDescent="0.25">
      <c r="A4384" t="s">
        <v>4551</v>
      </c>
      <c r="B4384" t="s">
        <v>191</v>
      </c>
      <c r="C4384" t="s">
        <v>120</v>
      </c>
      <c r="D4384" t="s">
        <v>29</v>
      </c>
      <c r="E4384" t="s">
        <v>138</v>
      </c>
      <c r="F4384" s="1">
        <v>42917</v>
      </c>
      <c r="G4384" s="1">
        <v>42923</v>
      </c>
      <c r="H4384">
        <v>576</v>
      </c>
      <c r="I4384" t="str">
        <f>IF(COUNTIF(Products!$A$2:$A$8,C4384)=0,C4384,"")</f>
        <v/>
      </c>
      <c r="J4384">
        <f>IF(OR(E4384="Prospecting",E4384="Engaging"),VLOOKUP(C4384,Products!$A$2:$C$8,3,FALSE),0)</f>
        <v>0</v>
      </c>
    </row>
    <row r="4385" spans="1:10" x14ac:dyDescent="0.25">
      <c r="A4385" t="s">
        <v>4552</v>
      </c>
      <c r="B4385" t="s">
        <v>217</v>
      </c>
      <c r="C4385" t="s">
        <v>125</v>
      </c>
      <c r="D4385" t="s">
        <v>64</v>
      </c>
      <c r="E4385" t="s">
        <v>159</v>
      </c>
      <c r="F4385" s="1">
        <v>42917</v>
      </c>
      <c r="G4385" s="1">
        <v>42919</v>
      </c>
      <c r="H4385">
        <v>0</v>
      </c>
      <c r="I4385" t="str">
        <f>IF(COUNTIF(Products!$A$2:$A$8,C4385)=0,C4385,"")</f>
        <v/>
      </c>
      <c r="J4385">
        <f>IF(OR(E4385="Prospecting",E4385="Engaging"),VLOOKUP(C4385,Products!$A$2:$C$8,3,FALSE),0)</f>
        <v>0</v>
      </c>
    </row>
    <row r="4386" spans="1:10" x14ac:dyDescent="0.25">
      <c r="A4386" t="s">
        <v>4553</v>
      </c>
      <c r="B4386" t="s">
        <v>150</v>
      </c>
      <c r="C4386" t="s">
        <v>123</v>
      </c>
      <c r="D4386" t="s">
        <v>41</v>
      </c>
      <c r="E4386" t="s">
        <v>159</v>
      </c>
      <c r="F4386" s="1">
        <v>42917</v>
      </c>
      <c r="G4386" s="1">
        <v>42919</v>
      </c>
      <c r="H4386">
        <v>0</v>
      </c>
      <c r="I4386" t="str">
        <f>IF(COUNTIF(Products!$A$2:$A$8,C4386)=0,C4386,"")</f>
        <v/>
      </c>
      <c r="J4386">
        <f>IF(OR(E4386="Prospecting",E4386="Engaging"),VLOOKUP(C4386,Products!$A$2:$C$8,3,FALSE),0)</f>
        <v>0</v>
      </c>
    </row>
    <row r="4387" spans="1:10" x14ac:dyDescent="0.25">
      <c r="A4387" t="s">
        <v>4554</v>
      </c>
      <c r="B4387" t="s">
        <v>150</v>
      </c>
      <c r="C4387" t="s">
        <v>125</v>
      </c>
      <c r="D4387" t="s">
        <v>61</v>
      </c>
      <c r="E4387" t="s">
        <v>159</v>
      </c>
      <c r="F4387" s="1">
        <v>42917</v>
      </c>
      <c r="G4387" s="1">
        <v>42924</v>
      </c>
      <c r="H4387">
        <v>0</v>
      </c>
      <c r="I4387" t="str">
        <f>IF(COUNTIF(Products!$A$2:$A$8,C4387)=0,C4387,"")</f>
        <v/>
      </c>
      <c r="J4387">
        <f>IF(OR(E4387="Prospecting",E4387="Engaging"),VLOOKUP(C4387,Products!$A$2:$C$8,3,FALSE),0)</f>
        <v>0</v>
      </c>
    </row>
    <row r="4388" spans="1:10" x14ac:dyDescent="0.25">
      <c r="A4388" t="s">
        <v>4555</v>
      </c>
      <c r="B4388" t="s">
        <v>150</v>
      </c>
      <c r="C4388" t="s">
        <v>120</v>
      </c>
      <c r="D4388" t="s">
        <v>66</v>
      </c>
      <c r="E4388" t="s">
        <v>138</v>
      </c>
      <c r="F4388" s="1">
        <v>42917</v>
      </c>
      <c r="G4388" s="1">
        <v>42928</v>
      </c>
      <c r="H4388">
        <v>592</v>
      </c>
      <c r="I4388" t="str">
        <f>IF(COUNTIF(Products!$A$2:$A$8,C4388)=0,C4388,"")</f>
        <v/>
      </c>
      <c r="J4388">
        <f>IF(OR(E4388="Prospecting",E4388="Engaging"),VLOOKUP(C4388,Products!$A$2:$C$8,3,FALSE),0)</f>
        <v>0</v>
      </c>
    </row>
    <row r="4389" spans="1:10" x14ac:dyDescent="0.25">
      <c r="A4389" t="s">
        <v>4556</v>
      </c>
      <c r="B4389" t="s">
        <v>150</v>
      </c>
      <c r="C4389" t="s">
        <v>122</v>
      </c>
      <c r="D4389" t="s">
        <v>34</v>
      </c>
      <c r="E4389" t="s">
        <v>138</v>
      </c>
      <c r="F4389" s="1">
        <v>42917</v>
      </c>
      <c r="G4389" s="1">
        <v>42925</v>
      </c>
      <c r="H4389">
        <v>4859</v>
      </c>
      <c r="I4389" t="str">
        <f>IF(COUNTIF(Products!$A$2:$A$8,C4389)=0,C4389,"")</f>
        <v/>
      </c>
      <c r="J4389">
        <f>IF(OR(E4389="Prospecting",E4389="Engaging"),VLOOKUP(C4389,Products!$A$2:$C$8,3,FALSE),0)</f>
        <v>0</v>
      </c>
    </row>
    <row r="4390" spans="1:10" x14ac:dyDescent="0.25">
      <c r="A4390" t="s">
        <v>4557</v>
      </c>
      <c r="B4390" t="s">
        <v>150</v>
      </c>
      <c r="C4390" t="s">
        <v>123</v>
      </c>
      <c r="D4390" t="s">
        <v>57</v>
      </c>
      <c r="E4390" t="s">
        <v>138</v>
      </c>
      <c r="F4390" s="1">
        <v>42917</v>
      </c>
      <c r="G4390" s="1">
        <v>42918</v>
      </c>
      <c r="H4390">
        <v>50</v>
      </c>
      <c r="I4390" t="str">
        <f>IF(COUNTIF(Products!$A$2:$A$8,C4390)=0,C4390,"")</f>
        <v/>
      </c>
      <c r="J4390">
        <f>IF(OR(E4390="Prospecting",E4390="Engaging"),VLOOKUP(C4390,Products!$A$2:$C$8,3,FALSE),0)</f>
        <v>0</v>
      </c>
    </row>
    <row r="4391" spans="1:10" x14ac:dyDescent="0.25">
      <c r="A4391" t="s">
        <v>4558</v>
      </c>
      <c r="B4391" t="s">
        <v>150</v>
      </c>
      <c r="C4391" t="s">
        <v>125</v>
      </c>
      <c r="D4391" t="s">
        <v>69</v>
      </c>
      <c r="E4391" t="s">
        <v>138</v>
      </c>
      <c r="F4391" s="1">
        <v>42917</v>
      </c>
      <c r="G4391" s="1">
        <v>43008</v>
      </c>
      <c r="H4391">
        <v>3225</v>
      </c>
      <c r="I4391" t="str">
        <f>IF(COUNTIF(Products!$A$2:$A$8,C4391)=0,C4391,"")</f>
        <v/>
      </c>
      <c r="J4391">
        <f>IF(OR(E4391="Prospecting",E4391="Engaging"),VLOOKUP(C4391,Products!$A$2:$C$8,3,FALSE),0)</f>
        <v>0</v>
      </c>
    </row>
    <row r="4392" spans="1:10" x14ac:dyDescent="0.25">
      <c r="A4392" t="s">
        <v>4559</v>
      </c>
      <c r="B4392" t="s">
        <v>205</v>
      </c>
      <c r="C4392" t="s">
        <v>126</v>
      </c>
      <c r="D4392" t="s">
        <v>94</v>
      </c>
      <c r="E4392" t="s">
        <v>138</v>
      </c>
      <c r="F4392" s="1">
        <v>42917</v>
      </c>
      <c r="G4392" s="1">
        <v>42925</v>
      </c>
      <c r="H4392">
        <v>5422</v>
      </c>
      <c r="I4392" t="str">
        <f>IF(COUNTIF(Products!$A$2:$A$8,C4392)=0,C4392,"")</f>
        <v/>
      </c>
      <c r="J4392">
        <f>IF(OR(E4392="Prospecting",E4392="Engaging"),VLOOKUP(C4392,Products!$A$2:$C$8,3,FALSE),0)</f>
        <v>0</v>
      </c>
    </row>
    <row r="4393" spans="1:10" x14ac:dyDescent="0.25">
      <c r="A4393" t="s">
        <v>4560</v>
      </c>
      <c r="B4393" t="s">
        <v>205</v>
      </c>
      <c r="C4393" t="s">
        <v>125</v>
      </c>
      <c r="D4393" t="s">
        <v>33</v>
      </c>
      <c r="E4393" t="s">
        <v>138</v>
      </c>
      <c r="F4393" s="1">
        <v>42917</v>
      </c>
      <c r="G4393" s="1">
        <v>42927</v>
      </c>
      <c r="H4393">
        <v>3657</v>
      </c>
      <c r="I4393" t="str">
        <f>IF(COUNTIF(Products!$A$2:$A$8,C4393)=0,C4393,"")</f>
        <v/>
      </c>
      <c r="J4393">
        <f>IF(OR(E4393="Prospecting",E4393="Engaging"),VLOOKUP(C4393,Products!$A$2:$C$8,3,FALSE),0)</f>
        <v>0</v>
      </c>
    </row>
    <row r="4394" spans="1:10" x14ac:dyDescent="0.25">
      <c r="A4394" t="s">
        <v>4561</v>
      </c>
      <c r="B4394" t="s">
        <v>162</v>
      </c>
      <c r="C4394" t="s">
        <v>127</v>
      </c>
      <c r="D4394" t="s">
        <v>38</v>
      </c>
      <c r="E4394" t="s">
        <v>159</v>
      </c>
      <c r="F4394" s="1">
        <v>42917</v>
      </c>
      <c r="G4394" s="1">
        <v>42923</v>
      </c>
      <c r="H4394">
        <v>0</v>
      </c>
      <c r="I4394" t="str">
        <f>IF(COUNTIF(Products!$A$2:$A$8,C4394)=0,C4394,"")</f>
        <v/>
      </c>
      <c r="J4394">
        <f>IF(OR(E4394="Prospecting",E4394="Engaging"),VLOOKUP(C4394,Products!$A$2:$C$8,3,FALSE),0)</f>
        <v>0</v>
      </c>
    </row>
    <row r="4395" spans="1:10" x14ac:dyDescent="0.25">
      <c r="A4395" t="s">
        <v>4562</v>
      </c>
      <c r="B4395" t="s">
        <v>162</v>
      </c>
      <c r="C4395" t="s">
        <v>126</v>
      </c>
      <c r="D4395" t="s">
        <v>56</v>
      </c>
      <c r="E4395" t="s">
        <v>138</v>
      </c>
      <c r="F4395" s="1">
        <v>42917</v>
      </c>
      <c r="G4395" s="1">
        <v>42926</v>
      </c>
      <c r="H4395">
        <v>4974</v>
      </c>
      <c r="I4395" t="str">
        <f>IF(COUNTIF(Products!$A$2:$A$8,C4395)=0,C4395,"")</f>
        <v/>
      </c>
      <c r="J4395">
        <f>IF(OR(E4395="Prospecting",E4395="Engaging"),VLOOKUP(C4395,Products!$A$2:$C$8,3,FALSE),0)</f>
        <v>0</v>
      </c>
    </row>
    <row r="4396" spans="1:10" x14ac:dyDescent="0.25">
      <c r="A4396" t="s">
        <v>4563</v>
      </c>
      <c r="B4396" t="s">
        <v>162</v>
      </c>
      <c r="C4396" t="s">
        <v>122</v>
      </c>
      <c r="D4396" t="s">
        <v>72</v>
      </c>
      <c r="E4396" t="s">
        <v>138</v>
      </c>
      <c r="F4396" s="1">
        <v>42917</v>
      </c>
      <c r="G4396" s="1">
        <v>42954</v>
      </c>
      <c r="H4396">
        <v>4689</v>
      </c>
      <c r="I4396" t="str">
        <f>IF(COUNTIF(Products!$A$2:$A$8,C4396)=0,C4396,"")</f>
        <v/>
      </c>
      <c r="J4396">
        <f>IF(OR(E4396="Prospecting",E4396="Engaging"),VLOOKUP(C4396,Products!$A$2:$C$8,3,FALSE),0)</f>
        <v>0</v>
      </c>
    </row>
    <row r="4397" spans="1:10" x14ac:dyDescent="0.25">
      <c r="A4397" t="s">
        <v>4564</v>
      </c>
      <c r="B4397" t="s">
        <v>152</v>
      </c>
      <c r="C4397" t="s">
        <v>127</v>
      </c>
      <c r="D4397" t="s">
        <v>103</v>
      </c>
      <c r="E4397" t="s">
        <v>159</v>
      </c>
      <c r="F4397" s="1">
        <v>42917</v>
      </c>
      <c r="G4397" s="1">
        <v>42926</v>
      </c>
      <c r="H4397">
        <v>0</v>
      </c>
      <c r="I4397" t="str">
        <f>IF(COUNTIF(Products!$A$2:$A$8,C4397)=0,C4397,"")</f>
        <v/>
      </c>
      <c r="J4397">
        <f>IF(OR(E4397="Prospecting",E4397="Engaging"),VLOOKUP(C4397,Products!$A$2:$C$8,3,FALSE),0)</f>
        <v>0</v>
      </c>
    </row>
    <row r="4398" spans="1:10" x14ac:dyDescent="0.25">
      <c r="A4398" t="s">
        <v>4565</v>
      </c>
      <c r="B4398" t="s">
        <v>152</v>
      </c>
      <c r="C4398" t="s">
        <v>123</v>
      </c>
      <c r="D4398" t="s">
        <v>77</v>
      </c>
      <c r="E4398" t="s">
        <v>138</v>
      </c>
      <c r="F4398" s="1">
        <v>42917</v>
      </c>
      <c r="G4398" s="1">
        <v>42928</v>
      </c>
      <c r="H4398">
        <v>50</v>
      </c>
      <c r="I4398" t="str">
        <f>IF(COUNTIF(Products!$A$2:$A$8,C4398)=0,C4398,"")</f>
        <v/>
      </c>
      <c r="J4398">
        <f>IF(OR(E4398="Prospecting",E4398="Engaging"),VLOOKUP(C4398,Products!$A$2:$C$8,3,FALSE),0)</f>
        <v>0</v>
      </c>
    </row>
    <row r="4399" spans="1:10" x14ac:dyDescent="0.25">
      <c r="A4399" t="s">
        <v>4566</v>
      </c>
      <c r="B4399" t="s">
        <v>193</v>
      </c>
      <c r="C4399" t="s">
        <v>122</v>
      </c>
      <c r="D4399" t="s">
        <v>73</v>
      </c>
      <c r="E4399" t="s">
        <v>159</v>
      </c>
      <c r="F4399" s="1">
        <v>42917</v>
      </c>
      <c r="G4399" s="1">
        <v>42919</v>
      </c>
      <c r="H4399">
        <v>0</v>
      </c>
      <c r="I4399" t="str">
        <f>IF(COUNTIF(Products!$A$2:$A$8,C4399)=0,C4399,"")</f>
        <v/>
      </c>
      <c r="J4399">
        <f>IF(OR(E4399="Prospecting",E4399="Engaging"),VLOOKUP(C4399,Products!$A$2:$C$8,3,FALSE),0)</f>
        <v>0</v>
      </c>
    </row>
    <row r="4400" spans="1:10" x14ac:dyDescent="0.25">
      <c r="A4400" t="s">
        <v>4567</v>
      </c>
      <c r="B4400" t="s">
        <v>193</v>
      </c>
      <c r="C4400" t="s">
        <v>122</v>
      </c>
      <c r="D4400" t="s">
        <v>67</v>
      </c>
      <c r="E4400" t="s">
        <v>138</v>
      </c>
      <c r="F4400" s="1">
        <v>42917</v>
      </c>
      <c r="G4400" s="1">
        <v>42970</v>
      </c>
      <c r="H4400">
        <v>4611</v>
      </c>
      <c r="I4400" t="str">
        <f>IF(COUNTIF(Products!$A$2:$A$8,C4400)=0,C4400,"")</f>
        <v/>
      </c>
      <c r="J4400">
        <f>IF(OR(E4400="Prospecting",E4400="Engaging"),VLOOKUP(C4400,Products!$A$2:$C$8,3,FALSE),0)</f>
        <v>0</v>
      </c>
    </row>
    <row r="4401" spans="1:10" x14ac:dyDescent="0.25">
      <c r="A4401" t="s">
        <v>4568</v>
      </c>
      <c r="B4401" t="s">
        <v>187</v>
      </c>
      <c r="C4401" t="s">
        <v>125</v>
      </c>
      <c r="E4401" t="s">
        <v>155</v>
      </c>
      <c r="F4401" s="1">
        <v>42917</v>
      </c>
      <c r="I4401" t="str">
        <f>IF(COUNTIF(Products!$A$2:$A$8,C4401)=0,C4401,"")</f>
        <v/>
      </c>
      <c r="J4401">
        <f>IF(OR(E4401="Prospecting",E4401="Engaging"),VLOOKUP(C4401,Products!$A$2:$C$8,3,FALSE),0)</f>
        <v>3393</v>
      </c>
    </row>
    <row r="4402" spans="1:10" x14ac:dyDescent="0.25">
      <c r="A4402" t="s">
        <v>4569</v>
      </c>
      <c r="B4402" t="s">
        <v>169</v>
      </c>
      <c r="C4402" t="s">
        <v>125</v>
      </c>
      <c r="D4402" t="s">
        <v>94</v>
      </c>
      <c r="E4402" t="s">
        <v>159</v>
      </c>
      <c r="F4402" s="1">
        <v>42917</v>
      </c>
      <c r="G4402" s="1">
        <v>42929</v>
      </c>
      <c r="H4402">
        <v>0</v>
      </c>
      <c r="I4402" t="str">
        <f>IF(COUNTIF(Products!$A$2:$A$8,C4402)=0,C4402,"")</f>
        <v/>
      </c>
      <c r="J4402">
        <f>IF(OR(E4402="Prospecting",E4402="Engaging"),VLOOKUP(C4402,Products!$A$2:$C$8,3,FALSE),0)</f>
        <v>0</v>
      </c>
    </row>
    <row r="4403" spans="1:10" x14ac:dyDescent="0.25">
      <c r="A4403" t="s">
        <v>4570</v>
      </c>
      <c r="B4403" t="s">
        <v>148</v>
      </c>
      <c r="C4403" t="s">
        <v>120</v>
      </c>
      <c r="E4403" t="s">
        <v>155</v>
      </c>
      <c r="F4403" s="1">
        <v>42917</v>
      </c>
      <c r="I4403" t="str">
        <f>IF(COUNTIF(Products!$A$2:$A$8,C4403)=0,C4403,"")</f>
        <v/>
      </c>
      <c r="J4403">
        <f>IF(OR(E4403="Prospecting",E4403="Engaging"),VLOOKUP(C4403,Products!$A$2:$C$8,3,FALSE),0)</f>
        <v>550</v>
      </c>
    </row>
    <row r="4404" spans="1:10" x14ac:dyDescent="0.25">
      <c r="A4404" t="s">
        <v>4571</v>
      </c>
      <c r="B4404" t="s">
        <v>148</v>
      </c>
      <c r="C4404" t="s">
        <v>120</v>
      </c>
      <c r="D4404" t="s">
        <v>67</v>
      </c>
      <c r="E4404" t="s">
        <v>138</v>
      </c>
      <c r="F4404" s="1">
        <v>42917</v>
      </c>
      <c r="G4404" s="1">
        <v>42927</v>
      </c>
      <c r="H4404">
        <v>571</v>
      </c>
      <c r="I4404" t="str">
        <f>IF(COUNTIF(Products!$A$2:$A$8,C4404)=0,C4404,"")</f>
        <v/>
      </c>
      <c r="J4404">
        <f>IF(OR(E4404="Prospecting",E4404="Engaging"),VLOOKUP(C4404,Products!$A$2:$C$8,3,FALSE),0)</f>
        <v>0</v>
      </c>
    </row>
    <row r="4405" spans="1:10" x14ac:dyDescent="0.25">
      <c r="A4405" t="s">
        <v>4572</v>
      </c>
      <c r="B4405" t="s">
        <v>177</v>
      </c>
      <c r="C4405" t="s">
        <v>123</v>
      </c>
      <c r="D4405" t="s">
        <v>105</v>
      </c>
      <c r="E4405" t="s">
        <v>159</v>
      </c>
      <c r="F4405" s="1">
        <v>42917</v>
      </c>
      <c r="G4405" s="1">
        <v>42919</v>
      </c>
      <c r="H4405">
        <v>0</v>
      </c>
      <c r="I4405" t="str">
        <f>IF(COUNTIF(Products!$A$2:$A$8,C4405)=0,C4405,"")</f>
        <v/>
      </c>
      <c r="J4405">
        <f>IF(OR(E4405="Prospecting",E4405="Engaging"),VLOOKUP(C4405,Products!$A$2:$C$8,3,FALSE),0)</f>
        <v>0</v>
      </c>
    </row>
    <row r="4406" spans="1:10" x14ac:dyDescent="0.25">
      <c r="A4406" t="s">
        <v>4573</v>
      </c>
      <c r="B4406" t="s">
        <v>196</v>
      </c>
      <c r="C4406" t="s">
        <v>126</v>
      </c>
      <c r="D4406" t="s">
        <v>10</v>
      </c>
      <c r="E4406" t="s">
        <v>159</v>
      </c>
      <c r="F4406" s="1">
        <v>42917</v>
      </c>
      <c r="G4406" s="1">
        <v>42953</v>
      </c>
      <c r="H4406">
        <v>0</v>
      </c>
      <c r="I4406" t="str">
        <f>IF(COUNTIF(Products!$A$2:$A$8,C4406)=0,C4406,"")</f>
        <v/>
      </c>
      <c r="J4406">
        <f>IF(OR(E4406="Prospecting",E4406="Engaging"),VLOOKUP(C4406,Products!$A$2:$C$8,3,FALSE),0)</f>
        <v>0</v>
      </c>
    </row>
    <row r="4407" spans="1:10" x14ac:dyDescent="0.25">
      <c r="A4407" t="s">
        <v>4574</v>
      </c>
      <c r="B4407" t="s">
        <v>146</v>
      </c>
      <c r="C4407" t="s">
        <v>127</v>
      </c>
      <c r="D4407" t="s">
        <v>14</v>
      </c>
      <c r="E4407" t="s">
        <v>159</v>
      </c>
      <c r="F4407" s="1">
        <v>42918</v>
      </c>
      <c r="G4407" s="1">
        <v>42926</v>
      </c>
      <c r="H4407">
        <v>0</v>
      </c>
      <c r="I4407" t="str">
        <f>IF(COUNTIF(Products!$A$2:$A$8,C4407)=0,C4407,"")</f>
        <v/>
      </c>
      <c r="J4407">
        <f>IF(OR(E4407="Prospecting",E4407="Engaging"),VLOOKUP(C4407,Products!$A$2:$C$8,3,FALSE),0)</f>
        <v>0</v>
      </c>
    </row>
    <row r="4408" spans="1:10" x14ac:dyDescent="0.25">
      <c r="A4408" t="s">
        <v>4575</v>
      </c>
      <c r="B4408" t="s">
        <v>146</v>
      </c>
      <c r="C4408" t="s">
        <v>125</v>
      </c>
      <c r="D4408" t="s">
        <v>94</v>
      </c>
      <c r="E4408" t="s">
        <v>159</v>
      </c>
      <c r="F4408" s="1">
        <v>42918</v>
      </c>
      <c r="G4408" s="1">
        <v>42929</v>
      </c>
      <c r="H4408">
        <v>0</v>
      </c>
      <c r="I4408" t="str">
        <f>IF(COUNTIF(Products!$A$2:$A$8,C4408)=0,C4408,"")</f>
        <v/>
      </c>
      <c r="J4408">
        <f>IF(OR(E4408="Prospecting",E4408="Engaging"),VLOOKUP(C4408,Products!$A$2:$C$8,3,FALSE),0)</f>
        <v>0</v>
      </c>
    </row>
    <row r="4409" spans="1:10" x14ac:dyDescent="0.25">
      <c r="A4409" t="s">
        <v>4576</v>
      </c>
      <c r="B4409" t="s">
        <v>146</v>
      </c>
      <c r="C4409" t="s">
        <v>127</v>
      </c>
      <c r="D4409" t="s">
        <v>95</v>
      </c>
      <c r="E4409" t="s">
        <v>138</v>
      </c>
      <c r="F4409" s="1">
        <v>42918</v>
      </c>
      <c r="G4409" s="1">
        <v>42925</v>
      </c>
      <c r="H4409">
        <v>1180</v>
      </c>
      <c r="I4409" t="str">
        <f>IF(COUNTIF(Products!$A$2:$A$8,C4409)=0,C4409,"")</f>
        <v/>
      </c>
      <c r="J4409">
        <f>IF(OR(E4409="Prospecting",E4409="Engaging"),VLOOKUP(C4409,Products!$A$2:$C$8,3,FALSE),0)</f>
        <v>0</v>
      </c>
    </row>
    <row r="4410" spans="1:10" x14ac:dyDescent="0.25">
      <c r="A4410" t="s">
        <v>4577</v>
      </c>
      <c r="B4410" t="s">
        <v>222</v>
      </c>
      <c r="C4410" t="s">
        <v>122</v>
      </c>
      <c r="E4410" t="s">
        <v>155</v>
      </c>
      <c r="F4410" s="1">
        <v>42918</v>
      </c>
      <c r="I4410" t="str">
        <f>IF(COUNTIF(Products!$A$2:$A$8,C4410)=0,C4410,"")</f>
        <v/>
      </c>
      <c r="J4410">
        <f>IF(OR(E4410="Prospecting",E4410="Engaging"),VLOOKUP(C4410,Products!$A$2:$C$8,3,FALSE),0)</f>
        <v>4821</v>
      </c>
    </row>
    <row r="4411" spans="1:10" x14ac:dyDescent="0.25">
      <c r="A4411" t="s">
        <v>4578</v>
      </c>
      <c r="B4411" t="s">
        <v>222</v>
      </c>
      <c r="C4411" t="s">
        <v>126</v>
      </c>
      <c r="D4411" t="s">
        <v>106</v>
      </c>
      <c r="E4411" t="s">
        <v>159</v>
      </c>
      <c r="F4411" s="1">
        <v>42918</v>
      </c>
      <c r="G4411" s="1">
        <v>42995</v>
      </c>
      <c r="H4411">
        <v>0</v>
      </c>
      <c r="I4411" t="str">
        <f>IF(COUNTIF(Products!$A$2:$A$8,C4411)=0,C4411,"")</f>
        <v/>
      </c>
      <c r="J4411">
        <f>IF(OR(E4411="Prospecting",E4411="Engaging"),VLOOKUP(C4411,Products!$A$2:$C$8,3,FALSE),0)</f>
        <v>0</v>
      </c>
    </row>
    <row r="4412" spans="1:10" x14ac:dyDescent="0.25">
      <c r="A4412" t="s">
        <v>4579</v>
      </c>
      <c r="B4412" t="s">
        <v>207</v>
      </c>
      <c r="C4412" t="s">
        <v>120</v>
      </c>
      <c r="D4412" t="s">
        <v>16</v>
      </c>
      <c r="E4412" t="s">
        <v>159</v>
      </c>
      <c r="F4412" s="1">
        <v>42918</v>
      </c>
      <c r="G4412" s="1">
        <v>42919</v>
      </c>
      <c r="H4412">
        <v>0</v>
      </c>
      <c r="I4412" t="str">
        <f>IF(COUNTIF(Products!$A$2:$A$8,C4412)=0,C4412,"")</f>
        <v/>
      </c>
      <c r="J4412">
        <f>IF(OR(E4412="Prospecting",E4412="Engaging"),VLOOKUP(C4412,Products!$A$2:$C$8,3,FALSE),0)</f>
        <v>0</v>
      </c>
    </row>
    <row r="4413" spans="1:10" x14ac:dyDescent="0.25">
      <c r="A4413" t="s">
        <v>4580</v>
      </c>
      <c r="B4413" t="s">
        <v>207</v>
      </c>
      <c r="C4413" t="s">
        <v>126</v>
      </c>
      <c r="D4413" t="s">
        <v>111</v>
      </c>
      <c r="E4413" t="s">
        <v>138</v>
      </c>
      <c r="F4413" s="1">
        <v>42918</v>
      </c>
      <c r="G4413" s="1">
        <v>42920</v>
      </c>
      <c r="H4413">
        <v>5274</v>
      </c>
      <c r="I4413" t="str">
        <f>IF(COUNTIF(Products!$A$2:$A$8,C4413)=0,C4413,"")</f>
        <v/>
      </c>
      <c r="J4413">
        <f>IF(OR(E4413="Prospecting",E4413="Engaging"),VLOOKUP(C4413,Products!$A$2:$C$8,3,FALSE),0)</f>
        <v>0</v>
      </c>
    </row>
    <row r="4414" spans="1:10" x14ac:dyDescent="0.25">
      <c r="A4414" t="s">
        <v>4581</v>
      </c>
      <c r="B4414" t="s">
        <v>264</v>
      </c>
      <c r="C4414" t="s">
        <v>120</v>
      </c>
      <c r="D4414" t="s">
        <v>89</v>
      </c>
      <c r="E4414" t="s">
        <v>138</v>
      </c>
      <c r="F4414" s="1">
        <v>42918</v>
      </c>
      <c r="G4414" s="1">
        <v>42920</v>
      </c>
      <c r="H4414">
        <v>480</v>
      </c>
      <c r="I4414" t="str">
        <f>IF(COUNTIF(Products!$A$2:$A$8,C4414)=0,C4414,"")</f>
        <v/>
      </c>
      <c r="J4414">
        <f>IF(OR(E4414="Prospecting",E4414="Engaging"),VLOOKUP(C4414,Products!$A$2:$C$8,3,FALSE),0)</f>
        <v>0</v>
      </c>
    </row>
    <row r="4415" spans="1:10" x14ac:dyDescent="0.25">
      <c r="A4415" t="s">
        <v>4582</v>
      </c>
      <c r="B4415" t="s">
        <v>239</v>
      </c>
      <c r="C4415" t="s">
        <v>122</v>
      </c>
      <c r="E4415" t="s">
        <v>155</v>
      </c>
      <c r="F4415" s="1">
        <v>42918</v>
      </c>
      <c r="I4415" t="str">
        <f>IF(COUNTIF(Products!$A$2:$A$8,C4415)=0,C4415,"")</f>
        <v/>
      </c>
      <c r="J4415">
        <f>IF(OR(E4415="Prospecting",E4415="Engaging"),VLOOKUP(C4415,Products!$A$2:$C$8,3,FALSE),0)</f>
        <v>4821</v>
      </c>
    </row>
    <row r="4416" spans="1:10" x14ac:dyDescent="0.25">
      <c r="A4416" t="s">
        <v>4583</v>
      </c>
      <c r="B4416" t="s">
        <v>239</v>
      </c>
      <c r="C4416" t="s">
        <v>122</v>
      </c>
      <c r="D4416" t="s">
        <v>80</v>
      </c>
      <c r="E4416" t="s">
        <v>138</v>
      </c>
      <c r="F4416" s="1">
        <v>42918</v>
      </c>
      <c r="G4416" s="1">
        <v>42924</v>
      </c>
      <c r="H4416">
        <v>4830</v>
      </c>
      <c r="I4416" t="str">
        <f>IF(COUNTIF(Products!$A$2:$A$8,C4416)=0,C4416,"")</f>
        <v/>
      </c>
      <c r="J4416">
        <f>IF(OR(E4416="Prospecting",E4416="Engaging"),VLOOKUP(C4416,Products!$A$2:$C$8,3,FALSE),0)</f>
        <v>0</v>
      </c>
    </row>
    <row r="4417" spans="1:10" x14ac:dyDescent="0.25">
      <c r="A4417" t="s">
        <v>4584</v>
      </c>
      <c r="B4417" t="s">
        <v>171</v>
      </c>
      <c r="C4417" t="s">
        <v>127</v>
      </c>
      <c r="D4417" t="s">
        <v>27</v>
      </c>
      <c r="E4417" t="s">
        <v>155</v>
      </c>
      <c r="F4417" s="1">
        <v>42918</v>
      </c>
      <c r="I4417" t="str">
        <f>IF(COUNTIF(Products!$A$2:$A$8,C4417)=0,C4417,"")</f>
        <v/>
      </c>
      <c r="J4417">
        <f>IF(OR(E4417="Prospecting",E4417="Engaging"),VLOOKUP(C4417,Products!$A$2:$C$8,3,FALSE),0)</f>
        <v>1096</v>
      </c>
    </row>
    <row r="4418" spans="1:10" x14ac:dyDescent="0.25">
      <c r="A4418" t="s">
        <v>4585</v>
      </c>
      <c r="B4418" t="s">
        <v>171</v>
      </c>
      <c r="C4418" t="s">
        <v>126</v>
      </c>
      <c r="D4418" t="s">
        <v>19</v>
      </c>
      <c r="E4418" t="s">
        <v>159</v>
      </c>
      <c r="F4418" s="1">
        <v>42918</v>
      </c>
      <c r="G4418" s="1">
        <v>42919</v>
      </c>
      <c r="H4418">
        <v>0</v>
      </c>
      <c r="I4418" t="str">
        <f>IF(COUNTIF(Products!$A$2:$A$8,C4418)=0,C4418,"")</f>
        <v/>
      </c>
      <c r="J4418">
        <f>IF(OR(E4418="Prospecting",E4418="Engaging"),VLOOKUP(C4418,Products!$A$2:$C$8,3,FALSE),0)</f>
        <v>0</v>
      </c>
    </row>
    <row r="4419" spans="1:10" x14ac:dyDescent="0.25">
      <c r="A4419" t="s">
        <v>4586</v>
      </c>
      <c r="B4419" t="s">
        <v>140</v>
      </c>
      <c r="C4419" t="s">
        <v>126</v>
      </c>
      <c r="D4419" t="s">
        <v>42</v>
      </c>
      <c r="E4419" t="s">
        <v>138</v>
      </c>
      <c r="F4419" s="1">
        <v>42918</v>
      </c>
      <c r="G4419" s="1">
        <v>42920</v>
      </c>
      <c r="H4419">
        <v>5333</v>
      </c>
      <c r="I4419" t="str">
        <f>IF(COUNTIF(Products!$A$2:$A$8,C4419)=0,C4419,"")</f>
        <v/>
      </c>
      <c r="J4419">
        <f>IF(OR(E4419="Prospecting",E4419="Engaging"),VLOOKUP(C4419,Products!$A$2:$C$8,3,FALSE),0)</f>
        <v>0</v>
      </c>
    </row>
    <row r="4420" spans="1:10" x14ac:dyDescent="0.25">
      <c r="A4420" t="s">
        <v>4587</v>
      </c>
      <c r="B4420" t="s">
        <v>173</v>
      </c>
      <c r="C4420" t="s">
        <v>123</v>
      </c>
      <c r="E4420" t="s">
        <v>155</v>
      </c>
      <c r="F4420" s="1">
        <v>42918</v>
      </c>
      <c r="I4420" t="str">
        <f>IF(COUNTIF(Products!$A$2:$A$8,C4420)=0,C4420,"")</f>
        <v/>
      </c>
      <c r="J4420">
        <f>IF(OR(E4420="Prospecting",E4420="Engaging"),VLOOKUP(C4420,Products!$A$2:$C$8,3,FALSE),0)</f>
        <v>55</v>
      </c>
    </row>
    <row r="4421" spans="1:10" x14ac:dyDescent="0.25">
      <c r="A4421" t="s">
        <v>4588</v>
      </c>
      <c r="B4421" t="s">
        <v>173</v>
      </c>
      <c r="C4421" t="s">
        <v>125</v>
      </c>
      <c r="D4421" t="s">
        <v>27</v>
      </c>
      <c r="E4421" t="s">
        <v>159</v>
      </c>
      <c r="F4421" s="1">
        <v>42918</v>
      </c>
      <c r="G4421" s="1">
        <v>42927</v>
      </c>
      <c r="H4421">
        <v>0</v>
      </c>
      <c r="I4421" t="str">
        <f>IF(COUNTIF(Products!$A$2:$A$8,C4421)=0,C4421,"")</f>
        <v/>
      </c>
      <c r="J4421">
        <f>IF(OR(E4421="Prospecting",E4421="Engaging"),VLOOKUP(C4421,Products!$A$2:$C$8,3,FALSE),0)</f>
        <v>0</v>
      </c>
    </row>
    <row r="4422" spans="1:10" x14ac:dyDescent="0.25">
      <c r="A4422" t="s">
        <v>4589</v>
      </c>
      <c r="B4422" t="s">
        <v>158</v>
      </c>
      <c r="C4422" t="s">
        <v>126</v>
      </c>
      <c r="D4422" t="s">
        <v>94</v>
      </c>
      <c r="E4422" t="s">
        <v>159</v>
      </c>
      <c r="F4422" s="1">
        <v>42918</v>
      </c>
      <c r="G4422" s="1">
        <v>42971</v>
      </c>
      <c r="H4422">
        <v>0</v>
      </c>
      <c r="I4422" t="str">
        <f>IF(COUNTIF(Products!$A$2:$A$8,C4422)=0,C4422,"")</f>
        <v/>
      </c>
      <c r="J4422">
        <f>IF(OR(E4422="Prospecting",E4422="Engaging"),VLOOKUP(C4422,Products!$A$2:$C$8,3,FALSE),0)</f>
        <v>0</v>
      </c>
    </row>
    <row r="4423" spans="1:10" x14ac:dyDescent="0.25">
      <c r="A4423" t="s">
        <v>4590</v>
      </c>
      <c r="B4423" t="s">
        <v>158</v>
      </c>
      <c r="C4423" t="s">
        <v>125</v>
      </c>
      <c r="D4423" t="s">
        <v>26</v>
      </c>
      <c r="E4423" t="s">
        <v>159</v>
      </c>
      <c r="F4423" s="1">
        <v>42918</v>
      </c>
      <c r="G4423" s="1">
        <v>42919</v>
      </c>
      <c r="H4423">
        <v>0</v>
      </c>
      <c r="I4423" t="str">
        <f>IF(COUNTIF(Products!$A$2:$A$8,C4423)=0,C4423,"")</f>
        <v/>
      </c>
      <c r="J4423">
        <f>IF(OR(E4423="Prospecting",E4423="Engaging"),VLOOKUP(C4423,Products!$A$2:$C$8,3,FALSE),0)</f>
        <v>0</v>
      </c>
    </row>
    <row r="4424" spans="1:10" x14ac:dyDescent="0.25">
      <c r="A4424" t="s">
        <v>4591</v>
      </c>
      <c r="B4424" t="s">
        <v>154</v>
      </c>
      <c r="C4424" t="s">
        <v>126</v>
      </c>
      <c r="D4424" t="s">
        <v>60</v>
      </c>
      <c r="E4424" t="s">
        <v>138</v>
      </c>
      <c r="F4424" s="1">
        <v>42918</v>
      </c>
      <c r="G4424" s="1">
        <v>42994</v>
      </c>
      <c r="H4424">
        <v>6192</v>
      </c>
      <c r="I4424" t="str">
        <f>IF(COUNTIF(Products!$A$2:$A$8,C4424)=0,C4424,"")</f>
        <v/>
      </c>
      <c r="J4424">
        <f>IF(OR(E4424="Prospecting",E4424="Engaging"),VLOOKUP(C4424,Products!$A$2:$C$8,3,FALSE),0)</f>
        <v>0</v>
      </c>
    </row>
    <row r="4425" spans="1:10" x14ac:dyDescent="0.25">
      <c r="A4425" t="s">
        <v>4592</v>
      </c>
      <c r="B4425" t="s">
        <v>180</v>
      </c>
      <c r="C4425" t="s">
        <v>122</v>
      </c>
      <c r="E4425" t="s">
        <v>155</v>
      </c>
      <c r="F4425" s="1">
        <v>42918</v>
      </c>
      <c r="I4425" t="str">
        <f>IF(COUNTIF(Products!$A$2:$A$8,C4425)=0,C4425,"")</f>
        <v/>
      </c>
      <c r="J4425">
        <f>IF(OR(E4425="Prospecting",E4425="Engaging"),VLOOKUP(C4425,Products!$A$2:$C$8,3,FALSE),0)</f>
        <v>4821</v>
      </c>
    </row>
    <row r="4426" spans="1:10" x14ac:dyDescent="0.25">
      <c r="A4426" t="s">
        <v>4593</v>
      </c>
      <c r="B4426" t="s">
        <v>180</v>
      </c>
      <c r="C4426" t="s">
        <v>120</v>
      </c>
      <c r="D4426" t="s">
        <v>87</v>
      </c>
      <c r="E4426" t="s">
        <v>159</v>
      </c>
      <c r="F4426" s="1">
        <v>42918</v>
      </c>
      <c r="G4426" s="1">
        <v>42963</v>
      </c>
      <c r="H4426">
        <v>0</v>
      </c>
      <c r="I4426" t="str">
        <f>IF(COUNTIF(Products!$A$2:$A$8,C4426)=0,C4426,"")</f>
        <v/>
      </c>
      <c r="J4426">
        <f>IF(OR(E4426="Prospecting",E4426="Engaging"),VLOOKUP(C4426,Products!$A$2:$C$8,3,FALSE),0)</f>
        <v>0</v>
      </c>
    </row>
    <row r="4427" spans="1:10" x14ac:dyDescent="0.25">
      <c r="A4427" t="s">
        <v>4594</v>
      </c>
      <c r="B4427" t="s">
        <v>180</v>
      </c>
      <c r="C4427" t="s">
        <v>120</v>
      </c>
      <c r="D4427" t="s">
        <v>82</v>
      </c>
      <c r="E4427" t="s">
        <v>138</v>
      </c>
      <c r="F4427" s="1">
        <v>42918</v>
      </c>
      <c r="G4427" s="1">
        <v>42958</v>
      </c>
      <c r="H4427">
        <v>490</v>
      </c>
      <c r="I4427" t="str">
        <f>IF(COUNTIF(Products!$A$2:$A$8,C4427)=0,C4427,"")</f>
        <v/>
      </c>
      <c r="J4427">
        <f>IF(OR(E4427="Prospecting",E4427="Engaging"),VLOOKUP(C4427,Products!$A$2:$C$8,3,FALSE),0)</f>
        <v>0</v>
      </c>
    </row>
    <row r="4428" spans="1:10" x14ac:dyDescent="0.25">
      <c r="A4428" t="s">
        <v>4595</v>
      </c>
      <c r="B4428" t="s">
        <v>191</v>
      </c>
      <c r="C4428" t="s">
        <v>127</v>
      </c>
      <c r="D4428" t="s">
        <v>10</v>
      </c>
      <c r="E4428" t="s">
        <v>155</v>
      </c>
      <c r="F4428" s="1">
        <v>42918</v>
      </c>
      <c r="I4428" t="str">
        <f>IF(COUNTIF(Products!$A$2:$A$8,C4428)=0,C4428,"")</f>
        <v/>
      </c>
      <c r="J4428">
        <f>IF(OR(E4428="Prospecting",E4428="Engaging"),VLOOKUP(C4428,Products!$A$2:$C$8,3,FALSE),0)</f>
        <v>1096</v>
      </c>
    </row>
    <row r="4429" spans="1:10" x14ac:dyDescent="0.25">
      <c r="A4429" t="s">
        <v>4596</v>
      </c>
      <c r="B4429" t="s">
        <v>217</v>
      </c>
      <c r="C4429" t="s">
        <v>120</v>
      </c>
      <c r="D4429" t="s">
        <v>88</v>
      </c>
      <c r="E4429" t="s">
        <v>159</v>
      </c>
      <c r="F4429" s="1">
        <v>42918</v>
      </c>
      <c r="G4429" s="1">
        <v>42920</v>
      </c>
      <c r="H4429">
        <v>0</v>
      </c>
      <c r="I4429" t="str">
        <f>IF(COUNTIF(Products!$A$2:$A$8,C4429)=0,C4429,"")</f>
        <v/>
      </c>
      <c r="J4429">
        <f>IF(OR(E4429="Prospecting",E4429="Engaging"),VLOOKUP(C4429,Products!$A$2:$C$8,3,FALSE),0)</f>
        <v>0</v>
      </c>
    </row>
    <row r="4430" spans="1:10" x14ac:dyDescent="0.25">
      <c r="A4430" t="s">
        <v>4597</v>
      </c>
      <c r="B4430" t="s">
        <v>150</v>
      </c>
      <c r="C4430" t="s">
        <v>120</v>
      </c>
      <c r="D4430" t="s">
        <v>69</v>
      </c>
      <c r="E4430" t="s">
        <v>159</v>
      </c>
      <c r="F4430" s="1">
        <v>42918</v>
      </c>
      <c r="G4430" s="1">
        <v>42925</v>
      </c>
      <c r="H4430">
        <v>0</v>
      </c>
      <c r="I4430" t="str">
        <f>IF(COUNTIF(Products!$A$2:$A$8,C4430)=0,C4430,"")</f>
        <v/>
      </c>
      <c r="J4430">
        <f>IF(OR(E4430="Prospecting",E4430="Engaging"),VLOOKUP(C4430,Products!$A$2:$C$8,3,FALSE),0)</f>
        <v>0</v>
      </c>
    </row>
    <row r="4431" spans="1:10" x14ac:dyDescent="0.25">
      <c r="A4431" t="s">
        <v>4598</v>
      </c>
      <c r="B4431" t="s">
        <v>152</v>
      </c>
      <c r="C4431" t="s">
        <v>127</v>
      </c>
      <c r="D4431" t="s">
        <v>46</v>
      </c>
      <c r="E4431" t="s">
        <v>138</v>
      </c>
      <c r="F4431" s="1">
        <v>42918</v>
      </c>
      <c r="G4431" s="1">
        <v>43001</v>
      </c>
      <c r="H4431">
        <v>1157</v>
      </c>
      <c r="I4431" t="str">
        <f>IF(COUNTIF(Products!$A$2:$A$8,C4431)=0,C4431,"")</f>
        <v/>
      </c>
      <c r="J4431">
        <f>IF(OR(E4431="Prospecting",E4431="Engaging"),VLOOKUP(C4431,Products!$A$2:$C$8,3,FALSE),0)</f>
        <v>0</v>
      </c>
    </row>
    <row r="4432" spans="1:10" x14ac:dyDescent="0.25">
      <c r="A4432" t="s">
        <v>4599</v>
      </c>
      <c r="B4432" t="s">
        <v>148</v>
      </c>
      <c r="C4432" t="s">
        <v>125</v>
      </c>
      <c r="D4432" t="s">
        <v>38</v>
      </c>
      <c r="E4432" t="s">
        <v>159</v>
      </c>
      <c r="F4432" s="1">
        <v>42918</v>
      </c>
      <c r="G4432" s="1">
        <v>42978</v>
      </c>
      <c r="H4432">
        <v>0</v>
      </c>
      <c r="I4432" t="str">
        <f>IF(COUNTIF(Products!$A$2:$A$8,C4432)=0,C4432,"")</f>
        <v/>
      </c>
      <c r="J4432">
        <f>IF(OR(E4432="Prospecting",E4432="Engaging"),VLOOKUP(C4432,Products!$A$2:$C$8,3,FALSE),0)</f>
        <v>0</v>
      </c>
    </row>
    <row r="4433" spans="1:10" x14ac:dyDescent="0.25">
      <c r="A4433" t="s">
        <v>4600</v>
      </c>
      <c r="B4433" t="s">
        <v>148</v>
      </c>
      <c r="C4433" t="s">
        <v>125</v>
      </c>
      <c r="D4433" t="s">
        <v>72</v>
      </c>
      <c r="E4433" t="s">
        <v>159</v>
      </c>
      <c r="F4433" s="1">
        <v>42918</v>
      </c>
      <c r="G4433" s="1">
        <v>42919</v>
      </c>
      <c r="H4433">
        <v>0</v>
      </c>
      <c r="I4433" t="str">
        <f>IF(COUNTIF(Products!$A$2:$A$8,C4433)=0,C4433,"")</f>
        <v/>
      </c>
      <c r="J4433">
        <f>IF(OR(E4433="Prospecting",E4433="Engaging"),VLOOKUP(C4433,Products!$A$2:$C$8,3,FALSE),0)</f>
        <v>0</v>
      </c>
    </row>
    <row r="4434" spans="1:10" x14ac:dyDescent="0.25">
      <c r="A4434" t="s">
        <v>4601</v>
      </c>
      <c r="B4434" t="s">
        <v>177</v>
      </c>
      <c r="C4434" t="s">
        <v>123</v>
      </c>
      <c r="D4434" t="s">
        <v>110</v>
      </c>
      <c r="E4434" t="s">
        <v>138</v>
      </c>
      <c r="F4434" s="1">
        <v>42918</v>
      </c>
      <c r="G4434" s="1">
        <v>42929</v>
      </c>
      <c r="H4434">
        <v>55</v>
      </c>
      <c r="I4434" t="str">
        <f>IF(COUNTIF(Products!$A$2:$A$8,C4434)=0,C4434,"")</f>
        <v/>
      </c>
      <c r="J4434">
        <f>IF(OR(E4434="Prospecting",E4434="Engaging"),VLOOKUP(C4434,Products!$A$2:$C$8,3,FALSE),0)</f>
        <v>0</v>
      </c>
    </row>
    <row r="4435" spans="1:10" x14ac:dyDescent="0.25">
      <c r="A4435" t="s">
        <v>4602</v>
      </c>
      <c r="B4435" t="s">
        <v>144</v>
      </c>
      <c r="C4435" t="s">
        <v>125</v>
      </c>
      <c r="D4435" t="s">
        <v>100</v>
      </c>
      <c r="E4435" t="s">
        <v>159</v>
      </c>
      <c r="F4435" s="1">
        <v>42918</v>
      </c>
      <c r="G4435" s="1">
        <v>42922</v>
      </c>
      <c r="H4435">
        <v>0</v>
      </c>
      <c r="I4435" t="str">
        <f>IF(COUNTIF(Products!$A$2:$A$8,C4435)=0,C4435,"")</f>
        <v/>
      </c>
      <c r="J4435">
        <f>IF(OR(E4435="Prospecting",E4435="Engaging"),VLOOKUP(C4435,Products!$A$2:$C$8,3,FALSE),0)</f>
        <v>0</v>
      </c>
    </row>
    <row r="4436" spans="1:10" x14ac:dyDescent="0.25">
      <c r="A4436" t="s">
        <v>4603</v>
      </c>
      <c r="B4436" t="s">
        <v>144</v>
      </c>
      <c r="C4436" t="s">
        <v>122</v>
      </c>
      <c r="D4436" t="s">
        <v>34</v>
      </c>
      <c r="E4436" t="s">
        <v>138</v>
      </c>
      <c r="F4436" s="1">
        <v>42918</v>
      </c>
      <c r="G4436" s="1">
        <v>42973</v>
      </c>
      <c r="H4436">
        <v>4655</v>
      </c>
      <c r="I4436" t="str">
        <f>IF(COUNTIF(Products!$A$2:$A$8,C4436)=0,C4436,"")</f>
        <v/>
      </c>
      <c r="J4436">
        <f>IF(OR(E4436="Prospecting",E4436="Engaging"),VLOOKUP(C4436,Products!$A$2:$C$8,3,FALSE),0)</f>
        <v>0</v>
      </c>
    </row>
    <row r="4437" spans="1:10" x14ac:dyDescent="0.25">
      <c r="A4437" t="s">
        <v>4604</v>
      </c>
      <c r="B4437" t="s">
        <v>222</v>
      </c>
      <c r="C4437" t="s">
        <v>122</v>
      </c>
      <c r="D4437" t="s">
        <v>25</v>
      </c>
      <c r="E4437" t="s">
        <v>138</v>
      </c>
      <c r="F4437" s="1">
        <v>42919</v>
      </c>
      <c r="G4437" s="1">
        <v>42973</v>
      </c>
      <c r="H4437">
        <v>5833</v>
      </c>
      <c r="I4437" t="str">
        <f>IF(COUNTIF(Products!$A$2:$A$8,C4437)=0,C4437,"")</f>
        <v/>
      </c>
      <c r="J4437">
        <f>IF(OR(E4437="Prospecting",E4437="Engaging"),VLOOKUP(C4437,Products!$A$2:$C$8,3,FALSE),0)</f>
        <v>0</v>
      </c>
    </row>
    <row r="4438" spans="1:10" x14ac:dyDescent="0.25">
      <c r="A4438" t="s">
        <v>4605</v>
      </c>
      <c r="B4438" t="s">
        <v>264</v>
      </c>
      <c r="C4438" t="s">
        <v>123</v>
      </c>
      <c r="D4438" t="s">
        <v>27</v>
      </c>
      <c r="E4438" t="s">
        <v>138</v>
      </c>
      <c r="F4438" s="1">
        <v>42919</v>
      </c>
      <c r="G4438" s="1">
        <v>43001</v>
      </c>
      <c r="H4438">
        <v>47</v>
      </c>
      <c r="I4438" t="str">
        <f>IF(COUNTIF(Products!$A$2:$A$8,C4438)=0,C4438,"")</f>
        <v/>
      </c>
      <c r="J4438">
        <f>IF(OR(E4438="Prospecting",E4438="Engaging"),VLOOKUP(C4438,Products!$A$2:$C$8,3,FALSE),0)</f>
        <v>0</v>
      </c>
    </row>
    <row r="4439" spans="1:10" x14ac:dyDescent="0.25">
      <c r="A4439" t="s">
        <v>4606</v>
      </c>
      <c r="B4439" t="s">
        <v>264</v>
      </c>
      <c r="C4439" t="s">
        <v>123</v>
      </c>
      <c r="D4439" t="s">
        <v>77</v>
      </c>
      <c r="E4439" t="s">
        <v>138</v>
      </c>
      <c r="F4439" s="1">
        <v>42919</v>
      </c>
      <c r="G4439" s="1">
        <v>42978</v>
      </c>
      <c r="H4439">
        <v>51</v>
      </c>
      <c r="I4439" t="str">
        <f>IF(COUNTIF(Products!$A$2:$A$8,C4439)=0,C4439,"")</f>
        <v/>
      </c>
      <c r="J4439">
        <f>IF(OR(E4439="Prospecting",E4439="Engaging"),VLOOKUP(C4439,Products!$A$2:$C$8,3,FALSE),0)</f>
        <v>0</v>
      </c>
    </row>
    <row r="4440" spans="1:10" x14ac:dyDescent="0.25">
      <c r="A4440" t="s">
        <v>4607</v>
      </c>
      <c r="B4440" t="s">
        <v>140</v>
      </c>
      <c r="C4440" t="s">
        <v>122</v>
      </c>
      <c r="D4440" t="s">
        <v>32</v>
      </c>
      <c r="E4440" t="s">
        <v>159</v>
      </c>
      <c r="F4440" s="1">
        <v>42919</v>
      </c>
      <c r="G4440" s="1">
        <v>42920</v>
      </c>
      <c r="H4440">
        <v>0</v>
      </c>
      <c r="I4440" t="str">
        <f>IF(COUNTIF(Products!$A$2:$A$8,C4440)=0,C4440,"")</f>
        <v/>
      </c>
      <c r="J4440">
        <f>IF(OR(E4440="Prospecting",E4440="Engaging"),VLOOKUP(C4440,Products!$A$2:$C$8,3,FALSE),0)</f>
        <v>0</v>
      </c>
    </row>
    <row r="4441" spans="1:10" x14ac:dyDescent="0.25">
      <c r="A4441" t="s">
        <v>4608</v>
      </c>
      <c r="B4441" t="s">
        <v>140</v>
      </c>
      <c r="C4441" t="s">
        <v>125</v>
      </c>
      <c r="D4441" t="s">
        <v>55</v>
      </c>
      <c r="E4441" t="s">
        <v>159</v>
      </c>
      <c r="F4441" s="1">
        <v>42919</v>
      </c>
      <c r="G4441" s="1">
        <v>42928</v>
      </c>
      <c r="H4441">
        <v>0</v>
      </c>
      <c r="I4441" t="str">
        <f>IF(COUNTIF(Products!$A$2:$A$8,C4441)=0,C4441,"")</f>
        <v/>
      </c>
      <c r="J4441">
        <f>IF(OR(E4441="Prospecting",E4441="Engaging"),VLOOKUP(C4441,Products!$A$2:$C$8,3,FALSE),0)</f>
        <v>0</v>
      </c>
    </row>
    <row r="4442" spans="1:10" x14ac:dyDescent="0.25">
      <c r="A4442" t="s">
        <v>4609</v>
      </c>
      <c r="B4442" t="s">
        <v>224</v>
      </c>
      <c r="C4442" t="s">
        <v>120</v>
      </c>
      <c r="D4442" t="s">
        <v>63</v>
      </c>
      <c r="E4442" t="s">
        <v>159</v>
      </c>
      <c r="F4442" s="1">
        <v>42919</v>
      </c>
      <c r="G4442" s="1">
        <v>43003</v>
      </c>
      <c r="H4442">
        <v>0</v>
      </c>
      <c r="I4442" t="str">
        <f>IF(COUNTIF(Products!$A$2:$A$8,C4442)=0,C4442,"")</f>
        <v/>
      </c>
      <c r="J4442">
        <f>IF(OR(E4442="Prospecting",E4442="Engaging"),VLOOKUP(C4442,Products!$A$2:$C$8,3,FALSE),0)</f>
        <v>0</v>
      </c>
    </row>
    <row r="4443" spans="1:10" x14ac:dyDescent="0.25">
      <c r="A4443" t="s">
        <v>4610</v>
      </c>
      <c r="B4443" t="s">
        <v>224</v>
      </c>
      <c r="C4443" t="s">
        <v>126</v>
      </c>
      <c r="D4443" t="s">
        <v>84</v>
      </c>
      <c r="E4443" t="s">
        <v>159</v>
      </c>
      <c r="F4443" s="1">
        <v>42919</v>
      </c>
      <c r="G4443" s="1">
        <v>42988</v>
      </c>
      <c r="H4443">
        <v>0</v>
      </c>
      <c r="I4443" t="str">
        <f>IF(COUNTIF(Products!$A$2:$A$8,C4443)=0,C4443,"")</f>
        <v/>
      </c>
      <c r="J4443">
        <f>IF(OR(E4443="Prospecting",E4443="Engaging"),VLOOKUP(C4443,Products!$A$2:$C$8,3,FALSE),0)</f>
        <v>0</v>
      </c>
    </row>
    <row r="4444" spans="1:10" x14ac:dyDescent="0.25">
      <c r="A4444" t="s">
        <v>4611</v>
      </c>
      <c r="B4444" t="s">
        <v>224</v>
      </c>
      <c r="C4444" t="s">
        <v>120</v>
      </c>
      <c r="D4444" t="s">
        <v>67</v>
      </c>
      <c r="E4444" t="s">
        <v>138</v>
      </c>
      <c r="F4444" s="1">
        <v>42919</v>
      </c>
      <c r="G4444" s="1">
        <v>42928</v>
      </c>
      <c r="H4444">
        <v>540</v>
      </c>
      <c r="I4444" t="str">
        <f>IF(COUNTIF(Products!$A$2:$A$8,C4444)=0,C4444,"")</f>
        <v/>
      </c>
      <c r="J4444">
        <f>IF(OR(E4444="Prospecting",E4444="Engaging"),VLOOKUP(C4444,Products!$A$2:$C$8,3,FALSE),0)</f>
        <v>0</v>
      </c>
    </row>
    <row r="4445" spans="1:10" x14ac:dyDescent="0.25">
      <c r="A4445" t="s">
        <v>4612</v>
      </c>
      <c r="B4445" t="s">
        <v>224</v>
      </c>
      <c r="C4445" t="s">
        <v>126</v>
      </c>
      <c r="D4445" t="s">
        <v>69</v>
      </c>
      <c r="E4445" t="s">
        <v>138</v>
      </c>
      <c r="F4445" s="1">
        <v>42919</v>
      </c>
      <c r="G4445" s="1">
        <v>42920</v>
      </c>
      <c r="H4445">
        <v>4915</v>
      </c>
      <c r="I4445" t="str">
        <f>IF(COUNTIF(Products!$A$2:$A$8,C4445)=0,C4445,"")</f>
        <v/>
      </c>
      <c r="J4445">
        <f>IF(OR(E4445="Prospecting",E4445="Engaging"),VLOOKUP(C4445,Products!$A$2:$C$8,3,FALSE),0)</f>
        <v>0</v>
      </c>
    </row>
    <row r="4446" spans="1:10" x14ac:dyDescent="0.25">
      <c r="A4446" t="s">
        <v>4613</v>
      </c>
      <c r="B4446" t="s">
        <v>154</v>
      </c>
      <c r="C4446" t="s">
        <v>126</v>
      </c>
      <c r="D4446" t="s">
        <v>87</v>
      </c>
      <c r="E4446" t="s">
        <v>159</v>
      </c>
      <c r="F4446" s="1">
        <v>42919</v>
      </c>
      <c r="G4446" s="1">
        <v>42920</v>
      </c>
      <c r="H4446">
        <v>0</v>
      </c>
      <c r="I4446" t="str">
        <f>IF(COUNTIF(Products!$A$2:$A$8,C4446)=0,C4446,"")</f>
        <v/>
      </c>
      <c r="J4446">
        <f>IF(OR(E4446="Prospecting",E4446="Engaging"),VLOOKUP(C4446,Products!$A$2:$C$8,3,FALSE),0)</f>
        <v>0</v>
      </c>
    </row>
    <row r="4447" spans="1:10" x14ac:dyDescent="0.25">
      <c r="A4447" t="s">
        <v>4614</v>
      </c>
      <c r="B4447" t="s">
        <v>154</v>
      </c>
      <c r="C4447" t="s">
        <v>126</v>
      </c>
      <c r="D4447" t="s">
        <v>93</v>
      </c>
      <c r="E4447" t="s">
        <v>159</v>
      </c>
      <c r="F4447" s="1">
        <v>42919</v>
      </c>
      <c r="G4447" s="1">
        <v>42921</v>
      </c>
      <c r="H4447">
        <v>0</v>
      </c>
      <c r="I4447" t="str">
        <f>IF(COUNTIF(Products!$A$2:$A$8,C4447)=0,C4447,"")</f>
        <v/>
      </c>
      <c r="J4447">
        <f>IF(OR(E4447="Prospecting",E4447="Engaging"),VLOOKUP(C4447,Products!$A$2:$C$8,3,FALSE),0)</f>
        <v>0</v>
      </c>
    </row>
    <row r="4448" spans="1:10" x14ac:dyDescent="0.25">
      <c r="A4448" t="s">
        <v>4615</v>
      </c>
      <c r="B4448" t="s">
        <v>154</v>
      </c>
      <c r="C4448" t="s">
        <v>126</v>
      </c>
      <c r="D4448" t="s">
        <v>100</v>
      </c>
      <c r="E4448" t="s">
        <v>159</v>
      </c>
      <c r="F4448" s="1">
        <v>42919</v>
      </c>
      <c r="G4448" s="1">
        <v>42926</v>
      </c>
      <c r="H4448">
        <v>0</v>
      </c>
      <c r="I4448" t="str">
        <f>IF(COUNTIF(Products!$A$2:$A$8,C4448)=0,C4448,"")</f>
        <v/>
      </c>
      <c r="J4448">
        <f>IF(OR(E4448="Prospecting",E4448="Engaging"),VLOOKUP(C4448,Products!$A$2:$C$8,3,FALSE),0)</f>
        <v>0</v>
      </c>
    </row>
    <row r="4449" spans="1:10" x14ac:dyDescent="0.25">
      <c r="A4449" t="s">
        <v>4616</v>
      </c>
      <c r="B4449" t="s">
        <v>154</v>
      </c>
      <c r="C4449" t="s">
        <v>126</v>
      </c>
      <c r="D4449" t="s">
        <v>72</v>
      </c>
      <c r="E4449" t="s">
        <v>138</v>
      </c>
      <c r="F4449" s="1">
        <v>42919</v>
      </c>
      <c r="G4449" s="1">
        <v>43005</v>
      </c>
      <c r="H4449">
        <v>6693</v>
      </c>
      <c r="I4449" t="str">
        <f>IF(COUNTIF(Products!$A$2:$A$8,C4449)=0,C4449,"")</f>
        <v/>
      </c>
      <c r="J4449">
        <f>IF(OR(E4449="Prospecting",E4449="Engaging"),VLOOKUP(C4449,Products!$A$2:$C$8,3,FALSE),0)</f>
        <v>0</v>
      </c>
    </row>
    <row r="4450" spans="1:10" x14ac:dyDescent="0.25">
      <c r="A4450" t="s">
        <v>4617</v>
      </c>
      <c r="B4450" t="s">
        <v>303</v>
      </c>
      <c r="C4450" t="s">
        <v>125</v>
      </c>
      <c r="D4450" t="s">
        <v>61</v>
      </c>
      <c r="E4450" t="s">
        <v>138</v>
      </c>
      <c r="F4450" s="1">
        <v>42919</v>
      </c>
      <c r="G4450" s="1">
        <v>42921</v>
      </c>
      <c r="H4450">
        <v>3101</v>
      </c>
      <c r="I4450" t="str">
        <f>IF(COUNTIF(Products!$A$2:$A$8,C4450)=0,C4450,"")</f>
        <v/>
      </c>
      <c r="J4450">
        <f>IF(OR(E4450="Prospecting",E4450="Engaging"),VLOOKUP(C4450,Products!$A$2:$C$8,3,FALSE),0)</f>
        <v>0</v>
      </c>
    </row>
    <row r="4451" spans="1:10" x14ac:dyDescent="0.25">
      <c r="A4451" t="s">
        <v>4618</v>
      </c>
      <c r="B4451" t="s">
        <v>180</v>
      </c>
      <c r="C4451" t="s">
        <v>127</v>
      </c>
      <c r="D4451" t="s">
        <v>109</v>
      </c>
      <c r="E4451" t="s">
        <v>159</v>
      </c>
      <c r="F4451" s="1">
        <v>42919</v>
      </c>
      <c r="G4451" s="1">
        <v>42962</v>
      </c>
      <c r="H4451">
        <v>0</v>
      </c>
      <c r="I4451" t="str">
        <f>IF(COUNTIF(Products!$A$2:$A$8,C4451)=0,C4451,"")</f>
        <v/>
      </c>
      <c r="J4451">
        <f>IF(OR(E4451="Prospecting",E4451="Engaging"),VLOOKUP(C4451,Products!$A$2:$C$8,3,FALSE),0)</f>
        <v>0</v>
      </c>
    </row>
    <row r="4452" spans="1:10" x14ac:dyDescent="0.25">
      <c r="A4452" t="s">
        <v>4619</v>
      </c>
      <c r="B4452" t="s">
        <v>180</v>
      </c>
      <c r="C4452" t="s">
        <v>123</v>
      </c>
      <c r="D4452" t="s">
        <v>60</v>
      </c>
      <c r="E4452" t="s">
        <v>138</v>
      </c>
      <c r="F4452" s="1">
        <v>42919</v>
      </c>
      <c r="G4452" s="1">
        <v>42980</v>
      </c>
      <c r="H4452">
        <v>56</v>
      </c>
      <c r="I4452" t="str">
        <f>IF(COUNTIF(Products!$A$2:$A$8,C4452)=0,C4452,"")</f>
        <v/>
      </c>
      <c r="J4452">
        <f>IF(OR(E4452="Prospecting",E4452="Engaging"),VLOOKUP(C4452,Products!$A$2:$C$8,3,FALSE),0)</f>
        <v>0</v>
      </c>
    </row>
    <row r="4453" spans="1:10" x14ac:dyDescent="0.25">
      <c r="A4453" t="s">
        <v>4620</v>
      </c>
      <c r="B4453" t="s">
        <v>191</v>
      </c>
      <c r="C4453" t="s">
        <v>120</v>
      </c>
      <c r="E4453" t="s">
        <v>155</v>
      </c>
      <c r="F4453" s="1">
        <v>42919</v>
      </c>
      <c r="I4453" t="str">
        <f>IF(COUNTIF(Products!$A$2:$A$8,C4453)=0,C4453,"")</f>
        <v/>
      </c>
      <c r="J4453">
        <f>IF(OR(E4453="Prospecting",E4453="Engaging"),VLOOKUP(C4453,Products!$A$2:$C$8,3,FALSE),0)</f>
        <v>550</v>
      </c>
    </row>
    <row r="4454" spans="1:10" x14ac:dyDescent="0.25">
      <c r="A4454" t="s">
        <v>4621</v>
      </c>
      <c r="B4454" t="s">
        <v>191</v>
      </c>
      <c r="C4454" t="s">
        <v>127</v>
      </c>
      <c r="D4454" t="s">
        <v>23</v>
      </c>
      <c r="E4454" t="s">
        <v>138</v>
      </c>
      <c r="F4454" s="1">
        <v>42919</v>
      </c>
      <c r="G4454" s="1">
        <v>42928</v>
      </c>
      <c r="H4454">
        <v>935</v>
      </c>
      <c r="I4454" t="str">
        <f>IF(COUNTIF(Products!$A$2:$A$8,C4454)=0,C4454,"")</f>
        <v/>
      </c>
      <c r="J4454">
        <f>IF(OR(E4454="Prospecting",E4454="Engaging"),VLOOKUP(C4454,Products!$A$2:$C$8,3,FALSE),0)</f>
        <v>0</v>
      </c>
    </row>
    <row r="4455" spans="1:10" x14ac:dyDescent="0.25">
      <c r="A4455" t="s">
        <v>4622</v>
      </c>
      <c r="B4455" t="s">
        <v>191</v>
      </c>
      <c r="C4455" t="s">
        <v>127</v>
      </c>
      <c r="D4455" t="s">
        <v>93</v>
      </c>
      <c r="E4455" t="s">
        <v>138</v>
      </c>
      <c r="F4455" s="1">
        <v>42919</v>
      </c>
      <c r="G4455" s="1">
        <v>42929</v>
      </c>
      <c r="H4455">
        <v>1133</v>
      </c>
      <c r="I4455" t="str">
        <f>IF(COUNTIF(Products!$A$2:$A$8,C4455)=0,C4455,"")</f>
        <v/>
      </c>
      <c r="J4455">
        <f>IF(OR(E4455="Prospecting",E4455="Engaging"),VLOOKUP(C4455,Products!$A$2:$C$8,3,FALSE),0)</f>
        <v>0</v>
      </c>
    </row>
    <row r="4456" spans="1:10" x14ac:dyDescent="0.25">
      <c r="A4456" t="s">
        <v>4623</v>
      </c>
      <c r="B4456" t="s">
        <v>191</v>
      </c>
      <c r="C4456" t="s">
        <v>122</v>
      </c>
      <c r="D4456" t="s">
        <v>109</v>
      </c>
      <c r="E4456" t="s">
        <v>138</v>
      </c>
      <c r="F4456" s="1">
        <v>42919</v>
      </c>
      <c r="G4456" s="1">
        <v>42959</v>
      </c>
      <c r="H4456">
        <v>4904</v>
      </c>
      <c r="I4456" t="str">
        <f>IF(COUNTIF(Products!$A$2:$A$8,C4456)=0,C4456,"")</f>
        <v/>
      </c>
      <c r="J4456">
        <f>IF(OR(E4456="Prospecting",E4456="Engaging"),VLOOKUP(C4456,Products!$A$2:$C$8,3,FALSE),0)</f>
        <v>0</v>
      </c>
    </row>
    <row r="4457" spans="1:10" x14ac:dyDescent="0.25">
      <c r="A4457" t="s">
        <v>4624</v>
      </c>
      <c r="B4457" t="s">
        <v>217</v>
      </c>
      <c r="C4457" t="s">
        <v>125</v>
      </c>
      <c r="D4457" t="s">
        <v>14</v>
      </c>
      <c r="E4457" t="s">
        <v>138</v>
      </c>
      <c r="F4457" s="1">
        <v>42919</v>
      </c>
      <c r="G4457" s="1">
        <v>43001</v>
      </c>
      <c r="H4457">
        <v>2857</v>
      </c>
      <c r="I4457" t="str">
        <f>IF(COUNTIF(Products!$A$2:$A$8,C4457)=0,C4457,"")</f>
        <v/>
      </c>
      <c r="J4457">
        <f>IF(OR(E4457="Prospecting",E4457="Engaging"),VLOOKUP(C4457,Products!$A$2:$C$8,3,FALSE),0)</f>
        <v>0</v>
      </c>
    </row>
    <row r="4458" spans="1:10" x14ac:dyDescent="0.25">
      <c r="A4458" t="s">
        <v>4625</v>
      </c>
      <c r="B4458" t="s">
        <v>217</v>
      </c>
      <c r="C4458" t="s">
        <v>125</v>
      </c>
      <c r="D4458" t="s">
        <v>36</v>
      </c>
      <c r="E4458" t="s">
        <v>138</v>
      </c>
      <c r="F4458" s="1">
        <v>42919</v>
      </c>
      <c r="G4458" s="1">
        <v>42980</v>
      </c>
      <c r="H4458">
        <v>3118</v>
      </c>
      <c r="I4458" t="str">
        <f>IF(COUNTIF(Products!$A$2:$A$8,C4458)=0,C4458,"")</f>
        <v/>
      </c>
      <c r="J4458">
        <f>IF(OR(E4458="Prospecting",E4458="Engaging"),VLOOKUP(C4458,Products!$A$2:$C$8,3,FALSE),0)</f>
        <v>0</v>
      </c>
    </row>
    <row r="4459" spans="1:10" x14ac:dyDescent="0.25">
      <c r="A4459" t="s">
        <v>4626</v>
      </c>
      <c r="B4459" t="s">
        <v>205</v>
      </c>
      <c r="C4459" t="s">
        <v>127</v>
      </c>
      <c r="D4459" t="s">
        <v>46</v>
      </c>
      <c r="E4459" t="s">
        <v>138</v>
      </c>
      <c r="F4459" s="1">
        <v>42919</v>
      </c>
      <c r="G4459" s="1">
        <v>42927</v>
      </c>
      <c r="H4459">
        <v>1204</v>
      </c>
      <c r="I4459" t="str">
        <f>IF(COUNTIF(Products!$A$2:$A$8,C4459)=0,C4459,"")</f>
        <v/>
      </c>
      <c r="J4459">
        <f>IF(OR(E4459="Prospecting",E4459="Engaging"),VLOOKUP(C4459,Products!$A$2:$C$8,3,FALSE),0)</f>
        <v>0</v>
      </c>
    </row>
    <row r="4460" spans="1:10" x14ac:dyDescent="0.25">
      <c r="A4460" t="s">
        <v>4627</v>
      </c>
      <c r="B4460" t="s">
        <v>162</v>
      </c>
      <c r="C4460" t="s">
        <v>125</v>
      </c>
      <c r="D4460" t="s">
        <v>109</v>
      </c>
      <c r="E4460" t="s">
        <v>159</v>
      </c>
      <c r="F4460" s="1">
        <v>42919</v>
      </c>
      <c r="G4460" s="1">
        <v>42925</v>
      </c>
      <c r="H4460">
        <v>0</v>
      </c>
      <c r="I4460" t="str">
        <f>IF(COUNTIF(Products!$A$2:$A$8,C4460)=0,C4460,"")</f>
        <v/>
      </c>
      <c r="J4460">
        <f>IF(OR(E4460="Prospecting",E4460="Engaging"),VLOOKUP(C4460,Products!$A$2:$C$8,3,FALSE),0)</f>
        <v>0</v>
      </c>
    </row>
    <row r="4461" spans="1:10" x14ac:dyDescent="0.25">
      <c r="A4461" t="s">
        <v>4628</v>
      </c>
      <c r="B4461" t="s">
        <v>137</v>
      </c>
      <c r="C4461" t="s">
        <v>120</v>
      </c>
      <c r="D4461" t="s">
        <v>28</v>
      </c>
      <c r="E4461" t="s">
        <v>138</v>
      </c>
      <c r="F4461" s="1">
        <v>42919</v>
      </c>
      <c r="G4461" s="1">
        <v>42984</v>
      </c>
      <c r="H4461">
        <v>376</v>
      </c>
      <c r="I4461" t="str">
        <f>IF(COUNTIF(Products!$A$2:$A$8,C4461)=0,C4461,"")</f>
        <v/>
      </c>
      <c r="J4461">
        <f>IF(OR(E4461="Prospecting",E4461="Engaging"),VLOOKUP(C4461,Products!$A$2:$C$8,3,FALSE),0)</f>
        <v>0</v>
      </c>
    </row>
    <row r="4462" spans="1:10" x14ac:dyDescent="0.25">
      <c r="A4462" t="s">
        <v>4629</v>
      </c>
      <c r="B4462" t="s">
        <v>169</v>
      </c>
      <c r="C4462" t="s">
        <v>120</v>
      </c>
      <c r="D4462" t="s">
        <v>103</v>
      </c>
      <c r="E4462" t="s">
        <v>138</v>
      </c>
      <c r="F4462" s="1">
        <v>42919</v>
      </c>
      <c r="G4462" s="1">
        <v>43041</v>
      </c>
      <c r="H4462">
        <v>511</v>
      </c>
      <c r="I4462" t="str">
        <f>IF(COUNTIF(Products!$A$2:$A$8,C4462)=0,C4462,"")</f>
        <v/>
      </c>
      <c r="J4462">
        <f>IF(OR(E4462="Prospecting",E4462="Engaging"),VLOOKUP(C4462,Products!$A$2:$C$8,3,FALSE),0)</f>
        <v>0</v>
      </c>
    </row>
    <row r="4463" spans="1:10" x14ac:dyDescent="0.25">
      <c r="A4463" t="s">
        <v>4630</v>
      </c>
      <c r="B4463" t="s">
        <v>148</v>
      </c>
      <c r="C4463" t="s">
        <v>120</v>
      </c>
      <c r="D4463" t="s">
        <v>72</v>
      </c>
      <c r="E4463" t="s">
        <v>138</v>
      </c>
      <c r="F4463" s="1">
        <v>42919</v>
      </c>
      <c r="G4463" s="1">
        <v>42930</v>
      </c>
      <c r="H4463">
        <v>491</v>
      </c>
      <c r="I4463" t="str">
        <f>IF(COUNTIF(Products!$A$2:$A$8,C4463)=0,C4463,"")</f>
        <v/>
      </c>
      <c r="J4463">
        <f>IF(OR(E4463="Prospecting",E4463="Engaging"),VLOOKUP(C4463,Products!$A$2:$C$8,3,FALSE),0)</f>
        <v>0</v>
      </c>
    </row>
    <row r="4464" spans="1:10" x14ac:dyDescent="0.25">
      <c r="A4464" t="s">
        <v>4631</v>
      </c>
      <c r="B4464" t="s">
        <v>177</v>
      </c>
      <c r="C4464" t="s">
        <v>123</v>
      </c>
      <c r="D4464" t="s">
        <v>37</v>
      </c>
      <c r="E4464" t="s">
        <v>159</v>
      </c>
      <c r="F4464" s="1">
        <v>42919</v>
      </c>
      <c r="G4464" s="1">
        <v>42932</v>
      </c>
      <c r="H4464">
        <v>0</v>
      </c>
      <c r="I4464" t="str">
        <f>IF(COUNTIF(Products!$A$2:$A$8,C4464)=0,C4464,"")</f>
        <v/>
      </c>
      <c r="J4464">
        <f>IF(OR(E4464="Prospecting",E4464="Engaging"),VLOOKUP(C4464,Products!$A$2:$C$8,3,FALSE),0)</f>
        <v>0</v>
      </c>
    </row>
    <row r="4465" spans="1:10" x14ac:dyDescent="0.25">
      <c r="A4465" t="s">
        <v>4632</v>
      </c>
      <c r="B4465" t="s">
        <v>196</v>
      </c>
      <c r="C4465" t="s">
        <v>125</v>
      </c>
      <c r="D4465" t="s">
        <v>10</v>
      </c>
      <c r="E4465" t="s">
        <v>159</v>
      </c>
      <c r="F4465" s="1">
        <v>42919</v>
      </c>
      <c r="G4465" s="1">
        <v>42928</v>
      </c>
      <c r="H4465">
        <v>0</v>
      </c>
      <c r="I4465" t="str">
        <f>IF(COUNTIF(Products!$A$2:$A$8,C4465)=0,C4465,"")</f>
        <v/>
      </c>
      <c r="J4465">
        <f>IF(OR(E4465="Prospecting",E4465="Engaging"),VLOOKUP(C4465,Products!$A$2:$C$8,3,FALSE),0)</f>
        <v>0</v>
      </c>
    </row>
    <row r="4466" spans="1:10" x14ac:dyDescent="0.25">
      <c r="A4466" t="s">
        <v>4633</v>
      </c>
      <c r="B4466" t="s">
        <v>196</v>
      </c>
      <c r="C4466" t="s">
        <v>125</v>
      </c>
      <c r="D4466" t="s">
        <v>35</v>
      </c>
      <c r="E4466" t="s">
        <v>138</v>
      </c>
      <c r="F4466" s="1">
        <v>42919</v>
      </c>
      <c r="G4466" s="1">
        <v>42985</v>
      </c>
      <c r="H4466">
        <v>3101</v>
      </c>
      <c r="I4466" t="str">
        <f>IF(COUNTIF(Products!$A$2:$A$8,C4466)=0,C4466,"")</f>
        <v/>
      </c>
      <c r="J4466">
        <f>IF(OR(E4466="Prospecting",E4466="Engaging"),VLOOKUP(C4466,Products!$A$2:$C$8,3,FALSE),0)</f>
        <v>0</v>
      </c>
    </row>
    <row r="4467" spans="1:10" x14ac:dyDescent="0.25">
      <c r="A4467" t="s">
        <v>4634</v>
      </c>
      <c r="B4467" t="s">
        <v>144</v>
      </c>
      <c r="C4467" t="s">
        <v>123</v>
      </c>
      <c r="D4467" t="s">
        <v>109</v>
      </c>
      <c r="E4467" t="s">
        <v>159</v>
      </c>
      <c r="F4467" s="1">
        <v>42919</v>
      </c>
      <c r="G4467" s="1">
        <v>42969</v>
      </c>
      <c r="H4467">
        <v>0</v>
      </c>
      <c r="I4467" t="str">
        <f>IF(COUNTIF(Products!$A$2:$A$8,C4467)=0,C4467,"")</f>
        <v/>
      </c>
      <c r="J4467">
        <f>IF(OR(E4467="Prospecting",E4467="Engaging"),VLOOKUP(C4467,Products!$A$2:$C$8,3,FALSE),0)</f>
        <v>0</v>
      </c>
    </row>
    <row r="4468" spans="1:10" x14ac:dyDescent="0.25">
      <c r="A4468" t="s">
        <v>4635</v>
      </c>
      <c r="B4468" t="s">
        <v>146</v>
      </c>
      <c r="C4468" t="s">
        <v>126</v>
      </c>
      <c r="D4468" t="s">
        <v>22</v>
      </c>
      <c r="E4468" t="s">
        <v>159</v>
      </c>
      <c r="F4468" s="1">
        <v>42920</v>
      </c>
      <c r="G4468" s="1">
        <v>42930</v>
      </c>
      <c r="H4468">
        <v>0</v>
      </c>
      <c r="I4468" t="str">
        <f>IF(COUNTIF(Products!$A$2:$A$8,C4468)=0,C4468,"")</f>
        <v/>
      </c>
      <c r="J4468">
        <f>IF(OR(E4468="Prospecting",E4468="Engaging"),VLOOKUP(C4468,Products!$A$2:$C$8,3,FALSE),0)</f>
        <v>0</v>
      </c>
    </row>
    <row r="4469" spans="1:10" x14ac:dyDescent="0.25">
      <c r="A4469" t="s">
        <v>4636</v>
      </c>
      <c r="B4469" t="s">
        <v>146</v>
      </c>
      <c r="C4469" t="s">
        <v>123</v>
      </c>
      <c r="D4469" t="s">
        <v>36</v>
      </c>
      <c r="E4469" t="s">
        <v>138</v>
      </c>
      <c r="F4469" s="1">
        <v>42920</v>
      </c>
      <c r="G4469" s="1">
        <v>42922</v>
      </c>
      <c r="H4469">
        <v>56</v>
      </c>
      <c r="I4469" t="str">
        <f>IF(COUNTIF(Products!$A$2:$A$8,C4469)=0,C4469,"")</f>
        <v/>
      </c>
      <c r="J4469">
        <f>IF(OR(E4469="Prospecting",E4469="Engaging"),VLOOKUP(C4469,Products!$A$2:$C$8,3,FALSE),0)</f>
        <v>0</v>
      </c>
    </row>
    <row r="4470" spans="1:10" x14ac:dyDescent="0.25">
      <c r="A4470" t="s">
        <v>4637</v>
      </c>
      <c r="B4470" t="s">
        <v>207</v>
      </c>
      <c r="C4470" t="s">
        <v>126</v>
      </c>
      <c r="D4470" t="s">
        <v>91</v>
      </c>
      <c r="E4470" t="s">
        <v>155</v>
      </c>
      <c r="F4470" s="1">
        <v>42920</v>
      </c>
      <c r="I4470" t="str">
        <f>IF(COUNTIF(Products!$A$2:$A$8,C4470)=0,C4470,"")</f>
        <v/>
      </c>
      <c r="J4470">
        <f>IF(OR(E4470="Prospecting",E4470="Engaging"),VLOOKUP(C4470,Products!$A$2:$C$8,3,FALSE),0)</f>
        <v>5482</v>
      </c>
    </row>
    <row r="4471" spans="1:10" x14ac:dyDescent="0.25">
      <c r="A4471" t="s">
        <v>4638</v>
      </c>
      <c r="B4471" t="s">
        <v>207</v>
      </c>
      <c r="C4471" t="s">
        <v>120</v>
      </c>
      <c r="D4471" t="s">
        <v>81</v>
      </c>
      <c r="E4471" t="s">
        <v>159</v>
      </c>
      <c r="F4471" s="1">
        <v>42920</v>
      </c>
      <c r="G4471" s="1">
        <v>42989</v>
      </c>
      <c r="H4471">
        <v>0</v>
      </c>
      <c r="I4471" t="str">
        <f>IF(COUNTIF(Products!$A$2:$A$8,C4471)=0,C4471,"")</f>
        <v/>
      </c>
      <c r="J4471">
        <f>IF(OR(E4471="Prospecting",E4471="Engaging"),VLOOKUP(C4471,Products!$A$2:$C$8,3,FALSE),0)</f>
        <v>0</v>
      </c>
    </row>
    <row r="4472" spans="1:10" x14ac:dyDescent="0.25">
      <c r="A4472" t="s">
        <v>4639</v>
      </c>
      <c r="B4472" t="s">
        <v>140</v>
      </c>
      <c r="C4472" t="s">
        <v>127</v>
      </c>
      <c r="D4472" t="s">
        <v>32</v>
      </c>
      <c r="E4472" t="s">
        <v>159</v>
      </c>
      <c r="F4472" s="1">
        <v>42920</v>
      </c>
      <c r="G4472" s="1">
        <v>42928</v>
      </c>
      <c r="H4472">
        <v>0</v>
      </c>
      <c r="I4472" t="str">
        <f>IF(COUNTIF(Products!$A$2:$A$8,C4472)=0,C4472,"")</f>
        <v/>
      </c>
      <c r="J4472">
        <f>IF(OR(E4472="Prospecting",E4472="Engaging"),VLOOKUP(C4472,Products!$A$2:$C$8,3,FALSE),0)</f>
        <v>0</v>
      </c>
    </row>
    <row r="4473" spans="1:10" x14ac:dyDescent="0.25">
      <c r="A4473" t="s">
        <v>4640</v>
      </c>
      <c r="B4473" t="s">
        <v>140</v>
      </c>
      <c r="C4473" t="s">
        <v>127</v>
      </c>
      <c r="D4473" t="s">
        <v>88</v>
      </c>
      <c r="E4473" t="s">
        <v>138</v>
      </c>
      <c r="F4473" s="1">
        <v>42920</v>
      </c>
      <c r="G4473" s="1">
        <v>42983</v>
      </c>
      <c r="H4473">
        <v>1300</v>
      </c>
      <c r="I4473" t="str">
        <f>IF(COUNTIF(Products!$A$2:$A$8,C4473)=0,C4473,"")</f>
        <v/>
      </c>
      <c r="J4473">
        <f>IF(OR(E4473="Prospecting",E4473="Engaging"),VLOOKUP(C4473,Products!$A$2:$C$8,3,FALSE),0)</f>
        <v>0</v>
      </c>
    </row>
    <row r="4474" spans="1:10" x14ac:dyDescent="0.25">
      <c r="A4474" t="s">
        <v>4641</v>
      </c>
      <c r="B4474" t="s">
        <v>140</v>
      </c>
      <c r="C4474" t="s">
        <v>122</v>
      </c>
      <c r="D4474" t="s">
        <v>89</v>
      </c>
      <c r="E4474" t="s">
        <v>138</v>
      </c>
      <c r="F4474" s="1">
        <v>42920</v>
      </c>
      <c r="G4474" s="1">
        <v>42921</v>
      </c>
      <c r="H4474">
        <v>4544</v>
      </c>
      <c r="I4474" t="str">
        <f>IF(COUNTIF(Products!$A$2:$A$8,C4474)=0,C4474,"")</f>
        <v/>
      </c>
      <c r="J4474">
        <f>IF(OR(E4474="Prospecting",E4474="Engaging"),VLOOKUP(C4474,Products!$A$2:$C$8,3,FALSE),0)</f>
        <v>0</v>
      </c>
    </row>
    <row r="4475" spans="1:10" x14ac:dyDescent="0.25">
      <c r="A4475" t="s">
        <v>4642</v>
      </c>
      <c r="B4475" t="s">
        <v>224</v>
      </c>
      <c r="C4475" t="s">
        <v>120</v>
      </c>
      <c r="D4475" t="s">
        <v>73</v>
      </c>
      <c r="E4475" t="s">
        <v>159</v>
      </c>
      <c r="F4475" s="1">
        <v>42920</v>
      </c>
      <c r="G4475" s="1">
        <v>42921</v>
      </c>
      <c r="H4475">
        <v>0</v>
      </c>
      <c r="I4475" t="str">
        <f>IF(COUNTIF(Products!$A$2:$A$8,C4475)=0,C4475,"")</f>
        <v/>
      </c>
      <c r="J4475">
        <f>IF(OR(E4475="Prospecting",E4475="Engaging"),VLOOKUP(C4475,Products!$A$2:$C$8,3,FALSE),0)</f>
        <v>0</v>
      </c>
    </row>
    <row r="4476" spans="1:10" x14ac:dyDescent="0.25">
      <c r="A4476" t="s">
        <v>4643</v>
      </c>
      <c r="B4476" t="s">
        <v>224</v>
      </c>
      <c r="C4476" t="s">
        <v>120</v>
      </c>
      <c r="D4476" t="s">
        <v>84</v>
      </c>
      <c r="E4476" t="s">
        <v>159</v>
      </c>
      <c r="F4476" s="1">
        <v>42920</v>
      </c>
      <c r="G4476" s="1">
        <v>43004</v>
      </c>
      <c r="H4476">
        <v>0</v>
      </c>
      <c r="I4476" t="str">
        <f>IF(COUNTIF(Products!$A$2:$A$8,C4476)=0,C4476,"")</f>
        <v/>
      </c>
      <c r="J4476">
        <f>IF(OR(E4476="Prospecting",E4476="Engaging"),VLOOKUP(C4476,Products!$A$2:$C$8,3,FALSE),0)</f>
        <v>0</v>
      </c>
    </row>
    <row r="4477" spans="1:10" x14ac:dyDescent="0.25">
      <c r="A4477" t="s">
        <v>4644</v>
      </c>
      <c r="B4477" t="s">
        <v>224</v>
      </c>
      <c r="C4477" t="s">
        <v>120</v>
      </c>
      <c r="D4477" t="s">
        <v>10</v>
      </c>
      <c r="E4477" t="s">
        <v>138</v>
      </c>
      <c r="F4477" s="1">
        <v>42920</v>
      </c>
      <c r="G4477" s="1">
        <v>43001</v>
      </c>
      <c r="H4477">
        <v>531</v>
      </c>
      <c r="I4477" t="str">
        <f>IF(COUNTIF(Products!$A$2:$A$8,C4477)=0,C4477,"")</f>
        <v/>
      </c>
      <c r="J4477">
        <f>IF(OR(E4477="Prospecting",E4477="Engaging"),VLOOKUP(C4477,Products!$A$2:$C$8,3,FALSE),0)</f>
        <v>0</v>
      </c>
    </row>
    <row r="4478" spans="1:10" x14ac:dyDescent="0.25">
      <c r="A4478" t="s">
        <v>4645</v>
      </c>
      <c r="B4478" t="s">
        <v>224</v>
      </c>
      <c r="C4478" t="s">
        <v>122</v>
      </c>
      <c r="D4478" t="s">
        <v>20</v>
      </c>
      <c r="E4478" t="s">
        <v>138</v>
      </c>
      <c r="F4478" s="1">
        <v>42920</v>
      </c>
      <c r="G4478" s="1">
        <v>42929</v>
      </c>
      <c r="H4478">
        <v>4669</v>
      </c>
      <c r="I4478" t="str">
        <f>IF(COUNTIF(Products!$A$2:$A$8,C4478)=0,C4478,"")</f>
        <v/>
      </c>
      <c r="J4478">
        <f>IF(OR(E4478="Prospecting",E4478="Engaging"),VLOOKUP(C4478,Products!$A$2:$C$8,3,FALSE),0)</f>
        <v>0</v>
      </c>
    </row>
    <row r="4479" spans="1:10" x14ac:dyDescent="0.25">
      <c r="A4479" t="s">
        <v>4646</v>
      </c>
      <c r="B4479" t="s">
        <v>158</v>
      </c>
      <c r="C4479" t="s">
        <v>123</v>
      </c>
      <c r="D4479" t="s">
        <v>32</v>
      </c>
      <c r="E4479" t="s">
        <v>159</v>
      </c>
      <c r="F4479" s="1">
        <v>42920</v>
      </c>
      <c r="G4479" s="1">
        <v>43042</v>
      </c>
      <c r="H4479">
        <v>0</v>
      </c>
      <c r="I4479" t="str">
        <f>IF(COUNTIF(Products!$A$2:$A$8,C4479)=0,C4479,"")</f>
        <v/>
      </c>
      <c r="J4479">
        <f>IF(OR(E4479="Prospecting",E4479="Engaging"),VLOOKUP(C4479,Products!$A$2:$C$8,3,FALSE),0)</f>
        <v>0</v>
      </c>
    </row>
    <row r="4480" spans="1:10" x14ac:dyDescent="0.25">
      <c r="A4480" t="s">
        <v>4647</v>
      </c>
      <c r="B4480" t="s">
        <v>180</v>
      </c>
      <c r="C4480" t="s">
        <v>122</v>
      </c>
      <c r="D4480" t="s">
        <v>56</v>
      </c>
      <c r="E4480" t="s">
        <v>159</v>
      </c>
      <c r="F4480" s="1">
        <v>42920</v>
      </c>
      <c r="G4480" s="1">
        <v>42922</v>
      </c>
      <c r="H4480">
        <v>0</v>
      </c>
      <c r="I4480" t="str">
        <f>IF(COUNTIF(Products!$A$2:$A$8,C4480)=0,C4480,"")</f>
        <v/>
      </c>
      <c r="J4480">
        <f>IF(OR(E4480="Prospecting",E4480="Engaging"),VLOOKUP(C4480,Products!$A$2:$C$8,3,FALSE),0)</f>
        <v>0</v>
      </c>
    </row>
    <row r="4481" spans="1:10" x14ac:dyDescent="0.25">
      <c r="A4481" t="s">
        <v>4648</v>
      </c>
      <c r="B4481" t="s">
        <v>191</v>
      </c>
      <c r="C4481" t="s">
        <v>125</v>
      </c>
      <c r="E4481" t="s">
        <v>155</v>
      </c>
      <c r="F4481" s="1">
        <v>42920</v>
      </c>
      <c r="I4481" t="str">
        <f>IF(COUNTIF(Products!$A$2:$A$8,C4481)=0,C4481,"")</f>
        <v/>
      </c>
      <c r="J4481">
        <f>IF(OR(E4481="Prospecting",E4481="Engaging"),VLOOKUP(C4481,Products!$A$2:$C$8,3,FALSE),0)</f>
        <v>3393</v>
      </c>
    </row>
    <row r="4482" spans="1:10" x14ac:dyDescent="0.25">
      <c r="A4482" t="s">
        <v>4649</v>
      </c>
      <c r="B4482" t="s">
        <v>191</v>
      </c>
      <c r="C4482" t="s">
        <v>120</v>
      </c>
      <c r="D4482" t="s">
        <v>29</v>
      </c>
      <c r="E4482" t="s">
        <v>159</v>
      </c>
      <c r="F4482" s="1">
        <v>42920</v>
      </c>
      <c r="G4482" s="1">
        <v>42927</v>
      </c>
      <c r="H4482">
        <v>0</v>
      </c>
      <c r="I4482" t="str">
        <f>IF(COUNTIF(Products!$A$2:$A$8,C4482)=0,C4482,"")</f>
        <v/>
      </c>
      <c r="J4482">
        <f>IF(OR(E4482="Prospecting",E4482="Engaging"),VLOOKUP(C4482,Products!$A$2:$C$8,3,FALSE),0)</f>
        <v>0</v>
      </c>
    </row>
    <row r="4483" spans="1:10" x14ac:dyDescent="0.25">
      <c r="A4483" t="s">
        <v>4650</v>
      </c>
      <c r="B4483" t="s">
        <v>191</v>
      </c>
      <c r="C4483" t="s">
        <v>127</v>
      </c>
      <c r="D4483" t="s">
        <v>57</v>
      </c>
      <c r="E4483" t="s">
        <v>159</v>
      </c>
      <c r="F4483" s="1">
        <v>42920</v>
      </c>
      <c r="G4483" s="1">
        <v>42926</v>
      </c>
      <c r="H4483">
        <v>0</v>
      </c>
      <c r="I4483" t="str">
        <f>IF(COUNTIF(Products!$A$2:$A$8,C4483)=0,C4483,"")</f>
        <v/>
      </c>
      <c r="J4483">
        <f>IF(OR(E4483="Prospecting",E4483="Engaging"),VLOOKUP(C4483,Products!$A$2:$C$8,3,FALSE),0)</f>
        <v>0</v>
      </c>
    </row>
    <row r="4484" spans="1:10" x14ac:dyDescent="0.25">
      <c r="A4484" t="s">
        <v>4651</v>
      </c>
      <c r="B4484" t="s">
        <v>150</v>
      </c>
      <c r="C4484" t="s">
        <v>120</v>
      </c>
      <c r="D4484" t="s">
        <v>82</v>
      </c>
      <c r="E4484" t="s">
        <v>159</v>
      </c>
      <c r="F4484" s="1">
        <v>42920</v>
      </c>
      <c r="G4484" s="1">
        <v>42997</v>
      </c>
      <c r="H4484">
        <v>0</v>
      </c>
      <c r="I4484" t="str">
        <f>IF(COUNTIF(Products!$A$2:$A$8,C4484)=0,C4484,"")</f>
        <v/>
      </c>
      <c r="J4484">
        <f>IF(OR(E4484="Prospecting",E4484="Engaging"),VLOOKUP(C4484,Products!$A$2:$C$8,3,FALSE),0)</f>
        <v>0</v>
      </c>
    </row>
    <row r="4485" spans="1:10" x14ac:dyDescent="0.25">
      <c r="A4485" t="s">
        <v>4652</v>
      </c>
      <c r="B4485" t="s">
        <v>162</v>
      </c>
      <c r="C4485" t="s">
        <v>123</v>
      </c>
      <c r="E4485" t="s">
        <v>155</v>
      </c>
      <c r="F4485" s="1">
        <v>42920</v>
      </c>
      <c r="I4485" t="str">
        <f>IF(COUNTIF(Products!$A$2:$A$8,C4485)=0,C4485,"")</f>
        <v/>
      </c>
      <c r="J4485">
        <f>IF(OR(E4485="Prospecting",E4485="Engaging"),VLOOKUP(C4485,Products!$A$2:$C$8,3,FALSE),0)</f>
        <v>55</v>
      </c>
    </row>
    <row r="4486" spans="1:10" x14ac:dyDescent="0.25">
      <c r="A4486" t="s">
        <v>4653</v>
      </c>
      <c r="B4486" t="s">
        <v>137</v>
      </c>
      <c r="C4486" t="s">
        <v>123</v>
      </c>
      <c r="D4486" t="s">
        <v>61</v>
      </c>
      <c r="E4486" t="s">
        <v>159</v>
      </c>
      <c r="F4486" s="1">
        <v>42920</v>
      </c>
      <c r="G4486" s="1">
        <v>42927</v>
      </c>
      <c r="H4486">
        <v>0</v>
      </c>
      <c r="I4486" t="str">
        <f>IF(COUNTIF(Products!$A$2:$A$8,C4486)=0,C4486,"")</f>
        <v/>
      </c>
      <c r="J4486">
        <f>IF(OR(E4486="Prospecting",E4486="Engaging"),VLOOKUP(C4486,Products!$A$2:$C$8,3,FALSE),0)</f>
        <v>0</v>
      </c>
    </row>
    <row r="4487" spans="1:10" x14ac:dyDescent="0.25">
      <c r="A4487" t="s">
        <v>4654</v>
      </c>
      <c r="B4487" t="s">
        <v>137</v>
      </c>
      <c r="C4487" t="s">
        <v>120</v>
      </c>
      <c r="D4487" t="s">
        <v>33</v>
      </c>
      <c r="E4487" t="s">
        <v>138</v>
      </c>
      <c r="F4487" s="1">
        <v>42920</v>
      </c>
      <c r="G4487" s="1">
        <v>43003</v>
      </c>
      <c r="H4487">
        <v>475</v>
      </c>
      <c r="I4487" t="str">
        <f>IF(COUNTIF(Products!$A$2:$A$8,C4487)=0,C4487,"")</f>
        <v/>
      </c>
      <c r="J4487">
        <f>IF(OR(E4487="Prospecting",E4487="Engaging"),VLOOKUP(C4487,Products!$A$2:$C$8,3,FALSE),0)</f>
        <v>0</v>
      </c>
    </row>
    <row r="4488" spans="1:10" x14ac:dyDescent="0.25">
      <c r="A4488" t="s">
        <v>4655</v>
      </c>
      <c r="B4488" t="s">
        <v>137</v>
      </c>
      <c r="C4488" t="s">
        <v>127</v>
      </c>
      <c r="D4488" t="s">
        <v>88</v>
      </c>
      <c r="E4488" t="s">
        <v>138</v>
      </c>
      <c r="F4488" s="1">
        <v>42920</v>
      </c>
      <c r="G4488" s="1">
        <v>42921</v>
      </c>
      <c r="H4488">
        <v>1102</v>
      </c>
      <c r="I4488" t="str">
        <f>IF(COUNTIF(Products!$A$2:$A$8,C4488)=0,C4488,"")</f>
        <v/>
      </c>
      <c r="J4488">
        <f>IF(OR(E4488="Prospecting",E4488="Engaging"),VLOOKUP(C4488,Products!$A$2:$C$8,3,FALSE),0)</f>
        <v>0</v>
      </c>
    </row>
    <row r="4489" spans="1:10" x14ac:dyDescent="0.25">
      <c r="A4489" t="s">
        <v>4656</v>
      </c>
      <c r="B4489" t="s">
        <v>137</v>
      </c>
      <c r="C4489" t="s">
        <v>123</v>
      </c>
      <c r="D4489" t="s">
        <v>116</v>
      </c>
      <c r="E4489" t="s">
        <v>138</v>
      </c>
      <c r="F4489" s="1">
        <v>42920</v>
      </c>
      <c r="G4489" s="1">
        <v>42925</v>
      </c>
      <c r="H4489">
        <v>55</v>
      </c>
      <c r="I4489" t="str">
        <f>IF(COUNTIF(Products!$A$2:$A$8,C4489)=0,C4489,"")</f>
        <v/>
      </c>
      <c r="J4489">
        <f>IF(OR(E4489="Prospecting",E4489="Engaging"),VLOOKUP(C4489,Products!$A$2:$C$8,3,FALSE),0)</f>
        <v>0</v>
      </c>
    </row>
    <row r="4490" spans="1:10" x14ac:dyDescent="0.25">
      <c r="A4490" t="s">
        <v>4657</v>
      </c>
      <c r="B4490" t="s">
        <v>152</v>
      </c>
      <c r="C4490" t="s">
        <v>120</v>
      </c>
      <c r="D4490" t="s">
        <v>104</v>
      </c>
      <c r="E4490" t="s">
        <v>159</v>
      </c>
      <c r="F4490" s="1">
        <v>42920</v>
      </c>
      <c r="G4490" s="1">
        <v>42931</v>
      </c>
      <c r="H4490">
        <v>0</v>
      </c>
      <c r="I4490" t="str">
        <f>IF(COUNTIF(Products!$A$2:$A$8,C4490)=0,C4490,"")</f>
        <v/>
      </c>
      <c r="J4490">
        <f>IF(OR(E4490="Prospecting",E4490="Engaging"),VLOOKUP(C4490,Products!$A$2:$C$8,3,FALSE),0)</f>
        <v>0</v>
      </c>
    </row>
    <row r="4491" spans="1:10" x14ac:dyDescent="0.25">
      <c r="A4491" t="s">
        <v>4658</v>
      </c>
      <c r="B4491" t="s">
        <v>169</v>
      </c>
      <c r="C4491" t="s">
        <v>123</v>
      </c>
      <c r="D4491" t="s">
        <v>91</v>
      </c>
      <c r="E4491" t="s">
        <v>159</v>
      </c>
      <c r="F4491" s="1">
        <v>42920</v>
      </c>
      <c r="G4491" s="1">
        <v>42922</v>
      </c>
      <c r="H4491">
        <v>0</v>
      </c>
      <c r="I4491" t="str">
        <f>IF(COUNTIF(Products!$A$2:$A$8,C4491)=0,C4491,"")</f>
        <v/>
      </c>
      <c r="J4491">
        <f>IF(OR(E4491="Prospecting",E4491="Engaging"),VLOOKUP(C4491,Products!$A$2:$C$8,3,FALSE),0)</f>
        <v>0</v>
      </c>
    </row>
    <row r="4492" spans="1:10" x14ac:dyDescent="0.25">
      <c r="A4492" t="s">
        <v>4659</v>
      </c>
      <c r="B4492" t="s">
        <v>169</v>
      </c>
      <c r="C4492" t="s">
        <v>123</v>
      </c>
      <c r="D4492" t="s">
        <v>22</v>
      </c>
      <c r="E4492" t="s">
        <v>138</v>
      </c>
      <c r="F4492" s="1">
        <v>42920</v>
      </c>
      <c r="G4492" s="1">
        <v>42921</v>
      </c>
      <c r="H4492">
        <v>63</v>
      </c>
      <c r="I4492" t="str">
        <f>IF(COUNTIF(Products!$A$2:$A$8,C4492)=0,C4492,"")</f>
        <v/>
      </c>
      <c r="J4492">
        <f>IF(OR(E4492="Prospecting",E4492="Engaging"),VLOOKUP(C4492,Products!$A$2:$C$8,3,FALSE),0)</f>
        <v>0</v>
      </c>
    </row>
    <row r="4493" spans="1:10" x14ac:dyDescent="0.25">
      <c r="A4493" t="s">
        <v>4660</v>
      </c>
      <c r="B4493" t="s">
        <v>148</v>
      </c>
      <c r="C4493" t="s">
        <v>125</v>
      </c>
      <c r="D4493" t="s">
        <v>67</v>
      </c>
      <c r="E4493" t="s">
        <v>159</v>
      </c>
      <c r="F4493" s="1">
        <v>42920</v>
      </c>
      <c r="G4493" s="1">
        <v>42928</v>
      </c>
      <c r="H4493">
        <v>0</v>
      </c>
      <c r="I4493" t="str">
        <f>IF(COUNTIF(Products!$A$2:$A$8,C4493)=0,C4493,"")</f>
        <v/>
      </c>
      <c r="J4493">
        <f>IF(OR(E4493="Prospecting",E4493="Engaging"),VLOOKUP(C4493,Products!$A$2:$C$8,3,FALSE),0)</f>
        <v>0</v>
      </c>
    </row>
    <row r="4494" spans="1:10" x14ac:dyDescent="0.25">
      <c r="A4494" t="s">
        <v>4661</v>
      </c>
      <c r="B4494" t="s">
        <v>148</v>
      </c>
      <c r="C4494" t="s">
        <v>126</v>
      </c>
      <c r="D4494" t="s">
        <v>83</v>
      </c>
      <c r="E4494" t="s">
        <v>138</v>
      </c>
      <c r="F4494" s="1">
        <v>42920</v>
      </c>
      <c r="G4494" s="1">
        <v>42930</v>
      </c>
      <c r="H4494">
        <v>5971</v>
      </c>
      <c r="I4494" t="str">
        <f>IF(COUNTIF(Products!$A$2:$A$8,C4494)=0,C4494,"")</f>
        <v/>
      </c>
      <c r="J4494">
        <f>IF(OR(E4494="Prospecting",E4494="Engaging"),VLOOKUP(C4494,Products!$A$2:$C$8,3,FALSE),0)</f>
        <v>0</v>
      </c>
    </row>
    <row r="4495" spans="1:10" x14ac:dyDescent="0.25">
      <c r="A4495" t="s">
        <v>4662</v>
      </c>
      <c r="B4495" t="s">
        <v>196</v>
      </c>
      <c r="C4495" t="s">
        <v>126</v>
      </c>
      <c r="D4495" t="s">
        <v>48</v>
      </c>
      <c r="E4495" t="s">
        <v>138</v>
      </c>
      <c r="F4495" s="1">
        <v>42920</v>
      </c>
      <c r="G4495" s="1">
        <v>42974</v>
      </c>
      <c r="H4495">
        <v>5710</v>
      </c>
      <c r="I4495" t="str">
        <f>IF(COUNTIF(Products!$A$2:$A$8,C4495)=0,C4495,"")</f>
        <v/>
      </c>
      <c r="J4495">
        <f>IF(OR(E4495="Prospecting",E4495="Engaging"),VLOOKUP(C4495,Products!$A$2:$C$8,3,FALSE),0)</f>
        <v>0</v>
      </c>
    </row>
    <row r="4496" spans="1:10" x14ac:dyDescent="0.25">
      <c r="A4496" t="s">
        <v>4663</v>
      </c>
      <c r="B4496" t="s">
        <v>144</v>
      </c>
      <c r="C4496" t="s">
        <v>122</v>
      </c>
      <c r="D4496" t="s">
        <v>87</v>
      </c>
      <c r="E4496" t="s">
        <v>159</v>
      </c>
      <c r="F4496" s="1">
        <v>42920</v>
      </c>
      <c r="G4496" s="1">
        <v>42925</v>
      </c>
      <c r="H4496">
        <v>0</v>
      </c>
      <c r="I4496" t="str">
        <f>IF(COUNTIF(Products!$A$2:$A$8,C4496)=0,C4496,"")</f>
        <v/>
      </c>
      <c r="J4496">
        <f>IF(OR(E4496="Prospecting",E4496="Engaging"),VLOOKUP(C4496,Products!$A$2:$C$8,3,FALSE),0)</f>
        <v>0</v>
      </c>
    </row>
    <row r="4497" spans="1:10" x14ac:dyDescent="0.25">
      <c r="A4497" t="s">
        <v>4664</v>
      </c>
      <c r="B4497" t="s">
        <v>144</v>
      </c>
      <c r="C4497" t="s">
        <v>123</v>
      </c>
      <c r="D4497" t="s">
        <v>82</v>
      </c>
      <c r="E4497" t="s">
        <v>138</v>
      </c>
      <c r="F4497" s="1">
        <v>42920</v>
      </c>
      <c r="G4497" s="1">
        <v>42999</v>
      </c>
      <c r="H4497">
        <v>52</v>
      </c>
      <c r="I4497" t="str">
        <f>IF(COUNTIF(Products!$A$2:$A$8,C4497)=0,C4497,"")</f>
        <v/>
      </c>
      <c r="J4497">
        <f>IF(OR(E4497="Prospecting",E4497="Engaging"),VLOOKUP(C4497,Products!$A$2:$C$8,3,FALSE),0)</f>
        <v>0</v>
      </c>
    </row>
    <row r="4498" spans="1:10" x14ac:dyDescent="0.25">
      <c r="A4498" t="s">
        <v>4665</v>
      </c>
      <c r="B4498" t="s">
        <v>146</v>
      </c>
      <c r="C4498" t="s">
        <v>120</v>
      </c>
      <c r="D4498" t="s">
        <v>33</v>
      </c>
      <c r="E4498" t="s">
        <v>138</v>
      </c>
      <c r="F4498" s="1">
        <v>42921</v>
      </c>
      <c r="G4498" s="1">
        <v>42975</v>
      </c>
      <c r="H4498">
        <v>522</v>
      </c>
      <c r="I4498" t="str">
        <f>IF(COUNTIF(Products!$A$2:$A$8,C4498)=0,C4498,"")</f>
        <v/>
      </c>
      <c r="J4498">
        <f>IF(OR(E4498="Prospecting",E4498="Engaging"),VLOOKUP(C4498,Products!$A$2:$C$8,3,FALSE),0)</f>
        <v>0</v>
      </c>
    </row>
    <row r="4499" spans="1:10" x14ac:dyDescent="0.25">
      <c r="A4499" t="s">
        <v>4666</v>
      </c>
      <c r="B4499" t="s">
        <v>207</v>
      </c>
      <c r="C4499" t="s">
        <v>120</v>
      </c>
      <c r="E4499" t="s">
        <v>155</v>
      </c>
      <c r="F4499" s="1">
        <v>42921</v>
      </c>
      <c r="I4499" t="str">
        <f>IF(COUNTIF(Products!$A$2:$A$8,C4499)=0,C4499,"")</f>
        <v/>
      </c>
      <c r="J4499">
        <f>IF(OR(E4499="Prospecting",E4499="Engaging"),VLOOKUP(C4499,Products!$A$2:$C$8,3,FALSE),0)</f>
        <v>550</v>
      </c>
    </row>
    <row r="4500" spans="1:10" x14ac:dyDescent="0.25">
      <c r="A4500" t="s">
        <v>4667</v>
      </c>
      <c r="B4500" t="s">
        <v>207</v>
      </c>
      <c r="C4500" t="s">
        <v>127</v>
      </c>
      <c r="D4500" t="s">
        <v>65</v>
      </c>
      <c r="E4500" t="s">
        <v>159</v>
      </c>
      <c r="F4500" s="1">
        <v>42921</v>
      </c>
      <c r="G4500" s="1">
        <v>42928</v>
      </c>
      <c r="H4500">
        <v>0</v>
      </c>
      <c r="I4500" t="str">
        <f>IF(COUNTIF(Products!$A$2:$A$8,C4500)=0,C4500,"")</f>
        <v/>
      </c>
      <c r="J4500">
        <f>IF(OR(E4500="Prospecting",E4500="Engaging"),VLOOKUP(C4500,Products!$A$2:$C$8,3,FALSE),0)</f>
        <v>0</v>
      </c>
    </row>
    <row r="4501" spans="1:10" x14ac:dyDescent="0.25">
      <c r="A4501" t="s">
        <v>4668</v>
      </c>
      <c r="B4501" t="s">
        <v>207</v>
      </c>
      <c r="C4501" t="s">
        <v>126</v>
      </c>
      <c r="D4501" t="s">
        <v>111</v>
      </c>
      <c r="E4501" t="s">
        <v>159</v>
      </c>
      <c r="F4501" s="1">
        <v>42921</v>
      </c>
      <c r="G4501" s="1">
        <v>42929</v>
      </c>
      <c r="H4501">
        <v>0</v>
      </c>
      <c r="I4501" t="str">
        <f>IF(COUNTIF(Products!$A$2:$A$8,C4501)=0,C4501,"")</f>
        <v/>
      </c>
      <c r="J4501">
        <f>IF(OR(E4501="Prospecting",E4501="Engaging"),VLOOKUP(C4501,Products!$A$2:$C$8,3,FALSE),0)</f>
        <v>0</v>
      </c>
    </row>
    <row r="4502" spans="1:10" x14ac:dyDescent="0.25">
      <c r="A4502" t="s">
        <v>4669</v>
      </c>
      <c r="B4502" t="s">
        <v>207</v>
      </c>
      <c r="C4502" t="s">
        <v>127</v>
      </c>
      <c r="D4502" t="s">
        <v>10</v>
      </c>
      <c r="E4502" t="s">
        <v>138</v>
      </c>
      <c r="F4502" s="1">
        <v>42921</v>
      </c>
      <c r="G4502" s="1">
        <v>42930</v>
      </c>
      <c r="H4502">
        <v>1109</v>
      </c>
      <c r="I4502" t="str">
        <f>IF(COUNTIF(Products!$A$2:$A$8,C4502)=0,C4502,"")</f>
        <v/>
      </c>
      <c r="J4502">
        <f>IF(OR(E4502="Prospecting",E4502="Engaging"),VLOOKUP(C4502,Products!$A$2:$C$8,3,FALSE),0)</f>
        <v>0</v>
      </c>
    </row>
    <row r="4503" spans="1:10" x14ac:dyDescent="0.25">
      <c r="A4503" t="s">
        <v>4670</v>
      </c>
      <c r="B4503" t="s">
        <v>207</v>
      </c>
      <c r="C4503" t="s">
        <v>125</v>
      </c>
      <c r="D4503" t="s">
        <v>102</v>
      </c>
      <c r="E4503" t="s">
        <v>138</v>
      </c>
      <c r="F4503" s="1">
        <v>42921</v>
      </c>
      <c r="G4503" s="1">
        <v>42922</v>
      </c>
      <c r="H4503">
        <v>3508</v>
      </c>
      <c r="I4503" t="str">
        <f>IF(COUNTIF(Products!$A$2:$A$8,C4503)=0,C4503,"")</f>
        <v/>
      </c>
      <c r="J4503">
        <f>IF(OR(E4503="Prospecting",E4503="Engaging"),VLOOKUP(C4503,Products!$A$2:$C$8,3,FALSE),0)</f>
        <v>0</v>
      </c>
    </row>
    <row r="4504" spans="1:10" x14ac:dyDescent="0.25">
      <c r="A4504" t="s">
        <v>4671</v>
      </c>
      <c r="B4504" t="s">
        <v>239</v>
      </c>
      <c r="C4504" t="s">
        <v>126</v>
      </c>
      <c r="D4504" t="s">
        <v>19</v>
      </c>
      <c r="E4504" t="s">
        <v>159</v>
      </c>
      <c r="F4504" s="1">
        <v>42921</v>
      </c>
      <c r="G4504" s="1">
        <v>42930</v>
      </c>
      <c r="H4504">
        <v>0</v>
      </c>
      <c r="I4504" t="str">
        <f>IF(COUNTIF(Products!$A$2:$A$8,C4504)=0,C4504,"")</f>
        <v/>
      </c>
      <c r="J4504">
        <f>IF(OR(E4504="Prospecting",E4504="Engaging"),VLOOKUP(C4504,Products!$A$2:$C$8,3,FALSE),0)</f>
        <v>0</v>
      </c>
    </row>
    <row r="4505" spans="1:10" x14ac:dyDescent="0.25">
      <c r="A4505" t="s">
        <v>4672</v>
      </c>
      <c r="B4505" t="s">
        <v>171</v>
      </c>
      <c r="C4505" t="s">
        <v>127</v>
      </c>
      <c r="D4505" t="s">
        <v>84</v>
      </c>
      <c r="E4505" t="s">
        <v>159</v>
      </c>
      <c r="F4505" s="1">
        <v>42921</v>
      </c>
      <c r="G4505" s="1">
        <v>42932</v>
      </c>
      <c r="H4505">
        <v>0</v>
      </c>
      <c r="I4505" t="str">
        <f>IF(COUNTIF(Products!$A$2:$A$8,C4505)=0,C4505,"")</f>
        <v/>
      </c>
      <c r="J4505">
        <f>IF(OR(E4505="Prospecting",E4505="Engaging"),VLOOKUP(C4505,Products!$A$2:$C$8,3,FALSE),0)</f>
        <v>0</v>
      </c>
    </row>
    <row r="4506" spans="1:10" x14ac:dyDescent="0.25">
      <c r="A4506" t="s">
        <v>4673</v>
      </c>
      <c r="B4506" t="s">
        <v>140</v>
      </c>
      <c r="C4506" t="s">
        <v>122</v>
      </c>
      <c r="D4506" t="s">
        <v>61</v>
      </c>
      <c r="E4506" t="s">
        <v>138</v>
      </c>
      <c r="F4506" s="1">
        <v>42921</v>
      </c>
      <c r="G4506" s="1">
        <v>42976</v>
      </c>
      <c r="H4506">
        <v>4346</v>
      </c>
      <c r="I4506" t="str">
        <f>IF(COUNTIF(Products!$A$2:$A$8,C4506)=0,C4506,"")</f>
        <v/>
      </c>
      <c r="J4506">
        <f>IF(OR(E4506="Prospecting",E4506="Engaging"),VLOOKUP(C4506,Products!$A$2:$C$8,3,FALSE),0)</f>
        <v>0</v>
      </c>
    </row>
    <row r="4507" spans="1:10" x14ac:dyDescent="0.25">
      <c r="A4507" t="s">
        <v>4674</v>
      </c>
      <c r="B4507" t="s">
        <v>224</v>
      </c>
      <c r="C4507" t="s">
        <v>120</v>
      </c>
      <c r="D4507" t="s">
        <v>68</v>
      </c>
      <c r="E4507" t="s">
        <v>159</v>
      </c>
      <c r="F4507" s="1">
        <v>42921</v>
      </c>
      <c r="G4507" s="1">
        <v>42922</v>
      </c>
      <c r="H4507">
        <v>0</v>
      </c>
      <c r="I4507" t="str">
        <f>IF(COUNTIF(Products!$A$2:$A$8,C4507)=0,C4507,"")</f>
        <v/>
      </c>
      <c r="J4507">
        <f>IF(OR(E4507="Prospecting",E4507="Engaging"),VLOOKUP(C4507,Products!$A$2:$C$8,3,FALSE),0)</f>
        <v>0</v>
      </c>
    </row>
    <row r="4508" spans="1:10" x14ac:dyDescent="0.25">
      <c r="A4508" t="s">
        <v>4675</v>
      </c>
      <c r="B4508" t="s">
        <v>224</v>
      </c>
      <c r="C4508" t="s">
        <v>122</v>
      </c>
      <c r="D4508" t="s">
        <v>108</v>
      </c>
      <c r="E4508" t="s">
        <v>159</v>
      </c>
      <c r="F4508" s="1">
        <v>42921</v>
      </c>
      <c r="G4508" s="1">
        <v>42925</v>
      </c>
      <c r="H4508">
        <v>0</v>
      </c>
      <c r="I4508" t="str">
        <f>IF(COUNTIF(Products!$A$2:$A$8,C4508)=0,C4508,"")</f>
        <v/>
      </c>
      <c r="J4508">
        <f>IF(OR(E4508="Prospecting",E4508="Engaging"),VLOOKUP(C4508,Products!$A$2:$C$8,3,FALSE),0)</f>
        <v>0</v>
      </c>
    </row>
    <row r="4509" spans="1:10" x14ac:dyDescent="0.25">
      <c r="A4509" t="s">
        <v>4676</v>
      </c>
      <c r="B4509" t="s">
        <v>224</v>
      </c>
      <c r="C4509" t="s">
        <v>122</v>
      </c>
      <c r="D4509" t="s">
        <v>105</v>
      </c>
      <c r="E4509" t="s">
        <v>138</v>
      </c>
      <c r="F4509" s="1">
        <v>42921</v>
      </c>
      <c r="G4509" s="1">
        <v>42957</v>
      </c>
      <c r="H4509">
        <v>4565</v>
      </c>
      <c r="I4509" t="str">
        <f>IF(COUNTIF(Products!$A$2:$A$8,C4509)=0,C4509,"")</f>
        <v/>
      </c>
      <c r="J4509">
        <f>IF(OR(E4509="Prospecting",E4509="Engaging"),VLOOKUP(C4509,Products!$A$2:$C$8,3,FALSE),0)</f>
        <v>0</v>
      </c>
    </row>
    <row r="4510" spans="1:10" x14ac:dyDescent="0.25">
      <c r="A4510" t="s">
        <v>4677</v>
      </c>
      <c r="B4510" t="s">
        <v>198</v>
      </c>
      <c r="C4510" t="s">
        <v>127</v>
      </c>
      <c r="D4510" t="s">
        <v>106</v>
      </c>
      <c r="E4510" t="s">
        <v>138</v>
      </c>
      <c r="F4510" s="1">
        <v>42921</v>
      </c>
      <c r="G4510" s="1">
        <v>43007</v>
      </c>
      <c r="H4510">
        <v>1319</v>
      </c>
      <c r="I4510" t="str">
        <f>IF(COUNTIF(Products!$A$2:$A$8,C4510)=0,C4510,"")</f>
        <v/>
      </c>
      <c r="J4510">
        <f>IF(OR(E4510="Prospecting",E4510="Engaging"),VLOOKUP(C4510,Products!$A$2:$C$8,3,FALSE),0)</f>
        <v>0</v>
      </c>
    </row>
    <row r="4511" spans="1:10" x14ac:dyDescent="0.25">
      <c r="A4511" t="s">
        <v>4678</v>
      </c>
      <c r="B4511" t="s">
        <v>154</v>
      </c>
      <c r="C4511" t="s">
        <v>122</v>
      </c>
      <c r="D4511" t="s">
        <v>61</v>
      </c>
      <c r="E4511" t="s">
        <v>138</v>
      </c>
      <c r="F4511" s="1">
        <v>42921</v>
      </c>
      <c r="G4511" s="1">
        <v>42922</v>
      </c>
      <c r="H4511">
        <v>5157</v>
      </c>
      <c r="I4511" t="str">
        <f>IF(COUNTIF(Products!$A$2:$A$8,C4511)=0,C4511,"")</f>
        <v/>
      </c>
      <c r="J4511">
        <f>IF(OR(E4511="Prospecting",E4511="Engaging"),VLOOKUP(C4511,Products!$A$2:$C$8,3,FALSE),0)</f>
        <v>0</v>
      </c>
    </row>
    <row r="4512" spans="1:10" x14ac:dyDescent="0.25">
      <c r="A4512" t="s">
        <v>4679</v>
      </c>
      <c r="B4512" t="s">
        <v>303</v>
      </c>
      <c r="C4512" t="s">
        <v>125</v>
      </c>
      <c r="D4512" t="s">
        <v>36</v>
      </c>
      <c r="E4512" t="s">
        <v>159</v>
      </c>
      <c r="F4512" s="1">
        <v>42921</v>
      </c>
      <c r="G4512" s="1">
        <v>42922</v>
      </c>
      <c r="H4512">
        <v>0</v>
      </c>
      <c r="I4512" t="str">
        <f>IF(COUNTIF(Products!$A$2:$A$8,C4512)=0,C4512,"")</f>
        <v/>
      </c>
      <c r="J4512">
        <f>IF(OR(E4512="Prospecting",E4512="Engaging"),VLOOKUP(C4512,Products!$A$2:$C$8,3,FALSE),0)</f>
        <v>0</v>
      </c>
    </row>
    <row r="4513" spans="1:10" x14ac:dyDescent="0.25">
      <c r="A4513" t="s">
        <v>4680</v>
      </c>
      <c r="B4513" t="s">
        <v>303</v>
      </c>
      <c r="C4513" t="s">
        <v>122</v>
      </c>
      <c r="D4513" t="s">
        <v>53</v>
      </c>
      <c r="E4513" t="s">
        <v>138</v>
      </c>
      <c r="F4513" s="1">
        <v>42921</v>
      </c>
      <c r="G4513" s="1">
        <v>42933</v>
      </c>
      <c r="H4513">
        <v>4213</v>
      </c>
      <c r="I4513" t="str">
        <f>IF(COUNTIF(Products!$A$2:$A$8,C4513)=0,C4513,"")</f>
        <v/>
      </c>
      <c r="J4513">
        <f>IF(OR(E4513="Prospecting",E4513="Engaging"),VLOOKUP(C4513,Products!$A$2:$C$8,3,FALSE),0)</f>
        <v>0</v>
      </c>
    </row>
    <row r="4514" spans="1:10" x14ac:dyDescent="0.25">
      <c r="A4514" t="s">
        <v>4681</v>
      </c>
      <c r="B4514" t="s">
        <v>180</v>
      </c>
      <c r="C4514" t="s">
        <v>120</v>
      </c>
      <c r="E4514" t="s">
        <v>155</v>
      </c>
      <c r="F4514" s="1">
        <v>42921</v>
      </c>
      <c r="I4514" t="str">
        <f>IF(COUNTIF(Products!$A$2:$A$8,C4514)=0,C4514,"")</f>
        <v/>
      </c>
      <c r="J4514">
        <f>IF(OR(E4514="Prospecting",E4514="Engaging"),VLOOKUP(C4514,Products!$A$2:$C$8,3,FALSE),0)</f>
        <v>550</v>
      </c>
    </row>
    <row r="4515" spans="1:10" x14ac:dyDescent="0.25">
      <c r="A4515" t="s">
        <v>4682</v>
      </c>
      <c r="B4515" t="s">
        <v>180</v>
      </c>
      <c r="C4515" t="s">
        <v>127</v>
      </c>
      <c r="D4515" t="s">
        <v>69</v>
      </c>
      <c r="E4515" t="s">
        <v>138</v>
      </c>
      <c r="F4515" s="1">
        <v>42921</v>
      </c>
      <c r="G4515" s="1">
        <v>42928</v>
      </c>
      <c r="H4515">
        <v>1230</v>
      </c>
      <c r="I4515" t="str">
        <f>IF(COUNTIF(Products!$A$2:$A$8,C4515)=0,C4515,"")</f>
        <v/>
      </c>
      <c r="J4515">
        <f>IF(OR(E4515="Prospecting",E4515="Engaging"),VLOOKUP(C4515,Products!$A$2:$C$8,3,FALSE),0)</f>
        <v>0</v>
      </c>
    </row>
    <row r="4516" spans="1:10" x14ac:dyDescent="0.25">
      <c r="A4516" t="s">
        <v>4683</v>
      </c>
      <c r="B4516" t="s">
        <v>191</v>
      </c>
      <c r="C4516" t="s">
        <v>126</v>
      </c>
      <c r="D4516" t="s">
        <v>29</v>
      </c>
      <c r="E4516" t="s">
        <v>155</v>
      </c>
      <c r="F4516" s="1">
        <v>42921</v>
      </c>
      <c r="I4516" t="str">
        <f>IF(COUNTIF(Products!$A$2:$A$8,C4516)=0,C4516,"")</f>
        <v/>
      </c>
      <c r="J4516">
        <f>IF(OR(E4516="Prospecting",E4516="Engaging"),VLOOKUP(C4516,Products!$A$2:$C$8,3,FALSE),0)</f>
        <v>5482</v>
      </c>
    </row>
    <row r="4517" spans="1:10" x14ac:dyDescent="0.25">
      <c r="A4517" t="s">
        <v>4684</v>
      </c>
      <c r="B4517" t="s">
        <v>191</v>
      </c>
      <c r="C4517" t="s">
        <v>120</v>
      </c>
      <c r="D4517" t="s">
        <v>100</v>
      </c>
      <c r="E4517" t="s">
        <v>138</v>
      </c>
      <c r="F4517" s="1">
        <v>42921</v>
      </c>
      <c r="G4517" s="1">
        <v>42931</v>
      </c>
      <c r="H4517">
        <v>443</v>
      </c>
      <c r="I4517" t="str">
        <f>IF(COUNTIF(Products!$A$2:$A$8,C4517)=0,C4517,"")</f>
        <v/>
      </c>
      <c r="J4517">
        <f>IF(OR(E4517="Prospecting",E4517="Engaging"),VLOOKUP(C4517,Products!$A$2:$C$8,3,FALSE),0)</f>
        <v>0</v>
      </c>
    </row>
    <row r="4518" spans="1:10" x14ac:dyDescent="0.25">
      <c r="A4518" t="s">
        <v>4685</v>
      </c>
      <c r="B4518" t="s">
        <v>191</v>
      </c>
      <c r="C4518" t="s">
        <v>127</v>
      </c>
      <c r="D4518" t="s">
        <v>114</v>
      </c>
      <c r="E4518" t="s">
        <v>138</v>
      </c>
      <c r="F4518" s="1">
        <v>42921</v>
      </c>
      <c r="G4518" s="1">
        <v>43004</v>
      </c>
      <c r="H4518">
        <v>1043</v>
      </c>
      <c r="I4518" t="str">
        <f>IF(COUNTIF(Products!$A$2:$A$8,C4518)=0,C4518,"")</f>
        <v/>
      </c>
      <c r="J4518">
        <f>IF(OR(E4518="Prospecting",E4518="Engaging"),VLOOKUP(C4518,Products!$A$2:$C$8,3,FALSE),0)</f>
        <v>0</v>
      </c>
    </row>
    <row r="4519" spans="1:10" x14ac:dyDescent="0.25">
      <c r="A4519" t="s">
        <v>4686</v>
      </c>
      <c r="B4519" t="s">
        <v>217</v>
      </c>
      <c r="C4519" t="s">
        <v>120</v>
      </c>
      <c r="D4519" t="s">
        <v>30</v>
      </c>
      <c r="E4519" t="s">
        <v>159</v>
      </c>
      <c r="F4519" s="1">
        <v>42921</v>
      </c>
      <c r="G4519" s="1">
        <v>42923</v>
      </c>
      <c r="H4519">
        <v>0</v>
      </c>
      <c r="I4519" t="str">
        <f>IF(COUNTIF(Products!$A$2:$A$8,C4519)=0,C4519,"")</f>
        <v/>
      </c>
      <c r="J4519">
        <f>IF(OR(E4519="Prospecting",E4519="Engaging"),VLOOKUP(C4519,Products!$A$2:$C$8,3,FALSE),0)</f>
        <v>0</v>
      </c>
    </row>
    <row r="4520" spans="1:10" x14ac:dyDescent="0.25">
      <c r="A4520" t="s">
        <v>4687</v>
      </c>
      <c r="B4520" t="s">
        <v>150</v>
      </c>
      <c r="C4520" t="s">
        <v>123</v>
      </c>
      <c r="D4520" t="s">
        <v>59</v>
      </c>
      <c r="E4520" t="s">
        <v>159</v>
      </c>
      <c r="F4520" s="1">
        <v>42921</v>
      </c>
      <c r="G4520" s="1">
        <v>42970</v>
      </c>
      <c r="H4520">
        <v>0</v>
      </c>
      <c r="I4520" t="str">
        <f>IF(COUNTIF(Products!$A$2:$A$8,C4520)=0,C4520,"")</f>
        <v/>
      </c>
      <c r="J4520">
        <f>IF(OR(E4520="Prospecting",E4520="Engaging"),VLOOKUP(C4520,Products!$A$2:$C$8,3,FALSE),0)</f>
        <v>0</v>
      </c>
    </row>
    <row r="4521" spans="1:10" x14ac:dyDescent="0.25">
      <c r="A4521" t="s">
        <v>4688</v>
      </c>
      <c r="B4521" t="s">
        <v>205</v>
      </c>
      <c r="C4521" t="s">
        <v>125</v>
      </c>
      <c r="D4521" t="s">
        <v>53</v>
      </c>
      <c r="E4521" t="s">
        <v>159</v>
      </c>
      <c r="F4521" s="1">
        <v>42921</v>
      </c>
      <c r="G4521" s="1">
        <v>42929</v>
      </c>
      <c r="H4521">
        <v>0</v>
      </c>
      <c r="I4521" t="str">
        <f>IF(COUNTIF(Products!$A$2:$A$8,C4521)=0,C4521,"")</f>
        <v/>
      </c>
      <c r="J4521">
        <f>IF(OR(E4521="Prospecting",E4521="Engaging"),VLOOKUP(C4521,Products!$A$2:$C$8,3,FALSE),0)</f>
        <v>0</v>
      </c>
    </row>
    <row r="4522" spans="1:10" x14ac:dyDescent="0.25">
      <c r="A4522" t="s">
        <v>4689</v>
      </c>
      <c r="B4522" t="s">
        <v>205</v>
      </c>
      <c r="C4522" t="s">
        <v>125</v>
      </c>
      <c r="D4522" t="s">
        <v>26</v>
      </c>
      <c r="E4522" t="s">
        <v>138</v>
      </c>
      <c r="F4522" s="1">
        <v>42921</v>
      </c>
      <c r="G4522" s="1">
        <v>42955</v>
      </c>
      <c r="H4522">
        <v>3458</v>
      </c>
      <c r="I4522" t="str">
        <f>IF(COUNTIF(Products!$A$2:$A$8,C4522)=0,C4522,"")</f>
        <v/>
      </c>
      <c r="J4522">
        <f>IF(OR(E4522="Prospecting",E4522="Engaging"),VLOOKUP(C4522,Products!$A$2:$C$8,3,FALSE),0)</f>
        <v>0</v>
      </c>
    </row>
    <row r="4523" spans="1:10" x14ac:dyDescent="0.25">
      <c r="A4523" t="s">
        <v>4690</v>
      </c>
      <c r="B4523" t="s">
        <v>162</v>
      </c>
      <c r="C4523" t="s">
        <v>126</v>
      </c>
      <c r="D4523" t="s">
        <v>114</v>
      </c>
      <c r="E4523" t="s">
        <v>159</v>
      </c>
      <c r="F4523" s="1">
        <v>42921</v>
      </c>
      <c r="G4523" s="1">
        <v>42929</v>
      </c>
      <c r="H4523">
        <v>0</v>
      </c>
      <c r="I4523" t="str">
        <f>IF(COUNTIF(Products!$A$2:$A$8,C4523)=0,C4523,"")</f>
        <v/>
      </c>
      <c r="J4523">
        <f>IF(OR(E4523="Prospecting",E4523="Engaging"),VLOOKUP(C4523,Products!$A$2:$C$8,3,FALSE),0)</f>
        <v>0</v>
      </c>
    </row>
    <row r="4524" spans="1:10" x14ac:dyDescent="0.25">
      <c r="A4524" t="s">
        <v>4691</v>
      </c>
      <c r="B4524" t="s">
        <v>166</v>
      </c>
      <c r="C4524" t="s">
        <v>123</v>
      </c>
      <c r="D4524" t="s">
        <v>83</v>
      </c>
      <c r="E4524" t="s">
        <v>159</v>
      </c>
      <c r="F4524" s="1">
        <v>42921</v>
      </c>
      <c r="G4524" s="1">
        <v>42923</v>
      </c>
      <c r="H4524">
        <v>0</v>
      </c>
      <c r="I4524" t="str">
        <f>IF(COUNTIF(Products!$A$2:$A$8,C4524)=0,C4524,"")</f>
        <v/>
      </c>
      <c r="J4524">
        <f>IF(OR(E4524="Prospecting",E4524="Engaging"),VLOOKUP(C4524,Products!$A$2:$C$8,3,FALSE),0)</f>
        <v>0</v>
      </c>
    </row>
    <row r="4525" spans="1:10" x14ac:dyDescent="0.25">
      <c r="A4525" t="s">
        <v>4692</v>
      </c>
      <c r="B4525" t="s">
        <v>187</v>
      </c>
      <c r="C4525" t="s">
        <v>125</v>
      </c>
      <c r="D4525" t="s">
        <v>68</v>
      </c>
      <c r="E4525" t="s">
        <v>155</v>
      </c>
      <c r="F4525" s="1">
        <v>42921</v>
      </c>
      <c r="I4525" t="str">
        <f>IF(COUNTIF(Products!$A$2:$A$8,C4525)=0,C4525,"")</f>
        <v/>
      </c>
      <c r="J4525">
        <f>IF(OR(E4525="Prospecting",E4525="Engaging"),VLOOKUP(C4525,Products!$A$2:$C$8,3,FALSE),0)</f>
        <v>3393</v>
      </c>
    </row>
    <row r="4526" spans="1:10" x14ac:dyDescent="0.25">
      <c r="A4526" t="s">
        <v>4693</v>
      </c>
      <c r="B4526" t="s">
        <v>187</v>
      </c>
      <c r="C4526" t="s">
        <v>123</v>
      </c>
      <c r="D4526" t="s">
        <v>67</v>
      </c>
      <c r="E4526" t="s">
        <v>138</v>
      </c>
      <c r="F4526" s="1">
        <v>42921</v>
      </c>
      <c r="G4526" s="1">
        <v>42930</v>
      </c>
      <c r="H4526">
        <v>58</v>
      </c>
      <c r="I4526" t="str">
        <f>IF(COUNTIF(Products!$A$2:$A$8,C4526)=0,C4526,"")</f>
        <v/>
      </c>
      <c r="J4526">
        <f>IF(OR(E4526="Prospecting",E4526="Engaging"),VLOOKUP(C4526,Products!$A$2:$C$8,3,FALSE),0)</f>
        <v>0</v>
      </c>
    </row>
    <row r="4527" spans="1:10" x14ac:dyDescent="0.25">
      <c r="A4527" t="s">
        <v>4694</v>
      </c>
      <c r="B4527" t="s">
        <v>169</v>
      </c>
      <c r="C4527" t="s">
        <v>123</v>
      </c>
      <c r="D4527" t="s">
        <v>26</v>
      </c>
      <c r="E4527" t="s">
        <v>159</v>
      </c>
      <c r="F4527" s="1">
        <v>42921</v>
      </c>
      <c r="G4527" s="1">
        <v>42926</v>
      </c>
      <c r="H4527">
        <v>0</v>
      </c>
      <c r="I4527" t="str">
        <f>IF(COUNTIF(Products!$A$2:$A$8,C4527)=0,C4527,"")</f>
        <v/>
      </c>
      <c r="J4527">
        <f>IF(OR(E4527="Prospecting",E4527="Engaging"),VLOOKUP(C4527,Products!$A$2:$C$8,3,FALSE),0)</f>
        <v>0</v>
      </c>
    </row>
    <row r="4528" spans="1:10" x14ac:dyDescent="0.25">
      <c r="A4528" t="s">
        <v>4695</v>
      </c>
      <c r="B4528" t="s">
        <v>148</v>
      </c>
      <c r="C4528" t="s">
        <v>120</v>
      </c>
      <c r="D4528" t="s">
        <v>61</v>
      </c>
      <c r="E4528" t="s">
        <v>159</v>
      </c>
      <c r="F4528" s="1">
        <v>42921</v>
      </c>
      <c r="G4528" s="1">
        <v>42922</v>
      </c>
      <c r="H4528">
        <v>0</v>
      </c>
      <c r="I4528" t="str">
        <f>IF(COUNTIF(Products!$A$2:$A$8,C4528)=0,C4528,"")</f>
        <v/>
      </c>
      <c r="J4528">
        <f>IF(OR(E4528="Prospecting",E4528="Engaging"),VLOOKUP(C4528,Products!$A$2:$C$8,3,FALSE),0)</f>
        <v>0</v>
      </c>
    </row>
    <row r="4529" spans="1:10" x14ac:dyDescent="0.25">
      <c r="A4529" t="s">
        <v>4696</v>
      </c>
      <c r="B4529" t="s">
        <v>144</v>
      </c>
      <c r="C4529" t="s">
        <v>122</v>
      </c>
      <c r="D4529" t="s">
        <v>23</v>
      </c>
      <c r="E4529" t="s">
        <v>159</v>
      </c>
      <c r="F4529" s="1">
        <v>42921</v>
      </c>
      <c r="G4529" s="1">
        <v>42933</v>
      </c>
      <c r="H4529">
        <v>0</v>
      </c>
      <c r="I4529" t="str">
        <f>IF(COUNTIF(Products!$A$2:$A$8,C4529)=0,C4529,"")</f>
        <v/>
      </c>
      <c r="J4529">
        <f>IF(OR(E4529="Prospecting",E4529="Engaging"),VLOOKUP(C4529,Products!$A$2:$C$8,3,FALSE),0)</f>
        <v>0</v>
      </c>
    </row>
    <row r="4530" spans="1:10" x14ac:dyDescent="0.25">
      <c r="A4530" t="s">
        <v>4697</v>
      </c>
      <c r="B4530" t="s">
        <v>144</v>
      </c>
      <c r="C4530" t="s">
        <v>120</v>
      </c>
      <c r="D4530" t="s">
        <v>109</v>
      </c>
      <c r="E4530" t="s">
        <v>138</v>
      </c>
      <c r="F4530" s="1">
        <v>42921</v>
      </c>
      <c r="G4530" s="1">
        <v>42998</v>
      </c>
      <c r="H4530">
        <v>658</v>
      </c>
      <c r="I4530" t="str">
        <f>IF(COUNTIF(Products!$A$2:$A$8,C4530)=0,C4530,"")</f>
        <v/>
      </c>
      <c r="J4530">
        <f>IF(OR(E4530="Prospecting",E4530="Engaging"),VLOOKUP(C4530,Products!$A$2:$C$8,3,FALSE),0)</f>
        <v>0</v>
      </c>
    </row>
    <row r="4531" spans="1:10" x14ac:dyDescent="0.25">
      <c r="A4531" t="s">
        <v>4698</v>
      </c>
      <c r="B4531" t="s">
        <v>146</v>
      </c>
      <c r="C4531" t="s">
        <v>126</v>
      </c>
      <c r="D4531" t="s">
        <v>104</v>
      </c>
      <c r="E4531" t="s">
        <v>159</v>
      </c>
      <c r="F4531" s="1">
        <v>42922</v>
      </c>
      <c r="G4531" s="1">
        <v>42932</v>
      </c>
      <c r="H4531">
        <v>0</v>
      </c>
      <c r="I4531" t="str">
        <f>IF(COUNTIF(Products!$A$2:$A$8,C4531)=0,C4531,"")</f>
        <v/>
      </c>
      <c r="J4531">
        <f>IF(OR(E4531="Prospecting",E4531="Engaging"),VLOOKUP(C4531,Products!$A$2:$C$8,3,FALSE),0)</f>
        <v>0</v>
      </c>
    </row>
    <row r="4532" spans="1:10" x14ac:dyDescent="0.25">
      <c r="A4532" t="s">
        <v>4699</v>
      </c>
      <c r="B4532" t="s">
        <v>207</v>
      </c>
      <c r="C4532" t="s">
        <v>126</v>
      </c>
      <c r="D4532" t="s">
        <v>37</v>
      </c>
      <c r="E4532" t="s">
        <v>159</v>
      </c>
      <c r="F4532" s="1">
        <v>42922</v>
      </c>
      <c r="G4532" s="1">
        <v>42923</v>
      </c>
      <c r="H4532">
        <v>0</v>
      </c>
      <c r="I4532" t="str">
        <f>IF(COUNTIF(Products!$A$2:$A$8,C4532)=0,C4532,"")</f>
        <v/>
      </c>
      <c r="J4532">
        <f>IF(OR(E4532="Prospecting",E4532="Engaging"),VLOOKUP(C4532,Products!$A$2:$C$8,3,FALSE),0)</f>
        <v>0</v>
      </c>
    </row>
    <row r="4533" spans="1:10" x14ac:dyDescent="0.25">
      <c r="A4533" t="s">
        <v>4700</v>
      </c>
      <c r="B4533" t="s">
        <v>207</v>
      </c>
      <c r="C4533" t="s">
        <v>126</v>
      </c>
      <c r="D4533" t="s">
        <v>84</v>
      </c>
      <c r="E4533" t="s">
        <v>138</v>
      </c>
      <c r="F4533" s="1">
        <v>42922</v>
      </c>
      <c r="G4533" s="1">
        <v>42979</v>
      </c>
      <c r="H4533">
        <v>4791</v>
      </c>
      <c r="I4533" t="str">
        <f>IF(COUNTIF(Products!$A$2:$A$8,C4533)=0,C4533,"")</f>
        <v/>
      </c>
      <c r="J4533">
        <f>IF(OR(E4533="Prospecting",E4533="Engaging"),VLOOKUP(C4533,Products!$A$2:$C$8,3,FALSE),0)</f>
        <v>0</v>
      </c>
    </row>
    <row r="4534" spans="1:10" x14ac:dyDescent="0.25">
      <c r="A4534" t="s">
        <v>4701</v>
      </c>
      <c r="B4534" t="s">
        <v>264</v>
      </c>
      <c r="C4534" t="s">
        <v>120</v>
      </c>
      <c r="D4534" t="s">
        <v>32</v>
      </c>
      <c r="E4534" t="s">
        <v>138</v>
      </c>
      <c r="F4534" s="1">
        <v>42922</v>
      </c>
      <c r="G4534" s="1">
        <v>42924</v>
      </c>
      <c r="H4534">
        <v>590</v>
      </c>
      <c r="I4534" t="str">
        <f>IF(COUNTIF(Products!$A$2:$A$8,C4534)=0,C4534,"")</f>
        <v/>
      </c>
      <c r="J4534">
        <f>IF(OR(E4534="Prospecting",E4534="Engaging"),VLOOKUP(C4534,Products!$A$2:$C$8,3,FALSE),0)</f>
        <v>0</v>
      </c>
    </row>
    <row r="4535" spans="1:10" x14ac:dyDescent="0.25">
      <c r="A4535" t="s">
        <v>4702</v>
      </c>
      <c r="B4535" t="s">
        <v>264</v>
      </c>
      <c r="C4535" t="s">
        <v>126</v>
      </c>
      <c r="D4535" t="s">
        <v>64</v>
      </c>
      <c r="E4535" t="s">
        <v>138</v>
      </c>
      <c r="F4535" s="1">
        <v>42922</v>
      </c>
      <c r="G4535" s="1">
        <v>42930</v>
      </c>
      <c r="H4535">
        <v>5629</v>
      </c>
      <c r="I4535" t="str">
        <f>IF(COUNTIF(Products!$A$2:$A$8,C4535)=0,C4535,"")</f>
        <v/>
      </c>
      <c r="J4535">
        <f>IF(OR(E4535="Prospecting",E4535="Engaging"),VLOOKUP(C4535,Products!$A$2:$C$8,3,FALSE),0)</f>
        <v>0</v>
      </c>
    </row>
    <row r="4536" spans="1:10" x14ac:dyDescent="0.25">
      <c r="A4536" t="s">
        <v>4703</v>
      </c>
      <c r="B4536" t="s">
        <v>239</v>
      </c>
      <c r="C4536" t="s">
        <v>127</v>
      </c>
      <c r="E4536" t="s">
        <v>155</v>
      </c>
      <c r="F4536" s="1">
        <v>42922</v>
      </c>
      <c r="I4536" t="str">
        <f>IF(COUNTIF(Products!$A$2:$A$8,C4536)=0,C4536,"")</f>
        <v/>
      </c>
      <c r="J4536">
        <f>IF(OR(E4536="Prospecting",E4536="Engaging"),VLOOKUP(C4536,Products!$A$2:$C$8,3,FALSE),0)</f>
        <v>1096</v>
      </c>
    </row>
    <row r="4537" spans="1:10" x14ac:dyDescent="0.25">
      <c r="A4537" t="s">
        <v>4704</v>
      </c>
      <c r="B4537" t="s">
        <v>239</v>
      </c>
      <c r="C4537" t="s">
        <v>122</v>
      </c>
      <c r="D4537" t="s">
        <v>106</v>
      </c>
      <c r="E4537" t="s">
        <v>159</v>
      </c>
      <c r="F4537" s="1">
        <v>42922</v>
      </c>
      <c r="G4537" s="1">
        <v>42931</v>
      </c>
      <c r="H4537">
        <v>0</v>
      </c>
      <c r="I4537" t="str">
        <f>IF(COUNTIF(Products!$A$2:$A$8,C4537)=0,C4537,"")</f>
        <v/>
      </c>
      <c r="J4537">
        <f>IF(OR(E4537="Prospecting",E4537="Engaging"),VLOOKUP(C4537,Products!$A$2:$C$8,3,FALSE),0)</f>
        <v>0</v>
      </c>
    </row>
    <row r="4538" spans="1:10" x14ac:dyDescent="0.25">
      <c r="A4538" t="s">
        <v>4705</v>
      </c>
      <c r="B4538" t="s">
        <v>171</v>
      </c>
      <c r="C4538" t="s">
        <v>125</v>
      </c>
      <c r="E4538" t="s">
        <v>155</v>
      </c>
      <c r="F4538" s="1">
        <v>42922</v>
      </c>
      <c r="I4538" t="str">
        <f>IF(COUNTIF(Products!$A$2:$A$8,C4538)=0,C4538,"")</f>
        <v/>
      </c>
      <c r="J4538">
        <f>IF(OR(E4538="Prospecting",E4538="Engaging"),VLOOKUP(C4538,Products!$A$2:$C$8,3,FALSE),0)</f>
        <v>3393</v>
      </c>
    </row>
    <row r="4539" spans="1:10" x14ac:dyDescent="0.25">
      <c r="A4539" t="s">
        <v>4706</v>
      </c>
      <c r="B4539" t="s">
        <v>171</v>
      </c>
      <c r="C4539" t="s">
        <v>126</v>
      </c>
      <c r="D4539" t="s">
        <v>25</v>
      </c>
      <c r="E4539" t="s">
        <v>159</v>
      </c>
      <c r="F4539" s="1">
        <v>42922</v>
      </c>
      <c r="G4539" s="1">
        <v>42934</v>
      </c>
      <c r="H4539">
        <v>0</v>
      </c>
      <c r="I4539" t="str">
        <f>IF(COUNTIF(Products!$A$2:$A$8,C4539)=0,C4539,"")</f>
        <v/>
      </c>
      <c r="J4539">
        <f>IF(OR(E4539="Prospecting",E4539="Engaging"),VLOOKUP(C4539,Products!$A$2:$C$8,3,FALSE),0)</f>
        <v>0</v>
      </c>
    </row>
    <row r="4540" spans="1:10" x14ac:dyDescent="0.25">
      <c r="A4540" t="s">
        <v>4707</v>
      </c>
      <c r="B4540" t="s">
        <v>171</v>
      </c>
      <c r="C4540" t="s">
        <v>122</v>
      </c>
      <c r="D4540" t="s">
        <v>108</v>
      </c>
      <c r="E4540" t="s">
        <v>159</v>
      </c>
      <c r="F4540" s="1">
        <v>42922</v>
      </c>
      <c r="G4540" s="1">
        <v>42923</v>
      </c>
      <c r="H4540">
        <v>0</v>
      </c>
      <c r="I4540" t="str">
        <f>IF(COUNTIF(Products!$A$2:$A$8,C4540)=0,C4540,"")</f>
        <v/>
      </c>
      <c r="J4540">
        <f>IF(OR(E4540="Prospecting",E4540="Engaging"),VLOOKUP(C4540,Products!$A$2:$C$8,3,FALSE),0)</f>
        <v>0</v>
      </c>
    </row>
    <row r="4541" spans="1:10" x14ac:dyDescent="0.25">
      <c r="A4541" t="s">
        <v>4708</v>
      </c>
      <c r="B4541" t="s">
        <v>140</v>
      </c>
      <c r="C4541" t="s">
        <v>122</v>
      </c>
      <c r="D4541" t="s">
        <v>96</v>
      </c>
      <c r="E4541" t="s">
        <v>138</v>
      </c>
      <c r="F4541" s="1">
        <v>42922</v>
      </c>
      <c r="G4541" s="1">
        <v>42990</v>
      </c>
      <c r="H4541">
        <v>4323</v>
      </c>
      <c r="I4541" t="str">
        <f>IF(COUNTIF(Products!$A$2:$A$8,C4541)=0,C4541,"")</f>
        <v/>
      </c>
      <c r="J4541">
        <f>IF(OR(E4541="Prospecting",E4541="Engaging"),VLOOKUP(C4541,Products!$A$2:$C$8,3,FALSE),0)</f>
        <v>0</v>
      </c>
    </row>
    <row r="4542" spans="1:10" x14ac:dyDescent="0.25">
      <c r="A4542" t="s">
        <v>4709</v>
      </c>
      <c r="B4542" t="s">
        <v>140</v>
      </c>
      <c r="C4542" t="s">
        <v>122</v>
      </c>
      <c r="D4542" t="s">
        <v>104</v>
      </c>
      <c r="E4542" t="s">
        <v>138</v>
      </c>
      <c r="F4542" s="1">
        <v>42922</v>
      </c>
      <c r="G4542" s="1">
        <v>42928</v>
      </c>
      <c r="H4542">
        <v>5085</v>
      </c>
      <c r="I4542" t="str">
        <f>IF(COUNTIF(Products!$A$2:$A$8,C4542)=0,C4542,"")</f>
        <v/>
      </c>
      <c r="J4542">
        <f>IF(OR(E4542="Prospecting",E4542="Engaging"),VLOOKUP(C4542,Products!$A$2:$C$8,3,FALSE),0)</f>
        <v>0</v>
      </c>
    </row>
    <row r="4543" spans="1:10" x14ac:dyDescent="0.25">
      <c r="A4543" t="s">
        <v>4710</v>
      </c>
      <c r="B4543" t="s">
        <v>224</v>
      </c>
      <c r="C4543" t="s">
        <v>125</v>
      </c>
      <c r="D4543" t="s">
        <v>115</v>
      </c>
      <c r="E4543" t="s">
        <v>138</v>
      </c>
      <c r="F4543" s="1">
        <v>42922</v>
      </c>
      <c r="G4543" s="1">
        <v>42933</v>
      </c>
      <c r="H4543">
        <v>2996</v>
      </c>
      <c r="I4543" t="str">
        <f>IF(COUNTIF(Products!$A$2:$A$8,C4543)=0,C4543,"")</f>
        <v/>
      </c>
      <c r="J4543">
        <f>IF(OR(E4543="Prospecting",E4543="Engaging"),VLOOKUP(C4543,Products!$A$2:$C$8,3,FALSE),0)</f>
        <v>0</v>
      </c>
    </row>
    <row r="4544" spans="1:10" x14ac:dyDescent="0.25">
      <c r="A4544" t="s">
        <v>4711</v>
      </c>
      <c r="B4544" t="s">
        <v>198</v>
      </c>
      <c r="C4544" t="s">
        <v>122</v>
      </c>
      <c r="D4544" t="s">
        <v>27</v>
      </c>
      <c r="E4544" t="s">
        <v>138</v>
      </c>
      <c r="F4544" s="1">
        <v>42922</v>
      </c>
      <c r="G4544" s="1">
        <v>42930</v>
      </c>
      <c r="H4544">
        <v>4682</v>
      </c>
      <c r="I4544" t="str">
        <f>IF(COUNTIF(Products!$A$2:$A$8,C4544)=0,C4544,"")</f>
        <v/>
      </c>
      <c r="J4544">
        <f>IF(OR(E4544="Prospecting",E4544="Engaging"),VLOOKUP(C4544,Products!$A$2:$C$8,3,FALSE),0)</f>
        <v>0</v>
      </c>
    </row>
    <row r="4545" spans="1:10" x14ac:dyDescent="0.25">
      <c r="A4545" t="s">
        <v>4712</v>
      </c>
      <c r="B4545" t="s">
        <v>164</v>
      </c>
      <c r="C4545" t="s">
        <v>125</v>
      </c>
      <c r="D4545" t="s">
        <v>41</v>
      </c>
      <c r="E4545" t="s">
        <v>138</v>
      </c>
      <c r="F4545" s="1">
        <v>42922</v>
      </c>
      <c r="G4545" s="1">
        <v>42930</v>
      </c>
      <c r="H4545">
        <v>3250</v>
      </c>
      <c r="I4545" t="str">
        <f>IF(COUNTIF(Products!$A$2:$A$8,C4545)=0,C4545,"")</f>
        <v/>
      </c>
      <c r="J4545">
        <f>IF(OR(E4545="Prospecting",E4545="Engaging"),VLOOKUP(C4545,Products!$A$2:$C$8,3,FALSE),0)</f>
        <v>0</v>
      </c>
    </row>
    <row r="4546" spans="1:10" x14ac:dyDescent="0.25">
      <c r="A4546" t="s">
        <v>4713</v>
      </c>
      <c r="B4546" t="s">
        <v>180</v>
      </c>
      <c r="C4546" t="s">
        <v>120</v>
      </c>
      <c r="D4546" t="s">
        <v>57</v>
      </c>
      <c r="E4546" t="s">
        <v>159</v>
      </c>
      <c r="F4546" s="1">
        <v>42922</v>
      </c>
      <c r="G4546" s="1">
        <v>42928</v>
      </c>
      <c r="H4546">
        <v>0</v>
      </c>
      <c r="I4546" t="str">
        <f>IF(COUNTIF(Products!$A$2:$A$8,C4546)=0,C4546,"")</f>
        <v/>
      </c>
      <c r="J4546">
        <f>IF(OR(E4546="Prospecting",E4546="Engaging"),VLOOKUP(C4546,Products!$A$2:$C$8,3,FALSE),0)</f>
        <v>0</v>
      </c>
    </row>
    <row r="4547" spans="1:10" x14ac:dyDescent="0.25">
      <c r="A4547" t="s">
        <v>4714</v>
      </c>
      <c r="B4547" t="s">
        <v>191</v>
      </c>
      <c r="C4547" t="s">
        <v>122</v>
      </c>
      <c r="D4547" t="s">
        <v>67</v>
      </c>
      <c r="E4547" t="s">
        <v>159</v>
      </c>
      <c r="F4547" s="1">
        <v>42922</v>
      </c>
      <c r="G4547" s="1">
        <v>42932</v>
      </c>
      <c r="H4547">
        <v>0</v>
      </c>
      <c r="I4547" t="str">
        <f>IF(COUNTIF(Products!$A$2:$A$8,C4547)=0,C4547,"")</f>
        <v/>
      </c>
      <c r="J4547">
        <f>IF(OR(E4547="Prospecting",E4547="Engaging"),VLOOKUP(C4547,Products!$A$2:$C$8,3,FALSE),0)</f>
        <v>0</v>
      </c>
    </row>
    <row r="4548" spans="1:10" x14ac:dyDescent="0.25">
      <c r="A4548" t="s">
        <v>4715</v>
      </c>
      <c r="B4548" t="s">
        <v>191</v>
      </c>
      <c r="C4548" t="s">
        <v>122</v>
      </c>
      <c r="D4548" t="s">
        <v>67</v>
      </c>
      <c r="E4548" t="s">
        <v>138</v>
      </c>
      <c r="F4548" s="1">
        <v>42922</v>
      </c>
      <c r="G4548" s="1">
        <v>42984</v>
      </c>
      <c r="H4548">
        <v>5323</v>
      </c>
      <c r="I4548" t="str">
        <f>IF(COUNTIF(Products!$A$2:$A$8,C4548)=0,C4548,"")</f>
        <v/>
      </c>
      <c r="J4548">
        <f>IF(OR(E4548="Prospecting",E4548="Engaging"),VLOOKUP(C4548,Products!$A$2:$C$8,3,FALSE),0)</f>
        <v>0</v>
      </c>
    </row>
    <row r="4549" spans="1:10" x14ac:dyDescent="0.25">
      <c r="A4549" t="s">
        <v>4716</v>
      </c>
      <c r="B4549" t="s">
        <v>205</v>
      </c>
      <c r="C4549" t="s">
        <v>120</v>
      </c>
      <c r="D4549" t="s">
        <v>27</v>
      </c>
      <c r="E4549" t="s">
        <v>159</v>
      </c>
      <c r="F4549" s="1">
        <v>42922</v>
      </c>
      <c r="G4549" s="1">
        <v>42923</v>
      </c>
      <c r="H4549">
        <v>0</v>
      </c>
      <c r="I4549" t="str">
        <f>IF(COUNTIF(Products!$A$2:$A$8,C4549)=0,C4549,"")</f>
        <v/>
      </c>
      <c r="J4549">
        <f>IF(OR(E4549="Prospecting",E4549="Engaging"),VLOOKUP(C4549,Products!$A$2:$C$8,3,FALSE),0)</f>
        <v>0</v>
      </c>
    </row>
    <row r="4550" spans="1:10" x14ac:dyDescent="0.25">
      <c r="A4550" t="s">
        <v>4717</v>
      </c>
      <c r="B4550" t="s">
        <v>205</v>
      </c>
      <c r="C4550" t="s">
        <v>126</v>
      </c>
      <c r="D4550" t="s">
        <v>46</v>
      </c>
      <c r="E4550" t="s">
        <v>138</v>
      </c>
      <c r="F4550" s="1">
        <v>42922</v>
      </c>
      <c r="G4550" s="1">
        <v>42923</v>
      </c>
      <c r="H4550">
        <v>5966</v>
      </c>
      <c r="I4550" t="str">
        <f>IF(COUNTIF(Products!$A$2:$A$8,C4550)=0,C4550,"")</f>
        <v/>
      </c>
      <c r="J4550">
        <f>IF(OR(E4550="Prospecting",E4550="Engaging"),VLOOKUP(C4550,Products!$A$2:$C$8,3,FALSE),0)</f>
        <v>0</v>
      </c>
    </row>
    <row r="4551" spans="1:10" x14ac:dyDescent="0.25">
      <c r="A4551" t="s">
        <v>4718</v>
      </c>
      <c r="B4551" t="s">
        <v>162</v>
      </c>
      <c r="C4551" t="s">
        <v>122</v>
      </c>
      <c r="E4551" t="s">
        <v>155</v>
      </c>
      <c r="F4551" s="1">
        <v>42922</v>
      </c>
      <c r="I4551" t="str">
        <f>IF(COUNTIF(Products!$A$2:$A$8,C4551)=0,C4551,"")</f>
        <v/>
      </c>
      <c r="J4551">
        <f>IF(OR(E4551="Prospecting",E4551="Engaging"),VLOOKUP(C4551,Products!$A$2:$C$8,3,FALSE),0)</f>
        <v>4821</v>
      </c>
    </row>
    <row r="4552" spans="1:10" x14ac:dyDescent="0.25">
      <c r="A4552" t="s">
        <v>4719</v>
      </c>
      <c r="B4552" t="s">
        <v>162</v>
      </c>
      <c r="C4552" t="s">
        <v>125</v>
      </c>
      <c r="D4552" t="s">
        <v>71</v>
      </c>
      <c r="E4552" t="s">
        <v>138</v>
      </c>
      <c r="F4552" s="1">
        <v>42922</v>
      </c>
      <c r="G4552" s="1">
        <v>42932</v>
      </c>
      <c r="H4552">
        <v>3452</v>
      </c>
      <c r="I4552" t="str">
        <f>IF(COUNTIF(Products!$A$2:$A$8,C4552)=0,C4552,"")</f>
        <v/>
      </c>
      <c r="J4552">
        <f>IF(OR(E4552="Prospecting",E4552="Engaging"),VLOOKUP(C4552,Products!$A$2:$C$8,3,FALSE),0)</f>
        <v>0</v>
      </c>
    </row>
    <row r="4553" spans="1:10" x14ac:dyDescent="0.25">
      <c r="A4553" t="s">
        <v>4720</v>
      </c>
      <c r="B4553" t="s">
        <v>137</v>
      </c>
      <c r="C4553" t="s">
        <v>123</v>
      </c>
      <c r="D4553" t="s">
        <v>103</v>
      </c>
      <c r="E4553" t="s">
        <v>159</v>
      </c>
      <c r="F4553" s="1">
        <v>42922</v>
      </c>
      <c r="G4553" s="1">
        <v>42933</v>
      </c>
      <c r="H4553">
        <v>0</v>
      </c>
      <c r="I4553" t="str">
        <f>IF(COUNTIF(Products!$A$2:$A$8,C4553)=0,C4553,"")</f>
        <v/>
      </c>
      <c r="J4553">
        <f>IF(OR(E4553="Prospecting",E4553="Engaging"),VLOOKUP(C4553,Products!$A$2:$C$8,3,FALSE),0)</f>
        <v>0</v>
      </c>
    </row>
    <row r="4554" spans="1:10" x14ac:dyDescent="0.25">
      <c r="A4554" t="s">
        <v>4721</v>
      </c>
      <c r="B4554" t="s">
        <v>137</v>
      </c>
      <c r="C4554" t="s">
        <v>125</v>
      </c>
      <c r="D4554" t="s">
        <v>94</v>
      </c>
      <c r="E4554" t="s">
        <v>159</v>
      </c>
      <c r="F4554" s="1">
        <v>42922</v>
      </c>
      <c r="G4554" s="1">
        <v>42929</v>
      </c>
      <c r="H4554">
        <v>0</v>
      </c>
      <c r="I4554" t="str">
        <f>IF(COUNTIF(Products!$A$2:$A$8,C4554)=0,C4554,"")</f>
        <v/>
      </c>
      <c r="J4554">
        <f>IF(OR(E4554="Prospecting",E4554="Engaging"),VLOOKUP(C4554,Products!$A$2:$C$8,3,FALSE),0)</f>
        <v>0</v>
      </c>
    </row>
    <row r="4555" spans="1:10" x14ac:dyDescent="0.25">
      <c r="A4555" t="s">
        <v>4722</v>
      </c>
      <c r="B4555" t="s">
        <v>166</v>
      </c>
      <c r="C4555" t="s">
        <v>120</v>
      </c>
      <c r="D4555" t="s">
        <v>71</v>
      </c>
      <c r="E4555" t="s">
        <v>159</v>
      </c>
      <c r="F4555" s="1">
        <v>42922</v>
      </c>
      <c r="G4555" s="1">
        <v>42927</v>
      </c>
      <c r="H4555">
        <v>0</v>
      </c>
      <c r="I4555" t="str">
        <f>IF(COUNTIF(Products!$A$2:$A$8,C4555)=0,C4555,"")</f>
        <v/>
      </c>
      <c r="J4555">
        <f>IF(OR(E4555="Prospecting",E4555="Engaging"),VLOOKUP(C4555,Products!$A$2:$C$8,3,FALSE),0)</f>
        <v>0</v>
      </c>
    </row>
    <row r="4556" spans="1:10" x14ac:dyDescent="0.25">
      <c r="A4556" t="s">
        <v>4723</v>
      </c>
      <c r="B4556" t="s">
        <v>148</v>
      </c>
      <c r="C4556" t="s">
        <v>120</v>
      </c>
      <c r="D4556" t="s">
        <v>39</v>
      </c>
      <c r="E4556" t="s">
        <v>138</v>
      </c>
      <c r="F4556" s="1">
        <v>42922</v>
      </c>
      <c r="G4556" s="1">
        <v>42929</v>
      </c>
      <c r="H4556">
        <v>583</v>
      </c>
      <c r="I4556" t="str">
        <f>IF(COUNTIF(Products!$A$2:$A$8,C4556)=0,C4556,"")</f>
        <v/>
      </c>
      <c r="J4556">
        <f>IF(OR(E4556="Prospecting",E4556="Engaging"),VLOOKUP(C4556,Products!$A$2:$C$8,3,FALSE),0)</f>
        <v>0</v>
      </c>
    </row>
    <row r="4557" spans="1:10" x14ac:dyDescent="0.25">
      <c r="A4557" t="s">
        <v>4724</v>
      </c>
      <c r="B4557" t="s">
        <v>177</v>
      </c>
      <c r="C4557" t="s">
        <v>123</v>
      </c>
      <c r="D4557" t="s">
        <v>80</v>
      </c>
      <c r="E4557" t="s">
        <v>159</v>
      </c>
      <c r="F4557" s="1">
        <v>42922</v>
      </c>
      <c r="G4557" s="1">
        <v>42932</v>
      </c>
      <c r="H4557">
        <v>0</v>
      </c>
      <c r="I4557" t="str">
        <f>IF(COUNTIF(Products!$A$2:$A$8,C4557)=0,C4557,"")</f>
        <v/>
      </c>
      <c r="J4557">
        <f>IF(OR(E4557="Prospecting",E4557="Engaging"),VLOOKUP(C4557,Products!$A$2:$C$8,3,FALSE),0)</f>
        <v>0</v>
      </c>
    </row>
    <row r="4558" spans="1:10" x14ac:dyDescent="0.25">
      <c r="A4558" t="s">
        <v>4725</v>
      </c>
      <c r="B4558" t="s">
        <v>144</v>
      </c>
      <c r="C4558" t="s">
        <v>127</v>
      </c>
      <c r="D4558" t="s">
        <v>56</v>
      </c>
      <c r="E4558" t="s">
        <v>159</v>
      </c>
      <c r="F4558" s="1">
        <v>42922</v>
      </c>
      <c r="G4558" s="1">
        <v>42929</v>
      </c>
      <c r="H4558">
        <v>0</v>
      </c>
      <c r="I4558" t="str">
        <f>IF(COUNTIF(Products!$A$2:$A$8,C4558)=0,C4558,"")</f>
        <v/>
      </c>
      <c r="J4558">
        <f>IF(OR(E4558="Prospecting",E4558="Engaging"),VLOOKUP(C4558,Products!$A$2:$C$8,3,FALSE),0)</f>
        <v>0</v>
      </c>
    </row>
    <row r="4559" spans="1:10" x14ac:dyDescent="0.25">
      <c r="A4559" t="s">
        <v>4726</v>
      </c>
      <c r="B4559" t="s">
        <v>144</v>
      </c>
      <c r="C4559" t="s">
        <v>120</v>
      </c>
      <c r="D4559" t="s">
        <v>66</v>
      </c>
      <c r="E4559" t="s">
        <v>138</v>
      </c>
      <c r="F4559" s="1">
        <v>42922</v>
      </c>
      <c r="G4559" s="1">
        <v>43005</v>
      </c>
      <c r="H4559">
        <v>507</v>
      </c>
      <c r="I4559" t="str">
        <f>IF(COUNTIF(Products!$A$2:$A$8,C4559)=0,C4559,"")</f>
        <v/>
      </c>
      <c r="J4559">
        <f>IF(OR(E4559="Prospecting",E4559="Engaging"),VLOOKUP(C4559,Products!$A$2:$C$8,3,FALSE),0)</f>
        <v>0</v>
      </c>
    </row>
    <row r="4560" spans="1:10" x14ac:dyDescent="0.25">
      <c r="A4560" t="s">
        <v>4727</v>
      </c>
      <c r="B4560" t="s">
        <v>146</v>
      </c>
      <c r="C4560" t="s">
        <v>120</v>
      </c>
      <c r="D4560" t="s">
        <v>32</v>
      </c>
      <c r="E4560" t="s">
        <v>159</v>
      </c>
      <c r="F4560" s="1">
        <v>42923</v>
      </c>
      <c r="G4560" s="1">
        <v>42931</v>
      </c>
      <c r="H4560">
        <v>0</v>
      </c>
      <c r="I4560" t="str">
        <f>IF(COUNTIF(Products!$A$2:$A$8,C4560)=0,C4560,"")</f>
        <v/>
      </c>
      <c r="J4560">
        <f>IF(OR(E4560="Prospecting",E4560="Engaging"),VLOOKUP(C4560,Products!$A$2:$C$8,3,FALSE),0)</f>
        <v>0</v>
      </c>
    </row>
    <row r="4561" spans="1:10" x14ac:dyDescent="0.25">
      <c r="A4561" t="s">
        <v>4728</v>
      </c>
      <c r="B4561" t="s">
        <v>146</v>
      </c>
      <c r="C4561" t="s">
        <v>123</v>
      </c>
      <c r="D4561" t="s">
        <v>85</v>
      </c>
      <c r="E4561" t="s">
        <v>159</v>
      </c>
      <c r="F4561" s="1">
        <v>42923</v>
      </c>
      <c r="G4561" s="1">
        <v>42929</v>
      </c>
      <c r="H4561">
        <v>0</v>
      </c>
      <c r="I4561" t="str">
        <f>IF(COUNTIF(Products!$A$2:$A$8,C4561)=0,C4561,"")</f>
        <v/>
      </c>
      <c r="J4561">
        <f>IF(OR(E4561="Prospecting",E4561="Engaging"),VLOOKUP(C4561,Products!$A$2:$C$8,3,FALSE),0)</f>
        <v>0</v>
      </c>
    </row>
    <row r="4562" spans="1:10" x14ac:dyDescent="0.25">
      <c r="A4562" t="s">
        <v>4729</v>
      </c>
      <c r="B4562" t="s">
        <v>222</v>
      </c>
      <c r="C4562" t="s">
        <v>122</v>
      </c>
      <c r="E4562" t="s">
        <v>155</v>
      </c>
      <c r="F4562" s="1">
        <v>42923</v>
      </c>
      <c r="I4562" t="str">
        <f>IF(COUNTIF(Products!$A$2:$A$8,C4562)=0,C4562,"")</f>
        <v/>
      </c>
      <c r="J4562">
        <f>IF(OR(E4562="Prospecting",E4562="Engaging"),VLOOKUP(C4562,Products!$A$2:$C$8,3,FALSE),0)</f>
        <v>4821</v>
      </c>
    </row>
    <row r="4563" spans="1:10" x14ac:dyDescent="0.25">
      <c r="A4563" t="s">
        <v>4730</v>
      </c>
      <c r="B4563" t="s">
        <v>222</v>
      </c>
      <c r="C4563" t="s">
        <v>120</v>
      </c>
      <c r="D4563" t="s">
        <v>10</v>
      </c>
      <c r="E4563" t="s">
        <v>138</v>
      </c>
      <c r="F4563" s="1">
        <v>42923</v>
      </c>
      <c r="G4563" s="1">
        <v>42925</v>
      </c>
      <c r="H4563">
        <v>574</v>
      </c>
      <c r="I4563" t="str">
        <f>IF(COUNTIF(Products!$A$2:$A$8,C4563)=0,C4563,"")</f>
        <v/>
      </c>
      <c r="J4563">
        <f>IF(OR(E4563="Prospecting",E4563="Engaging"),VLOOKUP(C4563,Products!$A$2:$C$8,3,FALSE),0)</f>
        <v>0</v>
      </c>
    </row>
    <row r="4564" spans="1:10" x14ac:dyDescent="0.25">
      <c r="A4564" t="s">
        <v>4731</v>
      </c>
      <c r="B4564" t="s">
        <v>207</v>
      </c>
      <c r="C4564" t="s">
        <v>127</v>
      </c>
      <c r="D4564" t="s">
        <v>105</v>
      </c>
      <c r="E4564" t="s">
        <v>155</v>
      </c>
      <c r="F4564" s="1">
        <v>42923</v>
      </c>
      <c r="I4564" t="str">
        <f>IF(COUNTIF(Products!$A$2:$A$8,C4564)=0,C4564,"")</f>
        <v/>
      </c>
      <c r="J4564">
        <f>IF(OR(E4564="Prospecting",E4564="Engaging"),VLOOKUP(C4564,Products!$A$2:$C$8,3,FALSE),0)</f>
        <v>1096</v>
      </c>
    </row>
    <row r="4565" spans="1:10" x14ac:dyDescent="0.25">
      <c r="A4565" t="s">
        <v>4732</v>
      </c>
      <c r="B4565" t="s">
        <v>207</v>
      </c>
      <c r="C4565" t="s">
        <v>123</v>
      </c>
      <c r="D4565" t="s">
        <v>81</v>
      </c>
      <c r="E4565" t="s">
        <v>138</v>
      </c>
      <c r="F4565" s="1">
        <v>42923</v>
      </c>
      <c r="G4565" s="1">
        <v>42985</v>
      </c>
      <c r="H4565">
        <v>48</v>
      </c>
      <c r="I4565" t="str">
        <f>IF(COUNTIF(Products!$A$2:$A$8,C4565)=0,C4565,"")</f>
        <v/>
      </c>
      <c r="J4565">
        <f>IF(OR(E4565="Prospecting",E4565="Engaging"),VLOOKUP(C4565,Products!$A$2:$C$8,3,FALSE),0)</f>
        <v>0</v>
      </c>
    </row>
    <row r="4566" spans="1:10" x14ac:dyDescent="0.25">
      <c r="A4566" t="s">
        <v>4733</v>
      </c>
      <c r="B4566" t="s">
        <v>264</v>
      </c>
      <c r="C4566" t="s">
        <v>123</v>
      </c>
      <c r="D4566" t="s">
        <v>95</v>
      </c>
      <c r="E4566" t="s">
        <v>159</v>
      </c>
      <c r="F4566" s="1">
        <v>42923</v>
      </c>
      <c r="G4566" s="1">
        <v>42933</v>
      </c>
      <c r="H4566">
        <v>0</v>
      </c>
      <c r="I4566" t="str">
        <f>IF(COUNTIF(Products!$A$2:$A$8,C4566)=0,C4566,"")</f>
        <v/>
      </c>
      <c r="J4566">
        <f>IF(OR(E4566="Prospecting",E4566="Engaging"),VLOOKUP(C4566,Products!$A$2:$C$8,3,FALSE),0)</f>
        <v>0</v>
      </c>
    </row>
    <row r="4567" spans="1:10" x14ac:dyDescent="0.25">
      <c r="A4567" t="s">
        <v>4734</v>
      </c>
      <c r="B4567" t="s">
        <v>264</v>
      </c>
      <c r="C4567" t="s">
        <v>120</v>
      </c>
      <c r="D4567" t="s">
        <v>64</v>
      </c>
      <c r="E4567" t="s">
        <v>138</v>
      </c>
      <c r="F4567" s="1">
        <v>42923</v>
      </c>
      <c r="G4567" s="1">
        <v>42931</v>
      </c>
      <c r="H4567">
        <v>458</v>
      </c>
      <c r="I4567" t="str">
        <f>IF(COUNTIF(Products!$A$2:$A$8,C4567)=0,C4567,"")</f>
        <v/>
      </c>
      <c r="J4567">
        <f>IF(OR(E4567="Prospecting",E4567="Engaging"),VLOOKUP(C4567,Products!$A$2:$C$8,3,FALSE),0)</f>
        <v>0</v>
      </c>
    </row>
    <row r="4568" spans="1:10" x14ac:dyDescent="0.25">
      <c r="A4568" t="s">
        <v>4735</v>
      </c>
      <c r="B4568" t="s">
        <v>264</v>
      </c>
      <c r="C4568" t="s">
        <v>126</v>
      </c>
      <c r="D4568" t="s">
        <v>26</v>
      </c>
      <c r="E4568" t="s">
        <v>138</v>
      </c>
      <c r="F4568" s="1">
        <v>42923</v>
      </c>
      <c r="G4568" s="1">
        <v>42996</v>
      </c>
      <c r="H4568">
        <v>5455</v>
      </c>
      <c r="I4568" t="str">
        <f>IF(COUNTIF(Products!$A$2:$A$8,C4568)=0,C4568,"")</f>
        <v/>
      </c>
      <c r="J4568">
        <f>IF(OR(E4568="Prospecting",E4568="Engaging"),VLOOKUP(C4568,Products!$A$2:$C$8,3,FALSE),0)</f>
        <v>0</v>
      </c>
    </row>
    <row r="4569" spans="1:10" x14ac:dyDescent="0.25">
      <c r="A4569" t="s">
        <v>4736</v>
      </c>
      <c r="B4569" t="s">
        <v>239</v>
      </c>
      <c r="C4569" t="s">
        <v>120</v>
      </c>
      <c r="D4569" t="s">
        <v>92</v>
      </c>
      <c r="E4569" t="s">
        <v>159</v>
      </c>
      <c r="F4569" s="1">
        <v>42923</v>
      </c>
      <c r="G4569" s="1">
        <v>42930</v>
      </c>
      <c r="H4569">
        <v>0</v>
      </c>
      <c r="I4569" t="str">
        <f>IF(COUNTIF(Products!$A$2:$A$8,C4569)=0,C4569,"")</f>
        <v/>
      </c>
      <c r="J4569">
        <f>IF(OR(E4569="Prospecting",E4569="Engaging"),VLOOKUP(C4569,Products!$A$2:$C$8,3,FALSE),0)</f>
        <v>0</v>
      </c>
    </row>
    <row r="4570" spans="1:10" x14ac:dyDescent="0.25">
      <c r="A4570" t="s">
        <v>4737</v>
      </c>
      <c r="B4570" t="s">
        <v>239</v>
      </c>
      <c r="C4570" t="s">
        <v>126</v>
      </c>
      <c r="D4570" t="s">
        <v>67</v>
      </c>
      <c r="E4570" t="s">
        <v>138</v>
      </c>
      <c r="F4570" s="1">
        <v>42923</v>
      </c>
      <c r="G4570" s="1">
        <v>42995</v>
      </c>
      <c r="H4570">
        <v>5666</v>
      </c>
      <c r="I4570" t="str">
        <f>IF(COUNTIF(Products!$A$2:$A$8,C4570)=0,C4570,"")</f>
        <v/>
      </c>
      <c r="J4570">
        <f>IF(OR(E4570="Prospecting",E4570="Engaging"),VLOOKUP(C4570,Products!$A$2:$C$8,3,FALSE),0)</f>
        <v>0</v>
      </c>
    </row>
    <row r="4571" spans="1:10" x14ac:dyDescent="0.25">
      <c r="A4571" t="s">
        <v>4738</v>
      </c>
      <c r="B4571" t="s">
        <v>171</v>
      </c>
      <c r="C4571" t="s">
        <v>127</v>
      </c>
      <c r="D4571" t="s">
        <v>19</v>
      </c>
      <c r="E4571" t="s">
        <v>138</v>
      </c>
      <c r="F4571" s="1">
        <v>42923</v>
      </c>
      <c r="G4571" s="1">
        <v>42925</v>
      </c>
      <c r="H4571">
        <v>1107</v>
      </c>
      <c r="I4571" t="str">
        <f>IF(COUNTIF(Products!$A$2:$A$8,C4571)=0,C4571,"")</f>
        <v/>
      </c>
      <c r="J4571">
        <f>IF(OR(E4571="Prospecting",E4571="Engaging"),VLOOKUP(C4571,Products!$A$2:$C$8,3,FALSE),0)</f>
        <v>0</v>
      </c>
    </row>
    <row r="4572" spans="1:10" x14ac:dyDescent="0.25">
      <c r="A4572" t="s">
        <v>4739</v>
      </c>
      <c r="B4572" t="s">
        <v>171</v>
      </c>
      <c r="C4572" t="s">
        <v>122</v>
      </c>
      <c r="D4572" t="s">
        <v>7</v>
      </c>
      <c r="E4572" t="s">
        <v>138</v>
      </c>
      <c r="F4572" s="1">
        <v>42923</v>
      </c>
      <c r="G4572" s="1">
        <v>42924</v>
      </c>
      <c r="H4572">
        <v>4089</v>
      </c>
      <c r="I4572" t="str">
        <f>IF(COUNTIF(Products!$A$2:$A$8,C4572)=0,C4572,"")</f>
        <v/>
      </c>
      <c r="J4572">
        <f>IF(OR(E4572="Prospecting",E4572="Engaging"),VLOOKUP(C4572,Products!$A$2:$C$8,3,FALSE),0)</f>
        <v>0</v>
      </c>
    </row>
    <row r="4573" spans="1:10" x14ac:dyDescent="0.25">
      <c r="A4573" t="s">
        <v>4740</v>
      </c>
      <c r="B4573" t="s">
        <v>224</v>
      </c>
      <c r="C4573" t="s">
        <v>120</v>
      </c>
      <c r="D4573" t="s">
        <v>80</v>
      </c>
      <c r="E4573" t="s">
        <v>138</v>
      </c>
      <c r="F4573" s="1">
        <v>42923</v>
      </c>
      <c r="G4573" s="1">
        <v>42986</v>
      </c>
      <c r="H4573">
        <v>498</v>
      </c>
      <c r="I4573" t="str">
        <f>IF(COUNTIF(Products!$A$2:$A$8,C4573)=0,C4573,"")</f>
        <v/>
      </c>
      <c r="J4573">
        <f>IF(OR(E4573="Prospecting",E4573="Engaging"),VLOOKUP(C4573,Products!$A$2:$C$8,3,FALSE),0)</f>
        <v>0</v>
      </c>
    </row>
    <row r="4574" spans="1:10" x14ac:dyDescent="0.25">
      <c r="A4574" t="s">
        <v>4741</v>
      </c>
      <c r="B4574" t="s">
        <v>173</v>
      </c>
      <c r="C4574" t="s">
        <v>125</v>
      </c>
      <c r="D4574" t="s">
        <v>60</v>
      </c>
      <c r="E4574" t="s">
        <v>159</v>
      </c>
      <c r="F4574" s="1">
        <v>42923</v>
      </c>
      <c r="G4574" s="1">
        <v>42985</v>
      </c>
      <c r="H4574">
        <v>0</v>
      </c>
      <c r="I4574" t="str">
        <f>IF(COUNTIF(Products!$A$2:$A$8,C4574)=0,C4574,"")</f>
        <v/>
      </c>
      <c r="J4574">
        <f>IF(OR(E4574="Prospecting",E4574="Engaging"),VLOOKUP(C4574,Products!$A$2:$C$8,3,FALSE),0)</f>
        <v>0</v>
      </c>
    </row>
    <row r="4575" spans="1:10" x14ac:dyDescent="0.25">
      <c r="A4575" t="s">
        <v>4742</v>
      </c>
      <c r="B4575" t="s">
        <v>303</v>
      </c>
      <c r="C4575" t="s">
        <v>123</v>
      </c>
      <c r="D4575" t="s">
        <v>36</v>
      </c>
      <c r="E4575" t="s">
        <v>138</v>
      </c>
      <c r="F4575" s="1">
        <v>42923</v>
      </c>
      <c r="G4575" s="1">
        <v>42927</v>
      </c>
      <c r="H4575">
        <v>64</v>
      </c>
      <c r="I4575" t="str">
        <f>IF(COUNTIF(Products!$A$2:$A$8,C4575)=0,C4575,"")</f>
        <v/>
      </c>
      <c r="J4575">
        <f>IF(OR(E4575="Prospecting",E4575="Engaging"),VLOOKUP(C4575,Products!$A$2:$C$8,3,FALSE),0)</f>
        <v>0</v>
      </c>
    </row>
    <row r="4576" spans="1:10" x14ac:dyDescent="0.25">
      <c r="A4576" t="s">
        <v>4743</v>
      </c>
      <c r="B4576" t="s">
        <v>180</v>
      </c>
      <c r="C4576" t="s">
        <v>125</v>
      </c>
      <c r="D4576" t="s">
        <v>107</v>
      </c>
      <c r="E4576" t="s">
        <v>159</v>
      </c>
      <c r="F4576" s="1">
        <v>42923</v>
      </c>
      <c r="G4576" s="1">
        <v>42925</v>
      </c>
      <c r="H4576">
        <v>0</v>
      </c>
      <c r="I4576" t="str">
        <f>IF(COUNTIF(Products!$A$2:$A$8,C4576)=0,C4576,"")</f>
        <v/>
      </c>
      <c r="J4576">
        <f>IF(OR(E4576="Prospecting",E4576="Engaging"),VLOOKUP(C4576,Products!$A$2:$C$8,3,FALSE),0)</f>
        <v>0</v>
      </c>
    </row>
    <row r="4577" spans="1:10" x14ac:dyDescent="0.25">
      <c r="A4577" t="s">
        <v>4744</v>
      </c>
      <c r="B4577" t="s">
        <v>191</v>
      </c>
      <c r="C4577" t="s">
        <v>126</v>
      </c>
      <c r="D4577" t="s">
        <v>28</v>
      </c>
      <c r="E4577" t="s">
        <v>155</v>
      </c>
      <c r="F4577" s="1">
        <v>42923</v>
      </c>
      <c r="I4577" t="str">
        <f>IF(COUNTIF(Products!$A$2:$A$8,C4577)=0,C4577,"")</f>
        <v/>
      </c>
      <c r="J4577">
        <f>IF(OR(E4577="Prospecting",E4577="Engaging"),VLOOKUP(C4577,Products!$A$2:$C$8,3,FALSE),0)</f>
        <v>5482</v>
      </c>
    </row>
    <row r="4578" spans="1:10" x14ac:dyDescent="0.25">
      <c r="A4578" t="s">
        <v>4745</v>
      </c>
      <c r="B4578" t="s">
        <v>191</v>
      </c>
      <c r="C4578" t="s">
        <v>120</v>
      </c>
      <c r="D4578" t="s">
        <v>69</v>
      </c>
      <c r="E4578" t="s">
        <v>159</v>
      </c>
      <c r="F4578" s="1">
        <v>42923</v>
      </c>
      <c r="G4578" s="1">
        <v>42925</v>
      </c>
      <c r="H4578">
        <v>0</v>
      </c>
      <c r="I4578" t="str">
        <f>IF(COUNTIF(Products!$A$2:$A$8,C4578)=0,C4578,"")</f>
        <v/>
      </c>
      <c r="J4578">
        <f>IF(OR(E4578="Prospecting",E4578="Engaging"),VLOOKUP(C4578,Products!$A$2:$C$8,3,FALSE),0)</f>
        <v>0</v>
      </c>
    </row>
    <row r="4579" spans="1:10" x14ac:dyDescent="0.25">
      <c r="A4579" t="s">
        <v>4746</v>
      </c>
      <c r="B4579" t="s">
        <v>191</v>
      </c>
      <c r="C4579" t="s">
        <v>120</v>
      </c>
      <c r="D4579" t="s">
        <v>44</v>
      </c>
      <c r="E4579" t="s">
        <v>138</v>
      </c>
      <c r="F4579" s="1">
        <v>42923</v>
      </c>
      <c r="G4579" s="1">
        <v>42925</v>
      </c>
      <c r="H4579">
        <v>565</v>
      </c>
      <c r="I4579" t="str">
        <f>IF(COUNTIF(Products!$A$2:$A$8,C4579)=0,C4579,"")</f>
        <v/>
      </c>
      <c r="J4579">
        <f>IF(OR(E4579="Prospecting",E4579="Engaging"),VLOOKUP(C4579,Products!$A$2:$C$8,3,FALSE),0)</f>
        <v>0</v>
      </c>
    </row>
    <row r="4580" spans="1:10" x14ac:dyDescent="0.25">
      <c r="A4580" t="s">
        <v>4747</v>
      </c>
      <c r="B4580" t="s">
        <v>191</v>
      </c>
      <c r="C4580" t="s">
        <v>120</v>
      </c>
      <c r="D4580" t="s">
        <v>67</v>
      </c>
      <c r="E4580" t="s">
        <v>138</v>
      </c>
      <c r="F4580" s="1">
        <v>42923</v>
      </c>
      <c r="G4580" s="1">
        <v>42933</v>
      </c>
      <c r="H4580">
        <v>579</v>
      </c>
      <c r="I4580" t="str">
        <f>IF(COUNTIF(Products!$A$2:$A$8,C4580)=0,C4580,"")</f>
        <v/>
      </c>
      <c r="J4580">
        <f>IF(OR(E4580="Prospecting",E4580="Engaging"),VLOOKUP(C4580,Products!$A$2:$C$8,3,FALSE),0)</f>
        <v>0</v>
      </c>
    </row>
    <row r="4581" spans="1:10" x14ac:dyDescent="0.25">
      <c r="A4581" t="s">
        <v>4748</v>
      </c>
      <c r="B4581" t="s">
        <v>217</v>
      </c>
      <c r="C4581" t="s">
        <v>123</v>
      </c>
      <c r="D4581" t="s">
        <v>61</v>
      </c>
      <c r="E4581" t="s">
        <v>138</v>
      </c>
      <c r="F4581" s="1">
        <v>42923</v>
      </c>
      <c r="G4581" s="1">
        <v>42989</v>
      </c>
      <c r="H4581">
        <v>56</v>
      </c>
      <c r="I4581" t="str">
        <f>IF(COUNTIF(Products!$A$2:$A$8,C4581)=0,C4581,"")</f>
        <v/>
      </c>
      <c r="J4581">
        <f>IF(OR(E4581="Prospecting",E4581="Engaging"),VLOOKUP(C4581,Products!$A$2:$C$8,3,FALSE),0)</f>
        <v>0</v>
      </c>
    </row>
    <row r="4582" spans="1:10" x14ac:dyDescent="0.25">
      <c r="A4582" t="s">
        <v>4749</v>
      </c>
      <c r="B4582" t="s">
        <v>150</v>
      </c>
      <c r="C4582" t="s">
        <v>122</v>
      </c>
      <c r="D4582" t="s">
        <v>90</v>
      </c>
      <c r="E4582" t="s">
        <v>138</v>
      </c>
      <c r="F4582" s="1">
        <v>42923</v>
      </c>
      <c r="G4582" s="1">
        <v>42983</v>
      </c>
      <c r="H4582">
        <v>4063</v>
      </c>
      <c r="I4582" t="str">
        <f>IF(COUNTIF(Products!$A$2:$A$8,C4582)=0,C4582,"")</f>
        <v/>
      </c>
      <c r="J4582">
        <f>IF(OR(E4582="Prospecting",E4582="Engaging"),VLOOKUP(C4582,Products!$A$2:$C$8,3,FALSE),0)</f>
        <v>0</v>
      </c>
    </row>
    <row r="4583" spans="1:10" x14ac:dyDescent="0.25">
      <c r="A4583" t="s">
        <v>4750</v>
      </c>
      <c r="B4583" t="s">
        <v>205</v>
      </c>
      <c r="C4583" t="s">
        <v>127</v>
      </c>
      <c r="D4583" t="s">
        <v>32</v>
      </c>
      <c r="E4583" t="s">
        <v>138</v>
      </c>
      <c r="F4583" s="1">
        <v>42923</v>
      </c>
      <c r="G4583" s="1">
        <v>42933</v>
      </c>
      <c r="H4583">
        <v>1193</v>
      </c>
      <c r="I4583" t="str">
        <f>IF(COUNTIF(Products!$A$2:$A$8,C4583)=0,C4583,"")</f>
        <v/>
      </c>
      <c r="J4583">
        <f>IF(OR(E4583="Prospecting",E4583="Engaging"),VLOOKUP(C4583,Products!$A$2:$C$8,3,FALSE),0)</f>
        <v>0</v>
      </c>
    </row>
    <row r="4584" spans="1:10" x14ac:dyDescent="0.25">
      <c r="A4584" t="s">
        <v>4751</v>
      </c>
      <c r="B4584" t="s">
        <v>137</v>
      </c>
      <c r="C4584" t="s">
        <v>120</v>
      </c>
      <c r="D4584" t="s">
        <v>91</v>
      </c>
      <c r="E4584" t="s">
        <v>159</v>
      </c>
      <c r="F4584" s="1">
        <v>42923</v>
      </c>
      <c r="G4584" s="1">
        <v>42931</v>
      </c>
      <c r="H4584">
        <v>0</v>
      </c>
      <c r="I4584" t="str">
        <f>IF(COUNTIF(Products!$A$2:$A$8,C4584)=0,C4584,"")</f>
        <v/>
      </c>
      <c r="J4584">
        <f>IF(OR(E4584="Prospecting",E4584="Engaging"),VLOOKUP(C4584,Products!$A$2:$C$8,3,FALSE),0)</f>
        <v>0</v>
      </c>
    </row>
    <row r="4585" spans="1:10" x14ac:dyDescent="0.25">
      <c r="A4585" t="s">
        <v>4752</v>
      </c>
      <c r="B4585" t="s">
        <v>152</v>
      </c>
      <c r="C4585" t="s">
        <v>127</v>
      </c>
      <c r="D4585" t="s">
        <v>12</v>
      </c>
      <c r="E4585" t="s">
        <v>138</v>
      </c>
      <c r="F4585" s="1">
        <v>42923</v>
      </c>
      <c r="G4585" s="1">
        <v>42927</v>
      </c>
      <c r="H4585">
        <v>1088</v>
      </c>
      <c r="I4585" t="str">
        <f>IF(COUNTIF(Products!$A$2:$A$8,C4585)=0,C4585,"")</f>
        <v/>
      </c>
      <c r="J4585">
        <f>IF(OR(E4585="Prospecting",E4585="Engaging"),VLOOKUP(C4585,Products!$A$2:$C$8,3,FALSE),0)</f>
        <v>0</v>
      </c>
    </row>
    <row r="4586" spans="1:10" x14ac:dyDescent="0.25">
      <c r="A4586" t="s">
        <v>4753</v>
      </c>
      <c r="B4586" t="s">
        <v>193</v>
      </c>
      <c r="C4586" t="s">
        <v>127</v>
      </c>
      <c r="D4586" t="s">
        <v>108</v>
      </c>
      <c r="E4586" t="s">
        <v>159</v>
      </c>
      <c r="F4586" s="1">
        <v>42923</v>
      </c>
      <c r="G4586" s="1">
        <v>42995</v>
      </c>
      <c r="H4586">
        <v>0</v>
      </c>
      <c r="I4586" t="str">
        <f>IF(COUNTIF(Products!$A$2:$A$8,C4586)=0,C4586,"")</f>
        <v/>
      </c>
      <c r="J4586">
        <f>IF(OR(E4586="Prospecting",E4586="Engaging"),VLOOKUP(C4586,Products!$A$2:$C$8,3,FALSE),0)</f>
        <v>0</v>
      </c>
    </row>
    <row r="4587" spans="1:10" x14ac:dyDescent="0.25">
      <c r="A4587" t="s">
        <v>4754</v>
      </c>
      <c r="B4587" t="s">
        <v>166</v>
      </c>
      <c r="C4587" t="s">
        <v>123</v>
      </c>
      <c r="D4587" t="s">
        <v>107</v>
      </c>
      <c r="E4587" t="s">
        <v>138</v>
      </c>
      <c r="F4587" s="1">
        <v>42923</v>
      </c>
      <c r="G4587" s="1">
        <v>42989</v>
      </c>
      <c r="H4587">
        <v>58</v>
      </c>
      <c r="I4587" t="str">
        <f>IF(COUNTIF(Products!$A$2:$A$8,C4587)=0,C4587,"")</f>
        <v/>
      </c>
      <c r="J4587">
        <f>IF(OR(E4587="Prospecting",E4587="Engaging"),VLOOKUP(C4587,Products!$A$2:$C$8,3,FALSE),0)</f>
        <v>0</v>
      </c>
    </row>
    <row r="4588" spans="1:10" x14ac:dyDescent="0.25">
      <c r="A4588" t="s">
        <v>4755</v>
      </c>
      <c r="B4588" t="s">
        <v>187</v>
      </c>
      <c r="C4588" t="s">
        <v>126</v>
      </c>
      <c r="E4588" t="s">
        <v>155</v>
      </c>
      <c r="F4588" s="1">
        <v>42923</v>
      </c>
      <c r="I4588" t="str">
        <f>IF(COUNTIF(Products!$A$2:$A$8,C4588)=0,C4588,"")</f>
        <v/>
      </c>
      <c r="J4588">
        <f>IF(OR(E4588="Prospecting",E4588="Engaging"),VLOOKUP(C4588,Products!$A$2:$C$8,3,FALSE),0)</f>
        <v>5482</v>
      </c>
    </row>
    <row r="4589" spans="1:10" x14ac:dyDescent="0.25">
      <c r="A4589" t="s">
        <v>4756</v>
      </c>
      <c r="B4589" t="s">
        <v>148</v>
      </c>
      <c r="C4589" t="s">
        <v>125</v>
      </c>
      <c r="D4589" t="s">
        <v>47</v>
      </c>
      <c r="E4589" t="s">
        <v>159</v>
      </c>
      <c r="F4589" s="1">
        <v>42923</v>
      </c>
      <c r="G4589" s="1">
        <v>42925</v>
      </c>
      <c r="H4589">
        <v>0</v>
      </c>
      <c r="I4589" t="str">
        <f>IF(COUNTIF(Products!$A$2:$A$8,C4589)=0,C4589,"")</f>
        <v/>
      </c>
      <c r="J4589">
        <f>IF(OR(E4589="Prospecting",E4589="Engaging"),VLOOKUP(C4589,Products!$A$2:$C$8,3,FALSE),0)</f>
        <v>0</v>
      </c>
    </row>
    <row r="4590" spans="1:10" x14ac:dyDescent="0.25">
      <c r="A4590" t="s">
        <v>4757</v>
      </c>
      <c r="B4590" t="s">
        <v>148</v>
      </c>
      <c r="C4590" t="s">
        <v>126</v>
      </c>
      <c r="D4590" t="s">
        <v>57</v>
      </c>
      <c r="E4590" t="s">
        <v>138</v>
      </c>
      <c r="F4590" s="1">
        <v>42923</v>
      </c>
      <c r="G4590" s="1">
        <v>42929</v>
      </c>
      <c r="H4590">
        <v>4466</v>
      </c>
      <c r="I4590" t="str">
        <f>IF(COUNTIF(Products!$A$2:$A$8,C4590)=0,C4590,"")</f>
        <v/>
      </c>
      <c r="J4590">
        <f>IF(OR(E4590="Prospecting",E4590="Engaging"),VLOOKUP(C4590,Products!$A$2:$C$8,3,FALSE),0)</f>
        <v>0</v>
      </c>
    </row>
    <row r="4591" spans="1:10" x14ac:dyDescent="0.25">
      <c r="A4591" t="s">
        <v>4758</v>
      </c>
      <c r="B4591" t="s">
        <v>177</v>
      </c>
      <c r="C4591" t="s">
        <v>123</v>
      </c>
      <c r="E4591" t="s">
        <v>155</v>
      </c>
      <c r="F4591" s="1">
        <v>42923</v>
      </c>
      <c r="I4591" t="str">
        <f>IF(COUNTIF(Products!$A$2:$A$8,C4591)=0,C4591,"")</f>
        <v/>
      </c>
      <c r="J4591">
        <f>IF(OR(E4591="Prospecting",E4591="Engaging"),VLOOKUP(C4591,Products!$A$2:$C$8,3,FALSE),0)</f>
        <v>55</v>
      </c>
    </row>
    <row r="4592" spans="1:10" x14ac:dyDescent="0.25">
      <c r="A4592" t="s">
        <v>4759</v>
      </c>
      <c r="B4592" t="s">
        <v>177</v>
      </c>
      <c r="C4592" t="s">
        <v>120</v>
      </c>
      <c r="D4592" t="s">
        <v>68</v>
      </c>
      <c r="E4592" t="s">
        <v>159</v>
      </c>
      <c r="F4592" s="1">
        <v>42923</v>
      </c>
      <c r="G4592" s="1">
        <v>42930</v>
      </c>
      <c r="H4592">
        <v>0</v>
      </c>
      <c r="I4592" t="str">
        <f>IF(COUNTIF(Products!$A$2:$A$8,C4592)=0,C4592,"")</f>
        <v/>
      </c>
      <c r="J4592">
        <f>IF(OR(E4592="Prospecting",E4592="Engaging"),VLOOKUP(C4592,Products!$A$2:$C$8,3,FALSE),0)</f>
        <v>0</v>
      </c>
    </row>
    <row r="4593" spans="1:10" x14ac:dyDescent="0.25">
      <c r="A4593" t="s">
        <v>4760</v>
      </c>
      <c r="B4593" t="s">
        <v>177</v>
      </c>
      <c r="C4593" t="s">
        <v>125</v>
      </c>
      <c r="D4593" t="s">
        <v>108</v>
      </c>
      <c r="E4593" t="s">
        <v>159</v>
      </c>
      <c r="F4593" s="1">
        <v>42923</v>
      </c>
      <c r="G4593" s="1">
        <v>42931</v>
      </c>
      <c r="H4593">
        <v>0</v>
      </c>
      <c r="I4593" t="str">
        <f>IF(COUNTIF(Products!$A$2:$A$8,C4593)=0,C4593,"")</f>
        <v/>
      </c>
      <c r="J4593">
        <f>IF(OR(E4593="Prospecting",E4593="Engaging"),VLOOKUP(C4593,Products!$A$2:$C$8,3,FALSE),0)</f>
        <v>0</v>
      </c>
    </row>
    <row r="4594" spans="1:10" x14ac:dyDescent="0.25">
      <c r="A4594" t="s">
        <v>4761</v>
      </c>
      <c r="B4594" t="s">
        <v>146</v>
      </c>
      <c r="C4594" t="s">
        <v>123</v>
      </c>
      <c r="D4594" t="s">
        <v>55</v>
      </c>
      <c r="E4594" t="s">
        <v>138</v>
      </c>
      <c r="F4594" s="1">
        <v>42924</v>
      </c>
      <c r="G4594" s="1">
        <v>43045</v>
      </c>
      <c r="H4594">
        <v>55</v>
      </c>
      <c r="I4594" t="str">
        <f>IF(COUNTIF(Products!$A$2:$A$8,C4594)=0,C4594,"")</f>
        <v/>
      </c>
      <c r="J4594">
        <f>IF(OR(E4594="Prospecting",E4594="Engaging"),VLOOKUP(C4594,Products!$A$2:$C$8,3,FALSE),0)</f>
        <v>0</v>
      </c>
    </row>
    <row r="4595" spans="1:10" x14ac:dyDescent="0.25">
      <c r="A4595" t="s">
        <v>4762</v>
      </c>
      <c r="B4595" t="s">
        <v>222</v>
      </c>
      <c r="C4595" t="s">
        <v>120</v>
      </c>
      <c r="D4595" t="s">
        <v>42</v>
      </c>
      <c r="E4595" t="s">
        <v>155</v>
      </c>
      <c r="F4595" s="1">
        <v>42924</v>
      </c>
      <c r="I4595" t="str">
        <f>IF(COUNTIF(Products!$A$2:$A$8,C4595)=0,C4595,"")</f>
        <v/>
      </c>
      <c r="J4595">
        <f>IF(OR(E4595="Prospecting",E4595="Engaging"),VLOOKUP(C4595,Products!$A$2:$C$8,3,FALSE),0)</f>
        <v>550</v>
      </c>
    </row>
    <row r="4596" spans="1:10" x14ac:dyDescent="0.25">
      <c r="A4596" t="s">
        <v>4763</v>
      </c>
      <c r="B4596" t="s">
        <v>207</v>
      </c>
      <c r="C4596" t="s">
        <v>127</v>
      </c>
      <c r="D4596" t="s">
        <v>37</v>
      </c>
      <c r="E4596" t="s">
        <v>159</v>
      </c>
      <c r="F4596" s="1">
        <v>42924</v>
      </c>
      <c r="G4596" s="1">
        <v>42931</v>
      </c>
      <c r="H4596">
        <v>0</v>
      </c>
      <c r="I4596" t="str">
        <f>IF(COUNTIF(Products!$A$2:$A$8,C4596)=0,C4596,"")</f>
        <v/>
      </c>
      <c r="J4596">
        <f>IF(OR(E4596="Prospecting",E4596="Engaging"),VLOOKUP(C4596,Products!$A$2:$C$8,3,FALSE),0)</f>
        <v>0</v>
      </c>
    </row>
    <row r="4597" spans="1:10" x14ac:dyDescent="0.25">
      <c r="A4597" t="s">
        <v>4764</v>
      </c>
      <c r="B4597" t="s">
        <v>207</v>
      </c>
      <c r="C4597" t="s">
        <v>127</v>
      </c>
      <c r="D4597" t="s">
        <v>69</v>
      </c>
      <c r="E4597" t="s">
        <v>138</v>
      </c>
      <c r="F4597" s="1">
        <v>42924</v>
      </c>
      <c r="G4597" s="1">
        <v>42932</v>
      </c>
      <c r="H4597">
        <v>861</v>
      </c>
      <c r="I4597" t="str">
        <f>IF(COUNTIF(Products!$A$2:$A$8,C4597)=0,C4597,"")</f>
        <v/>
      </c>
      <c r="J4597">
        <f>IF(OR(E4597="Prospecting",E4597="Engaging"),VLOOKUP(C4597,Products!$A$2:$C$8,3,FALSE),0)</f>
        <v>0</v>
      </c>
    </row>
    <row r="4598" spans="1:10" x14ac:dyDescent="0.25">
      <c r="A4598" t="s">
        <v>4765</v>
      </c>
      <c r="B4598" t="s">
        <v>239</v>
      </c>
      <c r="C4598" t="s">
        <v>120</v>
      </c>
      <c r="D4598" t="s">
        <v>7</v>
      </c>
      <c r="E4598" t="s">
        <v>155</v>
      </c>
      <c r="F4598" s="1">
        <v>42924</v>
      </c>
      <c r="I4598" t="str">
        <f>IF(COUNTIF(Products!$A$2:$A$8,C4598)=0,C4598,"")</f>
        <v/>
      </c>
      <c r="J4598">
        <f>IF(OR(E4598="Prospecting",E4598="Engaging"),VLOOKUP(C4598,Products!$A$2:$C$8,3,FALSE),0)</f>
        <v>550</v>
      </c>
    </row>
    <row r="4599" spans="1:10" x14ac:dyDescent="0.25">
      <c r="A4599" t="s">
        <v>4766</v>
      </c>
      <c r="B4599" t="s">
        <v>239</v>
      </c>
      <c r="C4599" t="s">
        <v>125</v>
      </c>
      <c r="D4599" t="s">
        <v>84</v>
      </c>
      <c r="E4599" t="s">
        <v>159</v>
      </c>
      <c r="F4599" s="1">
        <v>42924</v>
      </c>
      <c r="G4599" s="1">
        <v>42925</v>
      </c>
      <c r="H4599">
        <v>0</v>
      </c>
      <c r="I4599" t="str">
        <f>IF(COUNTIF(Products!$A$2:$A$8,C4599)=0,C4599,"")</f>
        <v/>
      </c>
      <c r="J4599">
        <f>IF(OR(E4599="Prospecting",E4599="Engaging"),VLOOKUP(C4599,Products!$A$2:$C$8,3,FALSE),0)</f>
        <v>0</v>
      </c>
    </row>
    <row r="4600" spans="1:10" x14ac:dyDescent="0.25">
      <c r="A4600" t="s">
        <v>4767</v>
      </c>
      <c r="B4600" t="s">
        <v>239</v>
      </c>
      <c r="C4600" t="s">
        <v>122</v>
      </c>
      <c r="D4600" t="s">
        <v>105</v>
      </c>
      <c r="E4600" t="s">
        <v>138</v>
      </c>
      <c r="F4600" s="1">
        <v>42924</v>
      </c>
      <c r="G4600" s="1">
        <v>42935</v>
      </c>
      <c r="H4600">
        <v>5137</v>
      </c>
      <c r="I4600" t="str">
        <f>IF(COUNTIF(Products!$A$2:$A$8,C4600)=0,C4600,"")</f>
        <v/>
      </c>
      <c r="J4600">
        <f>IF(OR(E4600="Prospecting",E4600="Engaging"),VLOOKUP(C4600,Products!$A$2:$C$8,3,FALSE),0)</f>
        <v>0</v>
      </c>
    </row>
    <row r="4601" spans="1:10" x14ac:dyDescent="0.25">
      <c r="A4601" t="s">
        <v>4768</v>
      </c>
      <c r="B4601" t="s">
        <v>140</v>
      </c>
      <c r="C4601" t="s">
        <v>123</v>
      </c>
      <c r="D4601" t="s">
        <v>12</v>
      </c>
      <c r="E4601" t="s">
        <v>138</v>
      </c>
      <c r="F4601" s="1">
        <v>42924</v>
      </c>
      <c r="G4601" s="1">
        <v>42932</v>
      </c>
      <c r="H4601">
        <v>54</v>
      </c>
      <c r="I4601" t="str">
        <f>IF(COUNTIF(Products!$A$2:$A$8,C4601)=0,C4601,"")</f>
        <v/>
      </c>
      <c r="J4601">
        <f>IF(OR(E4601="Prospecting",E4601="Engaging"),VLOOKUP(C4601,Products!$A$2:$C$8,3,FALSE),0)</f>
        <v>0</v>
      </c>
    </row>
    <row r="4602" spans="1:10" x14ac:dyDescent="0.25">
      <c r="A4602" t="s">
        <v>4769</v>
      </c>
      <c r="B4602" t="s">
        <v>224</v>
      </c>
      <c r="C4602" t="s">
        <v>127</v>
      </c>
      <c r="D4602" t="s">
        <v>68</v>
      </c>
      <c r="E4602" t="s">
        <v>138</v>
      </c>
      <c r="F4602" s="1">
        <v>42924</v>
      </c>
      <c r="G4602" s="1">
        <v>42930</v>
      </c>
      <c r="H4602">
        <v>1020</v>
      </c>
      <c r="I4602" t="str">
        <f>IF(COUNTIF(Products!$A$2:$A$8,C4602)=0,C4602,"")</f>
        <v/>
      </c>
      <c r="J4602">
        <f>IF(OR(E4602="Prospecting",E4602="Engaging"),VLOOKUP(C4602,Products!$A$2:$C$8,3,FALSE),0)</f>
        <v>0</v>
      </c>
    </row>
    <row r="4603" spans="1:10" x14ac:dyDescent="0.25">
      <c r="A4603" t="s">
        <v>4770</v>
      </c>
      <c r="B4603" t="s">
        <v>224</v>
      </c>
      <c r="C4603" t="s">
        <v>127</v>
      </c>
      <c r="D4603" t="s">
        <v>110</v>
      </c>
      <c r="E4603" t="s">
        <v>138</v>
      </c>
      <c r="F4603" s="1">
        <v>42924</v>
      </c>
      <c r="G4603" s="1">
        <v>43006</v>
      </c>
      <c r="H4603">
        <v>1136</v>
      </c>
      <c r="I4603" t="str">
        <f>IF(COUNTIF(Products!$A$2:$A$8,C4603)=0,C4603,"")</f>
        <v/>
      </c>
      <c r="J4603">
        <f>IF(OR(E4603="Prospecting",E4603="Engaging"),VLOOKUP(C4603,Products!$A$2:$C$8,3,FALSE),0)</f>
        <v>0</v>
      </c>
    </row>
    <row r="4604" spans="1:10" x14ac:dyDescent="0.25">
      <c r="A4604" t="s">
        <v>4771</v>
      </c>
      <c r="B4604" t="s">
        <v>224</v>
      </c>
      <c r="C4604" t="s">
        <v>123</v>
      </c>
      <c r="D4604" t="s">
        <v>69</v>
      </c>
      <c r="E4604" t="s">
        <v>138</v>
      </c>
      <c r="F4604" s="1">
        <v>42924</v>
      </c>
      <c r="G4604" s="1">
        <v>42930</v>
      </c>
      <c r="H4604">
        <v>55</v>
      </c>
      <c r="I4604" t="str">
        <f>IF(COUNTIF(Products!$A$2:$A$8,C4604)=0,C4604,"")</f>
        <v/>
      </c>
      <c r="J4604">
        <f>IF(OR(E4604="Prospecting",E4604="Engaging"),VLOOKUP(C4604,Products!$A$2:$C$8,3,FALSE),0)</f>
        <v>0</v>
      </c>
    </row>
    <row r="4605" spans="1:10" x14ac:dyDescent="0.25">
      <c r="A4605" t="s">
        <v>4772</v>
      </c>
      <c r="B4605" t="s">
        <v>173</v>
      </c>
      <c r="C4605" t="s">
        <v>122</v>
      </c>
      <c r="D4605" t="s">
        <v>59</v>
      </c>
      <c r="E4605" t="s">
        <v>138</v>
      </c>
      <c r="F4605" s="1">
        <v>42924</v>
      </c>
      <c r="G4605" s="1">
        <v>42987</v>
      </c>
      <c r="H4605">
        <v>5097</v>
      </c>
      <c r="I4605" t="str">
        <f>IF(COUNTIF(Products!$A$2:$A$8,C4605)=0,C4605,"")</f>
        <v/>
      </c>
      <c r="J4605">
        <f>IF(OR(E4605="Prospecting",E4605="Engaging"),VLOOKUP(C4605,Products!$A$2:$C$8,3,FALSE),0)</f>
        <v>0</v>
      </c>
    </row>
    <row r="4606" spans="1:10" x14ac:dyDescent="0.25">
      <c r="A4606" t="s">
        <v>4773</v>
      </c>
      <c r="B4606" t="s">
        <v>198</v>
      </c>
      <c r="C4606" t="s">
        <v>120</v>
      </c>
      <c r="D4606" t="s">
        <v>68</v>
      </c>
      <c r="E4606" t="s">
        <v>138</v>
      </c>
      <c r="F4606" s="1">
        <v>42924</v>
      </c>
      <c r="G4606" s="1">
        <v>42925</v>
      </c>
      <c r="H4606">
        <v>483</v>
      </c>
      <c r="I4606" t="str">
        <f>IF(COUNTIF(Products!$A$2:$A$8,C4606)=0,C4606,"")</f>
        <v/>
      </c>
      <c r="J4606">
        <f>IF(OR(E4606="Prospecting",E4606="Engaging"),VLOOKUP(C4606,Products!$A$2:$C$8,3,FALSE),0)</f>
        <v>0</v>
      </c>
    </row>
    <row r="4607" spans="1:10" x14ac:dyDescent="0.25">
      <c r="A4607" t="s">
        <v>4774</v>
      </c>
      <c r="B4607" t="s">
        <v>154</v>
      </c>
      <c r="C4607" t="s">
        <v>120</v>
      </c>
      <c r="E4607" t="s">
        <v>155</v>
      </c>
      <c r="F4607" s="1">
        <v>42924</v>
      </c>
      <c r="I4607" t="str">
        <f>IF(COUNTIF(Products!$A$2:$A$8,C4607)=0,C4607,"")</f>
        <v/>
      </c>
      <c r="J4607">
        <f>IF(OR(E4607="Prospecting",E4607="Engaging"),VLOOKUP(C4607,Products!$A$2:$C$8,3,FALSE),0)</f>
        <v>550</v>
      </c>
    </row>
    <row r="4608" spans="1:10" x14ac:dyDescent="0.25">
      <c r="A4608" t="s">
        <v>4775</v>
      </c>
      <c r="B4608" t="s">
        <v>154</v>
      </c>
      <c r="C4608" t="s">
        <v>120</v>
      </c>
      <c r="D4608" t="s">
        <v>114</v>
      </c>
      <c r="E4608" t="s">
        <v>138</v>
      </c>
      <c r="F4608" s="1">
        <v>42924</v>
      </c>
      <c r="G4608" s="1">
        <v>42976</v>
      </c>
      <c r="H4608">
        <v>587</v>
      </c>
      <c r="I4608" t="str">
        <f>IF(COUNTIF(Products!$A$2:$A$8,C4608)=0,C4608,"")</f>
        <v/>
      </c>
      <c r="J4608">
        <f>IF(OR(E4608="Prospecting",E4608="Engaging"),VLOOKUP(C4608,Products!$A$2:$C$8,3,FALSE),0)</f>
        <v>0</v>
      </c>
    </row>
    <row r="4609" spans="1:10" x14ac:dyDescent="0.25">
      <c r="A4609" t="s">
        <v>4776</v>
      </c>
      <c r="B4609" t="s">
        <v>154</v>
      </c>
      <c r="C4609" t="s">
        <v>126</v>
      </c>
      <c r="D4609" t="s">
        <v>67</v>
      </c>
      <c r="E4609" t="s">
        <v>138</v>
      </c>
      <c r="F4609" s="1">
        <v>42924</v>
      </c>
      <c r="G4609" s="1">
        <v>42932</v>
      </c>
      <c r="H4609">
        <v>5284</v>
      </c>
      <c r="I4609" t="str">
        <f>IF(COUNTIF(Products!$A$2:$A$8,C4609)=0,C4609,"")</f>
        <v/>
      </c>
      <c r="J4609">
        <f>IF(OR(E4609="Prospecting",E4609="Engaging"),VLOOKUP(C4609,Products!$A$2:$C$8,3,FALSE),0)</f>
        <v>0</v>
      </c>
    </row>
    <row r="4610" spans="1:10" x14ac:dyDescent="0.25">
      <c r="A4610" t="s">
        <v>4777</v>
      </c>
      <c r="B4610" t="s">
        <v>303</v>
      </c>
      <c r="C4610" t="s">
        <v>120</v>
      </c>
      <c r="D4610" t="s">
        <v>91</v>
      </c>
      <c r="E4610" t="s">
        <v>159</v>
      </c>
      <c r="F4610" s="1">
        <v>42924</v>
      </c>
      <c r="G4610" s="1">
        <v>42925</v>
      </c>
      <c r="H4610">
        <v>0</v>
      </c>
      <c r="I4610" t="str">
        <f>IF(COUNTIF(Products!$A$2:$A$8,C4610)=0,C4610,"")</f>
        <v/>
      </c>
      <c r="J4610">
        <f>IF(OR(E4610="Prospecting",E4610="Engaging"),VLOOKUP(C4610,Products!$A$2:$C$8,3,FALSE),0)</f>
        <v>0</v>
      </c>
    </row>
    <row r="4611" spans="1:10" x14ac:dyDescent="0.25">
      <c r="A4611" t="s">
        <v>4778</v>
      </c>
      <c r="B4611" t="s">
        <v>303</v>
      </c>
      <c r="C4611" t="s">
        <v>120</v>
      </c>
      <c r="D4611" t="s">
        <v>77</v>
      </c>
      <c r="E4611" t="s">
        <v>159</v>
      </c>
      <c r="F4611" s="1">
        <v>42924</v>
      </c>
      <c r="G4611" s="1">
        <v>42990</v>
      </c>
      <c r="H4611">
        <v>0</v>
      </c>
      <c r="I4611" t="str">
        <f>IF(COUNTIF(Products!$A$2:$A$8,C4611)=0,C4611,"")</f>
        <v/>
      </c>
      <c r="J4611">
        <f>IF(OR(E4611="Prospecting",E4611="Engaging"),VLOOKUP(C4611,Products!$A$2:$C$8,3,FALSE),0)</f>
        <v>0</v>
      </c>
    </row>
    <row r="4612" spans="1:10" x14ac:dyDescent="0.25">
      <c r="A4612" t="s">
        <v>4779</v>
      </c>
      <c r="B4612" t="s">
        <v>191</v>
      </c>
      <c r="C4612" t="s">
        <v>125</v>
      </c>
      <c r="D4612" t="s">
        <v>109</v>
      </c>
      <c r="E4612" t="s">
        <v>159</v>
      </c>
      <c r="F4612" s="1">
        <v>42924</v>
      </c>
      <c r="G4612" s="1">
        <v>43006</v>
      </c>
      <c r="H4612">
        <v>0</v>
      </c>
      <c r="I4612" t="str">
        <f>IF(COUNTIF(Products!$A$2:$A$8,C4612)=0,C4612,"")</f>
        <v/>
      </c>
      <c r="J4612">
        <f>IF(OR(E4612="Prospecting",E4612="Engaging"),VLOOKUP(C4612,Products!$A$2:$C$8,3,FALSE),0)</f>
        <v>0</v>
      </c>
    </row>
    <row r="4613" spans="1:10" x14ac:dyDescent="0.25">
      <c r="A4613" t="s">
        <v>4780</v>
      </c>
      <c r="B4613" t="s">
        <v>191</v>
      </c>
      <c r="C4613" t="s">
        <v>127</v>
      </c>
      <c r="D4613" t="s">
        <v>57</v>
      </c>
      <c r="E4613" t="s">
        <v>138</v>
      </c>
      <c r="F4613" s="1">
        <v>42924</v>
      </c>
      <c r="G4613" s="1">
        <v>42925</v>
      </c>
      <c r="H4613">
        <v>993</v>
      </c>
      <c r="I4613" t="str">
        <f>IF(COUNTIF(Products!$A$2:$A$8,C4613)=0,C4613,"")</f>
        <v/>
      </c>
      <c r="J4613">
        <f>IF(OR(E4613="Prospecting",E4613="Engaging"),VLOOKUP(C4613,Products!$A$2:$C$8,3,FALSE),0)</f>
        <v>0</v>
      </c>
    </row>
    <row r="4614" spans="1:10" x14ac:dyDescent="0.25">
      <c r="A4614" t="s">
        <v>4781</v>
      </c>
      <c r="B4614" t="s">
        <v>150</v>
      </c>
      <c r="C4614" t="s">
        <v>120</v>
      </c>
      <c r="D4614" t="s">
        <v>59</v>
      </c>
      <c r="E4614" t="s">
        <v>159</v>
      </c>
      <c r="F4614" s="1">
        <v>42924</v>
      </c>
      <c r="G4614" s="1">
        <v>42931</v>
      </c>
      <c r="H4614">
        <v>0</v>
      </c>
      <c r="I4614" t="str">
        <f>IF(COUNTIF(Products!$A$2:$A$8,C4614)=0,C4614,"")</f>
        <v/>
      </c>
      <c r="J4614">
        <f>IF(OR(E4614="Prospecting",E4614="Engaging"),VLOOKUP(C4614,Products!$A$2:$C$8,3,FALSE),0)</f>
        <v>0</v>
      </c>
    </row>
    <row r="4615" spans="1:10" x14ac:dyDescent="0.25">
      <c r="A4615" t="s">
        <v>4782</v>
      </c>
      <c r="B4615" t="s">
        <v>162</v>
      </c>
      <c r="C4615" t="s">
        <v>122</v>
      </c>
      <c r="D4615" t="s">
        <v>44</v>
      </c>
      <c r="E4615" t="s">
        <v>138</v>
      </c>
      <c r="F4615" s="1">
        <v>42924</v>
      </c>
      <c r="G4615" s="1">
        <v>42997</v>
      </c>
      <c r="H4615">
        <v>4642</v>
      </c>
      <c r="I4615" t="str">
        <f>IF(COUNTIF(Products!$A$2:$A$8,C4615)=0,C4615,"")</f>
        <v/>
      </c>
      <c r="J4615">
        <f>IF(OR(E4615="Prospecting",E4615="Engaging"),VLOOKUP(C4615,Products!$A$2:$C$8,3,FALSE),0)</f>
        <v>0</v>
      </c>
    </row>
    <row r="4616" spans="1:10" x14ac:dyDescent="0.25">
      <c r="A4616" t="s">
        <v>4783</v>
      </c>
      <c r="B4616" t="s">
        <v>193</v>
      </c>
      <c r="C4616" t="s">
        <v>122</v>
      </c>
      <c r="D4616" t="s">
        <v>105</v>
      </c>
      <c r="E4616" t="s">
        <v>159</v>
      </c>
      <c r="F4616" s="1">
        <v>42924</v>
      </c>
      <c r="G4616" s="1">
        <v>42933</v>
      </c>
      <c r="H4616">
        <v>0</v>
      </c>
      <c r="I4616" t="str">
        <f>IF(COUNTIF(Products!$A$2:$A$8,C4616)=0,C4616,"")</f>
        <v/>
      </c>
      <c r="J4616">
        <f>IF(OR(E4616="Prospecting",E4616="Engaging"),VLOOKUP(C4616,Products!$A$2:$C$8,3,FALSE),0)</f>
        <v>0</v>
      </c>
    </row>
    <row r="4617" spans="1:10" x14ac:dyDescent="0.25">
      <c r="A4617" t="s">
        <v>4784</v>
      </c>
      <c r="B4617" t="s">
        <v>193</v>
      </c>
      <c r="C4617" t="s">
        <v>122</v>
      </c>
      <c r="D4617" t="s">
        <v>67</v>
      </c>
      <c r="E4617" t="s">
        <v>138</v>
      </c>
      <c r="F4617" s="1">
        <v>42924</v>
      </c>
      <c r="G4617" s="1">
        <v>42931</v>
      </c>
      <c r="H4617">
        <v>4530</v>
      </c>
      <c r="I4617" t="str">
        <f>IF(COUNTIF(Products!$A$2:$A$8,C4617)=0,C4617,"")</f>
        <v/>
      </c>
      <c r="J4617">
        <f>IF(OR(E4617="Prospecting",E4617="Engaging"),VLOOKUP(C4617,Products!$A$2:$C$8,3,FALSE),0)</f>
        <v>0</v>
      </c>
    </row>
    <row r="4618" spans="1:10" x14ac:dyDescent="0.25">
      <c r="A4618" t="s">
        <v>4785</v>
      </c>
      <c r="B4618" t="s">
        <v>166</v>
      </c>
      <c r="C4618" t="s">
        <v>123</v>
      </c>
      <c r="D4618" t="s">
        <v>109</v>
      </c>
      <c r="E4618" t="s">
        <v>159</v>
      </c>
      <c r="F4618" s="1">
        <v>42924</v>
      </c>
      <c r="G4618" s="1">
        <v>42926</v>
      </c>
      <c r="H4618">
        <v>0</v>
      </c>
      <c r="I4618" t="str">
        <f>IF(COUNTIF(Products!$A$2:$A$8,C4618)=0,C4618,"")</f>
        <v/>
      </c>
      <c r="J4618">
        <f>IF(OR(E4618="Prospecting",E4618="Engaging"),VLOOKUP(C4618,Products!$A$2:$C$8,3,FALSE),0)</f>
        <v>0</v>
      </c>
    </row>
    <row r="4619" spans="1:10" x14ac:dyDescent="0.25">
      <c r="A4619" t="s">
        <v>4786</v>
      </c>
      <c r="B4619" t="s">
        <v>187</v>
      </c>
      <c r="C4619" t="s">
        <v>125</v>
      </c>
      <c r="D4619" t="s">
        <v>108</v>
      </c>
      <c r="E4619" t="s">
        <v>138</v>
      </c>
      <c r="F4619" s="1">
        <v>42924</v>
      </c>
      <c r="G4619" s="1">
        <v>42925</v>
      </c>
      <c r="H4619">
        <v>3569</v>
      </c>
      <c r="I4619" t="str">
        <f>IF(COUNTIF(Products!$A$2:$A$8,C4619)=0,C4619,"")</f>
        <v/>
      </c>
      <c r="J4619">
        <f>IF(OR(E4619="Prospecting",E4619="Engaging"),VLOOKUP(C4619,Products!$A$2:$C$8,3,FALSE),0)</f>
        <v>0</v>
      </c>
    </row>
    <row r="4620" spans="1:10" x14ac:dyDescent="0.25">
      <c r="A4620" t="s">
        <v>4787</v>
      </c>
      <c r="B4620" t="s">
        <v>148</v>
      </c>
      <c r="C4620" t="s">
        <v>125</v>
      </c>
      <c r="D4620" t="s">
        <v>61</v>
      </c>
      <c r="E4620" t="s">
        <v>138</v>
      </c>
      <c r="F4620" s="1">
        <v>42924</v>
      </c>
      <c r="G4620" s="1">
        <v>42978</v>
      </c>
      <c r="H4620">
        <v>3276</v>
      </c>
      <c r="I4620" t="str">
        <f>IF(COUNTIF(Products!$A$2:$A$8,C4620)=0,C4620,"")</f>
        <v/>
      </c>
      <c r="J4620">
        <f>IF(OR(E4620="Prospecting",E4620="Engaging"),VLOOKUP(C4620,Products!$A$2:$C$8,3,FALSE),0)</f>
        <v>0</v>
      </c>
    </row>
    <row r="4621" spans="1:10" x14ac:dyDescent="0.25">
      <c r="A4621" t="s">
        <v>4788</v>
      </c>
      <c r="B4621" t="s">
        <v>177</v>
      </c>
      <c r="C4621" t="s">
        <v>127</v>
      </c>
      <c r="E4621" t="s">
        <v>155</v>
      </c>
      <c r="F4621" s="1">
        <v>42924</v>
      </c>
      <c r="I4621" t="str">
        <f>IF(COUNTIF(Products!$A$2:$A$8,C4621)=0,C4621,"")</f>
        <v/>
      </c>
      <c r="J4621">
        <f>IF(OR(E4621="Prospecting",E4621="Engaging"),VLOOKUP(C4621,Products!$A$2:$C$8,3,FALSE),0)</f>
        <v>1096</v>
      </c>
    </row>
    <row r="4622" spans="1:10" x14ac:dyDescent="0.25">
      <c r="A4622" t="s">
        <v>4789</v>
      </c>
      <c r="B4622" t="s">
        <v>177</v>
      </c>
      <c r="C4622" t="s">
        <v>123</v>
      </c>
      <c r="D4622" t="s">
        <v>84</v>
      </c>
      <c r="E4622" t="s">
        <v>155</v>
      </c>
      <c r="F4622" s="1">
        <v>42924</v>
      </c>
      <c r="I4622" t="str">
        <f>IF(COUNTIF(Products!$A$2:$A$8,C4622)=0,C4622,"")</f>
        <v/>
      </c>
      <c r="J4622">
        <f>IF(OR(E4622="Prospecting",E4622="Engaging"),VLOOKUP(C4622,Products!$A$2:$C$8,3,FALSE),0)</f>
        <v>55</v>
      </c>
    </row>
    <row r="4623" spans="1:10" x14ac:dyDescent="0.25">
      <c r="A4623" t="s">
        <v>4790</v>
      </c>
      <c r="B4623" t="s">
        <v>177</v>
      </c>
      <c r="C4623" t="s">
        <v>125</v>
      </c>
      <c r="D4623" t="s">
        <v>73</v>
      </c>
      <c r="E4623" t="s">
        <v>159</v>
      </c>
      <c r="F4623" s="1">
        <v>42924</v>
      </c>
      <c r="G4623" s="1">
        <v>42926</v>
      </c>
      <c r="H4623">
        <v>0</v>
      </c>
      <c r="I4623" t="str">
        <f>IF(COUNTIF(Products!$A$2:$A$8,C4623)=0,C4623,"")</f>
        <v/>
      </c>
      <c r="J4623">
        <f>IF(OR(E4623="Prospecting",E4623="Engaging"),VLOOKUP(C4623,Products!$A$2:$C$8,3,FALSE),0)</f>
        <v>0</v>
      </c>
    </row>
    <row r="4624" spans="1:10" x14ac:dyDescent="0.25">
      <c r="A4624" t="s">
        <v>4791</v>
      </c>
      <c r="B4624" t="s">
        <v>144</v>
      </c>
      <c r="C4624" t="s">
        <v>120</v>
      </c>
      <c r="D4624" t="s">
        <v>44</v>
      </c>
      <c r="E4624" t="s">
        <v>159</v>
      </c>
      <c r="F4624" s="1">
        <v>42924</v>
      </c>
      <c r="G4624" s="1">
        <v>42932</v>
      </c>
      <c r="H4624">
        <v>0</v>
      </c>
      <c r="I4624" t="str">
        <f>IF(COUNTIF(Products!$A$2:$A$8,C4624)=0,C4624,"")</f>
        <v/>
      </c>
      <c r="J4624">
        <f>IF(OR(E4624="Prospecting",E4624="Engaging"),VLOOKUP(C4624,Products!$A$2:$C$8,3,FALSE),0)</f>
        <v>0</v>
      </c>
    </row>
    <row r="4625" spans="1:10" x14ac:dyDescent="0.25">
      <c r="A4625" t="s">
        <v>4792</v>
      </c>
      <c r="B4625" t="s">
        <v>144</v>
      </c>
      <c r="C4625" t="s">
        <v>127</v>
      </c>
      <c r="D4625" t="s">
        <v>57</v>
      </c>
      <c r="E4625" t="s">
        <v>159</v>
      </c>
      <c r="F4625" s="1">
        <v>42924</v>
      </c>
      <c r="G4625" s="1">
        <v>42932</v>
      </c>
      <c r="H4625">
        <v>0</v>
      </c>
      <c r="I4625" t="str">
        <f>IF(COUNTIF(Products!$A$2:$A$8,C4625)=0,C4625,"")</f>
        <v/>
      </c>
      <c r="J4625">
        <f>IF(OR(E4625="Prospecting",E4625="Engaging"),VLOOKUP(C4625,Products!$A$2:$C$8,3,FALSE),0)</f>
        <v>0</v>
      </c>
    </row>
    <row r="4626" spans="1:10" x14ac:dyDescent="0.25">
      <c r="A4626" t="s">
        <v>4793</v>
      </c>
      <c r="B4626" t="s">
        <v>144</v>
      </c>
      <c r="C4626" t="s">
        <v>126</v>
      </c>
      <c r="D4626" t="s">
        <v>34</v>
      </c>
      <c r="E4626" t="s">
        <v>159</v>
      </c>
      <c r="F4626" s="1">
        <v>42924</v>
      </c>
      <c r="G4626" s="1">
        <v>42933</v>
      </c>
      <c r="H4626">
        <v>0</v>
      </c>
      <c r="I4626" t="str">
        <f>IF(COUNTIF(Products!$A$2:$A$8,C4626)=0,C4626,"")</f>
        <v/>
      </c>
      <c r="J4626">
        <f>IF(OR(E4626="Prospecting",E4626="Engaging"),VLOOKUP(C4626,Products!$A$2:$C$8,3,FALSE),0)</f>
        <v>0</v>
      </c>
    </row>
    <row r="4627" spans="1:10" x14ac:dyDescent="0.25">
      <c r="A4627" t="s">
        <v>4794</v>
      </c>
      <c r="B4627" t="s">
        <v>144</v>
      </c>
      <c r="C4627" t="s">
        <v>126</v>
      </c>
      <c r="D4627" t="s">
        <v>87</v>
      </c>
      <c r="E4627" t="s">
        <v>159</v>
      </c>
      <c r="F4627" s="1">
        <v>42924</v>
      </c>
      <c r="G4627" s="1">
        <v>42931</v>
      </c>
      <c r="H4627">
        <v>0</v>
      </c>
      <c r="I4627" t="str">
        <f>IF(COUNTIF(Products!$A$2:$A$8,C4627)=0,C4627,"")</f>
        <v/>
      </c>
      <c r="J4627">
        <f>IF(OR(E4627="Prospecting",E4627="Engaging"),VLOOKUP(C4627,Products!$A$2:$C$8,3,FALSE),0)</f>
        <v>0</v>
      </c>
    </row>
    <row r="4628" spans="1:10" x14ac:dyDescent="0.25">
      <c r="A4628" t="s">
        <v>4795</v>
      </c>
      <c r="B4628" t="s">
        <v>144</v>
      </c>
      <c r="C4628" t="s">
        <v>122</v>
      </c>
      <c r="D4628" t="s">
        <v>60</v>
      </c>
      <c r="E4628" t="s">
        <v>159</v>
      </c>
      <c r="F4628" s="1">
        <v>42924</v>
      </c>
      <c r="G4628" s="1">
        <v>43048</v>
      </c>
      <c r="H4628">
        <v>0</v>
      </c>
      <c r="I4628" t="str">
        <f>IF(COUNTIF(Products!$A$2:$A$8,C4628)=0,C4628,"")</f>
        <v/>
      </c>
      <c r="J4628">
        <f>IF(OR(E4628="Prospecting",E4628="Engaging"),VLOOKUP(C4628,Products!$A$2:$C$8,3,FALSE),0)</f>
        <v>0</v>
      </c>
    </row>
    <row r="4629" spans="1:10" x14ac:dyDescent="0.25">
      <c r="A4629" t="s">
        <v>4796</v>
      </c>
      <c r="B4629" t="s">
        <v>144</v>
      </c>
      <c r="C4629" t="s">
        <v>126</v>
      </c>
      <c r="D4629" t="s">
        <v>67</v>
      </c>
      <c r="E4629" t="s">
        <v>138</v>
      </c>
      <c r="F4629" s="1">
        <v>42924</v>
      </c>
      <c r="G4629" s="1">
        <v>42933</v>
      </c>
      <c r="H4629">
        <v>5576</v>
      </c>
      <c r="I4629" t="str">
        <f>IF(COUNTIF(Products!$A$2:$A$8,C4629)=0,C4629,"")</f>
        <v/>
      </c>
      <c r="J4629">
        <f>IF(OR(E4629="Prospecting",E4629="Engaging"),VLOOKUP(C4629,Products!$A$2:$C$8,3,FALSE),0)</f>
        <v>0</v>
      </c>
    </row>
    <row r="4630" spans="1:10" x14ac:dyDescent="0.25">
      <c r="A4630" t="s">
        <v>4797</v>
      </c>
      <c r="B4630" t="s">
        <v>146</v>
      </c>
      <c r="C4630" t="s">
        <v>120</v>
      </c>
      <c r="D4630" t="s">
        <v>51</v>
      </c>
      <c r="E4630" t="s">
        <v>138</v>
      </c>
      <c r="F4630" s="1">
        <v>42925</v>
      </c>
      <c r="G4630" s="1">
        <v>42994</v>
      </c>
      <c r="H4630">
        <v>460</v>
      </c>
      <c r="I4630" t="str">
        <f>IF(COUNTIF(Products!$A$2:$A$8,C4630)=0,C4630,"")</f>
        <v/>
      </c>
      <c r="J4630">
        <f>IF(OR(E4630="Prospecting",E4630="Engaging"),VLOOKUP(C4630,Products!$A$2:$C$8,3,FALSE),0)</f>
        <v>0</v>
      </c>
    </row>
    <row r="4631" spans="1:10" x14ac:dyDescent="0.25">
      <c r="A4631" t="s">
        <v>4798</v>
      </c>
      <c r="B4631" t="s">
        <v>222</v>
      </c>
      <c r="C4631" t="s">
        <v>120</v>
      </c>
      <c r="D4631" t="s">
        <v>111</v>
      </c>
      <c r="E4631" t="s">
        <v>138</v>
      </c>
      <c r="F4631" s="1">
        <v>42925</v>
      </c>
      <c r="G4631" s="1">
        <v>42932</v>
      </c>
      <c r="H4631">
        <v>457</v>
      </c>
      <c r="I4631" t="str">
        <f>IF(COUNTIF(Products!$A$2:$A$8,C4631)=0,C4631,"")</f>
        <v/>
      </c>
      <c r="J4631">
        <f>IF(OR(E4631="Prospecting",E4631="Engaging"),VLOOKUP(C4631,Products!$A$2:$C$8,3,FALSE),0)</f>
        <v>0</v>
      </c>
    </row>
    <row r="4632" spans="1:10" x14ac:dyDescent="0.25">
      <c r="A4632" t="s">
        <v>4799</v>
      </c>
      <c r="B4632" t="s">
        <v>207</v>
      </c>
      <c r="C4632" t="s">
        <v>126</v>
      </c>
      <c r="E4632" t="s">
        <v>155</v>
      </c>
      <c r="F4632" s="1">
        <v>42925</v>
      </c>
      <c r="I4632" t="str">
        <f>IF(COUNTIF(Products!$A$2:$A$8,C4632)=0,C4632,"")</f>
        <v/>
      </c>
      <c r="J4632">
        <f>IF(OR(E4632="Prospecting",E4632="Engaging"),VLOOKUP(C4632,Products!$A$2:$C$8,3,FALSE),0)</f>
        <v>5482</v>
      </c>
    </row>
    <row r="4633" spans="1:10" x14ac:dyDescent="0.25">
      <c r="A4633" t="s">
        <v>4800</v>
      </c>
      <c r="B4633" t="s">
        <v>207</v>
      </c>
      <c r="C4633" t="s">
        <v>125</v>
      </c>
      <c r="D4633" t="s">
        <v>92</v>
      </c>
      <c r="E4633" t="s">
        <v>159</v>
      </c>
      <c r="F4633" s="1">
        <v>42925</v>
      </c>
      <c r="G4633" s="1">
        <v>42931</v>
      </c>
      <c r="H4633">
        <v>0</v>
      </c>
      <c r="I4633" t="str">
        <f>IF(COUNTIF(Products!$A$2:$A$8,C4633)=0,C4633,"")</f>
        <v/>
      </c>
      <c r="J4633">
        <f>IF(OR(E4633="Prospecting",E4633="Engaging"),VLOOKUP(C4633,Products!$A$2:$C$8,3,FALSE),0)</f>
        <v>0</v>
      </c>
    </row>
    <row r="4634" spans="1:10" x14ac:dyDescent="0.25">
      <c r="A4634" t="s">
        <v>4801</v>
      </c>
      <c r="B4634" t="s">
        <v>239</v>
      </c>
      <c r="C4634" t="s">
        <v>120</v>
      </c>
      <c r="D4634" t="s">
        <v>50</v>
      </c>
      <c r="E4634" t="s">
        <v>138</v>
      </c>
      <c r="F4634" s="1">
        <v>42925</v>
      </c>
      <c r="G4634" s="1">
        <v>42926</v>
      </c>
      <c r="H4634">
        <v>665</v>
      </c>
      <c r="I4634" t="str">
        <f>IF(COUNTIF(Products!$A$2:$A$8,C4634)=0,C4634,"")</f>
        <v/>
      </c>
      <c r="J4634">
        <f>IF(OR(E4634="Prospecting",E4634="Engaging"),VLOOKUP(C4634,Products!$A$2:$C$8,3,FALSE),0)</f>
        <v>0</v>
      </c>
    </row>
    <row r="4635" spans="1:10" x14ac:dyDescent="0.25">
      <c r="A4635" t="s">
        <v>4802</v>
      </c>
      <c r="B4635" t="s">
        <v>239</v>
      </c>
      <c r="C4635" t="s">
        <v>127</v>
      </c>
      <c r="D4635" t="s">
        <v>111</v>
      </c>
      <c r="E4635" t="s">
        <v>138</v>
      </c>
      <c r="F4635" s="1">
        <v>42925</v>
      </c>
      <c r="G4635" s="1">
        <v>42931</v>
      </c>
      <c r="H4635">
        <v>1122</v>
      </c>
      <c r="I4635" t="str">
        <f>IF(COUNTIF(Products!$A$2:$A$8,C4635)=0,C4635,"")</f>
        <v/>
      </c>
      <c r="J4635">
        <f>IF(OR(E4635="Prospecting",E4635="Engaging"),VLOOKUP(C4635,Products!$A$2:$C$8,3,FALSE),0)</f>
        <v>0</v>
      </c>
    </row>
    <row r="4636" spans="1:10" x14ac:dyDescent="0.25">
      <c r="A4636" t="s">
        <v>4803</v>
      </c>
      <c r="B4636" t="s">
        <v>239</v>
      </c>
      <c r="C4636" t="s">
        <v>126</v>
      </c>
      <c r="D4636" t="s">
        <v>105</v>
      </c>
      <c r="E4636" t="s">
        <v>138</v>
      </c>
      <c r="F4636" s="1">
        <v>42925</v>
      </c>
      <c r="G4636" s="1">
        <v>42934</v>
      </c>
      <c r="H4636">
        <v>5578</v>
      </c>
      <c r="I4636" t="str">
        <f>IF(COUNTIF(Products!$A$2:$A$8,C4636)=0,C4636,"")</f>
        <v/>
      </c>
      <c r="J4636">
        <f>IF(OR(E4636="Prospecting",E4636="Engaging"),VLOOKUP(C4636,Products!$A$2:$C$8,3,FALSE),0)</f>
        <v>0</v>
      </c>
    </row>
    <row r="4637" spans="1:10" x14ac:dyDescent="0.25">
      <c r="A4637" t="s">
        <v>4804</v>
      </c>
      <c r="B4637" t="s">
        <v>171</v>
      </c>
      <c r="C4637" t="s">
        <v>122</v>
      </c>
      <c r="D4637" t="s">
        <v>12</v>
      </c>
      <c r="E4637" t="s">
        <v>155</v>
      </c>
      <c r="F4637" s="1">
        <v>42925</v>
      </c>
      <c r="I4637" t="str">
        <f>IF(COUNTIF(Products!$A$2:$A$8,C4637)=0,C4637,"")</f>
        <v/>
      </c>
      <c r="J4637">
        <f>IF(OR(E4637="Prospecting",E4637="Engaging"),VLOOKUP(C4637,Products!$A$2:$C$8,3,FALSE),0)</f>
        <v>4821</v>
      </c>
    </row>
    <row r="4638" spans="1:10" x14ac:dyDescent="0.25">
      <c r="A4638" t="s">
        <v>4805</v>
      </c>
      <c r="B4638" t="s">
        <v>140</v>
      </c>
      <c r="C4638" t="s">
        <v>120</v>
      </c>
      <c r="D4638" t="s">
        <v>89</v>
      </c>
      <c r="E4638" t="s">
        <v>138</v>
      </c>
      <c r="F4638" s="1">
        <v>42925</v>
      </c>
      <c r="G4638" s="1">
        <v>42986</v>
      </c>
      <c r="H4638">
        <v>460</v>
      </c>
      <c r="I4638" t="str">
        <f>IF(COUNTIF(Products!$A$2:$A$8,C4638)=0,C4638,"")</f>
        <v/>
      </c>
      <c r="J4638">
        <f>IF(OR(E4638="Prospecting",E4638="Engaging"),VLOOKUP(C4638,Products!$A$2:$C$8,3,FALSE),0)</f>
        <v>0</v>
      </c>
    </row>
    <row r="4639" spans="1:10" x14ac:dyDescent="0.25">
      <c r="A4639" t="s">
        <v>4806</v>
      </c>
      <c r="B4639" t="s">
        <v>224</v>
      </c>
      <c r="C4639" t="s">
        <v>127</v>
      </c>
      <c r="D4639" t="s">
        <v>37</v>
      </c>
      <c r="E4639" t="s">
        <v>138</v>
      </c>
      <c r="F4639" s="1">
        <v>42925</v>
      </c>
      <c r="G4639" s="1">
        <v>42978</v>
      </c>
      <c r="H4639">
        <v>1133</v>
      </c>
      <c r="I4639" t="str">
        <f>IF(COUNTIF(Products!$A$2:$A$8,C4639)=0,C4639,"")</f>
        <v/>
      </c>
      <c r="J4639">
        <f>IF(OR(E4639="Prospecting",E4639="Engaging"),VLOOKUP(C4639,Products!$A$2:$C$8,3,FALSE),0)</f>
        <v>0</v>
      </c>
    </row>
    <row r="4640" spans="1:10" x14ac:dyDescent="0.25">
      <c r="A4640" t="s">
        <v>4807</v>
      </c>
      <c r="B4640" t="s">
        <v>224</v>
      </c>
      <c r="C4640" t="s">
        <v>127</v>
      </c>
      <c r="D4640" t="s">
        <v>50</v>
      </c>
      <c r="E4640" t="s">
        <v>138</v>
      </c>
      <c r="F4640" s="1">
        <v>42925</v>
      </c>
      <c r="G4640" s="1">
        <v>42996</v>
      </c>
      <c r="H4640">
        <v>1194</v>
      </c>
      <c r="I4640" t="str">
        <f>IF(COUNTIF(Products!$A$2:$A$8,C4640)=0,C4640,"")</f>
        <v/>
      </c>
      <c r="J4640">
        <f>IF(OR(E4640="Prospecting",E4640="Engaging"),VLOOKUP(C4640,Products!$A$2:$C$8,3,FALSE),0)</f>
        <v>0</v>
      </c>
    </row>
    <row r="4641" spans="1:10" x14ac:dyDescent="0.25">
      <c r="A4641" t="s">
        <v>4808</v>
      </c>
      <c r="B4641" t="s">
        <v>224</v>
      </c>
      <c r="C4641" t="s">
        <v>126</v>
      </c>
      <c r="D4641" t="s">
        <v>110</v>
      </c>
      <c r="E4641" t="s">
        <v>138</v>
      </c>
      <c r="F4641" s="1">
        <v>42925</v>
      </c>
      <c r="G4641" s="1">
        <v>42994</v>
      </c>
      <c r="H4641">
        <v>5861</v>
      </c>
      <c r="I4641" t="str">
        <f>IF(COUNTIF(Products!$A$2:$A$8,C4641)=0,C4641,"")</f>
        <v/>
      </c>
      <c r="J4641">
        <f>IF(OR(E4641="Prospecting",E4641="Engaging"),VLOOKUP(C4641,Products!$A$2:$C$8,3,FALSE),0)</f>
        <v>0</v>
      </c>
    </row>
    <row r="4642" spans="1:10" x14ac:dyDescent="0.25">
      <c r="A4642" t="s">
        <v>4809</v>
      </c>
      <c r="B4642" t="s">
        <v>173</v>
      </c>
      <c r="C4642" t="s">
        <v>127</v>
      </c>
      <c r="E4642" t="s">
        <v>155</v>
      </c>
      <c r="F4642" s="1">
        <v>42925</v>
      </c>
      <c r="I4642" t="str">
        <f>IF(COUNTIF(Products!$A$2:$A$8,C4642)=0,C4642,"")</f>
        <v/>
      </c>
      <c r="J4642">
        <f>IF(OR(E4642="Prospecting",E4642="Engaging"),VLOOKUP(C4642,Products!$A$2:$C$8,3,FALSE),0)</f>
        <v>1096</v>
      </c>
    </row>
    <row r="4643" spans="1:10" x14ac:dyDescent="0.25">
      <c r="A4643" t="s">
        <v>4810</v>
      </c>
      <c r="B4643" t="s">
        <v>158</v>
      </c>
      <c r="C4643" t="s">
        <v>120</v>
      </c>
      <c r="D4643" t="s">
        <v>36</v>
      </c>
      <c r="E4643" t="s">
        <v>159</v>
      </c>
      <c r="F4643" s="1">
        <v>42925</v>
      </c>
      <c r="G4643" s="1">
        <v>42933</v>
      </c>
      <c r="H4643">
        <v>0</v>
      </c>
      <c r="I4643" t="str">
        <f>IF(COUNTIF(Products!$A$2:$A$8,C4643)=0,C4643,"")</f>
        <v/>
      </c>
      <c r="J4643">
        <f>IF(OR(E4643="Prospecting",E4643="Engaging"),VLOOKUP(C4643,Products!$A$2:$C$8,3,FALSE),0)</f>
        <v>0</v>
      </c>
    </row>
    <row r="4644" spans="1:10" x14ac:dyDescent="0.25">
      <c r="A4644" t="s">
        <v>4811</v>
      </c>
      <c r="B4644" t="s">
        <v>158</v>
      </c>
      <c r="C4644" t="s">
        <v>127</v>
      </c>
      <c r="D4644" t="s">
        <v>94</v>
      </c>
      <c r="E4644" t="s">
        <v>138</v>
      </c>
      <c r="F4644" s="1">
        <v>42925</v>
      </c>
      <c r="G4644" s="1">
        <v>42975</v>
      </c>
      <c r="H4644">
        <v>1194</v>
      </c>
      <c r="I4644" t="str">
        <f>IF(COUNTIF(Products!$A$2:$A$8,C4644)=0,C4644,"")</f>
        <v/>
      </c>
      <c r="J4644">
        <f>IF(OR(E4644="Prospecting",E4644="Engaging"),VLOOKUP(C4644,Products!$A$2:$C$8,3,FALSE),0)</f>
        <v>0</v>
      </c>
    </row>
    <row r="4645" spans="1:10" x14ac:dyDescent="0.25">
      <c r="A4645" t="s">
        <v>4812</v>
      </c>
      <c r="B4645" t="s">
        <v>158</v>
      </c>
      <c r="C4645" t="s">
        <v>122</v>
      </c>
      <c r="D4645" t="s">
        <v>46</v>
      </c>
      <c r="E4645" t="s">
        <v>138</v>
      </c>
      <c r="F4645" s="1">
        <v>42925</v>
      </c>
      <c r="G4645" s="1">
        <v>42927</v>
      </c>
      <c r="H4645">
        <v>4440</v>
      </c>
      <c r="I4645" t="str">
        <f>IF(COUNTIF(Products!$A$2:$A$8,C4645)=0,C4645,"")</f>
        <v/>
      </c>
      <c r="J4645">
        <f>IF(OR(E4645="Prospecting",E4645="Engaging"),VLOOKUP(C4645,Products!$A$2:$C$8,3,FALSE),0)</f>
        <v>0</v>
      </c>
    </row>
    <row r="4646" spans="1:10" x14ac:dyDescent="0.25">
      <c r="A4646" t="s">
        <v>4813</v>
      </c>
      <c r="B4646" t="s">
        <v>303</v>
      </c>
      <c r="C4646" t="s">
        <v>123</v>
      </c>
      <c r="D4646" t="s">
        <v>22</v>
      </c>
      <c r="E4646" t="s">
        <v>138</v>
      </c>
      <c r="F4646" s="1">
        <v>42925</v>
      </c>
      <c r="G4646" s="1">
        <v>42935</v>
      </c>
      <c r="H4646">
        <v>53</v>
      </c>
      <c r="I4646" t="str">
        <f>IF(COUNTIF(Products!$A$2:$A$8,C4646)=0,C4646,"")</f>
        <v/>
      </c>
      <c r="J4646">
        <f>IF(OR(E4646="Prospecting",E4646="Engaging"),VLOOKUP(C4646,Products!$A$2:$C$8,3,FALSE),0)</f>
        <v>0</v>
      </c>
    </row>
    <row r="4647" spans="1:10" x14ac:dyDescent="0.25">
      <c r="A4647" t="s">
        <v>4814</v>
      </c>
      <c r="B4647" t="s">
        <v>180</v>
      </c>
      <c r="C4647" t="s">
        <v>120</v>
      </c>
      <c r="D4647" t="s">
        <v>41</v>
      </c>
      <c r="E4647" t="s">
        <v>159</v>
      </c>
      <c r="F4647" s="1">
        <v>42925</v>
      </c>
      <c r="G4647" s="1">
        <v>42930</v>
      </c>
      <c r="H4647">
        <v>0</v>
      </c>
      <c r="I4647" t="str">
        <f>IF(COUNTIF(Products!$A$2:$A$8,C4647)=0,C4647,"")</f>
        <v/>
      </c>
      <c r="J4647">
        <f>IF(OR(E4647="Prospecting",E4647="Engaging"),VLOOKUP(C4647,Products!$A$2:$C$8,3,FALSE),0)</f>
        <v>0</v>
      </c>
    </row>
    <row r="4648" spans="1:10" x14ac:dyDescent="0.25">
      <c r="A4648" t="s">
        <v>4815</v>
      </c>
      <c r="B4648" t="s">
        <v>217</v>
      </c>
      <c r="C4648" t="s">
        <v>127</v>
      </c>
      <c r="D4648" t="s">
        <v>32</v>
      </c>
      <c r="E4648" t="s">
        <v>138</v>
      </c>
      <c r="F4648" s="1">
        <v>42925</v>
      </c>
      <c r="G4648" s="1">
        <v>42929</v>
      </c>
      <c r="H4648">
        <v>1192</v>
      </c>
      <c r="I4648" t="str">
        <f>IF(COUNTIF(Products!$A$2:$A$8,C4648)=0,C4648,"")</f>
        <v/>
      </c>
      <c r="J4648">
        <f>IF(OR(E4648="Prospecting",E4648="Engaging"),VLOOKUP(C4648,Products!$A$2:$C$8,3,FALSE),0)</f>
        <v>0</v>
      </c>
    </row>
    <row r="4649" spans="1:10" x14ac:dyDescent="0.25">
      <c r="A4649" t="s">
        <v>4816</v>
      </c>
      <c r="B4649" t="s">
        <v>205</v>
      </c>
      <c r="C4649" t="s">
        <v>123</v>
      </c>
      <c r="D4649" t="s">
        <v>28</v>
      </c>
      <c r="E4649" t="s">
        <v>138</v>
      </c>
      <c r="F4649" s="1">
        <v>42925</v>
      </c>
      <c r="G4649" s="1">
        <v>42979</v>
      </c>
      <c r="H4649">
        <v>54</v>
      </c>
      <c r="I4649" t="str">
        <f>IF(COUNTIF(Products!$A$2:$A$8,C4649)=0,C4649,"")</f>
        <v/>
      </c>
      <c r="J4649">
        <f>IF(OR(E4649="Prospecting",E4649="Engaging"),VLOOKUP(C4649,Products!$A$2:$C$8,3,FALSE),0)</f>
        <v>0</v>
      </c>
    </row>
    <row r="4650" spans="1:10" x14ac:dyDescent="0.25">
      <c r="A4650" t="s">
        <v>4817</v>
      </c>
      <c r="B4650" t="s">
        <v>137</v>
      </c>
      <c r="C4650" t="s">
        <v>125</v>
      </c>
      <c r="D4650" t="s">
        <v>88</v>
      </c>
      <c r="E4650" t="s">
        <v>159</v>
      </c>
      <c r="F4650" s="1">
        <v>42925</v>
      </c>
      <c r="G4650" s="1">
        <v>42929</v>
      </c>
      <c r="H4650">
        <v>0</v>
      </c>
      <c r="I4650" t="str">
        <f>IF(COUNTIF(Products!$A$2:$A$8,C4650)=0,C4650,"")</f>
        <v/>
      </c>
      <c r="J4650">
        <f>IF(OR(E4650="Prospecting",E4650="Engaging"),VLOOKUP(C4650,Products!$A$2:$C$8,3,FALSE),0)</f>
        <v>0</v>
      </c>
    </row>
    <row r="4651" spans="1:10" x14ac:dyDescent="0.25">
      <c r="A4651" t="s">
        <v>4818</v>
      </c>
      <c r="B4651" t="s">
        <v>137</v>
      </c>
      <c r="C4651" t="s">
        <v>126</v>
      </c>
      <c r="D4651" t="s">
        <v>77</v>
      </c>
      <c r="E4651" t="s">
        <v>138</v>
      </c>
      <c r="F4651" s="1">
        <v>42925</v>
      </c>
      <c r="G4651" s="1">
        <v>42934</v>
      </c>
      <c r="H4651">
        <v>4651</v>
      </c>
      <c r="I4651" t="str">
        <f>IF(COUNTIF(Products!$A$2:$A$8,C4651)=0,C4651,"")</f>
        <v/>
      </c>
      <c r="J4651">
        <f>IF(OR(E4651="Prospecting",E4651="Engaging"),VLOOKUP(C4651,Products!$A$2:$C$8,3,FALSE),0)</f>
        <v>0</v>
      </c>
    </row>
    <row r="4652" spans="1:10" x14ac:dyDescent="0.25">
      <c r="A4652" t="s">
        <v>4819</v>
      </c>
      <c r="B4652" t="s">
        <v>152</v>
      </c>
      <c r="C4652" t="s">
        <v>126</v>
      </c>
      <c r="D4652" t="s">
        <v>85</v>
      </c>
      <c r="E4652" t="s">
        <v>159</v>
      </c>
      <c r="F4652" s="1">
        <v>42925</v>
      </c>
      <c r="G4652" s="1">
        <v>42935</v>
      </c>
      <c r="H4652">
        <v>0</v>
      </c>
      <c r="I4652" t="str">
        <f>IF(COUNTIF(Products!$A$2:$A$8,C4652)=0,C4652,"")</f>
        <v/>
      </c>
      <c r="J4652">
        <f>IF(OR(E4652="Prospecting",E4652="Engaging"),VLOOKUP(C4652,Products!$A$2:$C$8,3,FALSE),0)</f>
        <v>0</v>
      </c>
    </row>
    <row r="4653" spans="1:10" x14ac:dyDescent="0.25">
      <c r="A4653" t="s">
        <v>4820</v>
      </c>
      <c r="B4653" t="s">
        <v>152</v>
      </c>
      <c r="C4653" t="s">
        <v>126</v>
      </c>
      <c r="D4653" t="s">
        <v>12</v>
      </c>
      <c r="E4653" t="s">
        <v>138</v>
      </c>
      <c r="F4653" s="1">
        <v>42925</v>
      </c>
      <c r="G4653" s="1">
        <v>43002</v>
      </c>
      <c r="H4653">
        <v>5944</v>
      </c>
      <c r="I4653" t="str">
        <f>IF(COUNTIF(Products!$A$2:$A$8,C4653)=0,C4653,"")</f>
        <v/>
      </c>
      <c r="J4653">
        <f>IF(OR(E4653="Prospecting",E4653="Engaging"),VLOOKUP(C4653,Products!$A$2:$C$8,3,FALSE),0)</f>
        <v>0</v>
      </c>
    </row>
    <row r="4654" spans="1:10" x14ac:dyDescent="0.25">
      <c r="A4654" t="s">
        <v>4821</v>
      </c>
      <c r="B4654" t="s">
        <v>193</v>
      </c>
      <c r="C4654" t="s">
        <v>125</v>
      </c>
      <c r="D4654" t="s">
        <v>50</v>
      </c>
      <c r="E4654" t="s">
        <v>159</v>
      </c>
      <c r="F4654" s="1">
        <v>42925</v>
      </c>
      <c r="G4654" s="1">
        <v>42933</v>
      </c>
      <c r="H4654">
        <v>0</v>
      </c>
      <c r="I4654" t="str">
        <f>IF(COUNTIF(Products!$A$2:$A$8,C4654)=0,C4654,"")</f>
        <v/>
      </c>
      <c r="J4654">
        <f>IF(OR(E4654="Prospecting",E4654="Engaging"),VLOOKUP(C4654,Products!$A$2:$C$8,3,FALSE),0)</f>
        <v>0</v>
      </c>
    </row>
    <row r="4655" spans="1:10" x14ac:dyDescent="0.25">
      <c r="A4655" t="s">
        <v>4822</v>
      </c>
      <c r="B4655" t="s">
        <v>166</v>
      </c>
      <c r="C4655" t="s">
        <v>122</v>
      </c>
      <c r="D4655" t="s">
        <v>95</v>
      </c>
      <c r="E4655" t="s">
        <v>155</v>
      </c>
      <c r="F4655" s="1">
        <v>42925</v>
      </c>
      <c r="I4655" t="str">
        <f>IF(COUNTIF(Products!$A$2:$A$8,C4655)=0,C4655,"")</f>
        <v/>
      </c>
      <c r="J4655">
        <f>IF(OR(E4655="Prospecting",E4655="Engaging"),VLOOKUP(C4655,Products!$A$2:$C$8,3,FALSE),0)</f>
        <v>4821</v>
      </c>
    </row>
    <row r="4656" spans="1:10" x14ac:dyDescent="0.25">
      <c r="A4656" t="s">
        <v>4823</v>
      </c>
      <c r="B4656" t="s">
        <v>166</v>
      </c>
      <c r="C4656" t="s">
        <v>125</v>
      </c>
      <c r="E4656" t="s">
        <v>155</v>
      </c>
      <c r="F4656" s="1">
        <v>42925</v>
      </c>
      <c r="I4656" t="str">
        <f>IF(COUNTIF(Products!$A$2:$A$8,C4656)=0,C4656,"")</f>
        <v/>
      </c>
      <c r="J4656">
        <f>IF(OR(E4656="Prospecting",E4656="Engaging"),VLOOKUP(C4656,Products!$A$2:$C$8,3,FALSE),0)</f>
        <v>3393</v>
      </c>
    </row>
    <row r="4657" spans="1:10" x14ac:dyDescent="0.25">
      <c r="A4657" t="s">
        <v>4824</v>
      </c>
      <c r="B4657" t="s">
        <v>148</v>
      </c>
      <c r="C4657" t="s">
        <v>125</v>
      </c>
      <c r="D4657" t="s">
        <v>57</v>
      </c>
      <c r="E4657" t="s">
        <v>159</v>
      </c>
      <c r="F4657" s="1">
        <v>42925</v>
      </c>
      <c r="G4657" s="1">
        <v>42933</v>
      </c>
      <c r="H4657">
        <v>0</v>
      </c>
      <c r="I4657" t="str">
        <f>IF(COUNTIF(Products!$A$2:$A$8,C4657)=0,C4657,"")</f>
        <v/>
      </c>
      <c r="J4657">
        <f>IF(OR(E4657="Prospecting",E4657="Engaging"),VLOOKUP(C4657,Products!$A$2:$C$8,3,FALSE),0)</f>
        <v>0</v>
      </c>
    </row>
    <row r="4658" spans="1:10" x14ac:dyDescent="0.25">
      <c r="A4658" t="s">
        <v>4825</v>
      </c>
      <c r="B4658" t="s">
        <v>144</v>
      </c>
      <c r="C4658" t="s">
        <v>122</v>
      </c>
      <c r="E4658" t="s">
        <v>155</v>
      </c>
      <c r="F4658" s="1">
        <v>42925</v>
      </c>
      <c r="I4658" t="str">
        <f>IF(COUNTIF(Products!$A$2:$A$8,C4658)=0,C4658,"")</f>
        <v/>
      </c>
      <c r="J4658">
        <f>IF(OR(E4658="Prospecting",E4658="Engaging"),VLOOKUP(C4658,Products!$A$2:$C$8,3,FALSE),0)</f>
        <v>4821</v>
      </c>
    </row>
    <row r="4659" spans="1:10" x14ac:dyDescent="0.25">
      <c r="A4659" t="s">
        <v>4826</v>
      </c>
      <c r="B4659" t="s">
        <v>146</v>
      </c>
      <c r="C4659" t="s">
        <v>127</v>
      </c>
      <c r="D4659" t="s">
        <v>33</v>
      </c>
      <c r="E4659" t="s">
        <v>138</v>
      </c>
      <c r="F4659" s="1">
        <v>42926</v>
      </c>
      <c r="G4659" s="1">
        <v>42933</v>
      </c>
      <c r="H4659">
        <v>962</v>
      </c>
      <c r="I4659" t="str">
        <f>IF(COUNTIF(Products!$A$2:$A$8,C4659)=0,C4659,"")</f>
        <v/>
      </c>
      <c r="J4659">
        <f>IF(OR(E4659="Prospecting",E4659="Engaging"),VLOOKUP(C4659,Products!$A$2:$C$8,3,FALSE),0)</f>
        <v>0</v>
      </c>
    </row>
    <row r="4660" spans="1:10" x14ac:dyDescent="0.25">
      <c r="A4660" t="s">
        <v>4827</v>
      </c>
      <c r="B4660" t="s">
        <v>222</v>
      </c>
      <c r="C4660" t="s">
        <v>127</v>
      </c>
      <c r="D4660" t="s">
        <v>92</v>
      </c>
      <c r="E4660" t="s">
        <v>138</v>
      </c>
      <c r="F4660" s="1">
        <v>42926</v>
      </c>
      <c r="G4660" s="1">
        <v>42937</v>
      </c>
      <c r="H4660">
        <v>1063</v>
      </c>
      <c r="I4660" t="str">
        <f>IF(COUNTIF(Products!$A$2:$A$8,C4660)=0,C4660,"")</f>
        <v/>
      </c>
      <c r="J4660">
        <f>IF(OR(E4660="Prospecting",E4660="Engaging"),VLOOKUP(C4660,Products!$A$2:$C$8,3,FALSE),0)</f>
        <v>0</v>
      </c>
    </row>
    <row r="4661" spans="1:10" x14ac:dyDescent="0.25">
      <c r="A4661" t="s">
        <v>4828</v>
      </c>
      <c r="B4661" t="s">
        <v>207</v>
      </c>
      <c r="C4661" t="s">
        <v>125</v>
      </c>
      <c r="D4661" t="s">
        <v>112</v>
      </c>
      <c r="E4661" t="s">
        <v>159</v>
      </c>
      <c r="F4661" s="1">
        <v>42926</v>
      </c>
      <c r="G4661" s="1">
        <v>42939</v>
      </c>
      <c r="H4661">
        <v>0</v>
      </c>
      <c r="I4661" t="str">
        <f>IF(COUNTIF(Products!$A$2:$A$8,C4661)=0,C4661,"")</f>
        <v/>
      </c>
      <c r="J4661">
        <f>IF(OR(E4661="Prospecting",E4661="Engaging"),VLOOKUP(C4661,Products!$A$2:$C$8,3,FALSE),0)</f>
        <v>0</v>
      </c>
    </row>
    <row r="4662" spans="1:10" x14ac:dyDescent="0.25">
      <c r="A4662" t="s">
        <v>4829</v>
      </c>
      <c r="B4662" t="s">
        <v>264</v>
      </c>
      <c r="C4662" t="s">
        <v>120</v>
      </c>
      <c r="D4662" t="s">
        <v>55</v>
      </c>
      <c r="E4662" t="s">
        <v>159</v>
      </c>
      <c r="F4662" s="1">
        <v>42926</v>
      </c>
      <c r="G4662" s="1">
        <v>42939</v>
      </c>
      <c r="H4662">
        <v>0</v>
      </c>
      <c r="I4662" t="str">
        <f>IF(COUNTIF(Products!$A$2:$A$8,C4662)=0,C4662,"")</f>
        <v/>
      </c>
      <c r="J4662">
        <f>IF(OR(E4662="Prospecting",E4662="Engaging"),VLOOKUP(C4662,Products!$A$2:$C$8,3,FALSE),0)</f>
        <v>0</v>
      </c>
    </row>
    <row r="4663" spans="1:10" x14ac:dyDescent="0.25">
      <c r="A4663" t="s">
        <v>4830</v>
      </c>
      <c r="B4663" t="s">
        <v>140</v>
      </c>
      <c r="C4663" t="s">
        <v>127</v>
      </c>
      <c r="D4663" t="s">
        <v>22</v>
      </c>
      <c r="E4663" t="s">
        <v>159</v>
      </c>
      <c r="F4663" s="1">
        <v>42926</v>
      </c>
      <c r="G4663" s="1">
        <v>42928</v>
      </c>
      <c r="H4663">
        <v>0</v>
      </c>
      <c r="I4663" t="str">
        <f>IF(COUNTIF(Products!$A$2:$A$8,C4663)=0,C4663,"")</f>
        <v/>
      </c>
      <c r="J4663">
        <f>IF(OR(E4663="Prospecting",E4663="Engaging"),VLOOKUP(C4663,Products!$A$2:$C$8,3,FALSE),0)</f>
        <v>0</v>
      </c>
    </row>
    <row r="4664" spans="1:10" x14ac:dyDescent="0.25">
      <c r="A4664" t="s">
        <v>4831</v>
      </c>
      <c r="B4664" t="s">
        <v>140</v>
      </c>
      <c r="C4664" t="s">
        <v>123</v>
      </c>
      <c r="D4664" t="s">
        <v>96</v>
      </c>
      <c r="E4664" t="s">
        <v>159</v>
      </c>
      <c r="F4664" s="1">
        <v>42926</v>
      </c>
      <c r="G4664" s="1">
        <v>42933</v>
      </c>
      <c r="H4664">
        <v>0</v>
      </c>
      <c r="I4664" t="str">
        <f>IF(COUNTIF(Products!$A$2:$A$8,C4664)=0,C4664,"")</f>
        <v/>
      </c>
      <c r="J4664">
        <f>IF(OR(E4664="Prospecting",E4664="Engaging"),VLOOKUP(C4664,Products!$A$2:$C$8,3,FALSE),0)</f>
        <v>0</v>
      </c>
    </row>
    <row r="4665" spans="1:10" x14ac:dyDescent="0.25">
      <c r="A4665" t="s">
        <v>4832</v>
      </c>
      <c r="B4665" t="s">
        <v>140</v>
      </c>
      <c r="C4665" t="s">
        <v>125</v>
      </c>
      <c r="D4665" t="s">
        <v>33</v>
      </c>
      <c r="E4665" t="s">
        <v>138</v>
      </c>
      <c r="F4665" s="1">
        <v>42926</v>
      </c>
      <c r="G4665" s="1">
        <v>42981</v>
      </c>
      <c r="H4665">
        <v>2572</v>
      </c>
      <c r="I4665" t="str">
        <f>IF(COUNTIF(Products!$A$2:$A$8,C4665)=0,C4665,"")</f>
        <v/>
      </c>
      <c r="J4665">
        <f>IF(OR(E4665="Prospecting",E4665="Engaging"),VLOOKUP(C4665,Products!$A$2:$C$8,3,FALSE),0)</f>
        <v>0</v>
      </c>
    </row>
    <row r="4666" spans="1:10" x14ac:dyDescent="0.25">
      <c r="A4666" t="s">
        <v>4833</v>
      </c>
      <c r="B4666" t="s">
        <v>158</v>
      </c>
      <c r="C4666" t="s">
        <v>122</v>
      </c>
      <c r="D4666" t="s">
        <v>53</v>
      </c>
      <c r="E4666" t="s">
        <v>159</v>
      </c>
      <c r="F4666" s="1">
        <v>42926</v>
      </c>
      <c r="G4666" s="1">
        <v>42927</v>
      </c>
      <c r="H4666">
        <v>0</v>
      </c>
      <c r="I4666" t="str">
        <f>IF(COUNTIF(Products!$A$2:$A$8,C4666)=0,C4666,"")</f>
        <v/>
      </c>
      <c r="J4666">
        <f>IF(OR(E4666="Prospecting",E4666="Engaging"),VLOOKUP(C4666,Products!$A$2:$C$8,3,FALSE),0)</f>
        <v>0</v>
      </c>
    </row>
    <row r="4667" spans="1:10" x14ac:dyDescent="0.25">
      <c r="A4667" t="s">
        <v>4834</v>
      </c>
      <c r="B4667" t="s">
        <v>158</v>
      </c>
      <c r="C4667" t="s">
        <v>122</v>
      </c>
      <c r="D4667" t="s">
        <v>77</v>
      </c>
      <c r="E4667" t="s">
        <v>138</v>
      </c>
      <c r="F4667" s="1">
        <v>42926</v>
      </c>
      <c r="G4667" s="1">
        <v>42934</v>
      </c>
      <c r="H4667">
        <v>4631</v>
      </c>
      <c r="I4667" t="str">
        <f>IF(COUNTIF(Products!$A$2:$A$8,C4667)=0,C4667,"")</f>
        <v/>
      </c>
      <c r="J4667">
        <f>IF(OR(E4667="Prospecting",E4667="Engaging"),VLOOKUP(C4667,Products!$A$2:$C$8,3,FALSE),0)</f>
        <v>0</v>
      </c>
    </row>
    <row r="4668" spans="1:10" x14ac:dyDescent="0.25">
      <c r="A4668" t="s">
        <v>4835</v>
      </c>
      <c r="B4668" t="s">
        <v>158</v>
      </c>
      <c r="C4668" t="s">
        <v>125</v>
      </c>
      <c r="D4668" t="s">
        <v>64</v>
      </c>
      <c r="E4668" t="s">
        <v>138</v>
      </c>
      <c r="F4668" s="1">
        <v>42926</v>
      </c>
      <c r="G4668" s="1">
        <v>42935</v>
      </c>
      <c r="H4668">
        <v>3230</v>
      </c>
      <c r="I4668" t="str">
        <f>IF(COUNTIF(Products!$A$2:$A$8,C4668)=0,C4668,"")</f>
        <v/>
      </c>
      <c r="J4668">
        <f>IF(OR(E4668="Prospecting",E4668="Engaging"),VLOOKUP(C4668,Products!$A$2:$C$8,3,FALSE),0)</f>
        <v>0</v>
      </c>
    </row>
    <row r="4669" spans="1:10" x14ac:dyDescent="0.25">
      <c r="A4669" t="s">
        <v>4836</v>
      </c>
      <c r="B4669" t="s">
        <v>164</v>
      </c>
      <c r="C4669" t="s">
        <v>123</v>
      </c>
      <c r="D4669" t="s">
        <v>27</v>
      </c>
      <c r="E4669" t="s">
        <v>138</v>
      </c>
      <c r="F4669" s="1">
        <v>42926</v>
      </c>
      <c r="G4669" s="1">
        <v>42935</v>
      </c>
      <c r="H4669">
        <v>59</v>
      </c>
      <c r="I4669" t="str">
        <f>IF(COUNTIF(Products!$A$2:$A$8,C4669)=0,C4669,"")</f>
        <v/>
      </c>
      <c r="J4669">
        <f>IF(OR(E4669="Prospecting",E4669="Engaging"),VLOOKUP(C4669,Products!$A$2:$C$8,3,FALSE),0)</f>
        <v>0</v>
      </c>
    </row>
    <row r="4670" spans="1:10" x14ac:dyDescent="0.25">
      <c r="A4670" t="s">
        <v>4837</v>
      </c>
      <c r="B4670" t="s">
        <v>154</v>
      </c>
      <c r="C4670" t="s">
        <v>125</v>
      </c>
      <c r="D4670" t="s">
        <v>71</v>
      </c>
      <c r="E4670" t="s">
        <v>138</v>
      </c>
      <c r="F4670" s="1">
        <v>42926</v>
      </c>
      <c r="G4670" s="1">
        <v>43042</v>
      </c>
      <c r="H4670">
        <v>3624</v>
      </c>
      <c r="I4670" t="str">
        <f>IF(COUNTIF(Products!$A$2:$A$8,C4670)=0,C4670,"")</f>
        <v/>
      </c>
      <c r="J4670">
        <f>IF(OR(E4670="Prospecting",E4670="Engaging"),VLOOKUP(C4670,Products!$A$2:$C$8,3,FALSE),0)</f>
        <v>0</v>
      </c>
    </row>
    <row r="4671" spans="1:10" x14ac:dyDescent="0.25">
      <c r="A4671" t="s">
        <v>4838</v>
      </c>
      <c r="B4671" t="s">
        <v>180</v>
      </c>
      <c r="C4671" t="s">
        <v>127</v>
      </c>
      <c r="D4671" t="s">
        <v>71</v>
      </c>
      <c r="E4671" t="s">
        <v>159</v>
      </c>
      <c r="F4671" s="1">
        <v>42926</v>
      </c>
      <c r="G4671" s="1">
        <v>43050</v>
      </c>
      <c r="H4671">
        <v>0</v>
      </c>
      <c r="I4671" t="str">
        <f>IF(COUNTIF(Products!$A$2:$A$8,C4671)=0,C4671,"")</f>
        <v/>
      </c>
      <c r="J4671">
        <f>IF(OR(E4671="Prospecting",E4671="Engaging"),VLOOKUP(C4671,Products!$A$2:$C$8,3,FALSE),0)</f>
        <v>0</v>
      </c>
    </row>
    <row r="4672" spans="1:10" x14ac:dyDescent="0.25">
      <c r="A4672" t="s">
        <v>4839</v>
      </c>
      <c r="B4672" t="s">
        <v>180</v>
      </c>
      <c r="C4672" t="s">
        <v>122</v>
      </c>
      <c r="D4672" t="s">
        <v>47</v>
      </c>
      <c r="E4672" t="s">
        <v>159</v>
      </c>
      <c r="F4672" s="1">
        <v>42926</v>
      </c>
      <c r="G4672" s="1">
        <v>42928</v>
      </c>
      <c r="H4672">
        <v>0</v>
      </c>
      <c r="I4672" t="str">
        <f>IF(COUNTIF(Products!$A$2:$A$8,C4672)=0,C4672,"")</f>
        <v/>
      </c>
      <c r="J4672">
        <f>IF(OR(E4672="Prospecting",E4672="Engaging"),VLOOKUP(C4672,Products!$A$2:$C$8,3,FALSE),0)</f>
        <v>0</v>
      </c>
    </row>
    <row r="4673" spans="1:10" x14ac:dyDescent="0.25">
      <c r="A4673" t="s">
        <v>4840</v>
      </c>
      <c r="B4673" t="s">
        <v>180</v>
      </c>
      <c r="C4673" t="s">
        <v>126</v>
      </c>
      <c r="D4673" t="s">
        <v>60</v>
      </c>
      <c r="E4673" t="s">
        <v>138</v>
      </c>
      <c r="F4673" s="1">
        <v>42926</v>
      </c>
      <c r="G4673" s="1">
        <v>43000</v>
      </c>
      <c r="H4673">
        <v>5848</v>
      </c>
      <c r="I4673" t="str">
        <f>IF(COUNTIF(Products!$A$2:$A$8,C4673)=0,C4673,"")</f>
        <v/>
      </c>
      <c r="J4673">
        <f>IF(OR(E4673="Prospecting",E4673="Engaging"),VLOOKUP(C4673,Products!$A$2:$C$8,3,FALSE),0)</f>
        <v>0</v>
      </c>
    </row>
    <row r="4674" spans="1:10" x14ac:dyDescent="0.25">
      <c r="A4674" t="s">
        <v>4841</v>
      </c>
      <c r="B4674" t="s">
        <v>180</v>
      </c>
      <c r="C4674" t="s">
        <v>123</v>
      </c>
      <c r="D4674" t="s">
        <v>29</v>
      </c>
      <c r="E4674" t="s">
        <v>138</v>
      </c>
      <c r="F4674" s="1">
        <v>42926</v>
      </c>
      <c r="G4674" s="1">
        <v>42927</v>
      </c>
      <c r="H4674">
        <v>42</v>
      </c>
      <c r="I4674" t="str">
        <f>IF(COUNTIF(Products!$A$2:$A$8,C4674)=0,C4674,"")</f>
        <v/>
      </c>
      <c r="J4674">
        <f>IF(OR(E4674="Prospecting",E4674="Engaging"),VLOOKUP(C4674,Products!$A$2:$C$8,3,FALSE),0)</f>
        <v>0</v>
      </c>
    </row>
    <row r="4675" spans="1:10" x14ac:dyDescent="0.25">
      <c r="A4675" t="s">
        <v>4842</v>
      </c>
      <c r="B4675" t="s">
        <v>191</v>
      </c>
      <c r="C4675" t="s">
        <v>126</v>
      </c>
      <c r="D4675" t="s">
        <v>100</v>
      </c>
      <c r="E4675" t="s">
        <v>159</v>
      </c>
      <c r="F4675" s="1">
        <v>42926</v>
      </c>
      <c r="G4675" s="1">
        <v>42928</v>
      </c>
      <c r="H4675">
        <v>0</v>
      </c>
      <c r="I4675" t="str">
        <f>IF(COUNTIF(Products!$A$2:$A$8,C4675)=0,C4675,"")</f>
        <v/>
      </c>
      <c r="J4675">
        <f>IF(OR(E4675="Prospecting",E4675="Engaging"),VLOOKUP(C4675,Products!$A$2:$C$8,3,FALSE),0)</f>
        <v>0</v>
      </c>
    </row>
    <row r="4676" spans="1:10" x14ac:dyDescent="0.25">
      <c r="A4676" t="s">
        <v>4843</v>
      </c>
      <c r="B4676" t="s">
        <v>191</v>
      </c>
      <c r="C4676" t="s">
        <v>122</v>
      </c>
      <c r="D4676" t="s">
        <v>75</v>
      </c>
      <c r="E4676" t="s">
        <v>159</v>
      </c>
      <c r="F4676" s="1">
        <v>42926</v>
      </c>
      <c r="G4676" s="1">
        <v>42933</v>
      </c>
      <c r="H4676">
        <v>0</v>
      </c>
      <c r="I4676" t="str">
        <f>IF(COUNTIF(Products!$A$2:$A$8,C4676)=0,C4676,"")</f>
        <v/>
      </c>
      <c r="J4676">
        <f>IF(OR(E4676="Prospecting",E4676="Engaging"),VLOOKUP(C4676,Products!$A$2:$C$8,3,FALSE),0)</f>
        <v>0</v>
      </c>
    </row>
    <row r="4677" spans="1:10" x14ac:dyDescent="0.25">
      <c r="A4677" t="s">
        <v>4844</v>
      </c>
      <c r="B4677" t="s">
        <v>150</v>
      </c>
      <c r="C4677" t="s">
        <v>126</v>
      </c>
      <c r="D4677" t="s">
        <v>60</v>
      </c>
      <c r="E4677" t="s">
        <v>159</v>
      </c>
      <c r="F4677" s="1">
        <v>42926</v>
      </c>
      <c r="G4677" s="1">
        <v>42976</v>
      </c>
      <c r="H4677">
        <v>0</v>
      </c>
      <c r="I4677" t="str">
        <f>IF(COUNTIF(Products!$A$2:$A$8,C4677)=0,C4677,"")</f>
        <v/>
      </c>
      <c r="J4677">
        <f>IF(OR(E4677="Prospecting",E4677="Engaging"),VLOOKUP(C4677,Products!$A$2:$C$8,3,FALSE),0)</f>
        <v>0</v>
      </c>
    </row>
    <row r="4678" spans="1:10" x14ac:dyDescent="0.25">
      <c r="A4678" t="s">
        <v>4845</v>
      </c>
      <c r="B4678" t="s">
        <v>205</v>
      </c>
      <c r="C4678" t="s">
        <v>125</v>
      </c>
      <c r="D4678" t="s">
        <v>85</v>
      </c>
      <c r="E4678" t="s">
        <v>159</v>
      </c>
      <c r="F4678" s="1">
        <v>42926</v>
      </c>
      <c r="G4678" s="1">
        <v>42928</v>
      </c>
      <c r="H4678">
        <v>0</v>
      </c>
      <c r="I4678" t="str">
        <f>IF(COUNTIF(Products!$A$2:$A$8,C4678)=0,C4678,"")</f>
        <v/>
      </c>
      <c r="J4678">
        <f>IF(OR(E4678="Prospecting",E4678="Engaging"),VLOOKUP(C4678,Products!$A$2:$C$8,3,FALSE),0)</f>
        <v>0</v>
      </c>
    </row>
    <row r="4679" spans="1:10" x14ac:dyDescent="0.25">
      <c r="A4679" t="s">
        <v>4846</v>
      </c>
      <c r="B4679" t="s">
        <v>137</v>
      </c>
      <c r="C4679" t="s">
        <v>123</v>
      </c>
      <c r="D4679" t="s">
        <v>22</v>
      </c>
      <c r="E4679" t="s">
        <v>159</v>
      </c>
      <c r="F4679" s="1">
        <v>42926</v>
      </c>
      <c r="G4679" s="1">
        <v>42937</v>
      </c>
      <c r="H4679">
        <v>0</v>
      </c>
      <c r="I4679" t="str">
        <f>IF(COUNTIF(Products!$A$2:$A$8,C4679)=0,C4679,"")</f>
        <v/>
      </c>
      <c r="J4679">
        <f>IF(OR(E4679="Prospecting",E4679="Engaging"),VLOOKUP(C4679,Products!$A$2:$C$8,3,FALSE),0)</f>
        <v>0</v>
      </c>
    </row>
    <row r="4680" spans="1:10" x14ac:dyDescent="0.25">
      <c r="A4680" t="s">
        <v>4847</v>
      </c>
      <c r="B4680" t="s">
        <v>137</v>
      </c>
      <c r="C4680" t="s">
        <v>120</v>
      </c>
      <c r="D4680" t="s">
        <v>64</v>
      </c>
      <c r="E4680" t="s">
        <v>138</v>
      </c>
      <c r="F4680" s="1">
        <v>42926</v>
      </c>
      <c r="G4680" s="1">
        <v>42935</v>
      </c>
      <c r="H4680">
        <v>588</v>
      </c>
      <c r="I4680" t="str">
        <f>IF(COUNTIF(Products!$A$2:$A$8,C4680)=0,C4680,"")</f>
        <v/>
      </c>
      <c r="J4680">
        <f>IF(OR(E4680="Prospecting",E4680="Engaging"),VLOOKUP(C4680,Products!$A$2:$C$8,3,FALSE),0)</f>
        <v>0</v>
      </c>
    </row>
    <row r="4681" spans="1:10" x14ac:dyDescent="0.25">
      <c r="A4681" t="s">
        <v>4848</v>
      </c>
      <c r="B4681" t="s">
        <v>193</v>
      </c>
      <c r="C4681" t="s">
        <v>127</v>
      </c>
      <c r="D4681" t="s">
        <v>112</v>
      </c>
      <c r="E4681" t="s">
        <v>159</v>
      </c>
      <c r="F4681" s="1">
        <v>42926</v>
      </c>
      <c r="G4681" s="1">
        <v>42934</v>
      </c>
      <c r="H4681">
        <v>0</v>
      </c>
      <c r="I4681" t="str">
        <f>IF(COUNTIF(Products!$A$2:$A$8,C4681)=0,C4681,"")</f>
        <v/>
      </c>
      <c r="J4681">
        <f>IF(OR(E4681="Prospecting",E4681="Engaging"),VLOOKUP(C4681,Products!$A$2:$C$8,3,FALSE),0)</f>
        <v>0</v>
      </c>
    </row>
    <row r="4682" spans="1:10" x14ac:dyDescent="0.25">
      <c r="A4682" t="s">
        <v>4849</v>
      </c>
      <c r="B4682" t="s">
        <v>193</v>
      </c>
      <c r="C4682" t="s">
        <v>123</v>
      </c>
      <c r="D4682" t="s">
        <v>110</v>
      </c>
      <c r="E4682" t="s">
        <v>138</v>
      </c>
      <c r="F4682" s="1">
        <v>42926</v>
      </c>
      <c r="G4682" s="1">
        <v>42933</v>
      </c>
      <c r="H4682">
        <v>54</v>
      </c>
      <c r="I4682" t="str">
        <f>IF(COUNTIF(Products!$A$2:$A$8,C4682)=0,C4682,"")</f>
        <v/>
      </c>
      <c r="J4682">
        <f>IF(OR(E4682="Prospecting",E4682="Engaging"),VLOOKUP(C4682,Products!$A$2:$C$8,3,FALSE),0)</f>
        <v>0</v>
      </c>
    </row>
    <row r="4683" spans="1:10" x14ac:dyDescent="0.25">
      <c r="A4683" t="s">
        <v>4850</v>
      </c>
      <c r="B4683" t="s">
        <v>187</v>
      </c>
      <c r="C4683" t="s">
        <v>122</v>
      </c>
      <c r="E4683" t="s">
        <v>155</v>
      </c>
      <c r="F4683" s="1">
        <v>42926</v>
      </c>
      <c r="I4683" t="str">
        <f>IF(COUNTIF(Products!$A$2:$A$8,C4683)=0,C4683,"")</f>
        <v/>
      </c>
      <c r="J4683">
        <f>IF(OR(E4683="Prospecting",E4683="Engaging"),VLOOKUP(C4683,Products!$A$2:$C$8,3,FALSE),0)</f>
        <v>4821</v>
      </c>
    </row>
    <row r="4684" spans="1:10" x14ac:dyDescent="0.25">
      <c r="A4684" t="s">
        <v>4851</v>
      </c>
      <c r="B4684" t="s">
        <v>148</v>
      </c>
      <c r="C4684" t="s">
        <v>122</v>
      </c>
      <c r="D4684" t="s">
        <v>93</v>
      </c>
      <c r="E4684" t="s">
        <v>138</v>
      </c>
      <c r="F4684" s="1">
        <v>42926</v>
      </c>
      <c r="G4684" s="1">
        <v>42984</v>
      </c>
      <c r="H4684">
        <v>5099</v>
      </c>
      <c r="I4684" t="str">
        <f>IF(COUNTIF(Products!$A$2:$A$8,C4684)=0,C4684,"")</f>
        <v/>
      </c>
      <c r="J4684">
        <f>IF(OR(E4684="Prospecting",E4684="Engaging"),VLOOKUP(C4684,Products!$A$2:$C$8,3,FALSE),0)</f>
        <v>0</v>
      </c>
    </row>
    <row r="4685" spans="1:10" x14ac:dyDescent="0.25">
      <c r="A4685" t="s">
        <v>4852</v>
      </c>
      <c r="B4685" t="s">
        <v>177</v>
      </c>
      <c r="C4685" t="s">
        <v>120</v>
      </c>
      <c r="E4685" t="s">
        <v>155</v>
      </c>
      <c r="F4685" s="1">
        <v>42926</v>
      </c>
      <c r="I4685" t="str">
        <f>IF(COUNTIF(Products!$A$2:$A$8,C4685)=0,C4685,"")</f>
        <v/>
      </c>
      <c r="J4685">
        <f>IF(OR(E4685="Prospecting",E4685="Engaging"),VLOOKUP(C4685,Products!$A$2:$C$8,3,FALSE),0)</f>
        <v>550</v>
      </c>
    </row>
    <row r="4686" spans="1:10" x14ac:dyDescent="0.25">
      <c r="A4686" t="s">
        <v>4853</v>
      </c>
      <c r="B4686" t="s">
        <v>144</v>
      </c>
      <c r="C4686" t="s">
        <v>126</v>
      </c>
      <c r="D4686" t="s">
        <v>82</v>
      </c>
      <c r="E4686" t="s">
        <v>159</v>
      </c>
      <c r="F4686" s="1">
        <v>42926</v>
      </c>
      <c r="G4686" s="1">
        <v>42931</v>
      </c>
      <c r="H4686">
        <v>0</v>
      </c>
      <c r="I4686" t="str">
        <f>IF(COUNTIF(Products!$A$2:$A$8,C4686)=0,C4686,"")</f>
        <v/>
      </c>
      <c r="J4686">
        <f>IF(OR(E4686="Prospecting",E4686="Engaging"),VLOOKUP(C4686,Products!$A$2:$C$8,3,FALSE),0)</f>
        <v>0</v>
      </c>
    </row>
    <row r="4687" spans="1:10" x14ac:dyDescent="0.25">
      <c r="A4687" t="s">
        <v>4854</v>
      </c>
      <c r="B4687" t="s">
        <v>222</v>
      </c>
      <c r="C4687" t="s">
        <v>125</v>
      </c>
      <c r="D4687" t="s">
        <v>69</v>
      </c>
      <c r="E4687" t="s">
        <v>159</v>
      </c>
      <c r="F4687" s="1">
        <v>42927</v>
      </c>
      <c r="G4687" s="1">
        <v>42937</v>
      </c>
      <c r="H4687">
        <v>0</v>
      </c>
      <c r="I4687" t="str">
        <f>IF(COUNTIF(Products!$A$2:$A$8,C4687)=0,C4687,"")</f>
        <v/>
      </c>
      <c r="J4687">
        <f>IF(OR(E4687="Prospecting",E4687="Engaging"),VLOOKUP(C4687,Products!$A$2:$C$8,3,FALSE),0)</f>
        <v>0</v>
      </c>
    </row>
    <row r="4688" spans="1:10" x14ac:dyDescent="0.25">
      <c r="A4688" t="s">
        <v>4855</v>
      </c>
      <c r="B4688" t="s">
        <v>207</v>
      </c>
      <c r="C4688" t="s">
        <v>126</v>
      </c>
      <c r="E4688" t="s">
        <v>155</v>
      </c>
      <c r="F4688" s="1">
        <v>42927</v>
      </c>
      <c r="I4688" t="str">
        <f>IF(COUNTIF(Products!$A$2:$A$8,C4688)=0,C4688,"")</f>
        <v/>
      </c>
      <c r="J4688">
        <f>IF(OR(E4688="Prospecting",E4688="Engaging"),VLOOKUP(C4688,Products!$A$2:$C$8,3,FALSE),0)</f>
        <v>5482</v>
      </c>
    </row>
    <row r="4689" spans="1:10" x14ac:dyDescent="0.25">
      <c r="A4689" t="s">
        <v>4856</v>
      </c>
      <c r="B4689" t="s">
        <v>264</v>
      </c>
      <c r="C4689" t="s">
        <v>120</v>
      </c>
      <c r="D4689" t="s">
        <v>91</v>
      </c>
      <c r="E4689" t="s">
        <v>159</v>
      </c>
      <c r="F4689" s="1">
        <v>42927</v>
      </c>
      <c r="G4689" s="1">
        <v>42994</v>
      </c>
      <c r="H4689">
        <v>0</v>
      </c>
      <c r="I4689" t="str">
        <f>IF(COUNTIF(Products!$A$2:$A$8,C4689)=0,C4689,"")</f>
        <v/>
      </c>
      <c r="J4689">
        <f>IF(OR(E4689="Prospecting",E4689="Engaging"),VLOOKUP(C4689,Products!$A$2:$C$8,3,FALSE),0)</f>
        <v>0</v>
      </c>
    </row>
    <row r="4690" spans="1:10" x14ac:dyDescent="0.25">
      <c r="A4690" t="s">
        <v>4857</v>
      </c>
      <c r="B4690" t="s">
        <v>264</v>
      </c>
      <c r="C4690" t="s">
        <v>127</v>
      </c>
      <c r="D4690" t="s">
        <v>104</v>
      </c>
      <c r="E4690" t="s">
        <v>159</v>
      </c>
      <c r="F4690" s="1">
        <v>42927</v>
      </c>
      <c r="G4690" s="1">
        <v>42929</v>
      </c>
      <c r="H4690">
        <v>0</v>
      </c>
      <c r="I4690" t="str">
        <f>IF(COUNTIF(Products!$A$2:$A$8,C4690)=0,C4690,"")</f>
        <v/>
      </c>
      <c r="J4690">
        <f>IF(OR(E4690="Prospecting",E4690="Engaging"),VLOOKUP(C4690,Products!$A$2:$C$8,3,FALSE),0)</f>
        <v>0</v>
      </c>
    </row>
    <row r="4691" spans="1:10" x14ac:dyDescent="0.25">
      <c r="A4691" t="s">
        <v>4858</v>
      </c>
      <c r="B4691" t="s">
        <v>239</v>
      </c>
      <c r="C4691" t="s">
        <v>125</v>
      </c>
      <c r="D4691" t="s">
        <v>92</v>
      </c>
      <c r="E4691" t="s">
        <v>159</v>
      </c>
      <c r="F4691" s="1">
        <v>42927</v>
      </c>
      <c r="G4691" s="1">
        <v>42929</v>
      </c>
      <c r="H4691">
        <v>0</v>
      </c>
      <c r="I4691" t="str">
        <f>IF(COUNTIF(Products!$A$2:$A$8,C4691)=0,C4691,"")</f>
        <v/>
      </c>
      <c r="J4691">
        <f>IF(OR(E4691="Prospecting",E4691="Engaging"),VLOOKUP(C4691,Products!$A$2:$C$8,3,FALSE),0)</f>
        <v>0</v>
      </c>
    </row>
    <row r="4692" spans="1:10" x14ac:dyDescent="0.25">
      <c r="A4692" t="s">
        <v>4859</v>
      </c>
      <c r="B4692" t="s">
        <v>171</v>
      </c>
      <c r="C4692" t="s">
        <v>122</v>
      </c>
      <c r="D4692" t="s">
        <v>92</v>
      </c>
      <c r="E4692" t="s">
        <v>159</v>
      </c>
      <c r="F4692" s="1">
        <v>42927</v>
      </c>
      <c r="G4692" s="1">
        <v>42965</v>
      </c>
      <c r="H4692">
        <v>0</v>
      </c>
      <c r="I4692" t="str">
        <f>IF(COUNTIF(Products!$A$2:$A$8,C4692)=0,C4692,"")</f>
        <v/>
      </c>
      <c r="J4692">
        <f>IF(OR(E4692="Prospecting",E4692="Engaging"),VLOOKUP(C4692,Products!$A$2:$C$8,3,FALSE),0)</f>
        <v>0</v>
      </c>
    </row>
    <row r="4693" spans="1:10" x14ac:dyDescent="0.25">
      <c r="A4693" t="s">
        <v>4860</v>
      </c>
      <c r="B4693" t="s">
        <v>171</v>
      </c>
      <c r="C4693" t="s">
        <v>126</v>
      </c>
      <c r="D4693" t="s">
        <v>63</v>
      </c>
      <c r="E4693" t="s">
        <v>138</v>
      </c>
      <c r="F4693" s="1">
        <v>42927</v>
      </c>
      <c r="G4693" s="1">
        <v>42935</v>
      </c>
      <c r="H4693">
        <v>4881</v>
      </c>
      <c r="I4693" t="str">
        <f>IF(COUNTIF(Products!$A$2:$A$8,C4693)=0,C4693,"")</f>
        <v/>
      </c>
      <c r="J4693">
        <f>IF(OR(E4693="Prospecting",E4693="Engaging"),VLOOKUP(C4693,Products!$A$2:$C$8,3,FALSE),0)</f>
        <v>0</v>
      </c>
    </row>
    <row r="4694" spans="1:10" x14ac:dyDescent="0.25">
      <c r="A4694" t="s">
        <v>4861</v>
      </c>
      <c r="B4694" t="s">
        <v>140</v>
      </c>
      <c r="C4694" t="s">
        <v>120</v>
      </c>
      <c r="D4694" t="s">
        <v>14</v>
      </c>
      <c r="E4694" t="s">
        <v>159</v>
      </c>
      <c r="F4694" s="1">
        <v>42927</v>
      </c>
      <c r="G4694" s="1">
        <v>43048</v>
      </c>
      <c r="H4694">
        <v>0</v>
      </c>
      <c r="I4694" t="str">
        <f>IF(COUNTIF(Products!$A$2:$A$8,C4694)=0,C4694,"")</f>
        <v/>
      </c>
      <c r="J4694">
        <f>IF(OR(E4694="Prospecting",E4694="Engaging"),VLOOKUP(C4694,Products!$A$2:$C$8,3,FALSE),0)</f>
        <v>0</v>
      </c>
    </row>
    <row r="4695" spans="1:10" x14ac:dyDescent="0.25">
      <c r="A4695" t="s">
        <v>4862</v>
      </c>
      <c r="B4695" t="s">
        <v>140</v>
      </c>
      <c r="C4695" t="s">
        <v>122</v>
      </c>
      <c r="D4695" t="s">
        <v>26</v>
      </c>
      <c r="E4695" t="s">
        <v>159</v>
      </c>
      <c r="F4695" s="1">
        <v>42927</v>
      </c>
      <c r="G4695" s="1">
        <v>42928</v>
      </c>
      <c r="H4695">
        <v>0</v>
      </c>
      <c r="I4695" t="str">
        <f>IF(COUNTIF(Products!$A$2:$A$8,C4695)=0,C4695,"")</f>
        <v/>
      </c>
      <c r="J4695">
        <f>IF(OR(E4695="Prospecting",E4695="Engaging"),VLOOKUP(C4695,Products!$A$2:$C$8,3,FALSE),0)</f>
        <v>0</v>
      </c>
    </row>
    <row r="4696" spans="1:10" x14ac:dyDescent="0.25">
      <c r="A4696" t="s">
        <v>4863</v>
      </c>
      <c r="B4696" t="s">
        <v>140</v>
      </c>
      <c r="C4696" t="s">
        <v>122</v>
      </c>
      <c r="D4696" t="s">
        <v>94</v>
      </c>
      <c r="E4696" t="s">
        <v>159</v>
      </c>
      <c r="F4696" s="1">
        <v>42927</v>
      </c>
      <c r="G4696" s="1">
        <v>42934</v>
      </c>
      <c r="H4696">
        <v>0</v>
      </c>
      <c r="I4696" t="str">
        <f>IF(COUNTIF(Products!$A$2:$A$8,C4696)=0,C4696,"")</f>
        <v/>
      </c>
      <c r="J4696">
        <f>IF(OR(E4696="Prospecting",E4696="Engaging"),VLOOKUP(C4696,Products!$A$2:$C$8,3,FALSE),0)</f>
        <v>0</v>
      </c>
    </row>
    <row r="4697" spans="1:10" x14ac:dyDescent="0.25">
      <c r="A4697" t="s">
        <v>4864</v>
      </c>
      <c r="B4697" t="s">
        <v>158</v>
      </c>
      <c r="C4697" t="s">
        <v>125</v>
      </c>
      <c r="D4697" t="s">
        <v>51</v>
      </c>
      <c r="E4697" t="s">
        <v>138</v>
      </c>
      <c r="F4697" s="1">
        <v>42927</v>
      </c>
      <c r="G4697" s="1">
        <v>42928</v>
      </c>
      <c r="H4697">
        <v>2878</v>
      </c>
      <c r="I4697" t="str">
        <f>IF(COUNTIF(Products!$A$2:$A$8,C4697)=0,C4697,"")</f>
        <v/>
      </c>
      <c r="J4697">
        <f>IF(OR(E4697="Prospecting",E4697="Engaging"),VLOOKUP(C4697,Products!$A$2:$C$8,3,FALSE),0)</f>
        <v>0</v>
      </c>
    </row>
    <row r="4698" spans="1:10" x14ac:dyDescent="0.25">
      <c r="A4698" t="s">
        <v>4865</v>
      </c>
      <c r="B4698" t="s">
        <v>164</v>
      </c>
      <c r="C4698" t="s">
        <v>123</v>
      </c>
      <c r="D4698" t="s">
        <v>107</v>
      </c>
      <c r="E4698" t="s">
        <v>159</v>
      </c>
      <c r="F4698" s="1">
        <v>42927</v>
      </c>
      <c r="G4698" s="1">
        <v>42928</v>
      </c>
      <c r="H4698">
        <v>0</v>
      </c>
      <c r="I4698" t="str">
        <f>IF(COUNTIF(Products!$A$2:$A$8,C4698)=0,C4698,"")</f>
        <v/>
      </c>
      <c r="J4698">
        <f>IF(OR(E4698="Prospecting",E4698="Engaging"),VLOOKUP(C4698,Products!$A$2:$C$8,3,FALSE),0)</f>
        <v>0</v>
      </c>
    </row>
    <row r="4699" spans="1:10" x14ac:dyDescent="0.25">
      <c r="A4699" t="s">
        <v>4866</v>
      </c>
      <c r="B4699" t="s">
        <v>164</v>
      </c>
      <c r="C4699" t="s">
        <v>125</v>
      </c>
      <c r="D4699" t="s">
        <v>44</v>
      </c>
      <c r="E4699" t="s">
        <v>138</v>
      </c>
      <c r="F4699" s="1">
        <v>42927</v>
      </c>
      <c r="G4699" s="1">
        <v>42986</v>
      </c>
      <c r="H4699">
        <v>3121</v>
      </c>
      <c r="I4699" t="str">
        <f>IF(COUNTIF(Products!$A$2:$A$8,C4699)=0,C4699,"")</f>
        <v/>
      </c>
      <c r="J4699">
        <f>IF(OR(E4699="Prospecting",E4699="Engaging"),VLOOKUP(C4699,Products!$A$2:$C$8,3,FALSE),0)</f>
        <v>0</v>
      </c>
    </row>
    <row r="4700" spans="1:10" x14ac:dyDescent="0.25">
      <c r="A4700" t="s">
        <v>4867</v>
      </c>
      <c r="B4700" t="s">
        <v>154</v>
      </c>
      <c r="C4700" t="s">
        <v>126</v>
      </c>
      <c r="D4700" t="s">
        <v>47</v>
      </c>
      <c r="E4700" t="s">
        <v>159</v>
      </c>
      <c r="F4700" s="1">
        <v>42927</v>
      </c>
      <c r="G4700" s="1">
        <v>42928</v>
      </c>
      <c r="H4700">
        <v>0</v>
      </c>
      <c r="I4700" t="str">
        <f>IF(COUNTIF(Products!$A$2:$A$8,C4700)=0,C4700,"")</f>
        <v/>
      </c>
      <c r="J4700">
        <f>IF(OR(E4700="Prospecting",E4700="Engaging"),VLOOKUP(C4700,Products!$A$2:$C$8,3,FALSE),0)</f>
        <v>0</v>
      </c>
    </row>
    <row r="4701" spans="1:10" x14ac:dyDescent="0.25">
      <c r="A4701" t="s">
        <v>4868</v>
      </c>
      <c r="B4701" t="s">
        <v>154</v>
      </c>
      <c r="C4701" t="s">
        <v>123</v>
      </c>
      <c r="D4701" t="s">
        <v>56</v>
      </c>
      <c r="E4701" t="s">
        <v>138</v>
      </c>
      <c r="F4701" s="1">
        <v>42927</v>
      </c>
      <c r="G4701" s="1">
        <v>42934</v>
      </c>
      <c r="H4701">
        <v>57</v>
      </c>
      <c r="I4701" t="str">
        <f>IF(COUNTIF(Products!$A$2:$A$8,C4701)=0,C4701,"")</f>
        <v/>
      </c>
      <c r="J4701">
        <f>IF(OR(E4701="Prospecting",E4701="Engaging"),VLOOKUP(C4701,Products!$A$2:$C$8,3,FALSE),0)</f>
        <v>0</v>
      </c>
    </row>
    <row r="4702" spans="1:10" x14ac:dyDescent="0.25">
      <c r="A4702" t="s">
        <v>4869</v>
      </c>
      <c r="B4702" t="s">
        <v>303</v>
      </c>
      <c r="C4702" t="s">
        <v>120</v>
      </c>
      <c r="D4702" t="s">
        <v>104</v>
      </c>
      <c r="E4702" t="s">
        <v>138</v>
      </c>
      <c r="F4702" s="1">
        <v>42927</v>
      </c>
      <c r="G4702" s="1">
        <v>42928</v>
      </c>
      <c r="H4702">
        <v>576</v>
      </c>
      <c r="I4702" t="str">
        <f>IF(COUNTIF(Products!$A$2:$A$8,C4702)=0,C4702,"")</f>
        <v/>
      </c>
      <c r="J4702">
        <f>IF(OR(E4702="Prospecting",E4702="Engaging"),VLOOKUP(C4702,Products!$A$2:$C$8,3,FALSE),0)</f>
        <v>0</v>
      </c>
    </row>
    <row r="4703" spans="1:10" x14ac:dyDescent="0.25">
      <c r="A4703" t="s">
        <v>4870</v>
      </c>
      <c r="B4703" t="s">
        <v>303</v>
      </c>
      <c r="C4703" t="s">
        <v>127</v>
      </c>
      <c r="D4703" t="s">
        <v>70</v>
      </c>
      <c r="E4703" t="s">
        <v>138</v>
      </c>
      <c r="F4703" s="1">
        <v>42927</v>
      </c>
      <c r="G4703" s="1">
        <v>42934</v>
      </c>
      <c r="H4703">
        <v>1258</v>
      </c>
      <c r="I4703" t="str">
        <f>IF(COUNTIF(Products!$A$2:$A$8,C4703)=0,C4703,"")</f>
        <v/>
      </c>
      <c r="J4703">
        <f>IF(OR(E4703="Prospecting",E4703="Engaging"),VLOOKUP(C4703,Products!$A$2:$C$8,3,FALSE),0)</f>
        <v>0</v>
      </c>
    </row>
    <row r="4704" spans="1:10" x14ac:dyDescent="0.25">
      <c r="A4704" t="s">
        <v>4871</v>
      </c>
      <c r="B4704" t="s">
        <v>180</v>
      </c>
      <c r="C4704" t="s">
        <v>127</v>
      </c>
      <c r="D4704" t="s">
        <v>93</v>
      </c>
      <c r="E4704" t="s">
        <v>159</v>
      </c>
      <c r="F4704" s="1">
        <v>42927</v>
      </c>
      <c r="G4704" s="1">
        <v>42969</v>
      </c>
      <c r="H4704">
        <v>0</v>
      </c>
      <c r="I4704" t="str">
        <f>IF(COUNTIF(Products!$A$2:$A$8,C4704)=0,C4704,"")</f>
        <v/>
      </c>
      <c r="J4704">
        <f>IF(OR(E4704="Prospecting",E4704="Engaging"),VLOOKUP(C4704,Products!$A$2:$C$8,3,FALSE),0)</f>
        <v>0</v>
      </c>
    </row>
    <row r="4705" spans="1:10" x14ac:dyDescent="0.25">
      <c r="A4705" t="s">
        <v>4872</v>
      </c>
      <c r="B4705" t="s">
        <v>191</v>
      </c>
      <c r="C4705" t="s">
        <v>126</v>
      </c>
      <c r="E4705" t="s">
        <v>155</v>
      </c>
      <c r="F4705" s="1">
        <v>42927</v>
      </c>
      <c r="I4705" t="str">
        <f>IF(COUNTIF(Products!$A$2:$A$8,C4705)=0,C4705,"")</f>
        <v/>
      </c>
      <c r="J4705">
        <f>IF(OR(E4705="Prospecting",E4705="Engaging"),VLOOKUP(C4705,Products!$A$2:$C$8,3,FALSE),0)</f>
        <v>5482</v>
      </c>
    </row>
    <row r="4706" spans="1:10" x14ac:dyDescent="0.25">
      <c r="A4706" t="s">
        <v>4873</v>
      </c>
      <c r="B4706" t="s">
        <v>191</v>
      </c>
      <c r="C4706" t="s">
        <v>120</v>
      </c>
      <c r="D4706" t="s">
        <v>34</v>
      </c>
      <c r="E4706" t="s">
        <v>159</v>
      </c>
      <c r="F4706" s="1">
        <v>42927</v>
      </c>
      <c r="G4706" s="1">
        <v>43007</v>
      </c>
      <c r="H4706">
        <v>0</v>
      </c>
      <c r="I4706" t="str">
        <f>IF(COUNTIF(Products!$A$2:$A$8,C4706)=0,C4706,"")</f>
        <v/>
      </c>
      <c r="J4706">
        <f>IF(OR(E4706="Prospecting",E4706="Engaging"),VLOOKUP(C4706,Products!$A$2:$C$8,3,FALSE),0)</f>
        <v>0</v>
      </c>
    </row>
    <row r="4707" spans="1:10" x14ac:dyDescent="0.25">
      <c r="A4707" t="s">
        <v>4874</v>
      </c>
      <c r="B4707" t="s">
        <v>191</v>
      </c>
      <c r="C4707" t="s">
        <v>120</v>
      </c>
      <c r="D4707" t="s">
        <v>61</v>
      </c>
      <c r="E4707" t="s">
        <v>138</v>
      </c>
      <c r="F4707" s="1">
        <v>42927</v>
      </c>
      <c r="G4707" s="1">
        <v>42936</v>
      </c>
      <c r="H4707">
        <v>491</v>
      </c>
      <c r="I4707" t="str">
        <f>IF(COUNTIF(Products!$A$2:$A$8,C4707)=0,C4707,"")</f>
        <v/>
      </c>
      <c r="J4707">
        <f>IF(OR(E4707="Prospecting",E4707="Engaging"),VLOOKUP(C4707,Products!$A$2:$C$8,3,FALSE),0)</f>
        <v>0</v>
      </c>
    </row>
    <row r="4708" spans="1:10" x14ac:dyDescent="0.25">
      <c r="A4708" t="s">
        <v>4875</v>
      </c>
      <c r="B4708" t="s">
        <v>150</v>
      </c>
      <c r="C4708" t="s">
        <v>120</v>
      </c>
      <c r="D4708" t="s">
        <v>100</v>
      </c>
      <c r="E4708" t="s">
        <v>138</v>
      </c>
      <c r="F4708" s="1">
        <v>42927</v>
      </c>
      <c r="G4708" s="1">
        <v>42970</v>
      </c>
      <c r="H4708">
        <v>494</v>
      </c>
      <c r="I4708" t="str">
        <f>IF(COUNTIF(Products!$A$2:$A$8,C4708)=0,C4708,"")</f>
        <v/>
      </c>
      <c r="J4708">
        <f>IF(OR(E4708="Prospecting",E4708="Engaging"),VLOOKUP(C4708,Products!$A$2:$C$8,3,FALSE),0)</f>
        <v>0</v>
      </c>
    </row>
    <row r="4709" spans="1:10" x14ac:dyDescent="0.25">
      <c r="A4709" t="s">
        <v>4876</v>
      </c>
      <c r="B4709" t="s">
        <v>162</v>
      </c>
      <c r="C4709" t="s">
        <v>122</v>
      </c>
      <c r="D4709" t="s">
        <v>29</v>
      </c>
      <c r="E4709" t="s">
        <v>159</v>
      </c>
      <c r="F4709" s="1">
        <v>42927</v>
      </c>
      <c r="G4709" s="1">
        <v>42936</v>
      </c>
      <c r="H4709">
        <v>0</v>
      </c>
      <c r="I4709" t="str">
        <f>IF(COUNTIF(Products!$A$2:$A$8,C4709)=0,C4709,"")</f>
        <v/>
      </c>
      <c r="J4709">
        <f>IF(OR(E4709="Prospecting",E4709="Engaging"),VLOOKUP(C4709,Products!$A$2:$C$8,3,FALSE),0)</f>
        <v>0</v>
      </c>
    </row>
    <row r="4710" spans="1:10" x14ac:dyDescent="0.25">
      <c r="A4710" t="s">
        <v>4877</v>
      </c>
      <c r="B4710" t="s">
        <v>162</v>
      </c>
      <c r="C4710" t="s">
        <v>127</v>
      </c>
      <c r="D4710" t="s">
        <v>114</v>
      </c>
      <c r="E4710" t="s">
        <v>138</v>
      </c>
      <c r="F4710" s="1">
        <v>42927</v>
      </c>
      <c r="G4710" s="1">
        <v>42997</v>
      </c>
      <c r="H4710">
        <v>882</v>
      </c>
      <c r="I4710" t="str">
        <f>IF(COUNTIF(Products!$A$2:$A$8,C4710)=0,C4710,"")</f>
        <v/>
      </c>
      <c r="J4710">
        <f>IF(OR(E4710="Prospecting",E4710="Engaging"),VLOOKUP(C4710,Products!$A$2:$C$8,3,FALSE),0)</f>
        <v>0</v>
      </c>
    </row>
    <row r="4711" spans="1:10" x14ac:dyDescent="0.25">
      <c r="A4711" t="s">
        <v>4878</v>
      </c>
      <c r="B4711" t="s">
        <v>193</v>
      </c>
      <c r="C4711" t="s">
        <v>127</v>
      </c>
      <c r="D4711" t="s">
        <v>69</v>
      </c>
      <c r="E4711" t="s">
        <v>138</v>
      </c>
      <c r="F4711" s="1">
        <v>42927</v>
      </c>
      <c r="G4711" s="1">
        <v>42936</v>
      </c>
      <c r="H4711">
        <v>1076</v>
      </c>
      <c r="I4711" t="str">
        <f>IF(COUNTIF(Products!$A$2:$A$8,C4711)=0,C4711,"")</f>
        <v/>
      </c>
      <c r="J4711">
        <f>IF(OR(E4711="Prospecting",E4711="Engaging"),VLOOKUP(C4711,Products!$A$2:$C$8,3,FALSE),0)</f>
        <v>0</v>
      </c>
    </row>
    <row r="4712" spans="1:10" x14ac:dyDescent="0.25">
      <c r="A4712" t="s">
        <v>4879</v>
      </c>
      <c r="B4712" t="s">
        <v>166</v>
      </c>
      <c r="C4712" t="s">
        <v>128</v>
      </c>
      <c r="D4712" t="s">
        <v>23</v>
      </c>
      <c r="E4712" t="s">
        <v>159</v>
      </c>
      <c r="F4712" s="1">
        <v>42927</v>
      </c>
      <c r="G4712" s="1">
        <v>42934</v>
      </c>
      <c r="H4712">
        <v>0</v>
      </c>
      <c r="I4712" t="str">
        <f>IF(COUNTIF(Products!$A$2:$A$8,C4712)=0,C4712,"")</f>
        <v/>
      </c>
      <c r="J4712">
        <f>IF(OR(E4712="Prospecting",E4712="Engaging"),VLOOKUP(C4712,Products!$A$2:$C$8,3,FALSE),0)</f>
        <v>0</v>
      </c>
    </row>
    <row r="4713" spans="1:10" x14ac:dyDescent="0.25">
      <c r="A4713" t="s">
        <v>4880</v>
      </c>
      <c r="B4713" t="s">
        <v>166</v>
      </c>
      <c r="C4713" t="s">
        <v>123</v>
      </c>
      <c r="D4713" t="s">
        <v>29</v>
      </c>
      <c r="E4713" t="s">
        <v>159</v>
      </c>
      <c r="F4713" s="1">
        <v>42927</v>
      </c>
      <c r="G4713" s="1">
        <v>42999</v>
      </c>
      <c r="H4713">
        <v>0</v>
      </c>
      <c r="I4713" t="str">
        <f>IF(COUNTIF(Products!$A$2:$A$8,C4713)=0,C4713,"")</f>
        <v/>
      </c>
      <c r="J4713">
        <f>IF(OR(E4713="Prospecting",E4713="Engaging"),VLOOKUP(C4713,Products!$A$2:$C$8,3,FALSE),0)</f>
        <v>0</v>
      </c>
    </row>
    <row r="4714" spans="1:10" x14ac:dyDescent="0.25">
      <c r="A4714" t="s">
        <v>4881</v>
      </c>
      <c r="B4714" t="s">
        <v>166</v>
      </c>
      <c r="C4714" t="s">
        <v>123</v>
      </c>
      <c r="D4714" t="s">
        <v>114</v>
      </c>
      <c r="E4714" t="s">
        <v>138</v>
      </c>
      <c r="F4714" s="1">
        <v>42927</v>
      </c>
      <c r="G4714" s="1">
        <v>42935</v>
      </c>
      <c r="H4714">
        <v>57</v>
      </c>
      <c r="I4714" t="str">
        <f>IF(COUNTIF(Products!$A$2:$A$8,C4714)=0,C4714,"")</f>
        <v/>
      </c>
      <c r="J4714">
        <f>IF(OR(E4714="Prospecting",E4714="Engaging"),VLOOKUP(C4714,Products!$A$2:$C$8,3,FALSE),0)</f>
        <v>0</v>
      </c>
    </row>
    <row r="4715" spans="1:10" x14ac:dyDescent="0.25">
      <c r="A4715" t="s">
        <v>4882</v>
      </c>
      <c r="B4715" t="s">
        <v>148</v>
      </c>
      <c r="C4715" t="s">
        <v>120</v>
      </c>
      <c r="D4715" t="s">
        <v>75</v>
      </c>
      <c r="E4715" t="s">
        <v>159</v>
      </c>
      <c r="F4715" s="1">
        <v>42927</v>
      </c>
      <c r="G4715" s="1">
        <v>42929</v>
      </c>
      <c r="H4715">
        <v>0</v>
      </c>
      <c r="I4715" t="str">
        <f>IF(COUNTIF(Products!$A$2:$A$8,C4715)=0,C4715,"")</f>
        <v/>
      </c>
      <c r="J4715">
        <f>IF(OR(E4715="Prospecting",E4715="Engaging"),VLOOKUP(C4715,Products!$A$2:$C$8,3,FALSE),0)</f>
        <v>0</v>
      </c>
    </row>
    <row r="4716" spans="1:10" x14ac:dyDescent="0.25">
      <c r="A4716" t="s">
        <v>4883</v>
      </c>
      <c r="B4716" t="s">
        <v>148</v>
      </c>
      <c r="C4716" t="s">
        <v>125</v>
      </c>
      <c r="D4716" t="s">
        <v>23</v>
      </c>
      <c r="E4716" t="s">
        <v>159</v>
      </c>
      <c r="F4716" s="1">
        <v>42927</v>
      </c>
      <c r="G4716" s="1">
        <v>43044</v>
      </c>
      <c r="H4716">
        <v>0</v>
      </c>
      <c r="I4716" t="str">
        <f>IF(COUNTIF(Products!$A$2:$A$8,C4716)=0,C4716,"")</f>
        <v/>
      </c>
      <c r="J4716">
        <f>IF(OR(E4716="Prospecting",E4716="Engaging"),VLOOKUP(C4716,Products!$A$2:$C$8,3,FALSE),0)</f>
        <v>0</v>
      </c>
    </row>
    <row r="4717" spans="1:10" x14ac:dyDescent="0.25">
      <c r="A4717" t="s">
        <v>4884</v>
      </c>
      <c r="B4717" t="s">
        <v>148</v>
      </c>
      <c r="C4717" t="s">
        <v>125</v>
      </c>
      <c r="D4717" t="s">
        <v>41</v>
      </c>
      <c r="E4717" t="s">
        <v>159</v>
      </c>
      <c r="F4717" s="1">
        <v>42927</v>
      </c>
      <c r="G4717" s="1">
        <v>42928</v>
      </c>
      <c r="H4717">
        <v>0</v>
      </c>
      <c r="I4717" t="str">
        <f>IF(COUNTIF(Products!$A$2:$A$8,C4717)=0,C4717,"")</f>
        <v/>
      </c>
      <c r="J4717">
        <f>IF(OR(E4717="Prospecting",E4717="Engaging"),VLOOKUP(C4717,Products!$A$2:$C$8,3,FALSE),0)</f>
        <v>0</v>
      </c>
    </row>
    <row r="4718" spans="1:10" x14ac:dyDescent="0.25">
      <c r="A4718" t="s">
        <v>4885</v>
      </c>
      <c r="B4718" t="s">
        <v>146</v>
      </c>
      <c r="C4718" t="s">
        <v>127</v>
      </c>
      <c r="D4718" t="s">
        <v>14</v>
      </c>
      <c r="E4718" t="s">
        <v>159</v>
      </c>
      <c r="F4718" s="1">
        <v>42928</v>
      </c>
      <c r="G4718" s="1">
        <v>42978</v>
      </c>
      <c r="H4718">
        <v>0</v>
      </c>
      <c r="I4718" t="str">
        <f>IF(COUNTIF(Products!$A$2:$A$8,C4718)=0,C4718,"")</f>
        <v/>
      </c>
      <c r="J4718">
        <f>IF(OR(E4718="Prospecting",E4718="Engaging"),VLOOKUP(C4718,Products!$A$2:$C$8,3,FALSE),0)</f>
        <v>0</v>
      </c>
    </row>
    <row r="4719" spans="1:10" x14ac:dyDescent="0.25">
      <c r="A4719" t="s">
        <v>4886</v>
      </c>
      <c r="B4719" t="s">
        <v>222</v>
      </c>
      <c r="C4719" t="s">
        <v>127</v>
      </c>
      <c r="D4719" t="s">
        <v>84</v>
      </c>
      <c r="E4719" t="s">
        <v>138</v>
      </c>
      <c r="F4719" s="1">
        <v>42928</v>
      </c>
      <c r="G4719" s="1">
        <v>43006</v>
      </c>
      <c r="H4719">
        <v>1100</v>
      </c>
      <c r="I4719" t="str">
        <f>IF(COUNTIF(Products!$A$2:$A$8,C4719)=0,C4719,"")</f>
        <v/>
      </c>
      <c r="J4719">
        <f>IF(OR(E4719="Prospecting",E4719="Engaging"),VLOOKUP(C4719,Products!$A$2:$C$8,3,FALSE),0)</f>
        <v>0</v>
      </c>
    </row>
    <row r="4720" spans="1:10" x14ac:dyDescent="0.25">
      <c r="A4720" t="s">
        <v>4887</v>
      </c>
      <c r="B4720" t="s">
        <v>207</v>
      </c>
      <c r="C4720" t="s">
        <v>125</v>
      </c>
      <c r="D4720" t="s">
        <v>35</v>
      </c>
      <c r="E4720" t="s">
        <v>138</v>
      </c>
      <c r="F4720" s="1">
        <v>42928</v>
      </c>
      <c r="G4720" s="1">
        <v>42996</v>
      </c>
      <c r="H4720">
        <v>3630</v>
      </c>
      <c r="I4720" t="str">
        <f>IF(COUNTIF(Products!$A$2:$A$8,C4720)=0,C4720,"")</f>
        <v/>
      </c>
      <c r="J4720">
        <f>IF(OR(E4720="Prospecting",E4720="Engaging"),VLOOKUP(C4720,Products!$A$2:$C$8,3,FALSE),0)</f>
        <v>0</v>
      </c>
    </row>
    <row r="4721" spans="1:10" x14ac:dyDescent="0.25">
      <c r="A4721" t="s">
        <v>4888</v>
      </c>
      <c r="B4721" t="s">
        <v>239</v>
      </c>
      <c r="C4721" t="s">
        <v>123</v>
      </c>
      <c r="E4721" t="s">
        <v>155</v>
      </c>
      <c r="F4721" s="1">
        <v>42928</v>
      </c>
      <c r="I4721" t="str">
        <f>IF(COUNTIF(Products!$A$2:$A$8,C4721)=0,C4721,"")</f>
        <v/>
      </c>
      <c r="J4721">
        <f>IF(OR(E4721="Prospecting",E4721="Engaging"),VLOOKUP(C4721,Products!$A$2:$C$8,3,FALSE),0)</f>
        <v>55</v>
      </c>
    </row>
    <row r="4722" spans="1:10" x14ac:dyDescent="0.25">
      <c r="A4722" t="s">
        <v>4889</v>
      </c>
      <c r="B4722" t="s">
        <v>171</v>
      </c>
      <c r="C4722" t="s">
        <v>120</v>
      </c>
      <c r="D4722" t="s">
        <v>36</v>
      </c>
      <c r="E4722" t="s">
        <v>155</v>
      </c>
      <c r="F4722" s="1">
        <v>42928</v>
      </c>
      <c r="I4722" t="str">
        <f>IF(COUNTIF(Products!$A$2:$A$8,C4722)=0,C4722,"")</f>
        <v/>
      </c>
      <c r="J4722">
        <f>IF(OR(E4722="Prospecting",E4722="Engaging"),VLOOKUP(C4722,Products!$A$2:$C$8,3,FALSE),0)</f>
        <v>550</v>
      </c>
    </row>
    <row r="4723" spans="1:10" x14ac:dyDescent="0.25">
      <c r="A4723" t="s">
        <v>4890</v>
      </c>
      <c r="B4723" t="s">
        <v>140</v>
      </c>
      <c r="C4723" t="s">
        <v>122</v>
      </c>
      <c r="D4723" t="s">
        <v>14</v>
      </c>
      <c r="E4723" t="s">
        <v>159</v>
      </c>
      <c r="F4723" s="1">
        <v>42928</v>
      </c>
      <c r="G4723" s="1">
        <v>42939</v>
      </c>
      <c r="H4723">
        <v>0</v>
      </c>
      <c r="I4723" t="str">
        <f>IF(COUNTIF(Products!$A$2:$A$8,C4723)=0,C4723,"")</f>
        <v/>
      </c>
      <c r="J4723">
        <f>IF(OR(E4723="Prospecting",E4723="Engaging"),VLOOKUP(C4723,Products!$A$2:$C$8,3,FALSE),0)</f>
        <v>0</v>
      </c>
    </row>
    <row r="4724" spans="1:10" x14ac:dyDescent="0.25">
      <c r="A4724" t="s">
        <v>4891</v>
      </c>
      <c r="B4724" t="s">
        <v>140</v>
      </c>
      <c r="C4724" t="s">
        <v>125</v>
      </c>
      <c r="D4724" t="s">
        <v>12</v>
      </c>
      <c r="E4724" t="s">
        <v>159</v>
      </c>
      <c r="F4724" s="1">
        <v>42928</v>
      </c>
      <c r="G4724" s="1">
        <v>42937</v>
      </c>
      <c r="H4724">
        <v>0</v>
      </c>
      <c r="I4724" t="str">
        <f>IF(COUNTIF(Products!$A$2:$A$8,C4724)=0,C4724,"")</f>
        <v/>
      </c>
      <c r="J4724">
        <f>IF(OR(E4724="Prospecting",E4724="Engaging"),VLOOKUP(C4724,Products!$A$2:$C$8,3,FALSE),0)</f>
        <v>0</v>
      </c>
    </row>
    <row r="4725" spans="1:10" x14ac:dyDescent="0.25">
      <c r="A4725" t="s">
        <v>4892</v>
      </c>
      <c r="B4725" t="s">
        <v>224</v>
      </c>
      <c r="C4725" t="s">
        <v>127</v>
      </c>
      <c r="D4725" t="s">
        <v>80</v>
      </c>
      <c r="E4725" t="s">
        <v>159</v>
      </c>
      <c r="F4725" s="1">
        <v>42928</v>
      </c>
      <c r="G4725" s="1">
        <v>43005</v>
      </c>
      <c r="H4725">
        <v>0</v>
      </c>
      <c r="I4725" t="str">
        <f>IF(COUNTIF(Products!$A$2:$A$8,C4725)=0,C4725,"")</f>
        <v/>
      </c>
      <c r="J4725">
        <f>IF(OR(E4725="Prospecting",E4725="Engaging"),VLOOKUP(C4725,Products!$A$2:$C$8,3,FALSE),0)</f>
        <v>0</v>
      </c>
    </row>
    <row r="4726" spans="1:10" x14ac:dyDescent="0.25">
      <c r="A4726" t="s">
        <v>4893</v>
      </c>
      <c r="B4726" t="s">
        <v>224</v>
      </c>
      <c r="C4726" t="s">
        <v>126</v>
      </c>
      <c r="D4726" t="s">
        <v>25</v>
      </c>
      <c r="E4726" t="s">
        <v>159</v>
      </c>
      <c r="F4726" s="1">
        <v>42928</v>
      </c>
      <c r="G4726" s="1">
        <v>43006</v>
      </c>
      <c r="H4726">
        <v>0</v>
      </c>
      <c r="I4726" t="str">
        <f>IF(COUNTIF(Products!$A$2:$A$8,C4726)=0,C4726,"")</f>
        <v/>
      </c>
      <c r="J4726">
        <f>IF(OR(E4726="Prospecting",E4726="Engaging"),VLOOKUP(C4726,Products!$A$2:$C$8,3,FALSE),0)</f>
        <v>0</v>
      </c>
    </row>
    <row r="4727" spans="1:10" x14ac:dyDescent="0.25">
      <c r="A4727" t="s">
        <v>4894</v>
      </c>
      <c r="B4727" t="s">
        <v>158</v>
      </c>
      <c r="C4727" t="s">
        <v>122</v>
      </c>
      <c r="D4727" t="s">
        <v>27</v>
      </c>
      <c r="E4727" t="s">
        <v>159</v>
      </c>
      <c r="F4727" s="1">
        <v>42928</v>
      </c>
      <c r="G4727" s="1">
        <v>42929</v>
      </c>
      <c r="H4727">
        <v>0</v>
      </c>
      <c r="I4727" t="str">
        <f>IF(COUNTIF(Products!$A$2:$A$8,C4727)=0,C4727,"")</f>
        <v/>
      </c>
      <c r="J4727">
        <f>IF(OR(E4727="Prospecting",E4727="Engaging"),VLOOKUP(C4727,Products!$A$2:$C$8,3,FALSE),0)</f>
        <v>0</v>
      </c>
    </row>
    <row r="4728" spans="1:10" x14ac:dyDescent="0.25">
      <c r="A4728" t="s">
        <v>4895</v>
      </c>
      <c r="B4728" t="s">
        <v>164</v>
      </c>
      <c r="C4728" t="s">
        <v>125</v>
      </c>
      <c r="D4728" t="s">
        <v>23</v>
      </c>
      <c r="E4728" t="s">
        <v>159</v>
      </c>
      <c r="F4728" s="1">
        <v>42928</v>
      </c>
      <c r="G4728" s="1">
        <v>42941</v>
      </c>
      <c r="H4728">
        <v>0</v>
      </c>
      <c r="I4728" t="str">
        <f>IF(COUNTIF(Products!$A$2:$A$8,C4728)=0,C4728,"")</f>
        <v/>
      </c>
      <c r="J4728">
        <f>IF(OR(E4728="Prospecting",E4728="Engaging"),VLOOKUP(C4728,Products!$A$2:$C$8,3,FALSE),0)</f>
        <v>0</v>
      </c>
    </row>
    <row r="4729" spans="1:10" x14ac:dyDescent="0.25">
      <c r="A4729" t="s">
        <v>4896</v>
      </c>
      <c r="B4729" t="s">
        <v>164</v>
      </c>
      <c r="C4729" t="s">
        <v>125</v>
      </c>
      <c r="D4729" t="s">
        <v>100</v>
      </c>
      <c r="E4729" t="s">
        <v>138</v>
      </c>
      <c r="F4729" s="1">
        <v>42928</v>
      </c>
      <c r="G4729" s="1">
        <v>42939</v>
      </c>
      <c r="H4729">
        <v>3741</v>
      </c>
      <c r="I4729" t="str">
        <f>IF(COUNTIF(Products!$A$2:$A$8,C4729)=0,C4729,"")</f>
        <v/>
      </c>
      <c r="J4729">
        <f>IF(OR(E4729="Prospecting",E4729="Engaging"),VLOOKUP(C4729,Products!$A$2:$C$8,3,FALSE),0)</f>
        <v>0</v>
      </c>
    </row>
    <row r="4730" spans="1:10" x14ac:dyDescent="0.25">
      <c r="A4730" t="s">
        <v>4897</v>
      </c>
      <c r="B4730" t="s">
        <v>164</v>
      </c>
      <c r="C4730" t="s">
        <v>125</v>
      </c>
      <c r="D4730" t="s">
        <v>109</v>
      </c>
      <c r="E4730" t="s">
        <v>138</v>
      </c>
      <c r="F4730" s="1">
        <v>42928</v>
      </c>
      <c r="G4730" s="1">
        <v>42930</v>
      </c>
      <c r="H4730">
        <v>2905</v>
      </c>
      <c r="I4730" t="str">
        <f>IF(COUNTIF(Products!$A$2:$A$8,C4730)=0,C4730,"")</f>
        <v/>
      </c>
      <c r="J4730">
        <f>IF(OR(E4730="Prospecting",E4730="Engaging"),VLOOKUP(C4730,Products!$A$2:$C$8,3,FALSE),0)</f>
        <v>0</v>
      </c>
    </row>
    <row r="4731" spans="1:10" x14ac:dyDescent="0.25">
      <c r="A4731" t="s">
        <v>4898</v>
      </c>
      <c r="B4731" t="s">
        <v>154</v>
      </c>
      <c r="C4731" t="s">
        <v>127</v>
      </c>
      <c r="D4731" t="s">
        <v>93</v>
      </c>
      <c r="E4731" t="s">
        <v>159</v>
      </c>
      <c r="F4731" s="1">
        <v>42928</v>
      </c>
      <c r="G4731" s="1">
        <v>42941</v>
      </c>
      <c r="H4731">
        <v>0</v>
      </c>
      <c r="I4731" t="str">
        <f>IF(COUNTIF(Products!$A$2:$A$8,C4731)=0,C4731,"")</f>
        <v/>
      </c>
      <c r="J4731">
        <f>IF(OR(E4731="Prospecting",E4731="Engaging"),VLOOKUP(C4731,Products!$A$2:$C$8,3,FALSE),0)</f>
        <v>0</v>
      </c>
    </row>
    <row r="4732" spans="1:10" x14ac:dyDescent="0.25">
      <c r="A4732" t="s">
        <v>4899</v>
      </c>
      <c r="B4732" t="s">
        <v>162</v>
      </c>
      <c r="C4732" t="s">
        <v>127</v>
      </c>
      <c r="D4732" t="s">
        <v>44</v>
      </c>
      <c r="E4732" t="s">
        <v>138</v>
      </c>
      <c r="F4732" s="1">
        <v>42928</v>
      </c>
      <c r="G4732" s="1">
        <v>42992</v>
      </c>
      <c r="H4732">
        <v>1023</v>
      </c>
      <c r="I4732" t="str">
        <f>IF(COUNTIF(Products!$A$2:$A$8,C4732)=0,C4732,"")</f>
        <v/>
      </c>
      <c r="J4732">
        <f>IF(OR(E4732="Prospecting",E4732="Engaging"),VLOOKUP(C4732,Products!$A$2:$C$8,3,FALSE),0)</f>
        <v>0</v>
      </c>
    </row>
    <row r="4733" spans="1:10" x14ac:dyDescent="0.25">
      <c r="A4733" t="s">
        <v>4900</v>
      </c>
      <c r="B4733" t="s">
        <v>162</v>
      </c>
      <c r="C4733" t="s">
        <v>125</v>
      </c>
      <c r="D4733" t="s">
        <v>109</v>
      </c>
      <c r="E4733" t="s">
        <v>138</v>
      </c>
      <c r="F4733" s="1">
        <v>42928</v>
      </c>
      <c r="G4733" s="1">
        <v>43002</v>
      </c>
      <c r="H4733">
        <v>3257</v>
      </c>
      <c r="I4733" t="str">
        <f>IF(COUNTIF(Products!$A$2:$A$8,C4733)=0,C4733,"")</f>
        <v/>
      </c>
      <c r="J4733">
        <f>IF(OR(E4733="Prospecting",E4733="Engaging"),VLOOKUP(C4733,Products!$A$2:$C$8,3,FALSE),0)</f>
        <v>0</v>
      </c>
    </row>
    <row r="4734" spans="1:10" x14ac:dyDescent="0.25">
      <c r="A4734" t="s">
        <v>4901</v>
      </c>
      <c r="B4734" t="s">
        <v>137</v>
      </c>
      <c r="C4734" t="s">
        <v>126</v>
      </c>
      <c r="D4734" t="s">
        <v>26</v>
      </c>
      <c r="E4734" t="s">
        <v>159</v>
      </c>
      <c r="F4734" s="1">
        <v>42928</v>
      </c>
      <c r="G4734" s="1">
        <v>42936</v>
      </c>
      <c r="H4734">
        <v>0</v>
      </c>
      <c r="I4734" t="str">
        <f>IF(COUNTIF(Products!$A$2:$A$8,C4734)=0,C4734,"")</f>
        <v/>
      </c>
      <c r="J4734">
        <f>IF(OR(E4734="Prospecting",E4734="Engaging"),VLOOKUP(C4734,Products!$A$2:$C$8,3,FALSE),0)</f>
        <v>0</v>
      </c>
    </row>
    <row r="4735" spans="1:10" x14ac:dyDescent="0.25">
      <c r="A4735" t="s">
        <v>4902</v>
      </c>
      <c r="B4735" t="s">
        <v>152</v>
      </c>
      <c r="C4735" t="s">
        <v>127</v>
      </c>
      <c r="D4735" t="s">
        <v>96</v>
      </c>
      <c r="E4735" t="s">
        <v>138</v>
      </c>
      <c r="F4735" s="1">
        <v>42928</v>
      </c>
      <c r="G4735" s="1">
        <v>42967</v>
      </c>
      <c r="H4735">
        <v>960</v>
      </c>
      <c r="I4735" t="str">
        <f>IF(COUNTIF(Products!$A$2:$A$8,C4735)=0,C4735,"")</f>
        <v/>
      </c>
      <c r="J4735">
        <f>IF(OR(E4735="Prospecting",E4735="Engaging"),VLOOKUP(C4735,Products!$A$2:$C$8,3,FALSE),0)</f>
        <v>0</v>
      </c>
    </row>
    <row r="4736" spans="1:10" x14ac:dyDescent="0.25">
      <c r="A4736" t="s">
        <v>4903</v>
      </c>
      <c r="B4736" t="s">
        <v>193</v>
      </c>
      <c r="C4736" t="s">
        <v>122</v>
      </c>
      <c r="D4736" t="s">
        <v>92</v>
      </c>
      <c r="E4736" t="s">
        <v>159</v>
      </c>
      <c r="F4736" s="1">
        <v>42928</v>
      </c>
      <c r="G4736" s="1">
        <v>42930</v>
      </c>
      <c r="H4736">
        <v>0</v>
      </c>
      <c r="I4736" t="str">
        <f>IF(COUNTIF(Products!$A$2:$A$8,C4736)=0,C4736,"")</f>
        <v/>
      </c>
      <c r="J4736">
        <f>IF(OR(E4736="Prospecting",E4736="Engaging"),VLOOKUP(C4736,Products!$A$2:$C$8,3,FALSE),0)</f>
        <v>0</v>
      </c>
    </row>
    <row r="4737" spans="1:10" x14ac:dyDescent="0.25">
      <c r="A4737" t="s">
        <v>4904</v>
      </c>
      <c r="B4737" t="s">
        <v>193</v>
      </c>
      <c r="C4737" t="s">
        <v>126</v>
      </c>
      <c r="D4737" t="s">
        <v>92</v>
      </c>
      <c r="E4737" t="s">
        <v>138</v>
      </c>
      <c r="F4737" s="1">
        <v>42928</v>
      </c>
      <c r="G4737" s="1">
        <v>42934</v>
      </c>
      <c r="H4737">
        <v>5538</v>
      </c>
      <c r="I4737" t="str">
        <f>IF(COUNTIF(Products!$A$2:$A$8,C4737)=0,C4737,"")</f>
        <v/>
      </c>
      <c r="J4737">
        <f>IF(OR(E4737="Prospecting",E4737="Engaging"),VLOOKUP(C4737,Products!$A$2:$C$8,3,FALSE),0)</f>
        <v>0</v>
      </c>
    </row>
    <row r="4738" spans="1:10" x14ac:dyDescent="0.25">
      <c r="A4738" t="s">
        <v>4905</v>
      </c>
      <c r="B4738" t="s">
        <v>144</v>
      </c>
      <c r="C4738" t="s">
        <v>120</v>
      </c>
      <c r="E4738" t="s">
        <v>155</v>
      </c>
      <c r="F4738" s="1">
        <v>42928</v>
      </c>
      <c r="I4738" t="str">
        <f>IF(COUNTIF(Products!$A$2:$A$8,C4738)=0,C4738,"")</f>
        <v/>
      </c>
      <c r="J4738">
        <f>IF(OR(E4738="Prospecting",E4738="Engaging"),VLOOKUP(C4738,Products!$A$2:$C$8,3,FALSE),0)</f>
        <v>550</v>
      </c>
    </row>
    <row r="4739" spans="1:10" x14ac:dyDescent="0.25">
      <c r="A4739" t="s">
        <v>4906</v>
      </c>
      <c r="B4739" t="s">
        <v>222</v>
      </c>
      <c r="C4739" t="s">
        <v>125</v>
      </c>
      <c r="D4739" t="s">
        <v>67</v>
      </c>
      <c r="E4739" t="s">
        <v>138</v>
      </c>
      <c r="F4739" s="1">
        <v>42929</v>
      </c>
      <c r="G4739" s="1">
        <v>42939</v>
      </c>
      <c r="H4739">
        <v>3420</v>
      </c>
      <c r="I4739" t="str">
        <f>IF(COUNTIF(Products!$A$2:$A$8,C4739)=0,C4739,"")</f>
        <v/>
      </c>
      <c r="J4739">
        <f>IF(OR(E4739="Prospecting",E4739="Engaging"),VLOOKUP(C4739,Products!$A$2:$C$8,3,FALSE),0)</f>
        <v>0</v>
      </c>
    </row>
    <row r="4740" spans="1:10" x14ac:dyDescent="0.25">
      <c r="A4740" t="s">
        <v>4907</v>
      </c>
      <c r="B4740" t="s">
        <v>140</v>
      </c>
      <c r="C4740" t="s">
        <v>122</v>
      </c>
      <c r="D4740" t="s">
        <v>104</v>
      </c>
      <c r="E4740" t="s">
        <v>159</v>
      </c>
      <c r="F4740" s="1">
        <v>42929</v>
      </c>
      <c r="G4740" s="1">
        <v>42935</v>
      </c>
      <c r="H4740">
        <v>0</v>
      </c>
      <c r="I4740" t="str">
        <f>IF(COUNTIF(Products!$A$2:$A$8,C4740)=0,C4740,"")</f>
        <v/>
      </c>
      <c r="J4740">
        <f>IF(OR(E4740="Prospecting",E4740="Engaging"),VLOOKUP(C4740,Products!$A$2:$C$8,3,FALSE),0)</f>
        <v>0</v>
      </c>
    </row>
    <row r="4741" spans="1:10" x14ac:dyDescent="0.25">
      <c r="A4741" t="s">
        <v>4908</v>
      </c>
      <c r="B4741" t="s">
        <v>140</v>
      </c>
      <c r="C4741" t="s">
        <v>122</v>
      </c>
      <c r="D4741" t="s">
        <v>14</v>
      </c>
      <c r="E4741" t="s">
        <v>138</v>
      </c>
      <c r="F4741" s="1">
        <v>42929</v>
      </c>
      <c r="G4741" s="1">
        <v>42932</v>
      </c>
      <c r="H4741">
        <v>5382</v>
      </c>
      <c r="I4741" t="str">
        <f>IF(COUNTIF(Products!$A$2:$A$8,C4741)=0,C4741,"")</f>
        <v/>
      </c>
      <c r="J4741">
        <f>IF(OR(E4741="Prospecting",E4741="Engaging"),VLOOKUP(C4741,Products!$A$2:$C$8,3,FALSE),0)</f>
        <v>0</v>
      </c>
    </row>
    <row r="4742" spans="1:10" x14ac:dyDescent="0.25">
      <c r="A4742" t="s">
        <v>4909</v>
      </c>
      <c r="B4742" t="s">
        <v>173</v>
      </c>
      <c r="C4742" t="s">
        <v>123</v>
      </c>
      <c r="D4742" t="s">
        <v>41</v>
      </c>
      <c r="E4742" t="s">
        <v>159</v>
      </c>
      <c r="F4742" s="1">
        <v>42929</v>
      </c>
      <c r="G4742" s="1">
        <v>42940</v>
      </c>
      <c r="H4742">
        <v>0</v>
      </c>
      <c r="I4742" t="str">
        <f>IF(COUNTIF(Products!$A$2:$A$8,C4742)=0,C4742,"")</f>
        <v/>
      </c>
      <c r="J4742">
        <f>IF(OR(E4742="Prospecting",E4742="Engaging"),VLOOKUP(C4742,Products!$A$2:$C$8,3,FALSE),0)</f>
        <v>0</v>
      </c>
    </row>
    <row r="4743" spans="1:10" x14ac:dyDescent="0.25">
      <c r="A4743" t="s">
        <v>4910</v>
      </c>
      <c r="B4743" t="s">
        <v>173</v>
      </c>
      <c r="C4743" t="s">
        <v>122</v>
      </c>
      <c r="D4743" t="s">
        <v>39</v>
      </c>
      <c r="E4743" t="s">
        <v>138</v>
      </c>
      <c r="F4743" s="1">
        <v>42929</v>
      </c>
      <c r="G4743" s="1">
        <v>42934</v>
      </c>
      <c r="H4743">
        <v>5703</v>
      </c>
      <c r="I4743" t="str">
        <f>IF(COUNTIF(Products!$A$2:$A$8,C4743)=0,C4743,"")</f>
        <v/>
      </c>
      <c r="J4743">
        <f>IF(OR(E4743="Prospecting",E4743="Engaging"),VLOOKUP(C4743,Products!$A$2:$C$8,3,FALSE),0)</f>
        <v>0</v>
      </c>
    </row>
    <row r="4744" spans="1:10" x14ac:dyDescent="0.25">
      <c r="A4744" t="s">
        <v>4911</v>
      </c>
      <c r="B4744" t="s">
        <v>198</v>
      </c>
      <c r="C4744" t="s">
        <v>125</v>
      </c>
      <c r="D4744" t="s">
        <v>73</v>
      </c>
      <c r="E4744" t="s">
        <v>138</v>
      </c>
      <c r="F4744" s="1">
        <v>42929</v>
      </c>
      <c r="G4744" s="1">
        <v>43008</v>
      </c>
      <c r="H4744">
        <v>3340</v>
      </c>
      <c r="I4744" t="str">
        <f>IF(COUNTIF(Products!$A$2:$A$8,C4744)=0,C4744,"")</f>
        <v/>
      </c>
      <c r="J4744">
        <f>IF(OR(E4744="Prospecting",E4744="Engaging"),VLOOKUP(C4744,Products!$A$2:$C$8,3,FALSE),0)</f>
        <v>0</v>
      </c>
    </row>
    <row r="4745" spans="1:10" x14ac:dyDescent="0.25">
      <c r="A4745" t="s">
        <v>4912</v>
      </c>
      <c r="B4745" t="s">
        <v>164</v>
      </c>
      <c r="C4745" t="s">
        <v>125</v>
      </c>
      <c r="D4745" t="s">
        <v>61</v>
      </c>
      <c r="E4745" t="s">
        <v>159</v>
      </c>
      <c r="F4745" s="1">
        <v>42929</v>
      </c>
      <c r="G4745" s="1">
        <v>42931</v>
      </c>
      <c r="H4745">
        <v>0</v>
      </c>
      <c r="I4745" t="str">
        <f>IF(COUNTIF(Products!$A$2:$A$8,C4745)=0,C4745,"")</f>
        <v/>
      </c>
      <c r="J4745">
        <f>IF(OR(E4745="Prospecting",E4745="Engaging"),VLOOKUP(C4745,Products!$A$2:$C$8,3,FALSE),0)</f>
        <v>0</v>
      </c>
    </row>
    <row r="4746" spans="1:10" x14ac:dyDescent="0.25">
      <c r="A4746" t="s">
        <v>4913</v>
      </c>
      <c r="B4746" t="s">
        <v>191</v>
      </c>
      <c r="C4746" t="s">
        <v>127</v>
      </c>
      <c r="D4746" t="s">
        <v>75</v>
      </c>
      <c r="E4746" t="s">
        <v>138</v>
      </c>
      <c r="F4746" s="1">
        <v>42929</v>
      </c>
      <c r="G4746" s="1">
        <v>42956</v>
      </c>
      <c r="H4746">
        <v>1014</v>
      </c>
      <c r="I4746" t="str">
        <f>IF(COUNTIF(Products!$A$2:$A$8,C4746)=0,C4746,"")</f>
        <v/>
      </c>
      <c r="J4746">
        <f>IF(OR(E4746="Prospecting",E4746="Engaging"),VLOOKUP(C4746,Products!$A$2:$C$8,3,FALSE),0)</f>
        <v>0</v>
      </c>
    </row>
    <row r="4747" spans="1:10" x14ac:dyDescent="0.25">
      <c r="A4747" t="s">
        <v>4914</v>
      </c>
      <c r="B4747" t="s">
        <v>217</v>
      </c>
      <c r="C4747" t="s">
        <v>120</v>
      </c>
      <c r="D4747" t="s">
        <v>32</v>
      </c>
      <c r="E4747" t="s">
        <v>138</v>
      </c>
      <c r="F4747" s="1">
        <v>42929</v>
      </c>
      <c r="G4747" s="1">
        <v>42935</v>
      </c>
      <c r="H4747">
        <v>536</v>
      </c>
      <c r="I4747" t="str">
        <f>IF(COUNTIF(Products!$A$2:$A$8,C4747)=0,C4747,"")</f>
        <v/>
      </c>
      <c r="J4747">
        <f>IF(OR(E4747="Prospecting",E4747="Engaging"),VLOOKUP(C4747,Products!$A$2:$C$8,3,FALSE),0)</f>
        <v>0</v>
      </c>
    </row>
    <row r="4748" spans="1:10" x14ac:dyDescent="0.25">
      <c r="A4748" t="s">
        <v>4915</v>
      </c>
      <c r="B4748" t="s">
        <v>150</v>
      </c>
      <c r="C4748" t="s">
        <v>127</v>
      </c>
      <c r="D4748" t="s">
        <v>69</v>
      </c>
      <c r="E4748" t="s">
        <v>159</v>
      </c>
      <c r="F4748" s="1">
        <v>42929</v>
      </c>
      <c r="G4748" s="1">
        <v>42930</v>
      </c>
      <c r="H4748">
        <v>0</v>
      </c>
      <c r="I4748" t="str">
        <f>IF(COUNTIF(Products!$A$2:$A$8,C4748)=0,C4748,"")</f>
        <v/>
      </c>
      <c r="J4748">
        <f>IF(OR(E4748="Prospecting",E4748="Engaging"),VLOOKUP(C4748,Products!$A$2:$C$8,3,FALSE),0)</f>
        <v>0</v>
      </c>
    </row>
    <row r="4749" spans="1:10" x14ac:dyDescent="0.25">
      <c r="A4749" t="s">
        <v>4916</v>
      </c>
      <c r="B4749" t="s">
        <v>152</v>
      </c>
      <c r="C4749" t="s">
        <v>120</v>
      </c>
      <c r="D4749" t="s">
        <v>26</v>
      </c>
      <c r="E4749" t="s">
        <v>138</v>
      </c>
      <c r="F4749" s="1">
        <v>42929</v>
      </c>
      <c r="G4749" s="1">
        <v>42940</v>
      </c>
      <c r="H4749">
        <v>550</v>
      </c>
      <c r="I4749" t="str">
        <f>IF(COUNTIF(Products!$A$2:$A$8,C4749)=0,C4749,"")</f>
        <v/>
      </c>
      <c r="J4749">
        <f>IF(OR(E4749="Prospecting",E4749="Engaging"),VLOOKUP(C4749,Products!$A$2:$C$8,3,FALSE),0)</f>
        <v>0</v>
      </c>
    </row>
    <row r="4750" spans="1:10" x14ac:dyDescent="0.25">
      <c r="A4750" t="s">
        <v>4917</v>
      </c>
      <c r="B4750" t="s">
        <v>152</v>
      </c>
      <c r="C4750" t="s">
        <v>120</v>
      </c>
      <c r="D4750" t="s">
        <v>55</v>
      </c>
      <c r="E4750" t="s">
        <v>138</v>
      </c>
      <c r="F4750" s="1">
        <v>42929</v>
      </c>
      <c r="G4750" s="1">
        <v>43006</v>
      </c>
      <c r="H4750">
        <v>469</v>
      </c>
      <c r="I4750" t="str">
        <f>IF(COUNTIF(Products!$A$2:$A$8,C4750)=0,C4750,"")</f>
        <v/>
      </c>
      <c r="J4750">
        <f>IF(OR(E4750="Prospecting",E4750="Engaging"),VLOOKUP(C4750,Products!$A$2:$C$8,3,FALSE),0)</f>
        <v>0</v>
      </c>
    </row>
    <row r="4751" spans="1:10" x14ac:dyDescent="0.25">
      <c r="A4751" t="s">
        <v>4918</v>
      </c>
      <c r="B4751" t="s">
        <v>152</v>
      </c>
      <c r="C4751" t="s">
        <v>120</v>
      </c>
      <c r="D4751" t="s">
        <v>88</v>
      </c>
      <c r="E4751" t="s">
        <v>138</v>
      </c>
      <c r="F4751" s="1">
        <v>42929</v>
      </c>
      <c r="G4751" s="1">
        <v>42930</v>
      </c>
      <c r="H4751">
        <v>585</v>
      </c>
      <c r="I4751" t="str">
        <f>IF(COUNTIF(Products!$A$2:$A$8,C4751)=0,C4751,"")</f>
        <v/>
      </c>
      <c r="J4751">
        <f>IF(OR(E4751="Prospecting",E4751="Engaging"),VLOOKUP(C4751,Products!$A$2:$C$8,3,FALSE),0)</f>
        <v>0</v>
      </c>
    </row>
    <row r="4752" spans="1:10" x14ac:dyDescent="0.25">
      <c r="A4752" t="s">
        <v>4919</v>
      </c>
      <c r="B4752" t="s">
        <v>152</v>
      </c>
      <c r="C4752" t="s">
        <v>127</v>
      </c>
      <c r="D4752" t="s">
        <v>91</v>
      </c>
      <c r="E4752" t="s">
        <v>138</v>
      </c>
      <c r="F4752" s="1">
        <v>42929</v>
      </c>
      <c r="G4752" s="1">
        <v>42976</v>
      </c>
      <c r="H4752">
        <v>943</v>
      </c>
      <c r="I4752" t="str">
        <f>IF(COUNTIF(Products!$A$2:$A$8,C4752)=0,C4752,"")</f>
        <v/>
      </c>
      <c r="J4752">
        <f>IF(OR(E4752="Prospecting",E4752="Engaging"),VLOOKUP(C4752,Products!$A$2:$C$8,3,FALSE),0)</f>
        <v>0</v>
      </c>
    </row>
    <row r="4753" spans="1:10" x14ac:dyDescent="0.25">
      <c r="A4753" t="s">
        <v>4920</v>
      </c>
      <c r="B4753" t="s">
        <v>193</v>
      </c>
      <c r="C4753" t="s">
        <v>120</v>
      </c>
      <c r="D4753" t="s">
        <v>16</v>
      </c>
      <c r="E4753" t="s">
        <v>159</v>
      </c>
      <c r="F4753" s="1">
        <v>42929</v>
      </c>
      <c r="G4753" s="1">
        <v>42937</v>
      </c>
      <c r="H4753">
        <v>0</v>
      </c>
      <c r="I4753" t="str">
        <f>IF(COUNTIF(Products!$A$2:$A$8,C4753)=0,C4753,"")</f>
        <v/>
      </c>
      <c r="J4753">
        <f>IF(OR(E4753="Prospecting",E4753="Engaging"),VLOOKUP(C4753,Products!$A$2:$C$8,3,FALSE),0)</f>
        <v>0</v>
      </c>
    </row>
    <row r="4754" spans="1:10" x14ac:dyDescent="0.25">
      <c r="A4754" t="s">
        <v>4921</v>
      </c>
      <c r="B4754" t="s">
        <v>193</v>
      </c>
      <c r="C4754" t="s">
        <v>127</v>
      </c>
      <c r="D4754" t="s">
        <v>84</v>
      </c>
      <c r="E4754" t="s">
        <v>138</v>
      </c>
      <c r="F4754" s="1">
        <v>42929</v>
      </c>
      <c r="G4754" s="1">
        <v>42948</v>
      </c>
      <c r="H4754">
        <v>1319</v>
      </c>
      <c r="I4754" t="str">
        <f>IF(COUNTIF(Products!$A$2:$A$8,C4754)=0,C4754,"")</f>
        <v/>
      </c>
      <c r="J4754">
        <f>IF(OR(E4754="Prospecting",E4754="Engaging"),VLOOKUP(C4754,Products!$A$2:$C$8,3,FALSE),0)</f>
        <v>0</v>
      </c>
    </row>
    <row r="4755" spans="1:10" x14ac:dyDescent="0.25">
      <c r="A4755" t="s">
        <v>4922</v>
      </c>
      <c r="B4755" t="s">
        <v>193</v>
      </c>
      <c r="C4755" t="s">
        <v>122</v>
      </c>
      <c r="D4755" t="s">
        <v>20</v>
      </c>
      <c r="E4755" t="s">
        <v>138</v>
      </c>
      <c r="F4755" s="1">
        <v>42929</v>
      </c>
      <c r="G4755" s="1">
        <v>42938</v>
      </c>
      <c r="H4755">
        <v>5873</v>
      </c>
      <c r="I4755" t="str">
        <f>IF(COUNTIF(Products!$A$2:$A$8,C4755)=0,C4755,"")</f>
        <v/>
      </c>
      <c r="J4755">
        <f>IF(OR(E4755="Prospecting",E4755="Engaging"),VLOOKUP(C4755,Products!$A$2:$C$8,3,FALSE),0)</f>
        <v>0</v>
      </c>
    </row>
    <row r="4756" spans="1:10" x14ac:dyDescent="0.25">
      <c r="A4756" t="s">
        <v>4923</v>
      </c>
      <c r="B4756" t="s">
        <v>187</v>
      </c>
      <c r="C4756" t="s">
        <v>123</v>
      </c>
      <c r="E4756" t="s">
        <v>155</v>
      </c>
      <c r="F4756" s="1">
        <v>42929</v>
      </c>
      <c r="I4756" t="str">
        <f>IF(COUNTIF(Products!$A$2:$A$8,C4756)=0,C4756,"")</f>
        <v/>
      </c>
      <c r="J4756">
        <f>IF(OR(E4756="Prospecting",E4756="Engaging"),VLOOKUP(C4756,Products!$A$2:$C$8,3,FALSE),0)</f>
        <v>55</v>
      </c>
    </row>
    <row r="4757" spans="1:10" x14ac:dyDescent="0.25">
      <c r="A4757" t="s">
        <v>4924</v>
      </c>
      <c r="B4757" t="s">
        <v>148</v>
      </c>
      <c r="C4757" t="s">
        <v>125</v>
      </c>
      <c r="D4757" t="s">
        <v>67</v>
      </c>
      <c r="E4757" t="s">
        <v>159</v>
      </c>
      <c r="F4757" s="1">
        <v>42929</v>
      </c>
      <c r="G4757" s="1">
        <v>42975</v>
      </c>
      <c r="H4757">
        <v>0</v>
      </c>
      <c r="I4757" t="str">
        <f>IF(COUNTIF(Products!$A$2:$A$8,C4757)=0,C4757,"")</f>
        <v/>
      </c>
      <c r="J4757">
        <f>IF(OR(E4757="Prospecting",E4757="Engaging"),VLOOKUP(C4757,Products!$A$2:$C$8,3,FALSE),0)</f>
        <v>0</v>
      </c>
    </row>
    <row r="4758" spans="1:10" x14ac:dyDescent="0.25">
      <c r="A4758" t="s">
        <v>4925</v>
      </c>
      <c r="B4758" t="s">
        <v>144</v>
      </c>
      <c r="C4758" t="s">
        <v>127</v>
      </c>
      <c r="D4758" t="s">
        <v>72</v>
      </c>
      <c r="E4758" t="s">
        <v>159</v>
      </c>
      <c r="F4758" s="1">
        <v>42929</v>
      </c>
      <c r="G4758" s="1">
        <v>42931</v>
      </c>
      <c r="H4758">
        <v>0</v>
      </c>
      <c r="I4758" t="str">
        <f>IF(COUNTIF(Products!$A$2:$A$8,C4758)=0,C4758,"")</f>
        <v/>
      </c>
      <c r="J4758">
        <f>IF(OR(E4758="Prospecting",E4758="Engaging"),VLOOKUP(C4758,Products!$A$2:$C$8,3,FALSE),0)</f>
        <v>0</v>
      </c>
    </row>
    <row r="4759" spans="1:10" x14ac:dyDescent="0.25">
      <c r="A4759" t="s">
        <v>4926</v>
      </c>
      <c r="B4759" t="s">
        <v>146</v>
      </c>
      <c r="C4759" t="s">
        <v>123</v>
      </c>
      <c r="D4759" t="s">
        <v>104</v>
      </c>
      <c r="E4759" t="s">
        <v>138</v>
      </c>
      <c r="F4759" s="1">
        <v>42930</v>
      </c>
      <c r="G4759" s="1">
        <v>42933</v>
      </c>
      <c r="H4759">
        <v>44</v>
      </c>
      <c r="I4759" t="str">
        <f>IF(COUNTIF(Products!$A$2:$A$8,C4759)=0,C4759,"")</f>
        <v/>
      </c>
      <c r="J4759">
        <f>IF(OR(E4759="Prospecting",E4759="Engaging"),VLOOKUP(C4759,Products!$A$2:$C$8,3,FALSE),0)</f>
        <v>0</v>
      </c>
    </row>
    <row r="4760" spans="1:10" x14ac:dyDescent="0.25">
      <c r="A4760" t="s">
        <v>4927</v>
      </c>
      <c r="B4760" t="s">
        <v>222</v>
      </c>
      <c r="C4760" t="s">
        <v>125</v>
      </c>
      <c r="D4760" t="s">
        <v>84</v>
      </c>
      <c r="E4760" t="s">
        <v>159</v>
      </c>
      <c r="F4760" s="1">
        <v>42930</v>
      </c>
      <c r="G4760" s="1">
        <v>42942</v>
      </c>
      <c r="H4760">
        <v>0</v>
      </c>
      <c r="I4760" t="str">
        <f>IF(COUNTIF(Products!$A$2:$A$8,C4760)=0,C4760,"")</f>
        <v/>
      </c>
      <c r="J4760">
        <f>IF(OR(E4760="Prospecting",E4760="Engaging"),VLOOKUP(C4760,Products!$A$2:$C$8,3,FALSE),0)</f>
        <v>0</v>
      </c>
    </row>
    <row r="4761" spans="1:10" x14ac:dyDescent="0.25">
      <c r="A4761" t="s">
        <v>4928</v>
      </c>
      <c r="B4761" t="s">
        <v>222</v>
      </c>
      <c r="C4761" t="s">
        <v>122</v>
      </c>
      <c r="D4761" t="s">
        <v>73</v>
      </c>
      <c r="E4761" t="s">
        <v>138</v>
      </c>
      <c r="F4761" s="1">
        <v>42930</v>
      </c>
      <c r="G4761" s="1">
        <v>42992</v>
      </c>
      <c r="H4761">
        <v>3834</v>
      </c>
      <c r="I4761" t="str">
        <f>IF(COUNTIF(Products!$A$2:$A$8,C4761)=0,C4761,"")</f>
        <v/>
      </c>
      <c r="J4761">
        <f>IF(OR(E4761="Prospecting",E4761="Engaging"),VLOOKUP(C4761,Products!$A$2:$C$8,3,FALSE),0)</f>
        <v>0</v>
      </c>
    </row>
    <row r="4762" spans="1:10" x14ac:dyDescent="0.25">
      <c r="A4762" t="s">
        <v>4929</v>
      </c>
      <c r="B4762" t="s">
        <v>207</v>
      </c>
      <c r="C4762" t="s">
        <v>127</v>
      </c>
      <c r="D4762" t="s">
        <v>111</v>
      </c>
      <c r="E4762" t="s">
        <v>159</v>
      </c>
      <c r="F4762" s="1">
        <v>42930</v>
      </c>
      <c r="G4762" s="1">
        <v>42937</v>
      </c>
      <c r="H4762">
        <v>0</v>
      </c>
      <c r="I4762" t="str">
        <f>IF(COUNTIF(Products!$A$2:$A$8,C4762)=0,C4762,"")</f>
        <v/>
      </c>
      <c r="J4762">
        <f>IF(OR(E4762="Prospecting",E4762="Engaging"),VLOOKUP(C4762,Products!$A$2:$C$8,3,FALSE),0)</f>
        <v>0</v>
      </c>
    </row>
    <row r="4763" spans="1:10" x14ac:dyDescent="0.25">
      <c r="A4763" t="s">
        <v>4930</v>
      </c>
      <c r="B4763" t="s">
        <v>207</v>
      </c>
      <c r="C4763" t="s">
        <v>126</v>
      </c>
      <c r="D4763" t="s">
        <v>65</v>
      </c>
      <c r="E4763" t="s">
        <v>159</v>
      </c>
      <c r="F4763" s="1">
        <v>42930</v>
      </c>
      <c r="G4763" s="1">
        <v>42931</v>
      </c>
      <c r="H4763">
        <v>0</v>
      </c>
      <c r="I4763" t="str">
        <f>IF(COUNTIF(Products!$A$2:$A$8,C4763)=0,C4763,"")</f>
        <v/>
      </c>
      <c r="J4763">
        <f>IF(OR(E4763="Prospecting",E4763="Engaging"),VLOOKUP(C4763,Products!$A$2:$C$8,3,FALSE),0)</f>
        <v>0</v>
      </c>
    </row>
    <row r="4764" spans="1:10" x14ac:dyDescent="0.25">
      <c r="A4764" t="s">
        <v>4931</v>
      </c>
      <c r="B4764" t="s">
        <v>264</v>
      </c>
      <c r="C4764" t="s">
        <v>126</v>
      </c>
      <c r="D4764" t="s">
        <v>32</v>
      </c>
      <c r="E4764" t="s">
        <v>138</v>
      </c>
      <c r="F4764" s="1">
        <v>42930</v>
      </c>
      <c r="G4764" s="1">
        <v>42932</v>
      </c>
      <c r="H4764">
        <v>5537</v>
      </c>
      <c r="I4764" t="str">
        <f>IF(COUNTIF(Products!$A$2:$A$8,C4764)=0,C4764,"")</f>
        <v/>
      </c>
      <c r="J4764">
        <f>IF(OR(E4764="Prospecting",E4764="Engaging"),VLOOKUP(C4764,Products!$A$2:$C$8,3,FALSE),0)</f>
        <v>0</v>
      </c>
    </row>
    <row r="4765" spans="1:10" x14ac:dyDescent="0.25">
      <c r="A4765" t="s">
        <v>4932</v>
      </c>
      <c r="B4765" t="s">
        <v>239</v>
      </c>
      <c r="C4765" t="s">
        <v>120</v>
      </c>
      <c r="D4765" t="s">
        <v>37</v>
      </c>
      <c r="E4765" t="s">
        <v>138</v>
      </c>
      <c r="F4765" s="1">
        <v>42930</v>
      </c>
      <c r="G4765" s="1">
        <v>42993</v>
      </c>
      <c r="H4765">
        <v>530</v>
      </c>
      <c r="I4765" t="str">
        <f>IF(COUNTIF(Products!$A$2:$A$8,C4765)=0,C4765,"")</f>
        <v/>
      </c>
      <c r="J4765">
        <f>IF(OR(E4765="Prospecting",E4765="Engaging"),VLOOKUP(C4765,Products!$A$2:$C$8,3,FALSE),0)</f>
        <v>0</v>
      </c>
    </row>
    <row r="4766" spans="1:10" x14ac:dyDescent="0.25">
      <c r="A4766" t="s">
        <v>4933</v>
      </c>
      <c r="B4766" t="s">
        <v>239</v>
      </c>
      <c r="C4766" t="s">
        <v>126</v>
      </c>
      <c r="D4766" t="s">
        <v>69</v>
      </c>
      <c r="E4766" t="s">
        <v>138</v>
      </c>
      <c r="F4766" s="1">
        <v>42930</v>
      </c>
      <c r="G4766" s="1">
        <v>43001</v>
      </c>
      <c r="H4766">
        <v>4989</v>
      </c>
      <c r="I4766" t="str">
        <f>IF(COUNTIF(Products!$A$2:$A$8,C4766)=0,C4766,"")</f>
        <v/>
      </c>
      <c r="J4766">
        <f>IF(OR(E4766="Prospecting",E4766="Engaging"),VLOOKUP(C4766,Products!$A$2:$C$8,3,FALSE),0)</f>
        <v>0</v>
      </c>
    </row>
    <row r="4767" spans="1:10" x14ac:dyDescent="0.25">
      <c r="A4767" t="s">
        <v>4934</v>
      </c>
      <c r="B4767" t="s">
        <v>140</v>
      </c>
      <c r="C4767" t="s">
        <v>126</v>
      </c>
      <c r="D4767" t="s">
        <v>96</v>
      </c>
      <c r="E4767" t="s">
        <v>159</v>
      </c>
      <c r="F4767" s="1">
        <v>42930</v>
      </c>
      <c r="G4767" s="1">
        <v>42941</v>
      </c>
      <c r="H4767">
        <v>0</v>
      </c>
      <c r="I4767" t="str">
        <f>IF(COUNTIF(Products!$A$2:$A$8,C4767)=0,C4767,"")</f>
        <v/>
      </c>
      <c r="J4767">
        <f>IF(OR(E4767="Prospecting",E4767="Engaging"),VLOOKUP(C4767,Products!$A$2:$C$8,3,FALSE),0)</f>
        <v>0</v>
      </c>
    </row>
    <row r="4768" spans="1:10" x14ac:dyDescent="0.25">
      <c r="A4768" t="s">
        <v>4935</v>
      </c>
      <c r="B4768" t="s">
        <v>140</v>
      </c>
      <c r="C4768" t="s">
        <v>127</v>
      </c>
      <c r="D4768" t="s">
        <v>95</v>
      </c>
      <c r="E4768" t="s">
        <v>138</v>
      </c>
      <c r="F4768" s="1">
        <v>42930</v>
      </c>
      <c r="G4768" s="1">
        <v>42942</v>
      </c>
      <c r="H4768">
        <v>1144</v>
      </c>
      <c r="I4768" t="str">
        <f>IF(COUNTIF(Products!$A$2:$A$8,C4768)=0,C4768,"")</f>
        <v/>
      </c>
      <c r="J4768">
        <f>IF(OR(E4768="Prospecting",E4768="Engaging"),VLOOKUP(C4768,Products!$A$2:$C$8,3,FALSE),0)</f>
        <v>0</v>
      </c>
    </row>
    <row r="4769" spans="1:10" x14ac:dyDescent="0.25">
      <c r="A4769" t="s">
        <v>4936</v>
      </c>
      <c r="B4769" t="s">
        <v>224</v>
      </c>
      <c r="C4769" t="s">
        <v>120</v>
      </c>
      <c r="D4769" t="s">
        <v>69</v>
      </c>
      <c r="E4769" t="s">
        <v>159</v>
      </c>
      <c r="F4769" s="1">
        <v>42930</v>
      </c>
      <c r="G4769" s="1">
        <v>42931</v>
      </c>
      <c r="H4769">
        <v>0</v>
      </c>
      <c r="I4769" t="str">
        <f>IF(COUNTIF(Products!$A$2:$A$8,C4769)=0,C4769,"")</f>
        <v/>
      </c>
      <c r="J4769">
        <f>IF(OR(E4769="Prospecting",E4769="Engaging"),VLOOKUP(C4769,Products!$A$2:$C$8,3,FALSE),0)</f>
        <v>0</v>
      </c>
    </row>
    <row r="4770" spans="1:10" x14ac:dyDescent="0.25">
      <c r="A4770" t="s">
        <v>4937</v>
      </c>
      <c r="B4770" t="s">
        <v>173</v>
      </c>
      <c r="C4770" t="s">
        <v>125</v>
      </c>
      <c r="D4770" t="s">
        <v>107</v>
      </c>
      <c r="E4770" t="s">
        <v>159</v>
      </c>
      <c r="F4770" s="1">
        <v>42930</v>
      </c>
      <c r="G4770" s="1">
        <v>42986</v>
      </c>
      <c r="H4770">
        <v>0</v>
      </c>
      <c r="I4770" t="str">
        <f>IF(COUNTIF(Products!$A$2:$A$8,C4770)=0,C4770,"")</f>
        <v/>
      </c>
      <c r="J4770">
        <f>IF(OR(E4770="Prospecting",E4770="Engaging"),VLOOKUP(C4770,Products!$A$2:$C$8,3,FALSE),0)</f>
        <v>0</v>
      </c>
    </row>
    <row r="4771" spans="1:10" x14ac:dyDescent="0.25">
      <c r="A4771" t="s">
        <v>4938</v>
      </c>
      <c r="B4771" t="s">
        <v>164</v>
      </c>
      <c r="C4771" t="s">
        <v>125</v>
      </c>
      <c r="D4771" t="s">
        <v>107</v>
      </c>
      <c r="E4771" t="s">
        <v>138</v>
      </c>
      <c r="F4771" s="1">
        <v>42930</v>
      </c>
      <c r="G4771" s="1">
        <v>42931</v>
      </c>
      <c r="H4771">
        <v>3362</v>
      </c>
      <c r="I4771" t="str">
        <f>IF(COUNTIF(Products!$A$2:$A$8,C4771)=0,C4771,"")</f>
        <v/>
      </c>
      <c r="J4771">
        <f>IF(OR(E4771="Prospecting",E4771="Engaging"),VLOOKUP(C4771,Products!$A$2:$C$8,3,FALSE),0)</f>
        <v>0</v>
      </c>
    </row>
    <row r="4772" spans="1:10" x14ac:dyDescent="0.25">
      <c r="A4772" t="s">
        <v>4939</v>
      </c>
      <c r="B4772" t="s">
        <v>154</v>
      </c>
      <c r="C4772" t="s">
        <v>122</v>
      </c>
      <c r="D4772" t="s">
        <v>57</v>
      </c>
      <c r="E4772" t="s">
        <v>159</v>
      </c>
      <c r="F4772" s="1">
        <v>42930</v>
      </c>
      <c r="G4772" s="1">
        <v>42941</v>
      </c>
      <c r="H4772">
        <v>0</v>
      </c>
      <c r="I4772" t="str">
        <f>IF(COUNTIF(Products!$A$2:$A$8,C4772)=0,C4772,"")</f>
        <v/>
      </c>
      <c r="J4772">
        <f>IF(OR(E4772="Prospecting",E4772="Engaging"),VLOOKUP(C4772,Products!$A$2:$C$8,3,FALSE),0)</f>
        <v>0</v>
      </c>
    </row>
    <row r="4773" spans="1:10" x14ac:dyDescent="0.25">
      <c r="A4773" t="s">
        <v>4940</v>
      </c>
      <c r="B4773" t="s">
        <v>154</v>
      </c>
      <c r="C4773" t="s">
        <v>126</v>
      </c>
      <c r="D4773" t="s">
        <v>56</v>
      </c>
      <c r="E4773" t="s">
        <v>138</v>
      </c>
      <c r="F4773" s="1">
        <v>42930</v>
      </c>
      <c r="G4773" s="1">
        <v>42937</v>
      </c>
      <c r="H4773">
        <v>5013</v>
      </c>
      <c r="I4773" t="str">
        <f>IF(COUNTIF(Products!$A$2:$A$8,C4773)=0,C4773,"")</f>
        <v/>
      </c>
      <c r="J4773">
        <f>IF(OR(E4773="Prospecting",E4773="Engaging"),VLOOKUP(C4773,Products!$A$2:$C$8,3,FALSE),0)</f>
        <v>0</v>
      </c>
    </row>
    <row r="4774" spans="1:10" x14ac:dyDescent="0.25">
      <c r="A4774" t="s">
        <v>4941</v>
      </c>
      <c r="B4774" t="s">
        <v>180</v>
      </c>
      <c r="C4774" t="s">
        <v>120</v>
      </c>
      <c r="E4774" t="s">
        <v>155</v>
      </c>
      <c r="F4774" s="1">
        <v>42930</v>
      </c>
      <c r="I4774" t="str">
        <f>IF(COUNTIF(Products!$A$2:$A$8,C4774)=0,C4774,"")</f>
        <v/>
      </c>
      <c r="J4774">
        <f>IF(OR(E4774="Prospecting",E4774="Engaging"),VLOOKUP(C4774,Products!$A$2:$C$8,3,FALSE),0)</f>
        <v>550</v>
      </c>
    </row>
    <row r="4775" spans="1:10" x14ac:dyDescent="0.25">
      <c r="A4775" t="s">
        <v>4942</v>
      </c>
      <c r="B4775" t="s">
        <v>180</v>
      </c>
      <c r="C4775" t="s">
        <v>120</v>
      </c>
      <c r="D4775" t="s">
        <v>60</v>
      </c>
      <c r="E4775" t="s">
        <v>159</v>
      </c>
      <c r="F4775" s="1">
        <v>42930</v>
      </c>
      <c r="G4775" s="1">
        <v>42931</v>
      </c>
      <c r="H4775">
        <v>0</v>
      </c>
      <c r="I4775" t="str">
        <f>IF(COUNTIF(Products!$A$2:$A$8,C4775)=0,C4775,"")</f>
        <v/>
      </c>
      <c r="J4775">
        <f>IF(OR(E4775="Prospecting",E4775="Engaging"),VLOOKUP(C4775,Products!$A$2:$C$8,3,FALSE),0)</f>
        <v>0</v>
      </c>
    </row>
    <row r="4776" spans="1:10" x14ac:dyDescent="0.25">
      <c r="A4776" t="s">
        <v>4943</v>
      </c>
      <c r="B4776" t="s">
        <v>191</v>
      </c>
      <c r="C4776" t="s">
        <v>127</v>
      </c>
      <c r="D4776" t="s">
        <v>17</v>
      </c>
      <c r="E4776" t="s">
        <v>159</v>
      </c>
      <c r="F4776" s="1">
        <v>42930</v>
      </c>
      <c r="G4776" s="1">
        <v>42932</v>
      </c>
      <c r="H4776">
        <v>0</v>
      </c>
      <c r="I4776" t="str">
        <f>IF(COUNTIF(Products!$A$2:$A$8,C4776)=0,C4776,"")</f>
        <v/>
      </c>
      <c r="J4776">
        <f>IF(OR(E4776="Prospecting",E4776="Engaging"),VLOOKUP(C4776,Products!$A$2:$C$8,3,FALSE),0)</f>
        <v>0</v>
      </c>
    </row>
    <row r="4777" spans="1:10" x14ac:dyDescent="0.25">
      <c r="A4777" t="s">
        <v>4944</v>
      </c>
      <c r="B4777" t="s">
        <v>191</v>
      </c>
      <c r="C4777" t="s">
        <v>120</v>
      </c>
      <c r="D4777" t="s">
        <v>83</v>
      </c>
      <c r="E4777" t="s">
        <v>138</v>
      </c>
      <c r="F4777" s="1">
        <v>42930</v>
      </c>
      <c r="G4777" s="1">
        <v>42974</v>
      </c>
      <c r="H4777">
        <v>431</v>
      </c>
      <c r="I4777" t="str">
        <f>IF(COUNTIF(Products!$A$2:$A$8,C4777)=0,C4777,"")</f>
        <v/>
      </c>
      <c r="J4777">
        <f>IF(OR(E4777="Prospecting",E4777="Engaging"),VLOOKUP(C4777,Products!$A$2:$C$8,3,FALSE),0)</f>
        <v>0</v>
      </c>
    </row>
    <row r="4778" spans="1:10" x14ac:dyDescent="0.25">
      <c r="A4778" t="s">
        <v>4945</v>
      </c>
      <c r="B4778" t="s">
        <v>191</v>
      </c>
      <c r="C4778" t="s">
        <v>122</v>
      </c>
      <c r="D4778" t="s">
        <v>59</v>
      </c>
      <c r="E4778" t="s">
        <v>138</v>
      </c>
      <c r="F4778" s="1">
        <v>42930</v>
      </c>
      <c r="G4778" s="1">
        <v>42940</v>
      </c>
      <c r="H4778">
        <v>5161</v>
      </c>
      <c r="I4778" t="str">
        <f>IF(COUNTIF(Products!$A$2:$A$8,C4778)=0,C4778,"")</f>
        <v/>
      </c>
      <c r="J4778">
        <f>IF(OR(E4778="Prospecting",E4778="Engaging"),VLOOKUP(C4778,Products!$A$2:$C$8,3,FALSE),0)</f>
        <v>0</v>
      </c>
    </row>
    <row r="4779" spans="1:10" x14ac:dyDescent="0.25">
      <c r="A4779" t="s">
        <v>4946</v>
      </c>
      <c r="B4779" t="s">
        <v>217</v>
      </c>
      <c r="C4779" t="s">
        <v>120</v>
      </c>
      <c r="D4779" t="s">
        <v>51</v>
      </c>
      <c r="E4779" t="s">
        <v>138</v>
      </c>
      <c r="F4779" s="1">
        <v>42930</v>
      </c>
      <c r="G4779" s="1">
        <v>42932</v>
      </c>
      <c r="H4779">
        <v>579</v>
      </c>
      <c r="I4779" t="str">
        <f>IF(COUNTIF(Products!$A$2:$A$8,C4779)=0,C4779,"")</f>
        <v/>
      </c>
      <c r="J4779">
        <f>IF(OR(E4779="Prospecting",E4779="Engaging"),VLOOKUP(C4779,Products!$A$2:$C$8,3,FALSE),0)</f>
        <v>0</v>
      </c>
    </row>
    <row r="4780" spans="1:10" x14ac:dyDescent="0.25">
      <c r="A4780" t="s">
        <v>4947</v>
      </c>
      <c r="B4780" t="s">
        <v>217</v>
      </c>
      <c r="C4780" t="s">
        <v>125</v>
      </c>
      <c r="D4780" t="s">
        <v>77</v>
      </c>
      <c r="E4780" t="s">
        <v>138</v>
      </c>
      <c r="F4780" s="1">
        <v>42930</v>
      </c>
      <c r="G4780" s="1">
        <v>42940</v>
      </c>
      <c r="H4780">
        <v>3411</v>
      </c>
      <c r="I4780" t="str">
        <f>IF(COUNTIF(Products!$A$2:$A$8,C4780)=0,C4780,"")</f>
        <v/>
      </c>
      <c r="J4780">
        <f>IF(OR(E4780="Prospecting",E4780="Engaging"),VLOOKUP(C4780,Products!$A$2:$C$8,3,FALSE),0)</f>
        <v>0</v>
      </c>
    </row>
    <row r="4781" spans="1:10" x14ac:dyDescent="0.25">
      <c r="A4781" t="s">
        <v>4948</v>
      </c>
      <c r="B4781" t="s">
        <v>150</v>
      </c>
      <c r="C4781" t="s">
        <v>123</v>
      </c>
      <c r="D4781" t="s">
        <v>107</v>
      </c>
      <c r="E4781" t="s">
        <v>159</v>
      </c>
      <c r="F4781" s="1">
        <v>42930</v>
      </c>
      <c r="G4781" s="1">
        <v>42989</v>
      </c>
      <c r="H4781">
        <v>0</v>
      </c>
      <c r="I4781" t="str">
        <f>IF(COUNTIF(Products!$A$2:$A$8,C4781)=0,C4781,"")</f>
        <v/>
      </c>
      <c r="J4781">
        <f>IF(OR(E4781="Prospecting",E4781="Engaging"),VLOOKUP(C4781,Products!$A$2:$C$8,3,FALSE),0)</f>
        <v>0</v>
      </c>
    </row>
    <row r="4782" spans="1:10" x14ac:dyDescent="0.25">
      <c r="A4782" t="s">
        <v>4949</v>
      </c>
      <c r="B4782" t="s">
        <v>150</v>
      </c>
      <c r="C4782" t="s">
        <v>125</v>
      </c>
      <c r="D4782" t="s">
        <v>83</v>
      </c>
      <c r="E4782" t="s">
        <v>138</v>
      </c>
      <c r="F4782" s="1">
        <v>42930</v>
      </c>
      <c r="G4782" s="1">
        <v>42931</v>
      </c>
      <c r="H4782">
        <v>3973</v>
      </c>
      <c r="I4782" t="str">
        <f>IF(COUNTIF(Products!$A$2:$A$8,C4782)=0,C4782,"")</f>
        <v/>
      </c>
      <c r="J4782">
        <f>IF(OR(E4782="Prospecting",E4782="Engaging"),VLOOKUP(C4782,Products!$A$2:$C$8,3,FALSE),0)</f>
        <v>0</v>
      </c>
    </row>
    <row r="4783" spans="1:10" x14ac:dyDescent="0.25">
      <c r="A4783" t="s">
        <v>4950</v>
      </c>
      <c r="B4783" t="s">
        <v>152</v>
      </c>
      <c r="C4783" t="s">
        <v>125</v>
      </c>
      <c r="D4783" t="s">
        <v>88</v>
      </c>
      <c r="E4783" t="s">
        <v>159</v>
      </c>
      <c r="F4783" s="1">
        <v>42930</v>
      </c>
      <c r="G4783" s="1">
        <v>43048</v>
      </c>
      <c r="H4783">
        <v>0</v>
      </c>
      <c r="I4783" t="str">
        <f>IF(COUNTIF(Products!$A$2:$A$8,C4783)=0,C4783,"")</f>
        <v/>
      </c>
      <c r="J4783">
        <f>IF(OR(E4783="Prospecting",E4783="Engaging"),VLOOKUP(C4783,Products!$A$2:$C$8,3,FALSE),0)</f>
        <v>0</v>
      </c>
    </row>
    <row r="4784" spans="1:10" x14ac:dyDescent="0.25">
      <c r="A4784" t="s">
        <v>4951</v>
      </c>
      <c r="B4784" t="s">
        <v>193</v>
      </c>
      <c r="C4784" t="s">
        <v>127</v>
      </c>
      <c r="D4784" t="s">
        <v>111</v>
      </c>
      <c r="E4784" t="s">
        <v>138</v>
      </c>
      <c r="F4784" s="1">
        <v>42930</v>
      </c>
      <c r="G4784" s="1">
        <v>42931</v>
      </c>
      <c r="H4784">
        <v>1029</v>
      </c>
      <c r="I4784" t="str">
        <f>IF(COUNTIF(Products!$A$2:$A$8,C4784)=0,C4784,"")</f>
        <v/>
      </c>
      <c r="J4784">
        <f>IF(OR(E4784="Prospecting",E4784="Engaging"),VLOOKUP(C4784,Products!$A$2:$C$8,3,FALSE),0)</f>
        <v>0</v>
      </c>
    </row>
    <row r="4785" spans="1:10" x14ac:dyDescent="0.25">
      <c r="A4785" t="s">
        <v>4952</v>
      </c>
      <c r="B4785" t="s">
        <v>187</v>
      </c>
      <c r="C4785" t="s">
        <v>123</v>
      </c>
      <c r="D4785" t="s">
        <v>50</v>
      </c>
      <c r="E4785" t="s">
        <v>138</v>
      </c>
      <c r="F4785" s="1">
        <v>42930</v>
      </c>
      <c r="G4785" s="1">
        <v>42939</v>
      </c>
      <c r="H4785">
        <v>59</v>
      </c>
      <c r="I4785" t="str">
        <f>IF(COUNTIF(Products!$A$2:$A$8,C4785)=0,C4785,"")</f>
        <v/>
      </c>
      <c r="J4785">
        <f>IF(OR(E4785="Prospecting",E4785="Engaging"),VLOOKUP(C4785,Products!$A$2:$C$8,3,FALSE),0)</f>
        <v>0</v>
      </c>
    </row>
    <row r="4786" spans="1:10" x14ac:dyDescent="0.25">
      <c r="A4786" t="s">
        <v>4953</v>
      </c>
      <c r="B4786" t="s">
        <v>169</v>
      </c>
      <c r="C4786" t="s">
        <v>123</v>
      </c>
      <c r="D4786" t="s">
        <v>53</v>
      </c>
      <c r="E4786" t="s">
        <v>159</v>
      </c>
      <c r="F4786" s="1">
        <v>42930</v>
      </c>
      <c r="G4786" s="1">
        <v>42938</v>
      </c>
      <c r="H4786">
        <v>0</v>
      </c>
      <c r="I4786" t="str">
        <f>IF(COUNTIF(Products!$A$2:$A$8,C4786)=0,C4786,"")</f>
        <v/>
      </c>
      <c r="J4786">
        <f>IF(OR(E4786="Prospecting",E4786="Engaging"),VLOOKUP(C4786,Products!$A$2:$C$8,3,FALSE),0)</f>
        <v>0</v>
      </c>
    </row>
    <row r="4787" spans="1:10" x14ac:dyDescent="0.25">
      <c r="A4787" t="s">
        <v>4954</v>
      </c>
      <c r="B4787" t="s">
        <v>148</v>
      </c>
      <c r="C4787" t="s">
        <v>123</v>
      </c>
      <c r="E4787" t="s">
        <v>155</v>
      </c>
      <c r="F4787" s="1">
        <v>42930</v>
      </c>
      <c r="I4787" t="str">
        <f>IF(COUNTIF(Products!$A$2:$A$8,C4787)=0,C4787,"")</f>
        <v/>
      </c>
      <c r="J4787">
        <f>IF(OR(E4787="Prospecting",E4787="Engaging"),VLOOKUP(C4787,Products!$A$2:$C$8,3,FALSE),0)</f>
        <v>55</v>
      </c>
    </row>
    <row r="4788" spans="1:10" x14ac:dyDescent="0.25">
      <c r="A4788" t="s">
        <v>4955</v>
      </c>
      <c r="B4788" t="s">
        <v>148</v>
      </c>
      <c r="C4788" t="s">
        <v>120</v>
      </c>
      <c r="D4788" t="s">
        <v>56</v>
      </c>
      <c r="E4788" t="s">
        <v>138</v>
      </c>
      <c r="F4788" s="1">
        <v>42930</v>
      </c>
      <c r="G4788" s="1">
        <v>43007</v>
      </c>
      <c r="H4788">
        <v>534</v>
      </c>
      <c r="I4788" t="str">
        <f>IF(COUNTIF(Products!$A$2:$A$8,C4788)=0,C4788,"")</f>
        <v/>
      </c>
      <c r="J4788">
        <f>IF(OR(E4788="Prospecting",E4788="Engaging"),VLOOKUP(C4788,Products!$A$2:$C$8,3,FALSE),0)</f>
        <v>0</v>
      </c>
    </row>
    <row r="4789" spans="1:10" x14ac:dyDescent="0.25">
      <c r="A4789" t="s">
        <v>4956</v>
      </c>
      <c r="B4789" t="s">
        <v>177</v>
      </c>
      <c r="C4789" t="s">
        <v>123</v>
      </c>
      <c r="D4789" t="s">
        <v>65</v>
      </c>
      <c r="E4789" t="s">
        <v>138</v>
      </c>
      <c r="F4789" s="1">
        <v>42930</v>
      </c>
      <c r="G4789" s="1">
        <v>42931</v>
      </c>
      <c r="H4789">
        <v>48</v>
      </c>
      <c r="I4789" t="str">
        <f>IF(COUNTIF(Products!$A$2:$A$8,C4789)=0,C4789,"")</f>
        <v/>
      </c>
      <c r="J4789">
        <f>IF(OR(E4789="Prospecting",E4789="Engaging"),VLOOKUP(C4789,Products!$A$2:$C$8,3,FALSE),0)</f>
        <v>0</v>
      </c>
    </row>
    <row r="4790" spans="1:10" x14ac:dyDescent="0.25">
      <c r="A4790" t="s">
        <v>4957</v>
      </c>
      <c r="B4790" t="s">
        <v>144</v>
      </c>
      <c r="C4790" t="s">
        <v>123</v>
      </c>
      <c r="D4790" t="s">
        <v>44</v>
      </c>
      <c r="E4790" t="s">
        <v>138</v>
      </c>
      <c r="F4790" s="1">
        <v>42930</v>
      </c>
      <c r="G4790" s="1">
        <v>42941</v>
      </c>
      <c r="H4790">
        <v>57</v>
      </c>
      <c r="I4790" t="str">
        <f>IF(COUNTIF(Products!$A$2:$A$8,C4790)=0,C4790,"")</f>
        <v/>
      </c>
      <c r="J4790">
        <f>IF(OR(E4790="Prospecting",E4790="Engaging"),VLOOKUP(C4790,Products!$A$2:$C$8,3,FALSE),0)</f>
        <v>0</v>
      </c>
    </row>
    <row r="4791" spans="1:10" x14ac:dyDescent="0.25">
      <c r="A4791" t="s">
        <v>4958</v>
      </c>
      <c r="B4791" t="s">
        <v>171</v>
      </c>
      <c r="C4791" t="s">
        <v>126</v>
      </c>
      <c r="D4791" t="s">
        <v>37</v>
      </c>
      <c r="E4791" t="s">
        <v>159</v>
      </c>
      <c r="F4791" s="1">
        <v>42931</v>
      </c>
      <c r="G4791" s="1">
        <v>42933</v>
      </c>
      <c r="H4791">
        <v>0</v>
      </c>
      <c r="I4791" t="str">
        <f>IF(COUNTIF(Products!$A$2:$A$8,C4791)=0,C4791,"")</f>
        <v/>
      </c>
      <c r="J4791">
        <f>IF(OR(E4791="Prospecting",E4791="Engaging"),VLOOKUP(C4791,Products!$A$2:$C$8,3,FALSE),0)</f>
        <v>0</v>
      </c>
    </row>
    <row r="4792" spans="1:10" x14ac:dyDescent="0.25">
      <c r="A4792" t="s">
        <v>4959</v>
      </c>
      <c r="B4792" t="s">
        <v>140</v>
      </c>
      <c r="C4792" t="s">
        <v>126</v>
      </c>
      <c r="D4792" t="s">
        <v>94</v>
      </c>
      <c r="E4792" t="s">
        <v>138</v>
      </c>
      <c r="F4792" s="1">
        <v>42931</v>
      </c>
      <c r="G4792" s="1">
        <v>43050</v>
      </c>
      <c r="H4792">
        <v>4009</v>
      </c>
      <c r="I4792" t="str">
        <f>IF(COUNTIF(Products!$A$2:$A$8,C4792)=0,C4792,"")</f>
        <v/>
      </c>
      <c r="J4792">
        <f>IF(OR(E4792="Prospecting",E4792="Engaging"),VLOOKUP(C4792,Products!$A$2:$C$8,3,FALSE),0)</f>
        <v>0</v>
      </c>
    </row>
    <row r="4793" spans="1:10" x14ac:dyDescent="0.25">
      <c r="A4793" t="s">
        <v>4960</v>
      </c>
      <c r="B4793" t="s">
        <v>140</v>
      </c>
      <c r="C4793" t="s">
        <v>125</v>
      </c>
      <c r="D4793" t="s">
        <v>30</v>
      </c>
      <c r="E4793" t="s">
        <v>138</v>
      </c>
      <c r="F4793" s="1">
        <v>42931</v>
      </c>
      <c r="G4793" s="1">
        <v>42981</v>
      </c>
      <c r="H4793">
        <v>3255</v>
      </c>
      <c r="I4793" t="str">
        <f>IF(COUNTIF(Products!$A$2:$A$8,C4793)=0,C4793,"")</f>
        <v/>
      </c>
      <c r="J4793">
        <f>IF(OR(E4793="Prospecting",E4793="Engaging"),VLOOKUP(C4793,Products!$A$2:$C$8,3,FALSE),0)</f>
        <v>0</v>
      </c>
    </row>
    <row r="4794" spans="1:10" x14ac:dyDescent="0.25">
      <c r="A4794" t="s">
        <v>4961</v>
      </c>
      <c r="B4794" t="s">
        <v>224</v>
      </c>
      <c r="C4794" t="s">
        <v>125</v>
      </c>
      <c r="D4794" t="s">
        <v>27</v>
      </c>
      <c r="E4794" t="s">
        <v>138</v>
      </c>
      <c r="F4794" s="1">
        <v>42931</v>
      </c>
      <c r="G4794" s="1">
        <v>42941</v>
      </c>
      <c r="H4794">
        <v>3724</v>
      </c>
      <c r="I4794" t="str">
        <f>IF(COUNTIF(Products!$A$2:$A$8,C4794)=0,C4794,"")</f>
        <v/>
      </c>
      <c r="J4794">
        <f>IF(OR(E4794="Prospecting",E4794="Engaging"),VLOOKUP(C4794,Products!$A$2:$C$8,3,FALSE),0)</f>
        <v>0</v>
      </c>
    </row>
    <row r="4795" spans="1:10" x14ac:dyDescent="0.25">
      <c r="A4795" t="s">
        <v>4962</v>
      </c>
      <c r="B4795" t="s">
        <v>173</v>
      </c>
      <c r="C4795" t="s">
        <v>125</v>
      </c>
      <c r="D4795" t="s">
        <v>29</v>
      </c>
      <c r="E4795" t="s">
        <v>159</v>
      </c>
      <c r="F4795" s="1">
        <v>42931</v>
      </c>
      <c r="G4795" s="1">
        <v>42932</v>
      </c>
      <c r="H4795">
        <v>0</v>
      </c>
      <c r="I4795" t="str">
        <f>IF(COUNTIF(Products!$A$2:$A$8,C4795)=0,C4795,"")</f>
        <v/>
      </c>
      <c r="J4795">
        <f>IF(OR(E4795="Prospecting",E4795="Engaging"),VLOOKUP(C4795,Products!$A$2:$C$8,3,FALSE),0)</f>
        <v>0</v>
      </c>
    </row>
    <row r="4796" spans="1:10" x14ac:dyDescent="0.25">
      <c r="A4796" t="s">
        <v>4963</v>
      </c>
      <c r="B4796" t="s">
        <v>164</v>
      </c>
      <c r="C4796" t="s">
        <v>127</v>
      </c>
      <c r="D4796" t="s">
        <v>38</v>
      </c>
      <c r="E4796" t="s">
        <v>159</v>
      </c>
      <c r="F4796" s="1">
        <v>42931</v>
      </c>
      <c r="G4796" s="1">
        <v>42940</v>
      </c>
      <c r="H4796">
        <v>0</v>
      </c>
      <c r="I4796" t="str">
        <f>IF(COUNTIF(Products!$A$2:$A$8,C4796)=0,C4796,"")</f>
        <v/>
      </c>
      <c r="J4796">
        <f>IF(OR(E4796="Prospecting",E4796="Engaging"),VLOOKUP(C4796,Products!$A$2:$C$8,3,FALSE),0)</f>
        <v>0</v>
      </c>
    </row>
    <row r="4797" spans="1:10" x14ac:dyDescent="0.25">
      <c r="A4797" t="s">
        <v>4964</v>
      </c>
      <c r="B4797" t="s">
        <v>154</v>
      </c>
      <c r="C4797" t="s">
        <v>127</v>
      </c>
      <c r="D4797" t="s">
        <v>47</v>
      </c>
      <c r="E4797" t="s">
        <v>159</v>
      </c>
      <c r="F4797" s="1">
        <v>42931</v>
      </c>
      <c r="G4797" s="1">
        <v>42973</v>
      </c>
      <c r="H4797">
        <v>0</v>
      </c>
      <c r="I4797" t="str">
        <f>IF(COUNTIF(Products!$A$2:$A$8,C4797)=0,C4797,"")</f>
        <v/>
      </c>
      <c r="J4797">
        <f>IF(OR(E4797="Prospecting",E4797="Engaging"),VLOOKUP(C4797,Products!$A$2:$C$8,3,FALSE),0)</f>
        <v>0</v>
      </c>
    </row>
    <row r="4798" spans="1:10" x14ac:dyDescent="0.25">
      <c r="A4798" t="s">
        <v>4965</v>
      </c>
      <c r="B4798" t="s">
        <v>303</v>
      </c>
      <c r="C4798" t="s">
        <v>123</v>
      </c>
      <c r="D4798" t="s">
        <v>89</v>
      </c>
      <c r="E4798" t="s">
        <v>159</v>
      </c>
      <c r="F4798" s="1">
        <v>42931</v>
      </c>
      <c r="G4798" s="1">
        <v>43043</v>
      </c>
      <c r="H4798">
        <v>0</v>
      </c>
      <c r="I4798" t="str">
        <f>IF(COUNTIF(Products!$A$2:$A$8,C4798)=0,C4798,"")</f>
        <v/>
      </c>
      <c r="J4798">
        <f>IF(OR(E4798="Prospecting",E4798="Engaging"),VLOOKUP(C4798,Products!$A$2:$C$8,3,FALSE),0)</f>
        <v>0</v>
      </c>
    </row>
    <row r="4799" spans="1:10" x14ac:dyDescent="0.25">
      <c r="A4799" t="s">
        <v>4966</v>
      </c>
      <c r="B4799" t="s">
        <v>191</v>
      </c>
      <c r="C4799" t="s">
        <v>126</v>
      </c>
      <c r="D4799" t="s">
        <v>71</v>
      </c>
      <c r="E4799" t="s">
        <v>159</v>
      </c>
      <c r="F4799" s="1">
        <v>42931</v>
      </c>
      <c r="G4799" s="1">
        <v>42938</v>
      </c>
      <c r="H4799">
        <v>0</v>
      </c>
      <c r="I4799" t="str">
        <f>IF(COUNTIF(Products!$A$2:$A$8,C4799)=0,C4799,"")</f>
        <v/>
      </c>
      <c r="J4799">
        <f>IF(OR(E4799="Prospecting",E4799="Engaging"),VLOOKUP(C4799,Products!$A$2:$C$8,3,FALSE),0)</f>
        <v>0</v>
      </c>
    </row>
    <row r="4800" spans="1:10" x14ac:dyDescent="0.25">
      <c r="A4800" t="s">
        <v>4967</v>
      </c>
      <c r="B4800" t="s">
        <v>217</v>
      </c>
      <c r="C4800" t="s">
        <v>123</v>
      </c>
      <c r="D4800" t="s">
        <v>55</v>
      </c>
      <c r="E4800" t="s">
        <v>159</v>
      </c>
      <c r="F4800" s="1">
        <v>42931</v>
      </c>
      <c r="G4800" s="1">
        <v>42932</v>
      </c>
      <c r="H4800">
        <v>0</v>
      </c>
      <c r="I4800" t="str">
        <f>IF(COUNTIF(Products!$A$2:$A$8,C4800)=0,C4800,"")</f>
        <v/>
      </c>
      <c r="J4800">
        <f>IF(OR(E4800="Prospecting",E4800="Engaging"),VLOOKUP(C4800,Products!$A$2:$C$8,3,FALSE),0)</f>
        <v>0</v>
      </c>
    </row>
    <row r="4801" spans="1:10" x14ac:dyDescent="0.25">
      <c r="A4801" t="s">
        <v>4968</v>
      </c>
      <c r="B4801" t="s">
        <v>150</v>
      </c>
      <c r="C4801" t="s">
        <v>125</v>
      </c>
      <c r="D4801" t="s">
        <v>39</v>
      </c>
      <c r="E4801" t="s">
        <v>159</v>
      </c>
      <c r="F4801" s="1">
        <v>42931</v>
      </c>
      <c r="G4801" s="1">
        <v>42933</v>
      </c>
      <c r="H4801">
        <v>0</v>
      </c>
      <c r="I4801" t="str">
        <f>IF(COUNTIF(Products!$A$2:$A$8,C4801)=0,C4801,"")</f>
        <v/>
      </c>
      <c r="J4801">
        <f>IF(OR(E4801="Prospecting",E4801="Engaging"),VLOOKUP(C4801,Products!$A$2:$C$8,3,FALSE),0)</f>
        <v>0</v>
      </c>
    </row>
    <row r="4802" spans="1:10" x14ac:dyDescent="0.25">
      <c r="A4802" t="s">
        <v>4969</v>
      </c>
      <c r="B4802" t="s">
        <v>150</v>
      </c>
      <c r="C4802" t="s">
        <v>125</v>
      </c>
      <c r="D4802" t="s">
        <v>23</v>
      </c>
      <c r="E4802" t="s">
        <v>138</v>
      </c>
      <c r="F4802" s="1">
        <v>42931</v>
      </c>
      <c r="G4802" s="1">
        <v>42974</v>
      </c>
      <c r="H4802">
        <v>2791</v>
      </c>
      <c r="I4802" t="str">
        <f>IF(COUNTIF(Products!$A$2:$A$8,C4802)=0,C4802,"")</f>
        <v/>
      </c>
      <c r="J4802">
        <f>IF(OR(E4802="Prospecting",E4802="Engaging"),VLOOKUP(C4802,Products!$A$2:$C$8,3,FALSE),0)</f>
        <v>0</v>
      </c>
    </row>
    <row r="4803" spans="1:10" x14ac:dyDescent="0.25">
      <c r="A4803" t="s">
        <v>4970</v>
      </c>
      <c r="B4803" t="s">
        <v>162</v>
      </c>
      <c r="C4803" t="s">
        <v>127</v>
      </c>
      <c r="E4803" t="s">
        <v>155</v>
      </c>
      <c r="F4803" s="1">
        <v>42931</v>
      </c>
      <c r="I4803" t="str">
        <f>IF(COUNTIF(Products!$A$2:$A$8,C4803)=0,C4803,"")</f>
        <v/>
      </c>
      <c r="J4803">
        <f>IF(OR(E4803="Prospecting",E4803="Engaging"),VLOOKUP(C4803,Products!$A$2:$C$8,3,FALSE),0)</f>
        <v>1096</v>
      </c>
    </row>
    <row r="4804" spans="1:10" x14ac:dyDescent="0.25">
      <c r="A4804" t="s">
        <v>4971</v>
      </c>
      <c r="B4804" t="s">
        <v>152</v>
      </c>
      <c r="C4804" t="s">
        <v>125</v>
      </c>
      <c r="D4804" t="s">
        <v>22</v>
      </c>
      <c r="E4804" t="s">
        <v>138</v>
      </c>
      <c r="F4804" s="1">
        <v>42931</v>
      </c>
      <c r="G4804" s="1">
        <v>42980</v>
      </c>
      <c r="H4804">
        <v>3501</v>
      </c>
      <c r="I4804" t="str">
        <f>IF(COUNTIF(Products!$A$2:$A$8,C4804)=0,C4804,"")</f>
        <v/>
      </c>
      <c r="J4804">
        <f>IF(OR(E4804="Prospecting",E4804="Engaging"),VLOOKUP(C4804,Products!$A$2:$C$8,3,FALSE),0)</f>
        <v>0</v>
      </c>
    </row>
    <row r="4805" spans="1:10" x14ac:dyDescent="0.25">
      <c r="A4805" t="s">
        <v>4972</v>
      </c>
      <c r="B4805" t="s">
        <v>193</v>
      </c>
      <c r="C4805" t="s">
        <v>126</v>
      </c>
      <c r="D4805" t="s">
        <v>110</v>
      </c>
      <c r="E4805" t="s">
        <v>159</v>
      </c>
      <c r="F4805" s="1">
        <v>42931</v>
      </c>
      <c r="G4805" s="1">
        <v>42943</v>
      </c>
      <c r="H4805">
        <v>0</v>
      </c>
      <c r="I4805" t="str">
        <f>IF(COUNTIF(Products!$A$2:$A$8,C4805)=0,C4805,"")</f>
        <v/>
      </c>
      <c r="J4805">
        <f>IF(OR(E4805="Prospecting",E4805="Engaging"),VLOOKUP(C4805,Products!$A$2:$C$8,3,FALSE),0)</f>
        <v>0</v>
      </c>
    </row>
    <row r="4806" spans="1:10" x14ac:dyDescent="0.25">
      <c r="A4806" t="s">
        <v>4973</v>
      </c>
      <c r="B4806" t="s">
        <v>193</v>
      </c>
      <c r="C4806" t="s">
        <v>120</v>
      </c>
      <c r="D4806" t="s">
        <v>48</v>
      </c>
      <c r="E4806" t="s">
        <v>138</v>
      </c>
      <c r="F4806" s="1">
        <v>42931</v>
      </c>
      <c r="G4806" s="1">
        <v>42932</v>
      </c>
      <c r="H4806">
        <v>555</v>
      </c>
      <c r="I4806" t="str">
        <f>IF(COUNTIF(Products!$A$2:$A$8,C4806)=0,C4806,"")</f>
        <v/>
      </c>
      <c r="J4806">
        <f>IF(OR(E4806="Prospecting",E4806="Engaging"),VLOOKUP(C4806,Products!$A$2:$C$8,3,FALSE),0)</f>
        <v>0</v>
      </c>
    </row>
    <row r="4807" spans="1:10" x14ac:dyDescent="0.25">
      <c r="A4807" t="s">
        <v>4974</v>
      </c>
      <c r="B4807" t="s">
        <v>166</v>
      </c>
      <c r="C4807" t="s">
        <v>123</v>
      </c>
      <c r="E4807" t="s">
        <v>155</v>
      </c>
      <c r="F4807" s="1">
        <v>42931</v>
      </c>
      <c r="I4807" t="str">
        <f>IF(COUNTIF(Products!$A$2:$A$8,C4807)=0,C4807,"")</f>
        <v/>
      </c>
      <c r="J4807">
        <f>IF(OR(E4807="Prospecting",E4807="Engaging"),VLOOKUP(C4807,Products!$A$2:$C$8,3,FALSE),0)</f>
        <v>55</v>
      </c>
    </row>
    <row r="4808" spans="1:10" x14ac:dyDescent="0.25">
      <c r="A4808" t="s">
        <v>4975</v>
      </c>
      <c r="B4808" t="s">
        <v>166</v>
      </c>
      <c r="C4808" t="s">
        <v>120</v>
      </c>
      <c r="D4808" t="s">
        <v>72</v>
      </c>
      <c r="E4808" t="s">
        <v>138</v>
      </c>
      <c r="F4808" s="1">
        <v>42931</v>
      </c>
      <c r="G4808" s="1">
        <v>42939</v>
      </c>
      <c r="H4808">
        <v>650</v>
      </c>
      <c r="I4808" t="str">
        <f>IF(COUNTIF(Products!$A$2:$A$8,C4808)=0,C4808,"")</f>
        <v/>
      </c>
      <c r="J4808">
        <f>IF(OR(E4808="Prospecting",E4808="Engaging"),VLOOKUP(C4808,Products!$A$2:$C$8,3,FALSE),0)</f>
        <v>0</v>
      </c>
    </row>
    <row r="4809" spans="1:10" x14ac:dyDescent="0.25">
      <c r="A4809" t="s">
        <v>4976</v>
      </c>
      <c r="B4809" t="s">
        <v>148</v>
      </c>
      <c r="C4809" t="s">
        <v>120</v>
      </c>
      <c r="D4809" t="s">
        <v>75</v>
      </c>
      <c r="E4809" t="s">
        <v>159</v>
      </c>
      <c r="F4809" s="1">
        <v>42931</v>
      </c>
      <c r="G4809" s="1">
        <v>42942</v>
      </c>
      <c r="H4809">
        <v>0</v>
      </c>
      <c r="I4809" t="str">
        <f>IF(COUNTIF(Products!$A$2:$A$8,C4809)=0,C4809,"")</f>
        <v/>
      </c>
      <c r="J4809">
        <f>IF(OR(E4809="Prospecting",E4809="Engaging"),VLOOKUP(C4809,Products!$A$2:$C$8,3,FALSE),0)</f>
        <v>0</v>
      </c>
    </row>
    <row r="4810" spans="1:10" x14ac:dyDescent="0.25">
      <c r="A4810" t="s">
        <v>4977</v>
      </c>
      <c r="B4810" t="s">
        <v>148</v>
      </c>
      <c r="C4810" t="s">
        <v>123</v>
      </c>
      <c r="D4810" t="s">
        <v>69</v>
      </c>
      <c r="E4810" t="s">
        <v>138</v>
      </c>
      <c r="F4810" s="1">
        <v>42931</v>
      </c>
      <c r="G4810" s="1">
        <v>42937</v>
      </c>
      <c r="H4810">
        <v>61</v>
      </c>
      <c r="I4810" t="str">
        <f>IF(COUNTIF(Products!$A$2:$A$8,C4810)=0,C4810,"")</f>
        <v/>
      </c>
      <c r="J4810">
        <f>IF(OR(E4810="Prospecting",E4810="Engaging"),VLOOKUP(C4810,Products!$A$2:$C$8,3,FALSE),0)</f>
        <v>0</v>
      </c>
    </row>
    <row r="4811" spans="1:10" x14ac:dyDescent="0.25">
      <c r="A4811" t="s">
        <v>4978</v>
      </c>
      <c r="B4811" t="s">
        <v>148</v>
      </c>
      <c r="C4811" t="s">
        <v>123</v>
      </c>
      <c r="D4811" t="s">
        <v>78</v>
      </c>
      <c r="E4811" t="s">
        <v>138</v>
      </c>
      <c r="F4811" s="1">
        <v>42931</v>
      </c>
      <c r="G4811" s="1">
        <v>42933</v>
      </c>
      <c r="H4811">
        <v>54</v>
      </c>
      <c r="I4811" t="str">
        <f>IF(COUNTIF(Products!$A$2:$A$8,C4811)=0,C4811,"")</f>
        <v/>
      </c>
      <c r="J4811">
        <f>IF(OR(E4811="Prospecting",E4811="Engaging"),VLOOKUP(C4811,Products!$A$2:$C$8,3,FALSE),0)</f>
        <v>0</v>
      </c>
    </row>
    <row r="4812" spans="1:10" x14ac:dyDescent="0.25">
      <c r="A4812" t="s">
        <v>4979</v>
      </c>
      <c r="B4812" t="s">
        <v>177</v>
      </c>
      <c r="C4812" t="s">
        <v>123</v>
      </c>
      <c r="D4812" t="s">
        <v>27</v>
      </c>
      <c r="E4812" t="s">
        <v>159</v>
      </c>
      <c r="F4812" s="1">
        <v>42931</v>
      </c>
      <c r="G4812" s="1">
        <v>42938</v>
      </c>
      <c r="H4812">
        <v>0</v>
      </c>
      <c r="I4812" t="str">
        <f>IF(COUNTIF(Products!$A$2:$A$8,C4812)=0,C4812,"")</f>
        <v/>
      </c>
      <c r="J4812">
        <f>IF(OR(E4812="Prospecting",E4812="Engaging"),VLOOKUP(C4812,Products!$A$2:$C$8,3,FALSE),0)</f>
        <v>0</v>
      </c>
    </row>
    <row r="4813" spans="1:10" x14ac:dyDescent="0.25">
      <c r="A4813" t="s">
        <v>4980</v>
      </c>
      <c r="B4813" t="s">
        <v>196</v>
      </c>
      <c r="C4813" t="s">
        <v>125</v>
      </c>
      <c r="D4813" t="s">
        <v>92</v>
      </c>
      <c r="E4813" t="s">
        <v>159</v>
      </c>
      <c r="F4813" s="1">
        <v>42931</v>
      </c>
      <c r="G4813" s="1">
        <v>42939</v>
      </c>
      <c r="H4813">
        <v>0</v>
      </c>
      <c r="I4813" t="str">
        <f>IF(COUNTIF(Products!$A$2:$A$8,C4813)=0,C4813,"")</f>
        <v/>
      </c>
      <c r="J4813">
        <f>IF(OR(E4813="Prospecting",E4813="Engaging"),VLOOKUP(C4813,Products!$A$2:$C$8,3,FALSE),0)</f>
        <v>0</v>
      </c>
    </row>
    <row r="4814" spans="1:10" x14ac:dyDescent="0.25">
      <c r="A4814" t="s">
        <v>4981</v>
      </c>
      <c r="B4814" t="s">
        <v>146</v>
      </c>
      <c r="C4814" t="s">
        <v>120</v>
      </c>
      <c r="D4814" t="s">
        <v>89</v>
      </c>
      <c r="E4814" t="s">
        <v>159</v>
      </c>
      <c r="F4814" s="1">
        <v>42932</v>
      </c>
      <c r="G4814" s="1">
        <v>42940</v>
      </c>
      <c r="H4814">
        <v>0</v>
      </c>
      <c r="I4814" t="str">
        <f>IF(COUNTIF(Products!$A$2:$A$8,C4814)=0,C4814,"")</f>
        <v/>
      </c>
      <c r="J4814">
        <f>IF(OR(E4814="Prospecting",E4814="Engaging"),VLOOKUP(C4814,Products!$A$2:$C$8,3,FALSE),0)</f>
        <v>0</v>
      </c>
    </row>
    <row r="4815" spans="1:10" x14ac:dyDescent="0.25">
      <c r="A4815" t="s">
        <v>4982</v>
      </c>
      <c r="B4815" t="s">
        <v>146</v>
      </c>
      <c r="C4815" t="s">
        <v>125</v>
      </c>
      <c r="D4815" t="s">
        <v>46</v>
      </c>
      <c r="E4815" t="s">
        <v>159</v>
      </c>
      <c r="F4815" s="1">
        <v>42932</v>
      </c>
      <c r="G4815" s="1">
        <v>42933</v>
      </c>
      <c r="H4815">
        <v>0</v>
      </c>
      <c r="I4815" t="str">
        <f>IF(COUNTIF(Products!$A$2:$A$8,C4815)=0,C4815,"")</f>
        <v/>
      </c>
      <c r="J4815">
        <f>IF(OR(E4815="Prospecting",E4815="Engaging"),VLOOKUP(C4815,Products!$A$2:$C$8,3,FALSE),0)</f>
        <v>0</v>
      </c>
    </row>
    <row r="4816" spans="1:10" x14ac:dyDescent="0.25">
      <c r="A4816" t="s">
        <v>4983</v>
      </c>
      <c r="B4816" t="s">
        <v>146</v>
      </c>
      <c r="C4816" t="s">
        <v>123</v>
      </c>
      <c r="D4816" t="s">
        <v>85</v>
      </c>
      <c r="E4816" t="s">
        <v>138</v>
      </c>
      <c r="F4816" s="1">
        <v>42932</v>
      </c>
      <c r="G4816" s="1">
        <v>42941</v>
      </c>
      <c r="H4816">
        <v>59</v>
      </c>
      <c r="I4816" t="str">
        <f>IF(COUNTIF(Products!$A$2:$A$8,C4816)=0,C4816,"")</f>
        <v/>
      </c>
      <c r="J4816">
        <f>IF(OR(E4816="Prospecting",E4816="Engaging"),VLOOKUP(C4816,Products!$A$2:$C$8,3,FALSE),0)</f>
        <v>0</v>
      </c>
    </row>
    <row r="4817" spans="1:10" x14ac:dyDescent="0.25">
      <c r="A4817" t="s">
        <v>4984</v>
      </c>
      <c r="B4817" t="s">
        <v>222</v>
      </c>
      <c r="C4817" t="s">
        <v>120</v>
      </c>
      <c r="D4817" t="s">
        <v>100</v>
      </c>
      <c r="E4817" t="s">
        <v>155</v>
      </c>
      <c r="F4817" s="1">
        <v>42932</v>
      </c>
      <c r="I4817" t="str">
        <f>IF(COUNTIF(Products!$A$2:$A$8,C4817)=0,C4817,"")</f>
        <v/>
      </c>
      <c r="J4817">
        <f>IF(OR(E4817="Prospecting",E4817="Engaging"),VLOOKUP(C4817,Products!$A$2:$C$8,3,FALSE),0)</f>
        <v>550</v>
      </c>
    </row>
    <row r="4818" spans="1:10" x14ac:dyDescent="0.25">
      <c r="A4818" t="s">
        <v>4985</v>
      </c>
      <c r="B4818" t="s">
        <v>207</v>
      </c>
      <c r="C4818" t="s">
        <v>122</v>
      </c>
      <c r="D4818" t="s">
        <v>7</v>
      </c>
      <c r="E4818" t="s">
        <v>138</v>
      </c>
      <c r="F4818" s="1">
        <v>42932</v>
      </c>
      <c r="G4818" s="1">
        <v>42944</v>
      </c>
      <c r="H4818">
        <v>5318</v>
      </c>
      <c r="I4818" t="str">
        <f>IF(COUNTIF(Products!$A$2:$A$8,C4818)=0,C4818,"")</f>
        <v/>
      </c>
      <c r="J4818">
        <f>IF(OR(E4818="Prospecting",E4818="Engaging"),VLOOKUP(C4818,Products!$A$2:$C$8,3,FALSE),0)</f>
        <v>0</v>
      </c>
    </row>
    <row r="4819" spans="1:10" x14ac:dyDescent="0.25">
      <c r="A4819" t="s">
        <v>4986</v>
      </c>
      <c r="B4819" t="s">
        <v>264</v>
      </c>
      <c r="C4819" t="s">
        <v>126</v>
      </c>
      <c r="D4819" t="s">
        <v>28</v>
      </c>
      <c r="E4819" t="s">
        <v>138</v>
      </c>
      <c r="F4819" s="1">
        <v>42932</v>
      </c>
      <c r="G4819" s="1">
        <v>43008</v>
      </c>
      <c r="H4819">
        <v>5753</v>
      </c>
      <c r="I4819" t="str">
        <f>IF(COUNTIF(Products!$A$2:$A$8,C4819)=0,C4819,"")</f>
        <v/>
      </c>
      <c r="J4819">
        <f>IF(OR(E4819="Prospecting",E4819="Engaging"),VLOOKUP(C4819,Products!$A$2:$C$8,3,FALSE),0)</f>
        <v>0</v>
      </c>
    </row>
    <row r="4820" spans="1:10" x14ac:dyDescent="0.25">
      <c r="A4820" t="s">
        <v>4987</v>
      </c>
      <c r="B4820" t="s">
        <v>264</v>
      </c>
      <c r="C4820" t="s">
        <v>123</v>
      </c>
      <c r="D4820" t="s">
        <v>70</v>
      </c>
      <c r="E4820" t="s">
        <v>138</v>
      </c>
      <c r="F4820" s="1">
        <v>42932</v>
      </c>
      <c r="G4820" s="1">
        <v>42940</v>
      </c>
      <c r="H4820">
        <v>62</v>
      </c>
      <c r="I4820" t="str">
        <f>IF(COUNTIF(Products!$A$2:$A$8,C4820)=0,C4820,"")</f>
        <v/>
      </c>
      <c r="J4820">
        <f>IF(OR(E4820="Prospecting",E4820="Engaging"),VLOOKUP(C4820,Products!$A$2:$C$8,3,FALSE),0)</f>
        <v>0</v>
      </c>
    </row>
    <row r="4821" spans="1:10" x14ac:dyDescent="0.25">
      <c r="A4821" t="s">
        <v>4988</v>
      </c>
      <c r="B4821" t="s">
        <v>264</v>
      </c>
      <c r="C4821" t="s">
        <v>125</v>
      </c>
      <c r="D4821" t="s">
        <v>64</v>
      </c>
      <c r="E4821" t="s">
        <v>138</v>
      </c>
      <c r="F4821" s="1">
        <v>42932</v>
      </c>
      <c r="G4821" s="1">
        <v>42959</v>
      </c>
      <c r="H4821">
        <v>3146</v>
      </c>
      <c r="I4821" t="str">
        <f>IF(COUNTIF(Products!$A$2:$A$8,C4821)=0,C4821,"")</f>
        <v/>
      </c>
      <c r="J4821">
        <f>IF(OR(E4821="Prospecting",E4821="Engaging"),VLOOKUP(C4821,Products!$A$2:$C$8,3,FALSE),0)</f>
        <v>0</v>
      </c>
    </row>
    <row r="4822" spans="1:10" x14ac:dyDescent="0.25">
      <c r="A4822" t="s">
        <v>4989</v>
      </c>
      <c r="B4822" t="s">
        <v>140</v>
      </c>
      <c r="C4822" t="s">
        <v>120</v>
      </c>
      <c r="D4822" t="s">
        <v>89</v>
      </c>
      <c r="E4822" t="s">
        <v>138</v>
      </c>
      <c r="F4822" s="1">
        <v>42932</v>
      </c>
      <c r="G4822" s="1">
        <v>42934</v>
      </c>
      <c r="H4822">
        <v>538</v>
      </c>
      <c r="I4822" t="str">
        <f>IF(COUNTIF(Products!$A$2:$A$8,C4822)=0,C4822,"")</f>
        <v/>
      </c>
      <c r="J4822">
        <f>IF(OR(E4822="Prospecting",E4822="Engaging"),VLOOKUP(C4822,Products!$A$2:$C$8,3,FALSE),0)</f>
        <v>0</v>
      </c>
    </row>
    <row r="4823" spans="1:10" x14ac:dyDescent="0.25">
      <c r="A4823" t="s">
        <v>4990</v>
      </c>
      <c r="B4823" t="s">
        <v>140</v>
      </c>
      <c r="C4823" t="s">
        <v>127</v>
      </c>
      <c r="D4823" t="s">
        <v>12</v>
      </c>
      <c r="E4823" t="s">
        <v>138</v>
      </c>
      <c r="F4823" s="1">
        <v>42932</v>
      </c>
      <c r="G4823" s="1">
        <v>42996</v>
      </c>
      <c r="H4823">
        <v>1071</v>
      </c>
      <c r="I4823" t="str">
        <f>IF(COUNTIF(Products!$A$2:$A$8,C4823)=0,C4823,"")</f>
        <v/>
      </c>
      <c r="J4823">
        <f>IF(OR(E4823="Prospecting",E4823="Engaging"),VLOOKUP(C4823,Products!$A$2:$C$8,3,FALSE),0)</f>
        <v>0</v>
      </c>
    </row>
    <row r="4824" spans="1:10" x14ac:dyDescent="0.25">
      <c r="A4824" t="s">
        <v>4991</v>
      </c>
      <c r="B4824" t="s">
        <v>140</v>
      </c>
      <c r="C4824" t="s">
        <v>122</v>
      </c>
      <c r="D4824" t="s">
        <v>12</v>
      </c>
      <c r="E4824" t="s">
        <v>138</v>
      </c>
      <c r="F4824" s="1">
        <v>42932</v>
      </c>
      <c r="G4824" s="1">
        <v>42933</v>
      </c>
      <c r="H4824">
        <v>4488</v>
      </c>
      <c r="I4824" t="str">
        <f>IF(COUNTIF(Products!$A$2:$A$8,C4824)=0,C4824,"")</f>
        <v/>
      </c>
      <c r="J4824">
        <f>IF(OR(E4824="Prospecting",E4824="Engaging"),VLOOKUP(C4824,Products!$A$2:$C$8,3,FALSE),0)</f>
        <v>0</v>
      </c>
    </row>
    <row r="4825" spans="1:10" x14ac:dyDescent="0.25">
      <c r="A4825" t="s">
        <v>4992</v>
      </c>
      <c r="B4825" t="s">
        <v>140</v>
      </c>
      <c r="C4825" t="s">
        <v>125</v>
      </c>
      <c r="D4825" t="s">
        <v>64</v>
      </c>
      <c r="E4825" t="s">
        <v>138</v>
      </c>
      <c r="F4825" s="1">
        <v>42932</v>
      </c>
      <c r="G4825" s="1">
        <v>42949</v>
      </c>
      <c r="H4825">
        <v>2837</v>
      </c>
      <c r="I4825" t="str">
        <f>IF(COUNTIF(Products!$A$2:$A$8,C4825)=0,C4825,"")</f>
        <v/>
      </c>
      <c r="J4825">
        <f>IF(OR(E4825="Prospecting",E4825="Engaging"),VLOOKUP(C4825,Products!$A$2:$C$8,3,FALSE),0)</f>
        <v>0</v>
      </c>
    </row>
    <row r="4826" spans="1:10" x14ac:dyDescent="0.25">
      <c r="A4826" t="s">
        <v>4993</v>
      </c>
      <c r="B4826" t="s">
        <v>224</v>
      </c>
      <c r="C4826" t="s">
        <v>125</v>
      </c>
      <c r="D4826" t="s">
        <v>67</v>
      </c>
      <c r="E4826" t="s">
        <v>138</v>
      </c>
      <c r="F4826" s="1">
        <v>42932</v>
      </c>
      <c r="G4826" s="1">
        <v>43008</v>
      </c>
      <c r="H4826">
        <v>3593</v>
      </c>
      <c r="I4826" t="str">
        <f>IF(COUNTIF(Products!$A$2:$A$8,C4826)=0,C4826,"")</f>
        <v/>
      </c>
      <c r="J4826">
        <f>IF(OR(E4826="Prospecting",E4826="Engaging"),VLOOKUP(C4826,Products!$A$2:$C$8,3,FALSE),0)</f>
        <v>0</v>
      </c>
    </row>
    <row r="4827" spans="1:10" x14ac:dyDescent="0.25">
      <c r="A4827" t="s">
        <v>4994</v>
      </c>
      <c r="B4827" t="s">
        <v>173</v>
      </c>
      <c r="C4827" t="s">
        <v>120</v>
      </c>
      <c r="D4827" t="s">
        <v>61</v>
      </c>
      <c r="E4827" t="s">
        <v>138</v>
      </c>
      <c r="F4827" s="1">
        <v>42932</v>
      </c>
      <c r="G4827" s="1">
        <v>43006</v>
      </c>
      <c r="H4827">
        <v>583</v>
      </c>
      <c r="I4827" t="str">
        <f>IF(COUNTIF(Products!$A$2:$A$8,C4827)=0,C4827,"")</f>
        <v/>
      </c>
      <c r="J4827">
        <f>IF(OR(E4827="Prospecting",E4827="Engaging"),VLOOKUP(C4827,Products!$A$2:$C$8,3,FALSE),0)</f>
        <v>0</v>
      </c>
    </row>
    <row r="4828" spans="1:10" x14ac:dyDescent="0.25">
      <c r="A4828" t="s">
        <v>4995</v>
      </c>
      <c r="B4828" t="s">
        <v>164</v>
      </c>
      <c r="C4828" t="s">
        <v>126</v>
      </c>
      <c r="E4828" t="s">
        <v>155</v>
      </c>
      <c r="F4828" s="1">
        <v>42932</v>
      </c>
      <c r="I4828" t="str">
        <f>IF(COUNTIF(Products!$A$2:$A$8,C4828)=0,C4828,"")</f>
        <v/>
      </c>
      <c r="J4828">
        <f>IF(OR(E4828="Prospecting",E4828="Engaging"),VLOOKUP(C4828,Products!$A$2:$C$8,3,FALSE),0)</f>
        <v>5482</v>
      </c>
    </row>
    <row r="4829" spans="1:10" x14ac:dyDescent="0.25">
      <c r="A4829" t="s">
        <v>4996</v>
      </c>
      <c r="B4829" t="s">
        <v>303</v>
      </c>
      <c r="C4829" t="s">
        <v>120</v>
      </c>
      <c r="D4829" t="s">
        <v>64</v>
      </c>
      <c r="E4829" t="s">
        <v>159</v>
      </c>
      <c r="F4829" s="1">
        <v>42932</v>
      </c>
      <c r="G4829" s="1">
        <v>42941</v>
      </c>
      <c r="H4829">
        <v>0</v>
      </c>
      <c r="I4829" t="str">
        <f>IF(COUNTIF(Products!$A$2:$A$8,C4829)=0,C4829,"")</f>
        <v/>
      </c>
      <c r="J4829">
        <f>IF(OR(E4829="Prospecting",E4829="Engaging"),VLOOKUP(C4829,Products!$A$2:$C$8,3,FALSE),0)</f>
        <v>0</v>
      </c>
    </row>
    <row r="4830" spans="1:10" x14ac:dyDescent="0.25">
      <c r="A4830" t="s">
        <v>4997</v>
      </c>
      <c r="B4830" t="s">
        <v>303</v>
      </c>
      <c r="C4830" t="s">
        <v>125</v>
      </c>
      <c r="D4830" t="s">
        <v>51</v>
      </c>
      <c r="E4830" t="s">
        <v>159</v>
      </c>
      <c r="F4830" s="1">
        <v>42932</v>
      </c>
      <c r="G4830" s="1">
        <v>42944</v>
      </c>
      <c r="H4830">
        <v>0</v>
      </c>
      <c r="I4830" t="str">
        <f>IF(COUNTIF(Products!$A$2:$A$8,C4830)=0,C4830,"")</f>
        <v/>
      </c>
      <c r="J4830">
        <f>IF(OR(E4830="Prospecting",E4830="Engaging"),VLOOKUP(C4830,Products!$A$2:$C$8,3,FALSE),0)</f>
        <v>0</v>
      </c>
    </row>
    <row r="4831" spans="1:10" x14ac:dyDescent="0.25">
      <c r="A4831" t="s">
        <v>4998</v>
      </c>
      <c r="B4831" t="s">
        <v>180</v>
      </c>
      <c r="C4831" t="s">
        <v>122</v>
      </c>
      <c r="D4831" t="s">
        <v>90</v>
      </c>
      <c r="E4831" t="s">
        <v>159</v>
      </c>
      <c r="F4831" s="1">
        <v>42932</v>
      </c>
      <c r="G4831" s="1">
        <v>42939</v>
      </c>
      <c r="H4831">
        <v>0</v>
      </c>
      <c r="I4831" t="str">
        <f>IF(COUNTIF(Products!$A$2:$A$8,C4831)=0,C4831,"")</f>
        <v/>
      </c>
      <c r="J4831">
        <f>IF(OR(E4831="Prospecting",E4831="Engaging"),VLOOKUP(C4831,Products!$A$2:$C$8,3,FALSE),0)</f>
        <v>0</v>
      </c>
    </row>
    <row r="4832" spans="1:10" x14ac:dyDescent="0.25">
      <c r="A4832" t="s">
        <v>4999</v>
      </c>
      <c r="B4832" t="s">
        <v>180</v>
      </c>
      <c r="C4832" t="s">
        <v>125</v>
      </c>
      <c r="D4832" t="s">
        <v>71</v>
      </c>
      <c r="E4832" t="s">
        <v>159</v>
      </c>
      <c r="F4832" s="1">
        <v>42932</v>
      </c>
      <c r="G4832" s="1">
        <v>42938</v>
      </c>
      <c r="H4832">
        <v>0</v>
      </c>
      <c r="I4832" t="str">
        <f>IF(COUNTIF(Products!$A$2:$A$8,C4832)=0,C4832,"")</f>
        <v/>
      </c>
      <c r="J4832">
        <f>IF(OR(E4832="Prospecting",E4832="Engaging"),VLOOKUP(C4832,Products!$A$2:$C$8,3,FALSE),0)</f>
        <v>0</v>
      </c>
    </row>
    <row r="4833" spans="1:10" x14ac:dyDescent="0.25">
      <c r="A4833" t="s">
        <v>5000</v>
      </c>
      <c r="B4833" t="s">
        <v>180</v>
      </c>
      <c r="C4833" t="s">
        <v>127</v>
      </c>
      <c r="D4833" t="s">
        <v>93</v>
      </c>
      <c r="E4833" t="s">
        <v>138</v>
      </c>
      <c r="F4833" s="1">
        <v>42932</v>
      </c>
      <c r="G4833" s="1">
        <v>42937</v>
      </c>
      <c r="H4833">
        <v>1109</v>
      </c>
      <c r="I4833" t="str">
        <f>IF(COUNTIF(Products!$A$2:$A$8,C4833)=0,C4833,"")</f>
        <v/>
      </c>
      <c r="J4833">
        <f>IF(OR(E4833="Prospecting",E4833="Engaging"),VLOOKUP(C4833,Products!$A$2:$C$8,3,FALSE),0)</f>
        <v>0</v>
      </c>
    </row>
    <row r="4834" spans="1:10" x14ac:dyDescent="0.25">
      <c r="A4834" t="s">
        <v>5001</v>
      </c>
      <c r="B4834" t="s">
        <v>180</v>
      </c>
      <c r="C4834" t="s">
        <v>127</v>
      </c>
      <c r="D4834" t="s">
        <v>114</v>
      </c>
      <c r="E4834" t="s">
        <v>138</v>
      </c>
      <c r="F4834" s="1">
        <v>42932</v>
      </c>
      <c r="G4834" s="1">
        <v>42939</v>
      </c>
      <c r="H4834">
        <v>1106</v>
      </c>
      <c r="I4834" t="str">
        <f>IF(COUNTIF(Products!$A$2:$A$8,C4834)=0,C4834,"")</f>
        <v/>
      </c>
      <c r="J4834">
        <f>IF(OR(E4834="Prospecting",E4834="Engaging"),VLOOKUP(C4834,Products!$A$2:$C$8,3,FALSE),0)</f>
        <v>0</v>
      </c>
    </row>
    <row r="4835" spans="1:10" x14ac:dyDescent="0.25">
      <c r="A4835" t="s">
        <v>5002</v>
      </c>
      <c r="B4835" t="s">
        <v>191</v>
      </c>
      <c r="C4835" t="s">
        <v>126</v>
      </c>
      <c r="D4835" t="s">
        <v>83</v>
      </c>
      <c r="E4835" t="s">
        <v>159</v>
      </c>
      <c r="F4835" s="1">
        <v>42932</v>
      </c>
      <c r="G4835" s="1">
        <v>42940</v>
      </c>
      <c r="H4835">
        <v>0</v>
      </c>
      <c r="I4835" t="str">
        <f>IF(COUNTIF(Products!$A$2:$A$8,C4835)=0,C4835,"")</f>
        <v/>
      </c>
      <c r="J4835">
        <f>IF(OR(E4835="Prospecting",E4835="Engaging"),VLOOKUP(C4835,Products!$A$2:$C$8,3,FALSE),0)</f>
        <v>0</v>
      </c>
    </row>
    <row r="4836" spans="1:10" x14ac:dyDescent="0.25">
      <c r="A4836" t="s">
        <v>5003</v>
      </c>
      <c r="B4836" t="s">
        <v>191</v>
      </c>
      <c r="C4836" t="s">
        <v>126</v>
      </c>
      <c r="D4836" t="s">
        <v>71</v>
      </c>
      <c r="E4836" t="s">
        <v>138</v>
      </c>
      <c r="F4836" s="1">
        <v>42932</v>
      </c>
      <c r="G4836" s="1">
        <v>42942</v>
      </c>
      <c r="H4836">
        <v>5008</v>
      </c>
      <c r="I4836" t="str">
        <f>IF(COUNTIF(Products!$A$2:$A$8,C4836)=0,C4836,"")</f>
        <v/>
      </c>
      <c r="J4836">
        <f>IF(OR(E4836="Prospecting",E4836="Engaging"),VLOOKUP(C4836,Products!$A$2:$C$8,3,FALSE),0)</f>
        <v>0</v>
      </c>
    </row>
    <row r="4837" spans="1:10" x14ac:dyDescent="0.25">
      <c r="A4837" t="s">
        <v>5004</v>
      </c>
      <c r="B4837" t="s">
        <v>191</v>
      </c>
      <c r="C4837" t="s">
        <v>122</v>
      </c>
      <c r="D4837" t="s">
        <v>109</v>
      </c>
      <c r="E4837" t="s">
        <v>138</v>
      </c>
      <c r="F4837" s="1">
        <v>42932</v>
      </c>
      <c r="G4837" s="1">
        <v>42935</v>
      </c>
      <c r="H4837">
        <v>5621</v>
      </c>
      <c r="I4837" t="str">
        <f>IF(COUNTIF(Products!$A$2:$A$8,C4837)=0,C4837,"")</f>
        <v/>
      </c>
      <c r="J4837">
        <f>IF(OR(E4837="Prospecting",E4837="Engaging"),VLOOKUP(C4837,Products!$A$2:$C$8,3,FALSE),0)</f>
        <v>0</v>
      </c>
    </row>
    <row r="4838" spans="1:10" x14ac:dyDescent="0.25">
      <c r="A4838" t="s">
        <v>5005</v>
      </c>
      <c r="B4838" t="s">
        <v>217</v>
      </c>
      <c r="C4838" t="s">
        <v>120</v>
      </c>
      <c r="D4838" t="s">
        <v>85</v>
      </c>
      <c r="E4838" t="s">
        <v>138</v>
      </c>
      <c r="F4838" s="1">
        <v>42932</v>
      </c>
      <c r="G4838" s="1">
        <v>42933</v>
      </c>
      <c r="H4838">
        <v>550</v>
      </c>
      <c r="I4838" t="str">
        <f>IF(COUNTIF(Products!$A$2:$A$8,C4838)=0,C4838,"")</f>
        <v/>
      </c>
      <c r="J4838">
        <f>IF(OR(E4838="Prospecting",E4838="Engaging"),VLOOKUP(C4838,Products!$A$2:$C$8,3,FALSE),0)</f>
        <v>0</v>
      </c>
    </row>
    <row r="4839" spans="1:10" x14ac:dyDescent="0.25">
      <c r="A4839" t="s">
        <v>5006</v>
      </c>
      <c r="B4839" t="s">
        <v>137</v>
      </c>
      <c r="C4839" t="s">
        <v>120</v>
      </c>
      <c r="D4839" t="s">
        <v>85</v>
      </c>
      <c r="E4839" t="s">
        <v>138</v>
      </c>
      <c r="F4839" s="1">
        <v>42932</v>
      </c>
      <c r="G4839" s="1">
        <v>42981</v>
      </c>
      <c r="H4839">
        <v>574</v>
      </c>
      <c r="I4839" t="str">
        <f>IF(COUNTIF(Products!$A$2:$A$8,C4839)=0,C4839,"")</f>
        <v/>
      </c>
      <c r="J4839">
        <f>IF(OR(E4839="Prospecting",E4839="Engaging"),VLOOKUP(C4839,Products!$A$2:$C$8,3,FALSE),0)</f>
        <v>0</v>
      </c>
    </row>
    <row r="4840" spans="1:10" x14ac:dyDescent="0.25">
      <c r="A4840" t="s">
        <v>5007</v>
      </c>
      <c r="B4840" t="s">
        <v>166</v>
      </c>
      <c r="C4840" t="s">
        <v>125</v>
      </c>
      <c r="D4840" t="s">
        <v>61</v>
      </c>
      <c r="E4840" t="s">
        <v>159</v>
      </c>
      <c r="F4840" s="1">
        <v>42932</v>
      </c>
      <c r="G4840" s="1">
        <v>42940</v>
      </c>
      <c r="H4840">
        <v>0</v>
      </c>
      <c r="I4840" t="str">
        <f>IF(COUNTIF(Products!$A$2:$A$8,C4840)=0,C4840,"")</f>
        <v/>
      </c>
      <c r="J4840">
        <f>IF(OR(E4840="Prospecting",E4840="Engaging"),VLOOKUP(C4840,Products!$A$2:$C$8,3,FALSE),0)</f>
        <v>0</v>
      </c>
    </row>
    <row r="4841" spans="1:10" x14ac:dyDescent="0.25">
      <c r="A4841" t="s">
        <v>5008</v>
      </c>
      <c r="B4841" t="s">
        <v>196</v>
      </c>
      <c r="C4841" t="s">
        <v>123</v>
      </c>
      <c r="D4841" t="s">
        <v>68</v>
      </c>
      <c r="E4841" t="s">
        <v>138</v>
      </c>
      <c r="F4841" s="1">
        <v>42932</v>
      </c>
      <c r="G4841" s="1">
        <v>42941</v>
      </c>
      <c r="H4841">
        <v>52</v>
      </c>
      <c r="I4841" t="str">
        <f>IF(COUNTIF(Products!$A$2:$A$8,C4841)=0,C4841,"")</f>
        <v/>
      </c>
      <c r="J4841">
        <f>IF(OR(E4841="Prospecting",E4841="Engaging"),VLOOKUP(C4841,Products!$A$2:$C$8,3,FALSE),0)</f>
        <v>0</v>
      </c>
    </row>
    <row r="4842" spans="1:10" x14ac:dyDescent="0.25">
      <c r="A4842" t="s">
        <v>5009</v>
      </c>
      <c r="B4842" t="s">
        <v>144</v>
      </c>
      <c r="C4842" t="s">
        <v>120</v>
      </c>
      <c r="D4842" t="s">
        <v>107</v>
      </c>
      <c r="E4842" t="s">
        <v>138</v>
      </c>
      <c r="F4842" s="1">
        <v>42932</v>
      </c>
      <c r="G4842" s="1">
        <v>42993</v>
      </c>
      <c r="H4842">
        <v>477</v>
      </c>
      <c r="I4842" t="str">
        <f>IF(COUNTIF(Products!$A$2:$A$8,C4842)=0,C4842,"")</f>
        <v/>
      </c>
      <c r="J4842">
        <f>IF(OR(E4842="Prospecting",E4842="Engaging"),VLOOKUP(C4842,Products!$A$2:$C$8,3,FALSE),0)</f>
        <v>0</v>
      </c>
    </row>
    <row r="4843" spans="1:10" x14ac:dyDescent="0.25">
      <c r="A4843" t="s">
        <v>5010</v>
      </c>
      <c r="B4843" t="s">
        <v>146</v>
      </c>
      <c r="C4843" t="s">
        <v>120</v>
      </c>
      <c r="D4843" t="s">
        <v>12</v>
      </c>
      <c r="E4843" t="s">
        <v>159</v>
      </c>
      <c r="F4843" s="1">
        <v>42933</v>
      </c>
      <c r="G4843" s="1">
        <v>42942</v>
      </c>
      <c r="H4843">
        <v>0</v>
      </c>
      <c r="I4843" t="str">
        <f>IF(COUNTIF(Products!$A$2:$A$8,C4843)=0,C4843,"")</f>
        <v/>
      </c>
      <c r="J4843">
        <f>IF(OR(E4843="Prospecting",E4843="Engaging"),VLOOKUP(C4843,Products!$A$2:$C$8,3,FALSE),0)</f>
        <v>0</v>
      </c>
    </row>
    <row r="4844" spans="1:10" x14ac:dyDescent="0.25">
      <c r="A4844" t="s">
        <v>5011</v>
      </c>
      <c r="B4844" t="s">
        <v>146</v>
      </c>
      <c r="C4844" t="s">
        <v>123</v>
      </c>
      <c r="D4844" t="s">
        <v>96</v>
      </c>
      <c r="E4844" t="s">
        <v>159</v>
      </c>
      <c r="F4844" s="1">
        <v>42933</v>
      </c>
      <c r="G4844" s="1">
        <v>42938</v>
      </c>
      <c r="H4844">
        <v>0</v>
      </c>
      <c r="I4844" t="str">
        <f>IF(COUNTIF(Products!$A$2:$A$8,C4844)=0,C4844,"")</f>
        <v/>
      </c>
      <c r="J4844">
        <f>IF(OR(E4844="Prospecting",E4844="Engaging"),VLOOKUP(C4844,Products!$A$2:$C$8,3,FALSE),0)</f>
        <v>0</v>
      </c>
    </row>
    <row r="4845" spans="1:10" x14ac:dyDescent="0.25">
      <c r="A4845" t="s">
        <v>5012</v>
      </c>
      <c r="B4845" t="s">
        <v>222</v>
      </c>
      <c r="C4845" t="s">
        <v>120</v>
      </c>
      <c r="D4845" t="s">
        <v>68</v>
      </c>
      <c r="E4845" t="s">
        <v>155</v>
      </c>
      <c r="F4845" s="1">
        <v>42933</v>
      </c>
      <c r="I4845" t="str">
        <f>IF(COUNTIF(Products!$A$2:$A$8,C4845)=0,C4845,"")</f>
        <v/>
      </c>
      <c r="J4845">
        <f>IF(OR(E4845="Prospecting",E4845="Engaging"),VLOOKUP(C4845,Products!$A$2:$C$8,3,FALSE),0)</f>
        <v>550</v>
      </c>
    </row>
    <row r="4846" spans="1:10" x14ac:dyDescent="0.25">
      <c r="A4846" t="s">
        <v>5013</v>
      </c>
      <c r="B4846" t="s">
        <v>222</v>
      </c>
      <c r="C4846" t="s">
        <v>123</v>
      </c>
      <c r="E4846" t="s">
        <v>155</v>
      </c>
      <c r="F4846" s="1">
        <v>42933</v>
      </c>
      <c r="I4846" t="str">
        <f>IF(COUNTIF(Products!$A$2:$A$8,C4846)=0,C4846,"")</f>
        <v/>
      </c>
      <c r="J4846">
        <f>IF(OR(E4846="Prospecting",E4846="Engaging"),VLOOKUP(C4846,Products!$A$2:$C$8,3,FALSE),0)</f>
        <v>55</v>
      </c>
    </row>
    <row r="4847" spans="1:10" x14ac:dyDescent="0.25">
      <c r="A4847" t="s">
        <v>5014</v>
      </c>
      <c r="B4847" t="s">
        <v>207</v>
      </c>
      <c r="C4847" t="s">
        <v>125</v>
      </c>
      <c r="E4847" t="s">
        <v>155</v>
      </c>
      <c r="F4847" s="1">
        <v>42933</v>
      </c>
      <c r="I4847" t="str">
        <f>IF(COUNTIF(Products!$A$2:$A$8,C4847)=0,C4847,"")</f>
        <v/>
      </c>
      <c r="J4847">
        <f>IF(OR(E4847="Prospecting",E4847="Engaging"),VLOOKUP(C4847,Products!$A$2:$C$8,3,FALSE),0)</f>
        <v>3393</v>
      </c>
    </row>
    <row r="4848" spans="1:10" x14ac:dyDescent="0.25">
      <c r="A4848" t="s">
        <v>5015</v>
      </c>
      <c r="B4848" t="s">
        <v>207</v>
      </c>
      <c r="C4848" t="s">
        <v>125</v>
      </c>
      <c r="D4848" t="s">
        <v>92</v>
      </c>
      <c r="E4848" t="s">
        <v>159</v>
      </c>
      <c r="F4848" s="1">
        <v>42933</v>
      </c>
      <c r="G4848" s="1">
        <v>42944</v>
      </c>
      <c r="H4848">
        <v>0</v>
      </c>
      <c r="I4848" t="str">
        <f>IF(COUNTIF(Products!$A$2:$A$8,C4848)=0,C4848,"")</f>
        <v/>
      </c>
      <c r="J4848">
        <f>IF(OR(E4848="Prospecting",E4848="Engaging"),VLOOKUP(C4848,Products!$A$2:$C$8,3,FALSE),0)</f>
        <v>0</v>
      </c>
    </row>
    <row r="4849" spans="1:10" x14ac:dyDescent="0.25">
      <c r="A4849" t="s">
        <v>5016</v>
      </c>
      <c r="B4849" t="s">
        <v>207</v>
      </c>
      <c r="C4849" t="s">
        <v>127</v>
      </c>
      <c r="D4849" t="s">
        <v>84</v>
      </c>
      <c r="E4849" t="s">
        <v>138</v>
      </c>
      <c r="F4849" s="1">
        <v>42933</v>
      </c>
      <c r="G4849" s="1">
        <v>42936</v>
      </c>
      <c r="H4849">
        <v>1202</v>
      </c>
      <c r="I4849" t="str">
        <f>IF(COUNTIF(Products!$A$2:$A$8,C4849)=0,C4849,"")</f>
        <v/>
      </c>
      <c r="J4849">
        <f>IF(OR(E4849="Prospecting",E4849="Engaging"),VLOOKUP(C4849,Products!$A$2:$C$8,3,FALSE),0)</f>
        <v>0</v>
      </c>
    </row>
    <row r="4850" spans="1:10" x14ac:dyDescent="0.25">
      <c r="A4850" t="s">
        <v>5017</v>
      </c>
      <c r="B4850" t="s">
        <v>264</v>
      </c>
      <c r="C4850" t="s">
        <v>125</v>
      </c>
      <c r="D4850" t="s">
        <v>46</v>
      </c>
      <c r="E4850" t="s">
        <v>159</v>
      </c>
      <c r="F4850" s="1">
        <v>42933</v>
      </c>
      <c r="G4850" s="1">
        <v>42952</v>
      </c>
      <c r="H4850">
        <v>0</v>
      </c>
      <c r="I4850" t="str">
        <f>IF(COUNTIF(Products!$A$2:$A$8,C4850)=0,C4850,"")</f>
        <v/>
      </c>
      <c r="J4850">
        <f>IF(OR(E4850="Prospecting",E4850="Engaging"),VLOOKUP(C4850,Products!$A$2:$C$8,3,FALSE),0)</f>
        <v>0</v>
      </c>
    </row>
    <row r="4851" spans="1:10" x14ac:dyDescent="0.25">
      <c r="A4851" t="s">
        <v>5018</v>
      </c>
      <c r="B4851" t="s">
        <v>264</v>
      </c>
      <c r="C4851" t="s">
        <v>123</v>
      </c>
      <c r="D4851" t="s">
        <v>46</v>
      </c>
      <c r="E4851" t="s">
        <v>138</v>
      </c>
      <c r="F4851" s="1">
        <v>42933</v>
      </c>
      <c r="G4851" s="1">
        <v>43042</v>
      </c>
      <c r="H4851">
        <v>51</v>
      </c>
      <c r="I4851" t="str">
        <f>IF(COUNTIF(Products!$A$2:$A$8,C4851)=0,C4851,"")</f>
        <v/>
      </c>
      <c r="J4851">
        <f>IF(OR(E4851="Prospecting",E4851="Engaging"),VLOOKUP(C4851,Products!$A$2:$C$8,3,FALSE),0)</f>
        <v>0</v>
      </c>
    </row>
    <row r="4852" spans="1:10" x14ac:dyDescent="0.25">
      <c r="A4852" t="s">
        <v>5019</v>
      </c>
      <c r="B4852" t="s">
        <v>171</v>
      </c>
      <c r="C4852" t="s">
        <v>127</v>
      </c>
      <c r="D4852" t="s">
        <v>67</v>
      </c>
      <c r="E4852" t="s">
        <v>159</v>
      </c>
      <c r="F4852" s="1">
        <v>42933</v>
      </c>
      <c r="G4852" s="1">
        <v>42934</v>
      </c>
      <c r="H4852">
        <v>0</v>
      </c>
      <c r="I4852" t="str">
        <f>IF(COUNTIF(Products!$A$2:$A$8,C4852)=0,C4852,"")</f>
        <v/>
      </c>
      <c r="J4852">
        <f>IF(OR(E4852="Prospecting",E4852="Engaging"),VLOOKUP(C4852,Products!$A$2:$C$8,3,FALSE),0)</f>
        <v>0</v>
      </c>
    </row>
    <row r="4853" spans="1:10" x14ac:dyDescent="0.25">
      <c r="A4853" t="s">
        <v>5020</v>
      </c>
      <c r="B4853" t="s">
        <v>140</v>
      </c>
      <c r="C4853" t="s">
        <v>127</v>
      </c>
      <c r="D4853" t="s">
        <v>42</v>
      </c>
      <c r="E4853" t="s">
        <v>159</v>
      </c>
      <c r="F4853" s="1">
        <v>42933</v>
      </c>
      <c r="G4853" s="1">
        <v>42934</v>
      </c>
      <c r="H4853">
        <v>0</v>
      </c>
      <c r="I4853" t="str">
        <f>IF(COUNTIF(Products!$A$2:$A$8,C4853)=0,C4853,"")</f>
        <v/>
      </c>
      <c r="J4853">
        <f>IF(OR(E4853="Prospecting",E4853="Engaging"),VLOOKUP(C4853,Products!$A$2:$C$8,3,FALSE),0)</f>
        <v>0</v>
      </c>
    </row>
    <row r="4854" spans="1:10" x14ac:dyDescent="0.25">
      <c r="A4854" t="s">
        <v>5021</v>
      </c>
      <c r="B4854" t="s">
        <v>140</v>
      </c>
      <c r="C4854" t="s">
        <v>122</v>
      </c>
      <c r="D4854" t="s">
        <v>89</v>
      </c>
      <c r="E4854" t="s">
        <v>159</v>
      </c>
      <c r="F4854" s="1">
        <v>42933</v>
      </c>
      <c r="G4854" s="1">
        <v>42944</v>
      </c>
      <c r="H4854">
        <v>0</v>
      </c>
      <c r="I4854" t="str">
        <f>IF(COUNTIF(Products!$A$2:$A$8,C4854)=0,C4854,"")</f>
        <v/>
      </c>
      <c r="J4854">
        <f>IF(OR(E4854="Prospecting",E4854="Engaging"),VLOOKUP(C4854,Products!$A$2:$C$8,3,FALSE),0)</f>
        <v>0</v>
      </c>
    </row>
    <row r="4855" spans="1:10" x14ac:dyDescent="0.25">
      <c r="A4855" t="s">
        <v>5022</v>
      </c>
      <c r="B4855" t="s">
        <v>140</v>
      </c>
      <c r="C4855" t="s">
        <v>127</v>
      </c>
      <c r="D4855" t="s">
        <v>91</v>
      </c>
      <c r="E4855" t="s">
        <v>138</v>
      </c>
      <c r="F4855" s="1">
        <v>42933</v>
      </c>
      <c r="G4855" s="1">
        <v>42994</v>
      </c>
      <c r="H4855">
        <v>1203</v>
      </c>
      <c r="I4855" t="str">
        <f>IF(COUNTIF(Products!$A$2:$A$8,C4855)=0,C4855,"")</f>
        <v/>
      </c>
      <c r="J4855">
        <f>IF(OR(E4855="Prospecting",E4855="Engaging"),VLOOKUP(C4855,Products!$A$2:$C$8,3,FALSE),0)</f>
        <v>0</v>
      </c>
    </row>
    <row r="4856" spans="1:10" x14ac:dyDescent="0.25">
      <c r="A4856" t="s">
        <v>5023</v>
      </c>
      <c r="B4856" t="s">
        <v>140</v>
      </c>
      <c r="C4856" t="s">
        <v>122</v>
      </c>
      <c r="D4856" t="s">
        <v>64</v>
      </c>
      <c r="E4856" t="s">
        <v>138</v>
      </c>
      <c r="F4856" s="1">
        <v>42933</v>
      </c>
      <c r="G4856" s="1">
        <v>42935</v>
      </c>
      <c r="H4856">
        <v>5673</v>
      </c>
      <c r="I4856" t="str">
        <f>IF(COUNTIF(Products!$A$2:$A$8,C4856)=0,C4856,"")</f>
        <v/>
      </c>
      <c r="J4856">
        <f>IF(OR(E4856="Prospecting",E4856="Engaging"),VLOOKUP(C4856,Products!$A$2:$C$8,3,FALSE),0)</f>
        <v>0</v>
      </c>
    </row>
    <row r="4857" spans="1:10" x14ac:dyDescent="0.25">
      <c r="A4857" t="s">
        <v>5024</v>
      </c>
      <c r="B4857" t="s">
        <v>224</v>
      </c>
      <c r="C4857" t="s">
        <v>126</v>
      </c>
      <c r="D4857" t="s">
        <v>50</v>
      </c>
      <c r="E4857" t="s">
        <v>138</v>
      </c>
      <c r="F4857" s="1">
        <v>42933</v>
      </c>
      <c r="G4857" s="1">
        <v>42986</v>
      </c>
      <c r="H4857">
        <v>6205</v>
      </c>
      <c r="I4857" t="str">
        <f>IF(COUNTIF(Products!$A$2:$A$8,C4857)=0,C4857,"")</f>
        <v/>
      </c>
      <c r="J4857">
        <f>IF(OR(E4857="Prospecting",E4857="Engaging"),VLOOKUP(C4857,Products!$A$2:$C$8,3,FALSE),0)</f>
        <v>0</v>
      </c>
    </row>
    <row r="4858" spans="1:10" x14ac:dyDescent="0.25">
      <c r="A4858" t="s">
        <v>5025</v>
      </c>
      <c r="B4858" t="s">
        <v>173</v>
      </c>
      <c r="C4858" t="s">
        <v>125</v>
      </c>
      <c r="E4858" t="s">
        <v>155</v>
      </c>
      <c r="F4858" s="1">
        <v>42933</v>
      </c>
      <c r="I4858" t="str">
        <f>IF(COUNTIF(Products!$A$2:$A$8,C4858)=0,C4858,"")</f>
        <v/>
      </c>
      <c r="J4858">
        <f>IF(OR(E4858="Prospecting",E4858="Engaging"),VLOOKUP(C4858,Products!$A$2:$C$8,3,FALSE),0)</f>
        <v>3393</v>
      </c>
    </row>
    <row r="4859" spans="1:10" x14ac:dyDescent="0.25">
      <c r="A4859" t="s">
        <v>5026</v>
      </c>
      <c r="B4859" t="s">
        <v>173</v>
      </c>
      <c r="C4859" t="s">
        <v>126</v>
      </c>
      <c r="D4859" t="s">
        <v>41</v>
      </c>
      <c r="E4859" t="s">
        <v>159</v>
      </c>
      <c r="F4859" s="1">
        <v>42933</v>
      </c>
      <c r="G4859" s="1">
        <v>42950</v>
      </c>
      <c r="H4859">
        <v>0</v>
      </c>
      <c r="I4859" t="str">
        <f>IF(COUNTIF(Products!$A$2:$A$8,C4859)=0,C4859,"")</f>
        <v/>
      </c>
      <c r="J4859">
        <f>IF(OR(E4859="Prospecting",E4859="Engaging"),VLOOKUP(C4859,Products!$A$2:$C$8,3,FALSE),0)</f>
        <v>0</v>
      </c>
    </row>
    <row r="4860" spans="1:10" x14ac:dyDescent="0.25">
      <c r="A4860" t="s">
        <v>5027</v>
      </c>
      <c r="B4860" t="s">
        <v>164</v>
      </c>
      <c r="C4860" t="s">
        <v>125</v>
      </c>
      <c r="D4860" t="s">
        <v>23</v>
      </c>
      <c r="E4860" t="s">
        <v>138</v>
      </c>
      <c r="F4860" s="1">
        <v>42933</v>
      </c>
      <c r="G4860" s="1">
        <v>42940</v>
      </c>
      <c r="H4860">
        <v>3363</v>
      </c>
      <c r="I4860" t="str">
        <f>IF(COUNTIF(Products!$A$2:$A$8,C4860)=0,C4860,"")</f>
        <v/>
      </c>
      <c r="J4860">
        <f>IF(OR(E4860="Prospecting",E4860="Engaging"),VLOOKUP(C4860,Products!$A$2:$C$8,3,FALSE),0)</f>
        <v>0</v>
      </c>
    </row>
    <row r="4861" spans="1:10" x14ac:dyDescent="0.25">
      <c r="A4861" t="s">
        <v>5028</v>
      </c>
      <c r="B4861" t="s">
        <v>164</v>
      </c>
      <c r="C4861" t="s">
        <v>125</v>
      </c>
      <c r="D4861" t="s">
        <v>69</v>
      </c>
      <c r="E4861" t="s">
        <v>138</v>
      </c>
      <c r="F4861" s="1">
        <v>42933</v>
      </c>
      <c r="G4861" s="1">
        <v>43042</v>
      </c>
      <c r="H4861">
        <v>3700</v>
      </c>
      <c r="I4861" t="str">
        <f>IF(COUNTIF(Products!$A$2:$A$8,C4861)=0,C4861,"")</f>
        <v/>
      </c>
      <c r="J4861">
        <f>IF(OR(E4861="Prospecting",E4861="Engaging"),VLOOKUP(C4861,Products!$A$2:$C$8,3,FALSE),0)</f>
        <v>0</v>
      </c>
    </row>
    <row r="4862" spans="1:10" x14ac:dyDescent="0.25">
      <c r="A4862" t="s">
        <v>5029</v>
      </c>
      <c r="B4862" t="s">
        <v>154</v>
      </c>
      <c r="C4862" t="s">
        <v>122</v>
      </c>
      <c r="D4862" t="s">
        <v>67</v>
      </c>
      <c r="E4862" t="s">
        <v>159</v>
      </c>
      <c r="F4862" s="1">
        <v>42933</v>
      </c>
      <c r="G4862" s="1">
        <v>43040</v>
      </c>
      <c r="H4862">
        <v>0</v>
      </c>
      <c r="I4862" t="str">
        <f>IF(COUNTIF(Products!$A$2:$A$8,C4862)=0,C4862,"")</f>
        <v/>
      </c>
      <c r="J4862">
        <f>IF(OR(E4862="Prospecting",E4862="Engaging"),VLOOKUP(C4862,Products!$A$2:$C$8,3,FALSE),0)</f>
        <v>0</v>
      </c>
    </row>
    <row r="4863" spans="1:10" x14ac:dyDescent="0.25">
      <c r="A4863" t="s">
        <v>5030</v>
      </c>
      <c r="B4863" t="s">
        <v>303</v>
      </c>
      <c r="C4863" t="s">
        <v>120</v>
      </c>
      <c r="D4863" t="s">
        <v>26</v>
      </c>
      <c r="E4863" t="s">
        <v>138</v>
      </c>
      <c r="F4863" s="1">
        <v>42933</v>
      </c>
      <c r="G4863" s="1">
        <v>43001</v>
      </c>
      <c r="H4863">
        <v>546</v>
      </c>
      <c r="I4863" t="str">
        <f>IF(COUNTIF(Products!$A$2:$A$8,C4863)=0,C4863,"")</f>
        <v/>
      </c>
      <c r="J4863">
        <f>IF(OR(E4863="Prospecting",E4863="Engaging"),VLOOKUP(C4863,Products!$A$2:$C$8,3,FALSE),0)</f>
        <v>0</v>
      </c>
    </row>
    <row r="4864" spans="1:10" x14ac:dyDescent="0.25">
      <c r="A4864" t="s">
        <v>5031</v>
      </c>
      <c r="B4864" t="s">
        <v>303</v>
      </c>
      <c r="C4864" t="s">
        <v>120</v>
      </c>
      <c r="D4864" t="s">
        <v>103</v>
      </c>
      <c r="E4864" t="s">
        <v>138</v>
      </c>
      <c r="F4864" s="1">
        <v>42933</v>
      </c>
      <c r="G4864" s="1">
        <v>42940</v>
      </c>
      <c r="H4864">
        <v>617</v>
      </c>
      <c r="I4864" t="str">
        <f>IF(COUNTIF(Products!$A$2:$A$8,C4864)=0,C4864,"")</f>
        <v/>
      </c>
      <c r="J4864">
        <f>IF(OR(E4864="Prospecting",E4864="Engaging"),VLOOKUP(C4864,Products!$A$2:$C$8,3,FALSE),0)</f>
        <v>0</v>
      </c>
    </row>
    <row r="4865" spans="1:10" x14ac:dyDescent="0.25">
      <c r="A4865" t="s">
        <v>5032</v>
      </c>
      <c r="B4865" t="s">
        <v>303</v>
      </c>
      <c r="C4865" t="s">
        <v>120</v>
      </c>
      <c r="D4865" t="s">
        <v>77</v>
      </c>
      <c r="E4865" t="s">
        <v>138</v>
      </c>
      <c r="F4865" s="1">
        <v>42933</v>
      </c>
      <c r="G4865" s="1">
        <v>42942</v>
      </c>
      <c r="H4865">
        <v>490</v>
      </c>
      <c r="I4865" t="str">
        <f>IF(COUNTIF(Products!$A$2:$A$8,C4865)=0,C4865,"")</f>
        <v/>
      </c>
      <c r="J4865">
        <f>IF(OR(E4865="Prospecting",E4865="Engaging"),VLOOKUP(C4865,Products!$A$2:$C$8,3,FALSE),0)</f>
        <v>0</v>
      </c>
    </row>
    <row r="4866" spans="1:10" x14ac:dyDescent="0.25">
      <c r="A4866" t="s">
        <v>5033</v>
      </c>
      <c r="B4866" t="s">
        <v>180</v>
      </c>
      <c r="C4866" t="s">
        <v>120</v>
      </c>
      <c r="D4866" t="s">
        <v>69</v>
      </c>
      <c r="E4866" t="s">
        <v>159</v>
      </c>
      <c r="F4866" s="1">
        <v>42933</v>
      </c>
      <c r="G4866" s="1">
        <v>42935</v>
      </c>
      <c r="H4866">
        <v>0</v>
      </c>
      <c r="I4866" t="str">
        <f>IF(COUNTIF(Products!$A$2:$A$8,C4866)=0,C4866,"")</f>
        <v/>
      </c>
      <c r="J4866">
        <f>IF(OR(E4866="Prospecting",E4866="Engaging"),VLOOKUP(C4866,Products!$A$2:$C$8,3,FALSE),0)</f>
        <v>0</v>
      </c>
    </row>
    <row r="4867" spans="1:10" x14ac:dyDescent="0.25">
      <c r="A4867" t="s">
        <v>5034</v>
      </c>
      <c r="B4867" t="s">
        <v>180</v>
      </c>
      <c r="C4867" t="s">
        <v>120</v>
      </c>
      <c r="D4867" t="s">
        <v>75</v>
      </c>
      <c r="E4867" t="s">
        <v>159</v>
      </c>
      <c r="F4867" s="1">
        <v>42933</v>
      </c>
      <c r="G4867" s="1">
        <v>42937</v>
      </c>
      <c r="H4867">
        <v>0</v>
      </c>
      <c r="I4867" t="str">
        <f>IF(COUNTIF(Products!$A$2:$A$8,C4867)=0,C4867,"")</f>
        <v/>
      </c>
      <c r="J4867">
        <f>IF(OR(E4867="Prospecting",E4867="Engaging"),VLOOKUP(C4867,Products!$A$2:$C$8,3,FALSE),0)</f>
        <v>0</v>
      </c>
    </row>
    <row r="4868" spans="1:10" x14ac:dyDescent="0.25">
      <c r="A4868" t="s">
        <v>5035</v>
      </c>
      <c r="B4868" t="s">
        <v>191</v>
      </c>
      <c r="C4868" t="s">
        <v>125</v>
      </c>
      <c r="D4868" t="s">
        <v>67</v>
      </c>
      <c r="E4868" t="s">
        <v>138</v>
      </c>
      <c r="F4868" s="1">
        <v>42933</v>
      </c>
      <c r="G4868" s="1">
        <v>42942</v>
      </c>
      <c r="H4868">
        <v>3665</v>
      </c>
      <c r="I4868" t="str">
        <f>IF(COUNTIF(Products!$A$2:$A$8,C4868)=0,C4868,"")</f>
        <v/>
      </c>
      <c r="J4868">
        <f>IF(OR(E4868="Prospecting",E4868="Engaging"),VLOOKUP(C4868,Products!$A$2:$C$8,3,FALSE),0)</f>
        <v>0</v>
      </c>
    </row>
    <row r="4869" spans="1:10" x14ac:dyDescent="0.25">
      <c r="A4869" t="s">
        <v>5036</v>
      </c>
      <c r="B4869" t="s">
        <v>217</v>
      </c>
      <c r="C4869" t="s">
        <v>127</v>
      </c>
      <c r="D4869" t="s">
        <v>77</v>
      </c>
      <c r="E4869" t="s">
        <v>159</v>
      </c>
      <c r="F4869" s="1">
        <v>42933</v>
      </c>
      <c r="G4869" s="1">
        <v>42940</v>
      </c>
      <c r="H4869">
        <v>0</v>
      </c>
      <c r="I4869" t="str">
        <f>IF(COUNTIF(Products!$A$2:$A$8,C4869)=0,C4869,"")</f>
        <v/>
      </c>
      <c r="J4869">
        <f>IF(OR(E4869="Prospecting",E4869="Engaging"),VLOOKUP(C4869,Products!$A$2:$C$8,3,FALSE),0)</f>
        <v>0</v>
      </c>
    </row>
    <row r="4870" spans="1:10" x14ac:dyDescent="0.25">
      <c r="A4870" t="s">
        <v>5037</v>
      </c>
      <c r="B4870" t="s">
        <v>150</v>
      </c>
      <c r="C4870" t="s">
        <v>125</v>
      </c>
      <c r="D4870" t="s">
        <v>60</v>
      </c>
      <c r="E4870" t="s">
        <v>159</v>
      </c>
      <c r="F4870" s="1">
        <v>42933</v>
      </c>
      <c r="G4870" s="1">
        <v>42934</v>
      </c>
      <c r="H4870">
        <v>0</v>
      </c>
      <c r="I4870" t="str">
        <f>IF(COUNTIF(Products!$A$2:$A$8,C4870)=0,C4870,"")</f>
        <v/>
      </c>
      <c r="J4870">
        <f>IF(OR(E4870="Prospecting",E4870="Engaging"),VLOOKUP(C4870,Products!$A$2:$C$8,3,FALSE),0)</f>
        <v>0</v>
      </c>
    </row>
    <row r="4871" spans="1:10" x14ac:dyDescent="0.25">
      <c r="A4871" t="s">
        <v>5038</v>
      </c>
      <c r="B4871" t="s">
        <v>205</v>
      </c>
      <c r="C4871" t="s">
        <v>123</v>
      </c>
      <c r="D4871" t="s">
        <v>85</v>
      </c>
      <c r="E4871" t="s">
        <v>138</v>
      </c>
      <c r="F4871" s="1">
        <v>42933</v>
      </c>
      <c r="G4871" s="1">
        <v>42942</v>
      </c>
      <c r="H4871">
        <v>53</v>
      </c>
      <c r="I4871" t="str">
        <f>IF(COUNTIF(Products!$A$2:$A$8,C4871)=0,C4871,"")</f>
        <v/>
      </c>
      <c r="J4871">
        <f>IF(OR(E4871="Prospecting",E4871="Engaging"),VLOOKUP(C4871,Products!$A$2:$C$8,3,FALSE),0)</f>
        <v>0</v>
      </c>
    </row>
    <row r="4872" spans="1:10" x14ac:dyDescent="0.25">
      <c r="A4872" t="s">
        <v>5039</v>
      </c>
      <c r="B4872" t="s">
        <v>162</v>
      </c>
      <c r="C4872" t="s">
        <v>127</v>
      </c>
      <c r="D4872" t="s">
        <v>44</v>
      </c>
      <c r="E4872" t="s">
        <v>159</v>
      </c>
      <c r="F4872" s="1">
        <v>42933</v>
      </c>
      <c r="G4872" s="1">
        <v>43006</v>
      </c>
      <c r="H4872">
        <v>0</v>
      </c>
      <c r="I4872" t="str">
        <f>IF(COUNTIF(Products!$A$2:$A$8,C4872)=0,C4872,"")</f>
        <v/>
      </c>
      <c r="J4872">
        <f>IF(OR(E4872="Prospecting",E4872="Engaging"),VLOOKUP(C4872,Products!$A$2:$C$8,3,FALSE),0)</f>
        <v>0</v>
      </c>
    </row>
    <row r="4873" spans="1:10" x14ac:dyDescent="0.25">
      <c r="A4873" t="s">
        <v>5040</v>
      </c>
      <c r="B4873" t="s">
        <v>162</v>
      </c>
      <c r="C4873" t="s">
        <v>127</v>
      </c>
      <c r="D4873" t="s">
        <v>93</v>
      </c>
      <c r="E4873" t="s">
        <v>138</v>
      </c>
      <c r="F4873" s="1">
        <v>42933</v>
      </c>
      <c r="G4873" s="1">
        <v>43052</v>
      </c>
      <c r="H4873">
        <v>1075</v>
      </c>
      <c r="I4873" t="str">
        <f>IF(COUNTIF(Products!$A$2:$A$8,C4873)=0,C4873,"")</f>
        <v/>
      </c>
      <c r="J4873">
        <f>IF(OR(E4873="Prospecting",E4873="Engaging"),VLOOKUP(C4873,Products!$A$2:$C$8,3,FALSE),0)</f>
        <v>0</v>
      </c>
    </row>
    <row r="4874" spans="1:10" x14ac:dyDescent="0.25">
      <c r="A4874" t="s">
        <v>5041</v>
      </c>
      <c r="B4874" t="s">
        <v>162</v>
      </c>
      <c r="C4874" t="s">
        <v>122</v>
      </c>
      <c r="D4874" t="s">
        <v>41</v>
      </c>
      <c r="E4874" t="s">
        <v>138</v>
      </c>
      <c r="F4874" s="1">
        <v>42933</v>
      </c>
      <c r="G4874" s="1">
        <v>42941</v>
      </c>
      <c r="H4874">
        <v>4683</v>
      </c>
      <c r="I4874" t="str">
        <f>IF(COUNTIF(Products!$A$2:$A$8,C4874)=0,C4874,"")</f>
        <v/>
      </c>
      <c r="J4874">
        <f>IF(OR(E4874="Prospecting",E4874="Engaging"),VLOOKUP(C4874,Products!$A$2:$C$8,3,FALSE),0)</f>
        <v>0</v>
      </c>
    </row>
    <row r="4875" spans="1:10" x14ac:dyDescent="0.25">
      <c r="A4875" t="s">
        <v>5042</v>
      </c>
      <c r="B4875" t="s">
        <v>152</v>
      </c>
      <c r="C4875" t="s">
        <v>127</v>
      </c>
      <c r="D4875" t="s">
        <v>95</v>
      </c>
      <c r="E4875" t="s">
        <v>138</v>
      </c>
      <c r="F4875" s="1">
        <v>42933</v>
      </c>
      <c r="G4875" s="1">
        <v>42943</v>
      </c>
      <c r="H4875">
        <v>1114</v>
      </c>
      <c r="I4875" t="str">
        <f>IF(COUNTIF(Products!$A$2:$A$8,C4875)=0,C4875,"")</f>
        <v/>
      </c>
      <c r="J4875">
        <f>IF(OR(E4875="Prospecting",E4875="Engaging"),VLOOKUP(C4875,Products!$A$2:$C$8,3,FALSE),0)</f>
        <v>0</v>
      </c>
    </row>
    <row r="4876" spans="1:10" x14ac:dyDescent="0.25">
      <c r="A4876" t="s">
        <v>5043</v>
      </c>
      <c r="B4876" t="s">
        <v>193</v>
      </c>
      <c r="C4876" t="s">
        <v>122</v>
      </c>
      <c r="D4876" t="s">
        <v>10</v>
      </c>
      <c r="E4876" t="s">
        <v>138</v>
      </c>
      <c r="F4876" s="1">
        <v>42933</v>
      </c>
      <c r="G4876" s="1">
        <v>43056</v>
      </c>
      <c r="H4876">
        <v>5452</v>
      </c>
      <c r="I4876" t="str">
        <f>IF(COUNTIF(Products!$A$2:$A$8,C4876)=0,C4876,"")</f>
        <v/>
      </c>
      <c r="J4876">
        <f>IF(OR(E4876="Prospecting",E4876="Engaging"),VLOOKUP(C4876,Products!$A$2:$C$8,3,FALSE),0)</f>
        <v>0</v>
      </c>
    </row>
    <row r="4877" spans="1:10" x14ac:dyDescent="0.25">
      <c r="A4877" t="s">
        <v>5044</v>
      </c>
      <c r="B4877" t="s">
        <v>166</v>
      </c>
      <c r="C4877" t="s">
        <v>122</v>
      </c>
      <c r="D4877" t="s">
        <v>59</v>
      </c>
      <c r="E4877" t="s">
        <v>138</v>
      </c>
      <c r="F4877" s="1">
        <v>42933</v>
      </c>
      <c r="G4877" s="1">
        <v>42985</v>
      </c>
      <c r="H4877">
        <v>5561</v>
      </c>
      <c r="I4877" t="str">
        <f>IF(COUNTIF(Products!$A$2:$A$8,C4877)=0,C4877,"")</f>
        <v/>
      </c>
      <c r="J4877">
        <f>IF(OR(E4877="Prospecting",E4877="Engaging"),VLOOKUP(C4877,Products!$A$2:$C$8,3,FALSE),0)</f>
        <v>0</v>
      </c>
    </row>
    <row r="4878" spans="1:10" x14ac:dyDescent="0.25">
      <c r="A4878" t="s">
        <v>5045</v>
      </c>
      <c r="B4878" t="s">
        <v>187</v>
      </c>
      <c r="C4878" t="s">
        <v>123</v>
      </c>
      <c r="D4878" t="s">
        <v>84</v>
      </c>
      <c r="E4878" t="s">
        <v>138</v>
      </c>
      <c r="F4878" s="1">
        <v>42933</v>
      </c>
      <c r="G4878" s="1">
        <v>42941</v>
      </c>
      <c r="H4878">
        <v>57</v>
      </c>
      <c r="I4878" t="str">
        <f>IF(COUNTIF(Products!$A$2:$A$8,C4878)=0,C4878,"")</f>
        <v/>
      </c>
      <c r="J4878">
        <f>IF(OR(E4878="Prospecting",E4878="Engaging"),VLOOKUP(C4878,Products!$A$2:$C$8,3,FALSE),0)</f>
        <v>0</v>
      </c>
    </row>
    <row r="4879" spans="1:10" x14ac:dyDescent="0.25">
      <c r="A4879" t="s">
        <v>5046</v>
      </c>
      <c r="B4879" t="s">
        <v>169</v>
      </c>
      <c r="C4879" t="s">
        <v>123</v>
      </c>
      <c r="D4879" t="s">
        <v>96</v>
      </c>
      <c r="E4879" t="s">
        <v>159</v>
      </c>
      <c r="F4879" s="1">
        <v>42933</v>
      </c>
      <c r="G4879" s="1">
        <v>42950</v>
      </c>
      <c r="H4879">
        <v>0</v>
      </c>
      <c r="I4879" t="str">
        <f>IF(COUNTIF(Products!$A$2:$A$8,C4879)=0,C4879,"")</f>
        <v/>
      </c>
      <c r="J4879">
        <f>IF(OR(E4879="Prospecting",E4879="Engaging"),VLOOKUP(C4879,Products!$A$2:$C$8,3,FALSE),0)</f>
        <v>0</v>
      </c>
    </row>
    <row r="4880" spans="1:10" x14ac:dyDescent="0.25">
      <c r="A4880" t="s">
        <v>5047</v>
      </c>
      <c r="B4880" t="s">
        <v>148</v>
      </c>
      <c r="C4880" t="s">
        <v>126</v>
      </c>
      <c r="D4880" t="s">
        <v>41</v>
      </c>
      <c r="E4880" t="s">
        <v>155</v>
      </c>
      <c r="F4880" s="1">
        <v>42933</v>
      </c>
      <c r="I4880" t="str">
        <f>IF(COUNTIF(Products!$A$2:$A$8,C4880)=0,C4880,"")</f>
        <v/>
      </c>
      <c r="J4880">
        <f>IF(OR(E4880="Prospecting",E4880="Engaging"),VLOOKUP(C4880,Products!$A$2:$C$8,3,FALSE),0)</f>
        <v>5482</v>
      </c>
    </row>
    <row r="4881" spans="1:10" x14ac:dyDescent="0.25">
      <c r="A4881" t="s">
        <v>5048</v>
      </c>
      <c r="B4881" t="s">
        <v>148</v>
      </c>
      <c r="C4881" t="s">
        <v>122</v>
      </c>
      <c r="D4881" t="s">
        <v>67</v>
      </c>
      <c r="E4881" t="s">
        <v>159</v>
      </c>
      <c r="F4881" s="1">
        <v>42933</v>
      </c>
      <c r="G4881" s="1">
        <v>43000</v>
      </c>
      <c r="H4881">
        <v>0</v>
      </c>
      <c r="I4881" t="str">
        <f>IF(COUNTIF(Products!$A$2:$A$8,C4881)=0,C4881,"")</f>
        <v/>
      </c>
      <c r="J4881">
        <f>IF(OR(E4881="Prospecting",E4881="Engaging"),VLOOKUP(C4881,Products!$A$2:$C$8,3,FALSE),0)</f>
        <v>0</v>
      </c>
    </row>
    <row r="4882" spans="1:10" x14ac:dyDescent="0.25">
      <c r="A4882" t="s">
        <v>5049</v>
      </c>
      <c r="B4882" t="s">
        <v>148</v>
      </c>
      <c r="C4882" t="s">
        <v>125</v>
      </c>
      <c r="D4882" t="s">
        <v>23</v>
      </c>
      <c r="E4882" t="s">
        <v>159</v>
      </c>
      <c r="F4882" s="1">
        <v>42933</v>
      </c>
      <c r="G4882" s="1">
        <v>42945</v>
      </c>
      <c r="H4882">
        <v>0</v>
      </c>
      <c r="I4882" t="str">
        <f>IF(COUNTIF(Products!$A$2:$A$8,C4882)=0,C4882,"")</f>
        <v/>
      </c>
      <c r="J4882">
        <f>IF(OR(E4882="Prospecting",E4882="Engaging"),VLOOKUP(C4882,Products!$A$2:$C$8,3,FALSE),0)</f>
        <v>0</v>
      </c>
    </row>
    <row r="4883" spans="1:10" x14ac:dyDescent="0.25">
      <c r="A4883" t="s">
        <v>5050</v>
      </c>
      <c r="B4883" t="s">
        <v>148</v>
      </c>
      <c r="C4883" t="s">
        <v>120</v>
      </c>
      <c r="D4883" t="s">
        <v>56</v>
      </c>
      <c r="E4883" t="s">
        <v>138</v>
      </c>
      <c r="F4883" s="1">
        <v>42933</v>
      </c>
      <c r="G4883" s="1">
        <v>42934</v>
      </c>
      <c r="H4883">
        <v>496</v>
      </c>
      <c r="I4883" t="str">
        <f>IF(COUNTIF(Products!$A$2:$A$8,C4883)=0,C4883,"")</f>
        <v/>
      </c>
      <c r="J4883">
        <f>IF(OR(E4883="Prospecting",E4883="Engaging"),VLOOKUP(C4883,Products!$A$2:$C$8,3,FALSE),0)</f>
        <v>0</v>
      </c>
    </row>
    <row r="4884" spans="1:10" x14ac:dyDescent="0.25">
      <c r="A4884" t="s">
        <v>5051</v>
      </c>
      <c r="B4884" t="s">
        <v>148</v>
      </c>
      <c r="C4884" t="s">
        <v>122</v>
      </c>
      <c r="D4884" t="s">
        <v>72</v>
      </c>
      <c r="E4884" t="s">
        <v>138</v>
      </c>
      <c r="F4884" s="1">
        <v>42933</v>
      </c>
      <c r="G4884" s="1">
        <v>42995</v>
      </c>
      <c r="H4884">
        <v>5054</v>
      </c>
      <c r="I4884" t="str">
        <f>IF(COUNTIF(Products!$A$2:$A$8,C4884)=0,C4884,"")</f>
        <v/>
      </c>
      <c r="J4884">
        <f>IF(OR(E4884="Prospecting",E4884="Engaging"),VLOOKUP(C4884,Products!$A$2:$C$8,3,FALSE),0)</f>
        <v>0</v>
      </c>
    </row>
    <row r="4885" spans="1:10" x14ac:dyDescent="0.25">
      <c r="A4885" t="s">
        <v>5052</v>
      </c>
      <c r="B4885" t="s">
        <v>177</v>
      </c>
      <c r="C4885" t="s">
        <v>123</v>
      </c>
      <c r="D4885" t="s">
        <v>19</v>
      </c>
      <c r="E4885" t="s">
        <v>159</v>
      </c>
      <c r="F4885" s="1">
        <v>42933</v>
      </c>
      <c r="G4885" s="1">
        <v>42934</v>
      </c>
      <c r="H4885">
        <v>0</v>
      </c>
      <c r="I4885" t="str">
        <f>IF(COUNTIF(Products!$A$2:$A$8,C4885)=0,C4885,"")</f>
        <v/>
      </c>
      <c r="J4885">
        <f>IF(OR(E4885="Prospecting",E4885="Engaging"),VLOOKUP(C4885,Products!$A$2:$C$8,3,FALSE),0)</f>
        <v>0</v>
      </c>
    </row>
    <row r="4886" spans="1:10" x14ac:dyDescent="0.25">
      <c r="A4886" t="s">
        <v>5053</v>
      </c>
      <c r="B4886" t="s">
        <v>177</v>
      </c>
      <c r="C4886" t="s">
        <v>123</v>
      </c>
      <c r="D4886" t="s">
        <v>50</v>
      </c>
      <c r="E4886" t="s">
        <v>138</v>
      </c>
      <c r="F4886" s="1">
        <v>42933</v>
      </c>
      <c r="G4886" s="1">
        <v>42967</v>
      </c>
      <c r="H4886">
        <v>55</v>
      </c>
      <c r="I4886" t="str">
        <f>IF(COUNTIF(Products!$A$2:$A$8,C4886)=0,C4886,"")</f>
        <v/>
      </c>
      <c r="J4886">
        <f>IF(OR(E4886="Prospecting",E4886="Engaging"),VLOOKUP(C4886,Products!$A$2:$C$8,3,FALSE),0)</f>
        <v>0</v>
      </c>
    </row>
    <row r="4887" spans="1:10" x14ac:dyDescent="0.25">
      <c r="A4887" t="s">
        <v>5054</v>
      </c>
      <c r="B4887" t="s">
        <v>144</v>
      </c>
      <c r="C4887" t="s">
        <v>127</v>
      </c>
      <c r="D4887" t="s">
        <v>72</v>
      </c>
      <c r="E4887" t="s">
        <v>159</v>
      </c>
      <c r="F4887" s="1">
        <v>42933</v>
      </c>
      <c r="G4887" s="1">
        <v>42942</v>
      </c>
      <c r="H4887">
        <v>0</v>
      </c>
      <c r="I4887" t="str">
        <f>IF(COUNTIF(Products!$A$2:$A$8,C4887)=0,C4887,"")</f>
        <v/>
      </c>
      <c r="J4887">
        <f>IF(OR(E4887="Prospecting",E4887="Engaging"),VLOOKUP(C4887,Products!$A$2:$C$8,3,FALSE),0)</f>
        <v>0</v>
      </c>
    </row>
    <row r="4888" spans="1:10" x14ac:dyDescent="0.25">
      <c r="A4888" t="s">
        <v>5055</v>
      </c>
      <c r="B4888" t="s">
        <v>144</v>
      </c>
      <c r="C4888" t="s">
        <v>122</v>
      </c>
      <c r="D4888" t="s">
        <v>107</v>
      </c>
      <c r="E4888" t="s">
        <v>159</v>
      </c>
      <c r="F4888" s="1">
        <v>42933</v>
      </c>
      <c r="G4888" s="1">
        <v>42943</v>
      </c>
      <c r="H4888">
        <v>0</v>
      </c>
      <c r="I4888" t="str">
        <f>IF(COUNTIF(Products!$A$2:$A$8,C4888)=0,C4888,"")</f>
        <v/>
      </c>
      <c r="J4888">
        <f>IF(OR(E4888="Prospecting",E4888="Engaging"),VLOOKUP(C4888,Products!$A$2:$C$8,3,FALSE),0)</f>
        <v>0</v>
      </c>
    </row>
    <row r="4889" spans="1:10" x14ac:dyDescent="0.25">
      <c r="A4889" t="s">
        <v>5056</v>
      </c>
      <c r="B4889" t="s">
        <v>144</v>
      </c>
      <c r="C4889" t="s">
        <v>127</v>
      </c>
      <c r="D4889" t="s">
        <v>93</v>
      </c>
      <c r="E4889" t="s">
        <v>138</v>
      </c>
      <c r="F4889" s="1">
        <v>42933</v>
      </c>
      <c r="G4889" s="1">
        <v>42999</v>
      </c>
      <c r="H4889">
        <v>1064</v>
      </c>
      <c r="I4889" t="str">
        <f>IF(COUNTIF(Products!$A$2:$A$8,C4889)=0,C4889,"")</f>
        <v/>
      </c>
      <c r="J4889">
        <f>IF(OR(E4889="Prospecting",E4889="Engaging"),VLOOKUP(C4889,Products!$A$2:$C$8,3,FALSE),0)</f>
        <v>0</v>
      </c>
    </row>
    <row r="4890" spans="1:10" x14ac:dyDescent="0.25">
      <c r="A4890" t="s">
        <v>5057</v>
      </c>
      <c r="B4890" t="s">
        <v>144</v>
      </c>
      <c r="C4890" t="s">
        <v>122</v>
      </c>
      <c r="D4890" t="s">
        <v>56</v>
      </c>
      <c r="E4890" t="s">
        <v>138</v>
      </c>
      <c r="F4890" s="1">
        <v>42933</v>
      </c>
      <c r="G4890" s="1">
        <v>42944</v>
      </c>
      <c r="H4890">
        <v>5268</v>
      </c>
      <c r="I4890" t="str">
        <f>IF(COUNTIF(Products!$A$2:$A$8,C4890)=0,C4890,"")</f>
        <v/>
      </c>
      <c r="J4890">
        <f>IF(OR(E4890="Prospecting",E4890="Engaging"),VLOOKUP(C4890,Products!$A$2:$C$8,3,FALSE),0)</f>
        <v>0</v>
      </c>
    </row>
    <row r="4891" spans="1:10" x14ac:dyDescent="0.25">
      <c r="A4891" t="s">
        <v>5058</v>
      </c>
      <c r="B4891" t="s">
        <v>146</v>
      </c>
      <c r="C4891" t="s">
        <v>123</v>
      </c>
      <c r="D4891" t="s">
        <v>27</v>
      </c>
      <c r="E4891" t="s">
        <v>138</v>
      </c>
      <c r="F4891" s="1">
        <v>42934</v>
      </c>
      <c r="G4891" s="1">
        <v>42943</v>
      </c>
      <c r="H4891">
        <v>54</v>
      </c>
      <c r="I4891" t="str">
        <f>IF(COUNTIF(Products!$A$2:$A$8,C4891)=0,C4891,"")</f>
        <v/>
      </c>
      <c r="J4891">
        <f>IF(OR(E4891="Prospecting",E4891="Engaging"),VLOOKUP(C4891,Products!$A$2:$C$8,3,FALSE),0)</f>
        <v>0</v>
      </c>
    </row>
    <row r="4892" spans="1:10" x14ac:dyDescent="0.25">
      <c r="A4892" t="s">
        <v>5059</v>
      </c>
      <c r="B4892" t="s">
        <v>207</v>
      </c>
      <c r="C4892" t="s">
        <v>125</v>
      </c>
      <c r="D4892" t="s">
        <v>81</v>
      </c>
      <c r="E4892" t="s">
        <v>138</v>
      </c>
      <c r="F4892" s="1">
        <v>42934</v>
      </c>
      <c r="G4892" s="1">
        <v>42944</v>
      </c>
      <c r="H4892">
        <v>3407</v>
      </c>
      <c r="I4892" t="str">
        <f>IF(COUNTIF(Products!$A$2:$A$8,C4892)=0,C4892,"")</f>
        <v/>
      </c>
      <c r="J4892">
        <f>IF(OR(E4892="Prospecting",E4892="Engaging"),VLOOKUP(C4892,Products!$A$2:$C$8,3,FALSE),0)</f>
        <v>0</v>
      </c>
    </row>
    <row r="4893" spans="1:10" x14ac:dyDescent="0.25">
      <c r="A4893" t="s">
        <v>5060</v>
      </c>
      <c r="B4893" t="s">
        <v>239</v>
      </c>
      <c r="C4893" t="s">
        <v>127</v>
      </c>
      <c r="E4893" t="s">
        <v>155</v>
      </c>
      <c r="F4893" s="1">
        <v>42934</v>
      </c>
      <c r="I4893" t="str">
        <f>IF(COUNTIF(Products!$A$2:$A$8,C4893)=0,C4893,"")</f>
        <v/>
      </c>
      <c r="J4893">
        <f>IF(OR(E4893="Prospecting",E4893="Engaging"),VLOOKUP(C4893,Products!$A$2:$C$8,3,FALSE),0)</f>
        <v>1096</v>
      </c>
    </row>
    <row r="4894" spans="1:10" x14ac:dyDescent="0.25">
      <c r="A4894" t="s">
        <v>5061</v>
      </c>
      <c r="B4894" t="s">
        <v>171</v>
      </c>
      <c r="C4894" t="s">
        <v>120</v>
      </c>
      <c r="D4894" t="s">
        <v>20</v>
      </c>
      <c r="E4894" t="s">
        <v>159</v>
      </c>
      <c r="F4894" s="1">
        <v>42934</v>
      </c>
      <c r="G4894" s="1">
        <v>42952</v>
      </c>
      <c r="H4894">
        <v>0</v>
      </c>
      <c r="I4894" t="str">
        <f>IF(COUNTIF(Products!$A$2:$A$8,C4894)=0,C4894,"")</f>
        <v/>
      </c>
      <c r="J4894">
        <f>IF(OR(E4894="Prospecting",E4894="Engaging"),VLOOKUP(C4894,Products!$A$2:$C$8,3,FALSE),0)</f>
        <v>0</v>
      </c>
    </row>
    <row r="4895" spans="1:10" x14ac:dyDescent="0.25">
      <c r="A4895" t="s">
        <v>5062</v>
      </c>
      <c r="B4895" t="s">
        <v>140</v>
      </c>
      <c r="C4895" t="s">
        <v>122</v>
      </c>
      <c r="D4895" t="s">
        <v>89</v>
      </c>
      <c r="E4895" t="s">
        <v>159</v>
      </c>
      <c r="F4895" s="1">
        <v>42934</v>
      </c>
      <c r="G4895" s="1">
        <v>42977</v>
      </c>
      <c r="H4895">
        <v>0</v>
      </c>
      <c r="I4895" t="str">
        <f>IF(COUNTIF(Products!$A$2:$A$8,C4895)=0,C4895,"")</f>
        <v/>
      </c>
      <c r="J4895">
        <f>IF(OR(E4895="Prospecting",E4895="Engaging"),VLOOKUP(C4895,Products!$A$2:$C$8,3,FALSE),0)</f>
        <v>0</v>
      </c>
    </row>
    <row r="4896" spans="1:10" x14ac:dyDescent="0.25">
      <c r="A4896" t="s">
        <v>5063</v>
      </c>
      <c r="B4896" t="s">
        <v>140</v>
      </c>
      <c r="C4896" t="s">
        <v>123</v>
      </c>
      <c r="D4896" t="s">
        <v>30</v>
      </c>
      <c r="E4896" t="s">
        <v>159</v>
      </c>
      <c r="F4896" s="1">
        <v>42934</v>
      </c>
      <c r="G4896" s="1">
        <v>42942</v>
      </c>
      <c r="H4896">
        <v>0</v>
      </c>
      <c r="I4896" t="str">
        <f>IF(COUNTIF(Products!$A$2:$A$8,C4896)=0,C4896,"")</f>
        <v/>
      </c>
      <c r="J4896">
        <f>IF(OR(E4896="Prospecting",E4896="Engaging"),VLOOKUP(C4896,Products!$A$2:$C$8,3,FALSE),0)</f>
        <v>0</v>
      </c>
    </row>
    <row r="4897" spans="1:10" x14ac:dyDescent="0.25">
      <c r="A4897" t="s">
        <v>5064</v>
      </c>
      <c r="B4897" t="s">
        <v>140</v>
      </c>
      <c r="C4897" t="s">
        <v>127</v>
      </c>
      <c r="D4897" t="s">
        <v>104</v>
      </c>
      <c r="E4897" t="s">
        <v>138</v>
      </c>
      <c r="F4897" s="1">
        <v>42934</v>
      </c>
      <c r="G4897" s="1">
        <v>42935</v>
      </c>
      <c r="H4897">
        <v>752</v>
      </c>
      <c r="I4897" t="str">
        <f>IF(COUNTIF(Products!$A$2:$A$8,C4897)=0,C4897,"")</f>
        <v/>
      </c>
      <c r="J4897">
        <f>IF(OR(E4897="Prospecting",E4897="Engaging"),VLOOKUP(C4897,Products!$A$2:$C$8,3,FALSE),0)</f>
        <v>0</v>
      </c>
    </row>
    <row r="4898" spans="1:10" x14ac:dyDescent="0.25">
      <c r="A4898" t="s">
        <v>5065</v>
      </c>
      <c r="B4898" t="s">
        <v>140</v>
      </c>
      <c r="C4898" t="s">
        <v>125</v>
      </c>
      <c r="D4898" t="s">
        <v>95</v>
      </c>
      <c r="E4898" t="s">
        <v>138</v>
      </c>
      <c r="F4898" s="1">
        <v>42934</v>
      </c>
      <c r="G4898" s="1">
        <v>42981</v>
      </c>
      <c r="H4898">
        <v>3727</v>
      </c>
      <c r="I4898" t="str">
        <f>IF(COUNTIF(Products!$A$2:$A$8,C4898)=0,C4898,"")</f>
        <v/>
      </c>
      <c r="J4898">
        <f>IF(OR(E4898="Prospecting",E4898="Engaging"),VLOOKUP(C4898,Products!$A$2:$C$8,3,FALSE),0)</f>
        <v>0</v>
      </c>
    </row>
    <row r="4899" spans="1:10" x14ac:dyDescent="0.25">
      <c r="A4899" t="s">
        <v>5066</v>
      </c>
      <c r="B4899" t="s">
        <v>173</v>
      </c>
      <c r="C4899" t="s">
        <v>123</v>
      </c>
      <c r="D4899" t="s">
        <v>27</v>
      </c>
      <c r="E4899" t="s">
        <v>159</v>
      </c>
      <c r="F4899" s="1">
        <v>42934</v>
      </c>
      <c r="G4899" s="1">
        <v>42947</v>
      </c>
      <c r="H4899">
        <v>0</v>
      </c>
      <c r="I4899" t="str">
        <f>IF(COUNTIF(Products!$A$2:$A$8,C4899)=0,C4899,"")</f>
        <v/>
      </c>
      <c r="J4899">
        <f>IF(OR(E4899="Prospecting",E4899="Engaging"),VLOOKUP(C4899,Products!$A$2:$C$8,3,FALSE),0)</f>
        <v>0</v>
      </c>
    </row>
    <row r="4900" spans="1:10" x14ac:dyDescent="0.25">
      <c r="A4900" t="s">
        <v>5067</v>
      </c>
      <c r="B4900" t="s">
        <v>173</v>
      </c>
      <c r="C4900" t="s">
        <v>120</v>
      </c>
      <c r="D4900" t="s">
        <v>114</v>
      </c>
      <c r="E4900" t="s">
        <v>138</v>
      </c>
      <c r="F4900" s="1">
        <v>42934</v>
      </c>
      <c r="G4900" s="1">
        <v>42944</v>
      </c>
      <c r="H4900">
        <v>532</v>
      </c>
      <c r="I4900" t="str">
        <f>IF(COUNTIF(Products!$A$2:$A$8,C4900)=0,C4900,"")</f>
        <v/>
      </c>
      <c r="J4900">
        <f>IF(OR(E4900="Prospecting",E4900="Engaging"),VLOOKUP(C4900,Products!$A$2:$C$8,3,FALSE),0)</f>
        <v>0</v>
      </c>
    </row>
    <row r="4901" spans="1:10" x14ac:dyDescent="0.25">
      <c r="A4901" t="s">
        <v>5068</v>
      </c>
      <c r="B4901" t="s">
        <v>198</v>
      </c>
      <c r="C4901" t="s">
        <v>126</v>
      </c>
      <c r="D4901" t="s">
        <v>108</v>
      </c>
      <c r="E4901" t="s">
        <v>159</v>
      </c>
      <c r="F4901" s="1">
        <v>42934</v>
      </c>
      <c r="G4901" s="1">
        <v>42946</v>
      </c>
      <c r="H4901">
        <v>0</v>
      </c>
      <c r="I4901" t="str">
        <f>IF(COUNTIF(Products!$A$2:$A$8,C4901)=0,C4901,"")</f>
        <v/>
      </c>
      <c r="J4901">
        <f>IF(OR(E4901="Prospecting",E4901="Engaging"),VLOOKUP(C4901,Products!$A$2:$C$8,3,FALSE),0)</f>
        <v>0</v>
      </c>
    </row>
    <row r="4902" spans="1:10" x14ac:dyDescent="0.25">
      <c r="A4902" t="s">
        <v>5069</v>
      </c>
      <c r="B4902" t="s">
        <v>158</v>
      </c>
      <c r="C4902" t="s">
        <v>126</v>
      </c>
      <c r="D4902" t="s">
        <v>61</v>
      </c>
      <c r="E4902" t="s">
        <v>159</v>
      </c>
      <c r="F4902" s="1">
        <v>42934</v>
      </c>
      <c r="G4902" s="1">
        <v>42939</v>
      </c>
      <c r="H4902">
        <v>0</v>
      </c>
      <c r="I4902" t="str">
        <f>IF(COUNTIF(Products!$A$2:$A$8,C4902)=0,C4902,"")</f>
        <v/>
      </c>
      <c r="J4902">
        <f>IF(OR(E4902="Prospecting",E4902="Engaging"),VLOOKUP(C4902,Products!$A$2:$C$8,3,FALSE),0)</f>
        <v>0</v>
      </c>
    </row>
    <row r="4903" spans="1:10" x14ac:dyDescent="0.25">
      <c r="A4903" t="s">
        <v>5070</v>
      </c>
      <c r="B4903" t="s">
        <v>158</v>
      </c>
      <c r="C4903" t="s">
        <v>126</v>
      </c>
      <c r="D4903" t="s">
        <v>32</v>
      </c>
      <c r="E4903" t="s">
        <v>159</v>
      </c>
      <c r="F4903" s="1">
        <v>42934</v>
      </c>
      <c r="G4903" s="1">
        <v>42954</v>
      </c>
      <c r="H4903">
        <v>0</v>
      </c>
      <c r="I4903" t="str">
        <f>IF(COUNTIF(Products!$A$2:$A$8,C4903)=0,C4903,"")</f>
        <v/>
      </c>
      <c r="J4903">
        <f>IF(OR(E4903="Prospecting",E4903="Engaging"),VLOOKUP(C4903,Products!$A$2:$C$8,3,FALSE),0)</f>
        <v>0</v>
      </c>
    </row>
    <row r="4904" spans="1:10" x14ac:dyDescent="0.25">
      <c r="A4904" t="s">
        <v>5071</v>
      </c>
      <c r="B4904" t="s">
        <v>158</v>
      </c>
      <c r="C4904" t="s">
        <v>125</v>
      </c>
      <c r="D4904" t="s">
        <v>27</v>
      </c>
      <c r="E4904" t="s">
        <v>138</v>
      </c>
      <c r="F4904" s="1">
        <v>42934</v>
      </c>
      <c r="G4904" s="1">
        <v>43005</v>
      </c>
      <c r="H4904">
        <v>3139</v>
      </c>
      <c r="I4904" t="str">
        <f>IF(COUNTIF(Products!$A$2:$A$8,C4904)=0,C4904,"")</f>
        <v/>
      </c>
      <c r="J4904">
        <f>IF(OR(E4904="Prospecting",E4904="Engaging"),VLOOKUP(C4904,Products!$A$2:$C$8,3,FALSE),0)</f>
        <v>0</v>
      </c>
    </row>
    <row r="4905" spans="1:10" x14ac:dyDescent="0.25">
      <c r="A4905" t="s">
        <v>5072</v>
      </c>
      <c r="B4905" t="s">
        <v>164</v>
      </c>
      <c r="C4905" t="s">
        <v>125</v>
      </c>
      <c r="D4905" t="s">
        <v>44</v>
      </c>
      <c r="E4905" t="s">
        <v>138</v>
      </c>
      <c r="F4905" s="1">
        <v>42934</v>
      </c>
      <c r="G4905" s="1">
        <v>42944</v>
      </c>
      <c r="H4905">
        <v>3403</v>
      </c>
      <c r="I4905" t="str">
        <f>IF(COUNTIF(Products!$A$2:$A$8,C4905)=0,C4905,"")</f>
        <v/>
      </c>
      <c r="J4905">
        <f>IF(OR(E4905="Prospecting",E4905="Engaging"),VLOOKUP(C4905,Products!$A$2:$C$8,3,FALSE),0)</f>
        <v>0</v>
      </c>
    </row>
    <row r="4906" spans="1:10" x14ac:dyDescent="0.25">
      <c r="A4906" t="s">
        <v>5073</v>
      </c>
      <c r="B4906" t="s">
        <v>154</v>
      </c>
      <c r="C4906" t="s">
        <v>125</v>
      </c>
      <c r="E4906" t="s">
        <v>155</v>
      </c>
      <c r="F4906" s="1">
        <v>42934</v>
      </c>
      <c r="I4906" t="str">
        <f>IF(COUNTIF(Products!$A$2:$A$8,C4906)=0,C4906,"")</f>
        <v/>
      </c>
      <c r="J4906">
        <f>IF(OR(E4906="Prospecting",E4906="Engaging"),VLOOKUP(C4906,Products!$A$2:$C$8,3,FALSE),0)</f>
        <v>3393</v>
      </c>
    </row>
    <row r="4907" spans="1:10" x14ac:dyDescent="0.25">
      <c r="A4907" t="s">
        <v>5074</v>
      </c>
      <c r="B4907" t="s">
        <v>154</v>
      </c>
      <c r="C4907" t="s">
        <v>126</v>
      </c>
      <c r="D4907" t="s">
        <v>83</v>
      </c>
      <c r="E4907" t="s">
        <v>138</v>
      </c>
      <c r="F4907" s="1">
        <v>42934</v>
      </c>
      <c r="G4907" s="1">
        <v>42943</v>
      </c>
      <c r="H4907">
        <v>5440</v>
      </c>
      <c r="I4907" t="str">
        <f>IF(COUNTIF(Products!$A$2:$A$8,C4907)=0,C4907,"")</f>
        <v/>
      </c>
      <c r="J4907">
        <f>IF(OR(E4907="Prospecting",E4907="Engaging"),VLOOKUP(C4907,Products!$A$2:$C$8,3,FALSE),0)</f>
        <v>0</v>
      </c>
    </row>
    <row r="4908" spans="1:10" x14ac:dyDescent="0.25">
      <c r="A4908" t="s">
        <v>5075</v>
      </c>
      <c r="B4908" t="s">
        <v>205</v>
      </c>
      <c r="C4908" t="s">
        <v>126</v>
      </c>
      <c r="D4908" t="s">
        <v>53</v>
      </c>
      <c r="E4908" t="s">
        <v>138</v>
      </c>
      <c r="F4908" s="1">
        <v>42934</v>
      </c>
      <c r="G4908" s="1">
        <v>42942</v>
      </c>
      <c r="H4908">
        <v>5698</v>
      </c>
      <c r="I4908" t="str">
        <f>IF(COUNTIF(Products!$A$2:$A$8,C4908)=0,C4908,"")</f>
        <v/>
      </c>
      <c r="J4908">
        <f>IF(OR(E4908="Prospecting",E4908="Engaging"),VLOOKUP(C4908,Products!$A$2:$C$8,3,FALSE),0)</f>
        <v>0</v>
      </c>
    </row>
    <row r="4909" spans="1:10" x14ac:dyDescent="0.25">
      <c r="A4909" t="s">
        <v>5076</v>
      </c>
      <c r="B4909" t="s">
        <v>162</v>
      </c>
      <c r="C4909" t="s">
        <v>127</v>
      </c>
      <c r="E4909" t="s">
        <v>155</v>
      </c>
      <c r="F4909" s="1">
        <v>42934</v>
      </c>
      <c r="I4909" t="str">
        <f>IF(COUNTIF(Products!$A$2:$A$8,C4909)=0,C4909,"")</f>
        <v/>
      </c>
      <c r="J4909">
        <f>IF(OR(E4909="Prospecting",E4909="Engaging"),VLOOKUP(C4909,Products!$A$2:$C$8,3,FALSE),0)</f>
        <v>1096</v>
      </c>
    </row>
    <row r="4910" spans="1:10" x14ac:dyDescent="0.25">
      <c r="A4910" t="s">
        <v>5077</v>
      </c>
      <c r="B4910" t="s">
        <v>137</v>
      </c>
      <c r="C4910" t="s">
        <v>126</v>
      </c>
      <c r="D4910" t="s">
        <v>96</v>
      </c>
      <c r="E4910" t="s">
        <v>159</v>
      </c>
      <c r="F4910" s="1">
        <v>42934</v>
      </c>
      <c r="G4910" s="1">
        <v>42935</v>
      </c>
      <c r="H4910">
        <v>0</v>
      </c>
      <c r="I4910" t="str">
        <f>IF(COUNTIF(Products!$A$2:$A$8,C4910)=0,C4910,"")</f>
        <v/>
      </c>
      <c r="J4910">
        <f>IF(OR(E4910="Prospecting",E4910="Engaging"),VLOOKUP(C4910,Products!$A$2:$C$8,3,FALSE),0)</f>
        <v>0</v>
      </c>
    </row>
    <row r="4911" spans="1:10" x14ac:dyDescent="0.25">
      <c r="A4911" t="s">
        <v>5078</v>
      </c>
      <c r="B4911" t="s">
        <v>137</v>
      </c>
      <c r="C4911" t="s">
        <v>120</v>
      </c>
      <c r="D4911" t="s">
        <v>51</v>
      </c>
      <c r="E4911" t="s">
        <v>138</v>
      </c>
      <c r="F4911" s="1">
        <v>42934</v>
      </c>
      <c r="G4911" s="1">
        <v>42944</v>
      </c>
      <c r="H4911">
        <v>563</v>
      </c>
      <c r="I4911" t="str">
        <f>IF(COUNTIF(Products!$A$2:$A$8,C4911)=0,C4911,"")</f>
        <v/>
      </c>
      <c r="J4911">
        <f>IF(OR(E4911="Prospecting",E4911="Engaging"),VLOOKUP(C4911,Products!$A$2:$C$8,3,FALSE),0)</f>
        <v>0</v>
      </c>
    </row>
    <row r="4912" spans="1:10" x14ac:dyDescent="0.25">
      <c r="A4912" t="s">
        <v>5079</v>
      </c>
      <c r="B4912" t="s">
        <v>152</v>
      </c>
      <c r="C4912" t="s">
        <v>120</v>
      </c>
      <c r="D4912" t="s">
        <v>94</v>
      </c>
      <c r="E4912" t="s">
        <v>159</v>
      </c>
      <c r="F4912" s="1">
        <v>42934</v>
      </c>
      <c r="G4912" s="1">
        <v>42944</v>
      </c>
      <c r="H4912">
        <v>0</v>
      </c>
      <c r="I4912" t="str">
        <f>IF(COUNTIF(Products!$A$2:$A$8,C4912)=0,C4912,"")</f>
        <v/>
      </c>
      <c r="J4912">
        <f>IF(OR(E4912="Prospecting",E4912="Engaging"),VLOOKUP(C4912,Products!$A$2:$C$8,3,FALSE),0)</f>
        <v>0</v>
      </c>
    </row>
    <row r="4913" spans="1:10" x14ac:dyDescent="0.25">
      <c r="A4913" t="s">
        <v>5080</v>
      </c>
      <c r="B4913" t="s">
        <v>187</v>
      </c>
      <c r="C4913" t="s">
        <v>120</v>
      </c>
      <c r="D4913" t="s">
        <v>67</v>
      </c>
      <c r="E4913" t="s">
        <v>159</v>
      </c>
      <c r="F4913" s="1">
        <v>42934</v>
      </c>
      <c r="G4913" s="1">
        <v>42942</v>
      </c>
      <c r="H4913">
        <v>0</v>
      </c>
      <c r="I4913" t="str">
        <f>IF(COUNTIF(Products!$A$2:$A$8,C4913)=0,C4913,"")</f>
        <v/>
      </c>
      <c r="J4913">
        <f>IF(OR(E4913="Prospecting",E4913="Engaging"),VLOOKUP(C4913,Products!$A$2:$C$8,3,FALSE),0)</f>
        <v>0</v>
      </c>
    </row>
    <row r="4914" spans="1:10" x14ac:dyDescent="0.25">
      <c r="A4914" t="s">
        <v>5081</v>
      </c>
      <c r="B4914" t="s">
        <v>148</v>
      </c>
      <c r="C4914" t="s">
        <v>123</v>
      </c>
      <c r="D4914" t="s">
        <v>69</v>
      </c>
      <c r="E4914" t="s">
        <v>159</v>
      </c>
      <c r="F4914" s="1">
        <v>42934</v>
      </c>
      <c r="G4914" s="1">
        <v>42941</v>
      </c>
      <c r="H4914">
        <v>0</v>
      </c>
      <c r="I4914" t="str">
        <f>IF(COUNTIF(Products!$A$2:$A$8,C4914)=0,C4914,"")</f>
        <v/>
      </c>
      <c r="J4914">
        <f>IF(OR(E4914="Prospecting",E4914="Engaging"),VLOOKUP(C4914,Products!$A$2:$C$8,3,FALSE),0)</f>
        <v>0</v>
      </c>
    </row>
    <row r="4915" spans="1:10" x14ac:dyDescent="0.25">
      <c r="A4915" t="s">
        <v>5082</v>
      </c>
      <c r="B4915" t="s">
        <v>148</v>
      </c>
      <c r="C4915" t="s">
        <v>126</v>
      </c>
      <c r="D4915" t="s">
        <v>41</v>
      </c>
      <c r="E4915" t="s">
        <v>138</v>
      </c>
      <c r="F4915" s="1">
        <v>42934</v>
      </c>
      <c r="G4915" s="1">
        <v>42943</v>
      </c>
      <c r="H4915">
        <v>4673</v>
      </c>
      <c r="I4915" t="str">
        <f>IF(COUNTIF(Products!$A$2:$A$8,C4915)=0,C4915,"")</f>
        <v/>
      </c>
      <c r="J4915">
        <f>IF(OR(E4915="Prospecting",E4915="Engaging"),VLOOKUP(C4915,Products!$A$2:$C$8,3,FALSE),0)</f>
        <v>0</v>
      </c>
    </row>
    <row r="4916" spans="1:10" x14ac:dyDescent="0.25">
      <c r="A4916" t="s">
        <v>5083</v>
      </c>
      <c r="B4916" t="s">
        <v>148</v>
      </c>
      <c r="C4916" t="s">
        <v>125</v>
      </c>
      <c r="D4916" t="s">
        <v>69</v>
      </c>
      <c r="E4916" t="s">
        <v>138</v>
      </c>
      <c r="F4916" s="1">
        <v>42934</v>
      </c>
      <c r="G4916" s="1">
        <v>42944</v>
      </c>
      <c r="H4916">
        <v>3405</v>
      </c>
      <c r="I4916" t="str">
        <f>IF(COUNTIF(Products!$A$2:$A$8,C4916)=0,C4916,"")</f>
        <v/>
      </c>
      <c r="J4916">
        <f>IF(OR(E4916="Prospecting",E4916="Engaging"),VLOOKUP(C4916,Products!$A$2:$C$8,3,FALSE),0)</f>
        <v>0</v>
      </c>
    </row>
    <row r="4917" spans="1:10" x14ac:dyDescent="0.25">
      <c r="A4917" t="s">
        <v>5084</v>
      </c>
      <c r="B4917" t="s">
        <v>177</v>
      </c>
      <c r="C4917" t="s">
        <v>120</v>
      </c>
      <c r="E4917" t="s">
        <v>155</v>
      </c>
      <c r="F4917" s="1">
        <v>42934</v>
      </c>
      <c r="I4917" t="str">
        <f>IF(COUNTIF(Products!$A$2:$A$8,C4917)=0,C4917,"")</f>
        <v/>
      </c>
      <c r="J4917">
        <f>IF(OR(E4917="Prospecting",E4917="Engaging"),VLOOKUP(C4917,Products!$A$2:$C$8,3,FALSE),0)</f>
        <v>550</v>
      </c>
    </row>
    <row r="4918" spans="1:10" x14ac:dyDescent="0.25">
      <c r="A4918" t="s">
        <v>5085</v>
      </c>
      <c r="B4918" t="s">
        <v>177</v>
      </c>
      <c r="C4918" t="s">
        <v>120</v>
      </c>
      <c r="D4918" t="s">
        <v>105</v>
      </c>
      <c r="E4918" t="s">
        <v>138</v>
      </c>
      <c r="F4918" s="1">
        <v>42934</v>
      </c>
      <c r="G4918" s="1">
        <v>43054</v>
      </c>
      <c r="H4918">
        <v>566</v>
      </c>
      <c r="I4918" t="str">
        <f>IF(COUNTIF(Products!$A$2:$A$8,C4918)=0,C4918,"")</f>
        <v/>
      </c>
      <c r="J4918">
        <f>IF(OR(E4918="Prospecting",E4918="Engaging"),VLOOKUP(C4918,Products!$A$2:$C$8,3,FALSE),0)</f>
        <v>0</v>
      </c>
    </row>
    <row r="4919" spans="1:10" x14ac:dyDescent="0.25">
      <c r="A4919" t="s">
        <v>5086</v>
      </c>
      <c r="B4919" t="s">
        <v>196</v>
      </c>
      <c r="C4919" t="s">
        <v>126</v>
      </c>
      <c r="D4919" t="s">
        <v>69</v>
      </c>
      <c r="E4919" t="s">
        <v>138</v>
      </c>
      <c r="F4919" s="1">
        <v>42934</v>
      </c>
      <c r="G4919" s="1">
        <v>43045</v>
      </c>
      <c r="H4919">
        <v>5559</v>
      </c>
      <c r="I4919" t="str">
        <f>IF(COUNTIF(Products!$A$2:$A$8,C4919)=0,C4919,"")</f>
        <v/>
      </c>
      <c r="J4919">
        <f>IF(OR(E4919="Prospecting",E4919="Engaging"),VLOOKUP(C4919,Products!$A$2:$C$8,3,FALSE),0)</f>
        <v>0</v>
      </c>
    </row>
    <row r="4920" spans="1:10" x14ac:dyDescent="0.25">
      <c r="A4920" t="s">
        <v>5087</v>
      </c>
      <c r="B4920" t="s">
        <v>144</v>
      </c>
      <c r="C4920" t="s">
        <v>122</v>
      </c>
      <c r="D4920" t="s">
        <v>90</v>
      </c>
      <c r="E4920" t="s">
        <v>159</v>
      </c>
      <c r="F4920" s="1">
        <v>42934</v>
      </c>
      <c r="G4920" s="1">
        <v>42941</v>
      </c>
      <c r="H4920">
        <v>0</v>
      </c>
      <c r="I4920" t="str">
        <f>IF(COUNTIF(Products!$A$2:$A$8,C4920)=0,C4920,"")</f>
        <v/>
      </c>
      <c r="J4920">
        <f>IF(OR(E4920="Prospecting",E4920="Engaging"),VLOOKUP(C4920,Products!$A$2:$C$8,3,FALSE),0)</f>
        <v>0</v>
      </c>
    </row>
    <row r="4921" spans="1:10" x14ac:dyDescent="0.25">
      <c r="A4921" t="s">
        <v>5088</v>
      </c>
      <c r="B4921" t="s">
        <v>144</v>
      </c>
      <c r="C4921" t="s">
        <v>122</v>
      </c>
      <c r="D4921" t="s">
        <v>56</v>
      </c>
      <c r="E4921" t="s">
        <v>138</v>
      </c>
      <c r="F4921" s="1">
        <v>42934</v>
      </c>
      <c r="G4921" s="1">
        <v>42994</v>
      </c>
      <c r="H4921">
        <v>4797</v>
      </c>
      <c r="I4921" t="str">
        <f>IF(COUNTIF(Products!$A$2:$A$8,C4921)=0,C4921,"")</f>
        <v/>
      </c>
      <c r="J4921">
        <f>IF(OR(E4921="Prospecting",E4921="Engaging"),VLOOKUP(C4921,Products!$A$2:$C$8,3,FALSE),0)</f>
        <v>0</v>
      </c>
    </row>
    <row r="4922" spans="1:10" x14ac:dyDescent="0.25">
      <c r="A4922" t="s">
        <v>5089</v>
      </c>
      <c r="B4922" t="s">
        <v>146</v>
      </c>
      <c r="C4922" t="s">
        <v>120</v>
      </c>
      <c r="E4922" t="s">
        <v>155</v>
      </c>
      <c r="F4922" s="1">
        <v>42935</v>
      </c>
      <c r="I4922" t="str">
        <f>IF(COUNTIF(Products!$A$2:$A$8,C4922)=0,C4922,"")</f>
        <v/>
      </c>
      <c r="J4922">
        <f>IF(OR(E4922="Prospecting",E4922="Engaging"),VLOOKUP(C4922,Products!$A$2:$C$8,3,FALSE),0)</f>
        <v>550</v>
      </c>
    </row>
    <row r="4923" spans="1:10" x14ac:dyDescent="0.25">
      <c r="A4923" t="s">
        <v>5090</v>
      </c>
      <c r="B4923" t="s">
        <v>146</v>
      </c>
      <c r="C4923" t="s">
        <v>123</v>
      </c>
      <c r="D4923" t="s">
        <v>36</v>
      </c>
      <c r="E4923" t="s">
        <v>155</v>
      </c>
      <c r="F4923" s="1">
        <v>42935</v>
      </c>
      <c r="I4923" t="str">
        <f>IF(COUNTIF(Products!$A$2:$A$8,C4923)=0,C4923,"")</f>
        <v/>
      </c>
      <c r="J4923">
        <f>IF(OR(E4923="Prospecting",E4923="Engaging"),VLOOKUP(C4923,Products!$A$2:$C$8,3,FALSE),0)</f>
        <v>55</v>
      </c>
    </row>
    <row r="4924" spans="1:10" x14ac:dyDescent="0.25">
      <c r="A4924" t="s">
        <v>5091</v>
      </c>
      <c r="B4924" t="s">
        <v>146</v>
      </c>
      <c r="C4924" t="s">
        <v>123</v>
      </c>
      <c r="D4924" t="s">
        <v>70</v>
      </c>
      <c r="E4924" t="s">
        <v>155</v>
      </c>
      <c r="F4924" s="1">
        <v>42935</v>
      </c>
      <c r="I4924" t="str">
        <f>IF(COUNTIF(Products!$A$2:$A$8,C4924)=0,C4924,"")</f>
        <v/>
      </c>
      <c r="J4924">
        <f>IF(OR(E4924="Prospecting",E4924="Engaging"),VLOOKUP(C4924,Products!$A$2:$C$8,3,FALSE),0)</f>
        <v>55</v>
      </c>
    </row>
    <row r="4925" spans="1:10" x14ac:dyDescent="0.25">
      <c r="A4925" t="s">
        <v>5092</v>
      </c>
      <c r="B4925" t="s">
        <v>146</v>
      </c>
      <c r="C4925" t="s">
        <v>123</v>
      </c>
      <c r="D4925" t="s">
        <v>36</v>
      </c>
      <c r="E4925" t="s">
        <v>159</v>
      </c>
      <c r="F4925" s="1">
        <v>42935</v>
      </c>
      <c r="G4925" s="1">
        <v>42946</v>
      </c>
      <c r="H4925">
        <v>0</v>
      </c>
      <c r="I4925" t="str">
        <f>IF(COUNTIF(Products!$A$2:$A$8,C4925)=0,C4925,"")</f>
        <v/>
      </c>
      <c r="J4925">
        <f>IF(OR(E4925="Prospecting",E4925="Engaging"),VLOOKUP(C4925,Products!$A$2:$C$8,3,FALSE),0)</f>
        <v>0</v>
      </c>
    </row>
    <row r="4926" spans="1:10" x14ac:dyDescent="0.25">
      <c r="A4926" t="s">
        <v>5093</v>
      </c>
      <c r="B4926" t="s">
        <v>146</v>
      </c>
      <c r="C4926" t="s">
        <v>123</v>
      </c>
      <c r="D4926" t="s">
        <v>12</v>
      </c>
      <c r="E4926" t="s">
        <v>138</v>
      </c>
      <c r="F4926" s="1">
        <v>42935</v>
      </c>
      <c r="G4926" s="1">
        <v>42941</v>
      </c>
      <c r="H4926">
        <v>53</v>
      </c>
      <c r="I4926" t="str">
        <f>IF(COUNTIF(Products!$A$2:$A$8,C4926)=0,C4926,"")</f>
        <v/>
      </c>
      <c r="J4926">
        <f>IF(OR(E4926="Prospecting",E4926="Engaging"),VLOOKUP(C4926,Products!$A$2:$C$8,3,FALSE),0)</f>
        <v>0</v>
      </c>
    </row>
    <row r="4927" spans="1:10" x14ac:dyDescent="0.25">
      <c r="A4927" t="s">
        <v>5094</v>
      </c>
      <c r="B4927" t="s">
        <v>207</v>
      </c>
      <c r="C4927" t="s">
        <v>125</v>
      </c>
      <c r="D4927" t="s">
        <v>115</v>
      </c>
      <c r="E4927" t="s">
        <v>159</v>
      </c>
      <c r="F4927" s="1">
        <v>42935</v>
      </c>
      <c r="G4927" s="1">
        <v>43005</v>
      </c>
      <c r="H4927">
        <v>0</v>
      </c>
      <c r="I4927" t="str">
        <f>IF(COUNTIF(Products!$A$2:$A$8,C4927)=0,C4927,"")</f>
        <v/>
      </c>
      <c r="J4927">
        <f>IF(OR(E4927="Prospecting",E4927="Engaging"),VLOOKUP(C4927,Products!$A$2:$C$8,3,FALSE),0)</f>
        <v>0</v>
      </c>
    </row>
    <row r="4928" spans="1:10" x14ac:dyDescent="0.25">
      <c r="A4928" t="s">
        <v>5095</v>
      </c>
      <c r="B4928" t="s">
        <v>264</v>
      </c>
      <c r="C4928" t="s">
        <v>123</v>
      </c>
      <c r="E4928" t="s">
        <v>155</v>
      </c>
      <c r="F4928" s="1">
        <v>42935</v>
      </c>
      <c r="I4928" t="str">
        <f>IF(COUNTIF(Products!$A$2:$A$8,C4928)=0,C4928,"")</f>
        <v/>
      </c>
      <c r="J4928">
        <f>IF(OR(E4928="Prospecting",E4928="Engaging"),VLOOKUP(C4928,Products!$A$2:$C$8,3,FALSE),0)</f>
        <v>55</v>
      </c>
    </row>
    <row r="4929" spans="1:10" x14ac:dyDescent="0.25">
      <c r="A4929" t="s">
        <v>5096</v>
      </c>
      <c r="B4929" t="s">
        <v>264</v>
      </c>
      <c r="C4929" t="s">
        <v>123</v>
      </c>
      <c r="E4929" t="s">
        <v>155</v>
      </c>
      <c r="F4929" s="1">
        <v>42935</v>
      </c>
      <c r="I4929" t="str">
        <f>IF(COUNTIF(Products!$A$2:$A$8,C4929)=0,C4929,"")</f>
        <v/>
      </c>
      <c r="J4929">
        <f>IF(OR(E4929="Prospecting",E4929="Engaging"),VLOOKUP(C4929,Products!$A$2:$C$8,3,FALSE),0)</f>
        <v>55</v>
      </c>
    </row>
    <row r="4930" spans="1:10" x14ac:dyDescent="0.25">
      <c r="A4930" t="s">
        <v>5097</v>
      </c>
      <c r="B4930" t="s">
        <v>239</v>
      </c>
      <c r="C4930" t="s">
        <v>127</v>
      </c>
      <c r="D4930" t="s">
        <v>35</v>
      </c>
      <c r="E4930" t="s">
        <v>138</v>
      </c>
      <c r="F4930" s="1">
        <v>42935</v>
      </c>
      <c r="G4930" s="1">
        <v>42946</v>
      </c>
      <c r="H4930">
        <v>955</v>
      </c>
      <c r="I4930" t="str">
        <f>IF(COUNTIF(Products!$A$2:$A$8,C4930)=0,C4930,"")</f>
        <v/>
      </c>
      <c r="J4930">
        <f>IF(OR(E4930="Prospecting",E4930="Engaging"),VLOOKUP(C4930,Products!$A$2:$C$8,3,FALSE),0)</f>
        <v>0</v>
      </c>
    </row>
    <row r="4931" spans="1:10" x14ac:dyDescent="0.25">
      <c r="A4931" t="s">
        <v>5098</v>
      </c>
      <c r="B4931" t="s">
        <v>171</v>
      </c>
      <c r="C4931" t="s">
        <v>126</v>
      </c>
      <c r="D4931" t="s">
        <v>110</v>
      </c>
      <c r="E4931" t="s">
        <v>159</v>
      </c>
      <c r="F4931" s="1">
        <v>42935</v>
      </c>
      <c r="G4931" s="1">
        <v>42946</v>
      </c>
      <c r="H4931">
        <v>0</v>
      </c>
      <c r="I4931" t="str">
        <f>IF(COUNTIF(Products!$A$2:$A$8,C4931)=0,C4931,"")</f>
        <v/>
      </c>
      <c r="J4931">
        <f>IF(OR(E4931="Prospecting",E4931="Engaging"),VLOOKUP(C4931,Products!$A$2:$C$8,3,FALSE),0)</f>
        <v>0</v>
      </c>
    </row>
    <row r="4932" spans="1:10" x14ac:dyDescent="0.25">
      <c r="A4932" t="s">
        <v>5099</v>
      </c>
      <c r="B4932" t="s">
        <v>140</v>
      </c>
      <c r="C4932" t="s">
        <v>120</v>
      </c>
      <c r="E4932" t="s">
        <v>155</v>
      </c>
      <c r="F4932" s="1">
        <v>42935</v>
      </c>
      <c r="I4932" t="str">
        <f>IF(COUNTIF(Products!$A$2:$A$8,C4932)=0,C4932,"")</f>
        <v/>
      </c>
      <c r="J4932">
        <f>IF(OR(E4932="Prospecting",E4932="Engaging"),VLOOKUP(C4932,Products!$A$2:$C$8,3,FALSE),0)</f>
        <v>550</v>
      </c>
    </row>
    <row r="4933" spans="1:10" x14ac:dyDescent="0.25">
      <c r="A4933" t="s">
        <v>5100</v>
      </c>
      <c r="B4933" t="s">
        <v>140</v>
      </c>
      <c r="C4933" t="s">
        <v>126</v>
      </c>
      <c r="D4933" t="s">
        <v>64</v>
      </c>
      <c r="E4933" t="s">
        <v>155</v>
      </c>
      <c r="F4933" s="1">
        <v>42935</v>
      </c>
      <c r="I4933" t="str">
        <f>IF(COUNTIF(Products!$A$2:$A$8,C4933)=0,C4933,"")</f>
        <v/>
      </c>
      <c r="J4933">
        <f>IF(OR(E4933="Prospecting",E4933="Engaging"),VLOOKUP(C4933,Products!$A$2:$C$8,3,FALSE),0)</f>
        <v>5482</v>
      </c>
    </row>
    <row r="4934" spans="1:10" x14ac:dyDescent="0.25">
      <c r="A4934" t="s">
        <v>5101</v>
      </c>
      <c r="B4934" t="s">
        <v>140</v>
      </c>
      <c r="C4934" t="s">
        <v>122</v>
      </c>
      <c r="E4934" t="s">
        <v>155</v>
      </c>
      <c r="F4934" s="1">
        <v>42935</v>
      </c>
      <c r="I4934" t="str">
        <f>IF(COUNTIF(Products!$A$2:$A$8,C4934)=0,C4934,"")</f>
        <v/>
      </c>
      <c r="J4934">
        <f>IF(OR(E4934="Prospecting",E4934="Engaging"),VLOOKUP(C4934,Products!$A$2:$C$8,3,FALSE),0)</f>
        <v>4821</v>
      </c>
    </row>
    <row r="4935" spans="1:10" x14ac:dyDescent="0.25">
      <c r="A4935" t="s">
        <v>5102</v>
      </c>
      <c r="B4935" t="s">
        <v>140</v>
      </c>
      <c r="C4935" t="s">
        <v>122</v>
      </c>
      <c r="D4935" t="s">
        <v>12</v>
      </c>
      <c r="E4935" t="s">
        <v>159</v>
      </c>
      <c r="F4935" s="1">
        <v>42935</v>
      </c>
      <c r="G4935" s="1">
        <v>42938</v>
      </c>
      <c r="H4935">
        <v>0</v>
      </c>
      <c r="I4935" t="str">
        <f>IF(COUNTIF(Products!$A$2:$A$8,C4935)=0,C4935,"")</f>
        <v/>
      </c>
      <c r="J4935">
        <f>IF(OR(E4935="Prospecting",E4935="Engaging"),VLOOKUP(C4935,Products!$A$2:$C$8,3,FALSE),0)</f>
        <v>0</v>
      </c>
    </row>
    <row r="4936" spans="1:10" x14ac:dyDescent="0.25">
      <c r="A4936" t="s">
        <v>5103</v>
      </c>
      <c r="B4936" t="s">
        <v>140</v>
      </c>
      <c r="C4936" t="s">
        <v>127</v>
      </c>
      <c r="D4936" t="s">
        <v>53</v>
      </c>
      <c r="E4936" t="s">
        <v>138</v>
      </c>
      <c r="F4936" s="1">
        <v>42935</v>
      </c>
      <c r="G4936" s="1">
        <v>42950</v>
      </c>
      <c r="H4936">
        <v>1060</v>
      </c>
      <c r="I4936" t="str">
        <f>IF(COUNTIF(Products!$A$2:$A$8,C4936)=0,C4936,"")</f>
        <v/>
      </c>
      <c r="J4936">
        <f>IF(OR(E4936="Prospecting",E4936="Engaging"),VLOOKUP(C4936,Products!$A$2:$C$8,3,FALSE),0)</f>
        <v>0</v>
      </c>
    </row>
    <row r="4937" spans="1:10" x14ac:dyDescent="0.25">
      <c r="A4937" t="s">
        <v>5104</v>
      </c>
      <c r="B4937" t="s">
        <v>140</v>
      </c>
      <c r="C4937" t="s">
        <v>122</v>
      </c>
      <c r="D4937" t="s">
        <v>55</v>
      </c>
      <c r="E4937" t="s">
        <v>138</v>
      </c>
      <c r="F4937" s="1">
        <v>42935</v>
      </c>
      <c r="G4937" s="1">
        <v>42942</v>
      </c>
      <c r="H4937">
        <v>5401</v>
      </c>
      <c r="I4937" t="str">
        <f>IF(COUNTIF(Products!$A$2:$A$8,C4937)=0,C4937,"")</f>
        <v/>
      </c>
      <c r="J4937">
        <f>IF(OR(E4937="Prospecting",E4937="Engaging"),VLOOKUP(C4937,Products!$A$2:$C$8,3,FALSE),0)</f>
        <v>0</v>
      </c>
    </row>
    <row r="4938" spans="1:10" x14ac:dyDescent="0.25">
      <c r="A4938" t="s">
        <v>5105</v>
      </c>
      <c r="B4938" t="s">
        <v>173</v>
      </c>
      <c r="C4938" t="s">
        <v>122</v>
      </c>
      <c r="E4938" t="s">
        <v>155</v>
      </c>
      <c r="F4938" s="1">
        <v>42935</v>
      </c>
      <c r="I4938" t="str">
        <f>IF(COUNTIF(Products!$A$2:$A$8,C4938)=0,C4938,"")</f>
        <v/>
      </c>
      <c r="J4938">
        <f>IF(OR(E4938="Prospecting",E4938="Engaging"),VLOOKUP(C4938,Products!$A$2:$C$8,3,FALSE),0)</f>
        <v>4821</v>
      </c>
    </row>
    <row r="4939" spans="1:10" x14ac:dyDescent="0.25">
      <c r="A4939" t="s">
        <v>5106</v>
      </c>
      <c r="B4939" t="s">
        <v>198</v>
      </c>
      <c r="C4939" t="s">
        <v>126</v>
      </c>
      <c r="D4939" t="s">
        <v>67</v>
      </c>
      <c r="E4939" t="s">
        <v>138</v>
      </c>
      <c r="F4939" s="1">
        <v>42935</v>
      </c>
      <c r="G4939" s="1">
        <v>42942</v>
      </c>
      <c r="H4939">
        <v>4895</v>
      </c>
      <c r="I4939" t="str">
        <f>IF(COUNTIF(Products!$A$2:$A$8,C4939)=0,C4939,"")</f>
        <v/>
      </c>
      <c r="J4939">
        <f>IF(OR(E4939="Prospecting",E4939="Engaging"),VLOOKUP(C4939,Products!$A$2:$C$8,3,FALSE),0)</f>
        <v>0</v>
      </c>
    </row>
    <row r="4940" spans="1:10" x14ac:dyDescent="0.25">
      <c r="A4940" t="s">
        <v>5107</v>
      </c>
      <c r="B4940" t="s">
        <v>158</v>
      </c>
      <c r="C4940" t="s">
        <v>126</v>
      </c>
      <c r="D4940" t="s">
        <v>104</v>
      </c>
      <c r="E4940" t="s">
        <v>138</v>
      </c>
      <c r="F4940" s="1">
        <v>42935</v>
      </c>
      <c r="G4940" s="1">
        <v>42937</v>
      </c>
      <c r="H4940">
        <v>4907</v>
      </c>
      <c r="I4940" t="str">
        <f>IF(COUNTIF(Products!$A$2:$A$8,C4940)=0,C4940,"")</f>
        <v/>
      </c>
      <c r="J4940">
        <f>IF(OR(E4940="Prospecting",E4940="Engaging"),VLOOKUP(C4940,Products!$A$2:$C$8,3,FALSE),0)</f>
        <v>0</v>
      </c>
    </row>
    <row r="4941" spans="1:10" x14ac:dyDescent="0.25">
      <c r="A4941" t="s">
        <v>5108</v>
      </c>
      <c r="B4941" t="s">
        <v>164</v>
      </c>
      <c r="C4941" t="s">
        <v>123</v>
      </c>
      <c r="D4941" t="s">
        <v>108</v>
      </c>
      <c r="E4941" t="s">
        <v>155</v>
      </c>
      <c r="F4941" s="1">
        <v>42935</v>
      </c>
      <c r="I4941" t="str">
        <f>IF(COUNTIF(Products!$A$2:$A$8,C4941)=0,C4941,"")</f>
        <v/>
      </c>
      <c r="J4941">
        <f>IF(OR(E4941="Prospecting",E4941="Engaging"),VLOOKUP(C4941,Products!$A$2:$C$8,3,FALSE),0)</f>
        <v>55</v>
      </c>
    </row>
    <row r="4942" spans="1:10" x14ac:dyDescent="0.25">
      <c r="A4942" t="s">
        <v>5109</v>
      </c>
      <c r="B4942" t="s">
        <v>164</v>
      </c>
      <c r="C4942" t="s">
        <v>125</v>
      </c>
      <c r="D4942" t="s">
        <v>109</v>
      </c>
      <c r="E4942" t="s">
        <v>159</v>
      </c>
      <c r="F4942" s="1">
        <v>42935</v>
      </c>
      <c r="G4942" s="1">
        <v>42945</v>
      </c>
      <c r="H4942">
        <v>0</v>
      </c>
      <c r="I4942" t="str">
        <f>IF(COUNTIF(Products!$A$2:$A$8,C4942)=0,C4942,"")</f>
        <v/>
      </c>
      <c r="J4942">
        <f>IF(OR(E4942="Prospecting",E4942="Engaging"),VLOOKUP(C4942,Products!$A$2:$C$8,3,FALSE),0)</f>
        <v>0</v>
      </c>
    </row>
    <row r="4943" spans="1:10" x14ac:dyDescent="0.25">
      <c r="A4943" t="s">
        <v>5110</v>
      </c>
      <c r="B4943" t="s">
        <v>164</v>
      </c>
      <c r="C4943" t="s">
        <v>127</v>
      </c>
      <c r="D4943" t="s">
        <v>100</v>
      </c>
      <c r="E4943" t="s">
        <v>138</v>
      </c>
      <c r="F4943" s="1">
        <v>42935</v>
      </c>
      <c r="G4943" s="1">
        <v>43008</v>
      </c>
      <c r="H4943">
        <v>1170</v>
      </c>
      <c r="I4943" t="str">
        <f>IF(COUNTIF(Products!$A$2:$A$8,C4943)=0,C4943,"")</f>
        <v/>
      </c>
      <c r="J4943">
        <f>IF(OR(E4943="Prospecting",E4943="Engaging"),VLOOKUP(C4943,Products!$A$2:$C$8,3,FALSE),0)</f>
        <v>0</v>
      </c>
    </row>
    <row r="4944" spans="1:10" x14ac:dyDescent="0.25">
      <c r="A4944" t="s">
        <v>5111</v>
      </c>
      <c r="B4944" t="s">
        <v>164</v>
      </c>
      <c r="C4944" t="s">
        <v>125</v>
      </c>
      <c r="D4944" t="s">
        <v>39</v>
      </c>
      <c r="E4944" t="s">
        <v>138</v>
      </c>
      <c r="F4944" s="1">
        <v>42935</v>
      </c>
      <c r="G4944" s="1">
        <v>42944</v>
      </c>
      <c r="H4944">
        <v>2718</v>
      </c>
      <c r="I4944" t="str">
        <f>IF(COUNTIF(Products!$A$2:$A$8,C4944)=0,C4944,"")</f>
        <v/>
      </c>
      <c r="J4944">
        <f>IF(OR(E4944="Prospecting",E4944="Engaging"),VLOOKUP(C4944,Products!$A$2:$C$8,3,FALSE),0)</f>
        <v>0</v>
      </c>
    </row>
    <row r="4945" spans="1:10" x14ac:dyDescent="0.25">
      <c r="A4945" t="s">
        <v>5112</v>
      </c>
      <c r="B4945" t="s">
        <v>154</v>
      </c>
      <c r="C4945" t="s">
        <v>123</v>
      </c>
      <c r="D4945" t="s">
        <v>83</v>
      </c>
      <c r="E4945" t="s">
        <v>159</v>
      </c>
      <c r="F4945" s="1">
        <v>42935</v>
      </c>
      <c r="G4945" s="1">
        <v>42977</v>
      </c>
      <c r="H4945">
        <v>0</v>
      </c>
      <c r="I4945" t="str">
        <f>IF(COUNTIF(Products!$A$2:$A$8,C4945)=0,C4945,"")</f>
        <v/>
      </c>
      <c r="J4945">
        <f>IF(OR(E4945="Prospecting",E4945="Engaging"),VLOOKUP(C4945,Products!$A$2:$C$8,3,FALSE),0)</f>
        <v>0</v>
      </c>
    </row>
    <row r="4946" spans="1:10" x14ac:dyDescent="0.25">
      <c r="A4946" t="s">
        <v>5113</v>
      </c>
      <c r="B4946" t="s">
        <v>303</v>
      </c>
      <c r="C4946" t="s">
        <v>122</v>
      </c>
      <c r="D4946" t="s">
        <v>32</v>
      </c>
      <c r="E4946" t="s">
        <v>155</v>
      </c>
      <c r="F4946" s="1">
        <v>42935</v>
      </c>
      <c r="I4946" t="str">
        <f>IF(COUNTIF(Products!$A$2:$A$8,C4946)=0,C4946,"")</f>
        <v/>
      </c>
      <c r="J4946">
        <f>IF(OR(E4946="Prospecting",E4946="Engaging"),VLOOKUP(C4946,Products!$A$2:$C$8,3,FALSE),0)</f>
        <v>4821</v>
      </c>
    </row>
    <row r="4947" spans="1:10" x14ac:dyDescent="0.25">
      <c r="A4947" t="s">
        <v>5114</v>
      </c>
      <c r="B4947" t="s">
        <v>180</v>
      </c>
      <c r="C4947" t="s">
        <v>120</v>
      </c>
      <c r="D4947" t="s">
        <v>67</v>
      </c>
      <c r="E4947" t="s">
        <v>159</v>
      </c>
      <c r="F4947" s="1">
        <v>42935</v>
      </c>
      <c r="G4947" s="1">
        <v>43043</v>
      </c>
      <c r="H4947">
        <v>0</v>
      </c>
      <c r="I4947" t="str">
        <f>IF(COUNTIF(Products!$A$2:$A$8,C4947)=0,C4947,"")</f>
        <v/>
      </c>
      <c r="J4947">
        <f>IF(OR(E4947="Prospecting",E4947="Engaging"),VLOOKUP(C4947,Products!$A$2:$C$8,3,FALSE),0)</f>
        <v>0</v>
      </c>
    </row>
    <row r="4948" spans="1:10" x14ac:dyDescent="0.25">
      <c r="A4948" t="s">
        <v>5115</v>
      </c>
      <c r="B4948" t="s">
        <v>191</v>
      </c>
      <c r="C4948" t="s">
        <v>120</v>
      </c>
      <c r="D4948" t="s">
        <v>57</v>
      </c>
      <c r="E4948" t="s">
        <v>159</v>
      </c>
      <c r="F4948" s="1">
        <v>42935</v>
      </c>
      <c r="G4948" s="1">
        <v>42946</v>
      </c>
      <c r="H4948">
        <v>0</v>
      </c>
      <c r="I4948" t="str">
        <f>IF(COUNTIF(Products!$A$2:$A$8,C4948)=0,C4948,"")</f>
        <v/>
      </c>
      <c r="J4948">
        <f>IF(OR(E4948="Prospecting",E4948="Engaging"),VLOOKUP(C4948,Products!$A$2:$C$8,3,FALSE),0)</f>
        <v>0</v>
      </c>
    </row>
    <row r="4949" spans="1:10" x14ac:dyDescent="0.25">
      <c r="A4949" t="s">
        <v>5116</v>
      </c>
      <c r="B4949" t="s">
        <v>191</v>
      </c>
      <c r="C4949" t="s">
        <v>123</v>
      </c>
      <c r="D4949" t="s">
        <v>82</v>
      </c>
      <c r="E4949" t="s">
        <v>159</v>
      </c>
      <c r="F4949" s="1">
        <v>42935</v>
      </c>
      <c r="G4949" s="1">
        <v>42937</v>
      </c>
      <c r="H4949">
        <v>0</v>
      </c>
      <c r="I4949" t="str">
        <f>IF(COUNTIF(Products!$A$2:$A$8,C4949)=0,C4949,"")</f>
        <v/>
      </c>
      <c r="J4949">
        <f>IF(OR(E4949="Prospecting",E4949="Engaging"),VLOOKUP(C4949,Products!$A$2:$C$8,3,FALSE),0)</f>
        <v>0</v>
      </c>
    </row>
    <row r="4950" spans="1:10" x14ac:dyDescent="0.25">
      <c r="A4950" t="s">
        <v>5117</v>
      </c>
      <c r="B4950" t="s">
        <v>191</v>
      </c>
      <c r="C4950" t="s">
        <v>120</v>
      </c>
      <c r="D4950" t="s">
        <v>56</v>
      </c>
      <c r="E4950" t="s">
        <v>138</v>
      </c>
      <c r="F4950" s="1">
        <v>42935</v>
      </c>
      <c r="G4950" s="1">
        <v>42955</v>
      </c>
      <c r="H4950">
        <v>624</v>
      </c>
      <c r="I4950" t="str">
        <f>IF(COUNTIF(Products!$A$2:$A$8,C4950)=0,C4950,"")</f>
        <v/>
      </c>
      <c r="J4950">
        <f>IF(OR(E4950="Prospecting",E4950="Engaging"),VLOOKUP(C4950,Products!$A$2:$C$8,3,FALSE),0)</f>
        <v>0</v>
      </c>
    </row>
    <row r="4951" spans="1:10" x14ac:dyDescent="0.25">
      <c r="A4951" t="s">
        <v>5118</v>
      </c>
      <c r="B4951" t="s">
        <v>217</v>
      </c>
      <c r="C4951" t="s">
        <v>127</v>
      </c>
      <c r="D4951" t="s">
        <v>70</v>
      </c>
      <c r="E4951" t="s">
        <v>155</v>
      </c>
      <c r="F4951" s="1">
        <v>42935</v>
      </c>
      <c r="I4951" t="str">
        <f>IF(COUNTIF(Products!$A$2:$A$8,C4951)=0,C4951,"")</f>
        <v/>
      </c>
      <c r="J4951">
        <f>IF(OR(E4951="Prospecting",E4951="Engaging"),VLOOKUP(C4951,Products!$A$2:$C$8,3,FALSE),0)</f>
        <v>1096</v>
      </c>
    </row>
    <row r="4952" spans="1:10" x14ac:dyDescent="0.25">
      <c r="A4952" t="s">
        <v>5119</v>
      </c>
      <c r="B4952" t="s">
        <v>217</v>
      </c>
      <c r="C4952" t="s">
        <v>123</v>
      </c>
      <c r="E4952" t="s">
        <v>155</v>
      </c>
      <c r="F4952" s="1">
        <v>42935</v>
      </c>
      <c r="I4952" t="str">
        <f>IF(COUNTIF(Products!$A$2:$A$8,C4952)=0,C4952,"")</f>
        <v/>
      </c>
      <c r="J4952">
        <f>IF(OR(E4952="Prospecting",E4952="Engaging"),VLOOKUP(C4952,Products!$A$2:$C$8,3,FALSE),0)</f>
        <v>55</v>
      </c>
    </row>
    <row r="4953" spans="1:10" x14ac:dyDescent="0.25">
      <c r="A4953" t="s">
        <v>5120</v>
      </c>
      <c r="B4953" t="s">
        <v>217</v>
      </c>
      <c r="C4953" t="s">
        <v>126</v>
      </c>
      <c r="D4953" t="s">
        <v>64</v>
      </c>
      <c r="E4953" t="s">
        <v>159</v>
      </c>
      <c r="F4953" s="1">
        <v>42935</v>
      </c>
      <c r="G4953" s="1">
        <v>42946</v>
      </c>
      <c r="H4953">
        <v>0</v>
      </c>
      <c r="I4953" t="str">
        <f>IF(COUNTIF(Products!$A$2:$A$8,C4953)=0,C4953,"")</f>
        <v/>
      </c>
      <c r="J4953">
        <f>IF(OR(E4953="Prospecting",E4953="Engaging"),VLOOKUP(C4953,Products!$A$2:$C$8,3,FALSE),0)</f>
        <v>0</v>
      </c>
    </row>
    <row r="4954" spans="1:10" x14ac:dyDescent="0.25">
      <c r="A4954" t="s">
        <v>5121</v>
      </c>
      <c r="B4954" t="s">
        <v>217</v>
      </c>
      <c r="C4954" t="s">
        <v>125</v>
      </c>
      <c r="D4954" t="s">
        <v>22</v>
      </c>
      <c r="E4954" t="s">
        <v>159</v>
      </c>
      <c r="F4954" s="1">
        <v>42935</v>
      </c>
      <c r="G4954" s="1">
        <v>42949</v>
      </c>
      <c r="H4954">
        <v>0</v>
      </c>
      <c r="I4954" t="str">
        <f>IF(COUNTIF(Products!$A$2:$A$8,C4954)=0,C4954,"")</f>
        <v/>
      </c>
      <c r="J4954">
        <f>IF(OR(E4954="Prospecting",E4954="Engaging"),VLOOKUP(C4954,Products!$A$2:$C$8,3,FALSE),0)</f>
        <v>0</v>
      </c>
    </row>
    <row r="4955" spans="1:10" x14ac:dyDescent="0.25">
      <c r="A4955" t="s">
        <v>5122</v>
      </c>
      <c r="B4955" t="s">
        <v>217</v>
      </c>
      <c r="C4955" t="s">
        <v>120</v>
      </c>
      <c r="D4955" t="s">
        <v>51</v>
      </c>
      <c r="E4955" t="s">
        <v>138</v>
      </c>
      <c r="F4955" s="1">
        <v>42935</v>
      </c>
      <c r="G4955" s="1">
        <v>42945</v>
      </c>
      <c r="H4955">
        <v>537</v>
      </c>
      <c r="I4955" t="str">
        <f>IF(COUNTIF(Products!$A$2:$A$8,C4955)=0,C4955,"")</f>
        <v/>
      </c>
      <c r="J4955">
        <f>IF(OR(E4955="Prospecting",E4955="Engaging"),VLOOKUP(C4955,Products!$A$2:$C$8,3,FALSE),0)</f>
        <v>0</v>
      </c>
    </row>
    <row r="4956" spans="1:10" x14ac:dyDescent="0.25">
      <c r="A4956" t="s">
        <v>5123</v>
      </c>
      <c r="B4956" t="s">
        <v>217</v>
      </c>
      <c r="C4956" t="s">
        <v>127</v>
      </c>
      <c r="D4956" t="s">
        <v>36</v>
      </c>
      <c r="E4956" t="s">
        <v>138</v>
      </c>
      <c r="F4956" s="1">
        <v>42935</v>
      </c>
      <c r="G4956" s="1">
        <v>42946</v>
      </c>
      <c r="H4956">
        <v>1089</v>
      </c>
      <c r="I4956" t="str">
        <f>IF(COUNTIF(Products!$A$2:$A$8,C4956)=0,C4956,"")</f>
        <v/>
      </c>
      <c r="J4956">
        <f>IF(OR(E4956="Prospecting",E4956="Engaging"),VLOOKUP(C4956,Products!$A$2:$C$8,3,FALSE),0)</f>
        <v>0</v>
      </c>
    </row>
    <row r="4957" spans="1:10" x14ac:dyDescent="0.25">
      <c r="A4957" t="s">
        <v>5124</v>
      </c>
      <c r="B4957" t="s">
        <v>217</v>
      </c>
      <c r="C4957" t="s">
        <v>125</v>
      </c>
      <c r="D4957" t="s">
        <v>26</v>
      </c>
      <c r="E4957" t="s">
        <v>138</v>
      </c>
      <c r="F4957" s="1">
        <v>42935</v>
      </c>
      <c r="G4957" s="1">
        <v>42943</v>
      </c>
      <c r="H4957">
        <v>3352</v>
      </c>
      <c r="I4957" t="str">
        <f>IF(COUNTIF(Products!$A$2:$A$8,C4957)=0,C4957,"")</f>
        <v/>
      </c>
      <c r="J4957">
        <f>IF(OR(E4957="Prospecting",E4957="Engaging"),VLOOKUP(C4957,Products!$A$2:$C$8,3,FALSE),0)</f>
        <v>0</v>
      </c>
    </row>
    <row r="4958" spans="1:10" x14ac:dyDescent="0.25">
      <c r="A4958" t="s">
        <v>5125</v>
      </c>
      <c r="B4958" t="s">
        <v>150</v>
      </c>
      <c r="C4958" t="s">
        <v>122</v>
      </c>
      <c r="D4958" t="s">
        <v>87</v>
      </c>
      <c r="E4958" t="s">
        <v>159</v>
      </c>
      <c r="F4958" s="1">
        <v>42935</v>
      </c>
      <c r="G4958" s="1">
        <v>43040</v>
      </c>
      <c r="H4958">
        <v>0</v>
      </c>
      <c r="I4958" t="str">
        <f>IF(COUNTIF(Products!$A$2:$A$8,C4958)=0,C4958,"")</f>
        <v/>
      </c>
      <c r="J4958">
        <f>IF(OR(E4958="Prospecting",E4958="Engaging"),VLOOKUP(C4958,Products!$A$2:$C$8,3,FALSE),0)</f>
        <v>0</v>
      </c>
    </row>
    <row r="4959" spans="1:10" x14ac:dyDescent="0.25">
      <c r="A4959" t="s">
        <v>5126</v>
      </c>
      <c r="B4959" t="s">
        <v>150</v>
      </c>
      <c r="C4959" t="s">
        <v>120</v>
      </c>
      <c r="D4959" t="s">
        <v>93</v>
      </c>
      <c r="E4959" t="s">
        <v>138</v>
      </c>
      <c r="F4959" s="1">
        <v>42935</v>
      </c>
      <c r="G4959" s="1">
        <v>42939</v>
      </c>
      <c r="H4959">
        <v>535</v>
      </c>
      <c r="I4959" t="str">
        <f>IF(COUNTIF(Products!$A$2:$A$8,C4959)=0,C4959,"")</f>
        <v/>
      </c>
      <c r="J4959">
        <f>IF(OR(E4959="Prospecting",E4959="Engaging"),VLOOKUP(C4959,Products!$A$2:$C$8,3,FALSE),0)</f>
        <v>0</v>
      </c>
    </row>
    <row r="4960" spans="1:10" x14ac:dyDescent="0.25">
      <c r="A4960" t="s">
        <v>5127</v>
      </c>
      <c r="B4960" t="s">
        <v>205</v>
      </c>
      <c r="C4960" t="s">
        <v>126</v>
      </c>
      <c r="D4960" t="s">
        <v>80</v>
      </c>
      <c r="E4960" t="s">
        <v>155</v>
      </c>
      <c r="F4960" s="1">
        <v>42935</v>
      </c>
      <c r="I4960" t="str">
        <f>IF(COUNTIF(Products!$A$2:$A$8,C4960)=0,C4960,"")</f>
        <v/>
      </c>
      <c r="J4960">
        <f>IF(OR(E4960="Prospecting",E4960="Engaging"),VLOOKUP(C4960,Products!$A$2:$C$8,3,FALSE),0)</f>
        <v>5482</v>
      </c>
    </row>
    <row r="4961" spans="1:10" x14ac:dyDescent="0.25">
      <c r="A4961" t="s">
        <v>5128</v>
      </c>
      <c r="B4961" t="s">
        <v>205</v>
      </c>
      <c r="C4961" t="s">
        <v>125</v>
      </c>
      <c r="E4961" t="s">
        <v>155</v>
      </c>
      <c r="F4961" s="1">
        <v>42935</v>
      </c>
      <c r="I4961" t="str">
        <f>IF(COUNTIF(Products!$A$2:$A$8,C4961)=0,C4961,"")</f>
        <v/>
      </c>
      <c r="J4961">
        <f>IF(OR(E4961="Prospecting",E4961="Engaging"),VLOOKUP(C4961,Products!$A$2:$C$8,3,FALSE),0)</f>
        <v>3393</v>
      </c>
    </row>
    <row r="4962" spans="1:10" x14ac:dyDescent="0.25">
      <c r="A4962" t="s">
        <v>5129</v>
      </c>
      <c r="B4962" t="s">
        <v>205</v>
      </c>
      <c r="C4962" t="s">
        <v>120</v>
      </c>
      <c r="D4962" t="s">
        <v>85</v>
      </c>
      <c r="E4962" t="s">
        <v>138</v>
      </c>
      <c r="F4962" s="1">
        <v>42935</v>
      </c>
      <c r="G4962" s="1">
        <v>43003</v>
      </c>
      <c r="H4962">
        <v>571</v>
      </c>
      <c r="I4962" t="str">
        <f>IF(COUNTIF(Products!$A$2:$A$8,C4962)=0,C4962,"")</f>
        <v/>
      </c>
      <c r="J4962">
        <f>IF(OR(E4962="Prospecting",E4962="Engaging"),VLOOKUP(C4962,Products!$A$2:$C$8,3,FALSE),0)</f>
        <v>0</v>
      </c>
    </row>
    <row r="4963" spans="1:10" x14ac:dyDescent="0.25">
      <c r="A4963" t="s">
        <v>5130</v>
      </c>
      <c r="B4963" t="s">
        <v>162</v>
      </c>
      <c r="C4963" t="s">
        <v>125</v>
      </c>
      <c r="D4963" t="s">
        <v>23</v>
      </c>
      <c r="E4963" t="s">
        <v>138</v>
      </c>
      <c r="F4963" s="1">
        <v>42935</v>
      </c>
      <c r="G4963" s="1">
        <v>43007</v>
      </c>
      <c r="H4963">
        <v>3535</v>
      </c>
      <c r="I4963" t="str">
        <f>IF(COUNTIF(Products!$A$2:$A$8,C4963)=0,C4963,"")</f>
        <v/>
      </c>
      <c r="J4963">
        <f>IF(OR(E4963="Prospecting",E4963="Engaging"),VLOOKUP(C4963,Products!$A$2:$C$8,3,FALSE),0)</f>
        <v>0</v>
      </c>
    </row>
    <row r="4964" spans="1:10" x14ac:dyDescent="0.25">
      <c r="A4964" t="s">
        <v>5131</v>
      </c>
      <c r="B4964" t="s">
        <v>137</v>
      </c>
      <c r="C4964" t="s">
        <v>120</v>
      </c>
      <c r="E4964" t="s">
        <v>155</v>
      </c>
      <c r="F4964" s="1">
        <v>42935</v>
      </c>
      <c r="I4964" t="str">
        <f>IF(COUNTIF(Products!$A$2:$A$8,C4964)=0,C4964,"")</f>
        <v/>
      </c>
      <c r="J4964">
        <f>IF(OR(E4964="Prospecting",E4964="Engaging"),VLOOKUP(C4964,Products!$A$2:$C$8,3,FALSE),0)</f>
        <v>550</v>
      </c>
    </row>
    <row r="4965" spans="1:10" x14ac:dyDescent="0.25">
      <c r="A4965" t="s">
        <v>5132</v>
      </c>
      <c r="B4965" t="s">
        <v>137</v>
      </c>
      <c r="C4965" t="s">
        <v>125</v>
      </c>
      <c r="D4965" t="s">
        <v>14</v>
      </c>
      <c r="E4965" t="s">
        <v>138</v>
      </c>
      <c r="F4965" s="1">
        <v>42935</v>
      </c>
      <c r="G4965" s="1">
        <v>42943</v>
      </c>
      <c r="H4965">
        <v>3985</v>
      </c>
      <c r="I4965" t="str">
        <f>IF(COUNTIF(Products!$A$2:$A$8,C4965)=0,C4965,"")</f>
        <v/>
      </c>
      <c r="J4965">
        <f>IF(OR(E4965="Prospecting",E4965="Engaging"),VLOOKUP(C4965,Products!$A$2:$C$8,3,FALSE),0)</f>
        <v>0</v>
      </c>
    </row>
    <row r="4966" spans="1:10" x14ac:dyDescent="0.25">
      <c r="A4966" t="s">
        <v>5133</v>
      </c>
      <c r="B4966" t="s">
        <v>152</v>
      </c>
      <c r="C4966" t="s">
        <v>120</v>
      </c>
      <c r="D4966" t="s">
        <v>60</v>
      </c>
      <c r="E4966" t="s">
        <v>155</v>
      </c>
      <c r="F4966" s="1">
        <v>42935</v>
      </c>
      <c r="I4966" t="str">
        <f>IF(COUNTIF(Products!$A$2:$A$8,C4966)=0,C4966,"")</f>
        <v/>
      </c>
      <c r="J4966">
        <f>IF(OR(E4966="Prospecting",E4966="Engaging"),VLOOKUP(C4966,Products!$A$2:$C$8,3,FALSE),0)</f>
        <v>550</v>
      </c>
    </row>
    <row r="4967" spans="1:10" x14ac:dyDescent="0.25">
      <c r="A4967" t="s">
        <v>5134</v>
      </c>
      <c r="B4967" t="s">
        <v>187</v>
      </c>
      <c r="C4967" t="s">
        <v>125</v>
      </c>
      <c r="D4967" t="s">
        <v>25</v>
      </c>
      <c r="E4967" t="s">
        <v>138</v>
      </c>
      <c r="F4967" s="1">
        <v>42935</v>
      </c>
      <c r="G4967" s="1">
        <v>42937</v>
      </c>
      <c r="H4967">
        <v>3568</v>
      </c>
      <c r="I4967" t="str">
        <f>IF(COUNTIF(Products!$A$2:$A$8,C4967)=0,C4967,"")</f>
        <v/>
      </c>
      <c r="J4967">
        <f>IF(OR(E4967="Prospecting",E4967="Engaging"),VLOOKUP(C4967,Products!$A$2:$C$8,3,FALSE),0)</f>
        <v>0</v>
      </c>
    </row>
    <row r="4968" spans="1:10" x14ac:dyDescent="0.25">
      <c r="A4968" t="s">
        <v>5135</v>
      </c>
      <c r="B4968" t="s">
        <v>169</v>
      </c>
      <c r="C4968" t="s">
        <v>120</v>
      </c>
      <c r="E4968" t="s">
        <v>155</v>
      </c>
      <c r="F4968" s="1">
        <v>42935</v>
      </c>
      <c r="I4968" t="str">
        <f>IF(COUNTIF(Products!$A$2:$A$8,C4968)=0,C4968,"")</f>
        <v/>
      </c>
      <c r="J4968">
        <f>IF(OR(E4968="Prospecting",E4968="Engaging"),VLOOKUP(C4968,Products!$A$2:$C$8,3,FALSE),0)</f>
        <v>550</v>
      </c>
    </row>
    <row r="4969" spans="1:10" x14ac:dyDescent="0.25">
      <c r="A4969" t="s">
        <v>5136</v>
      </c>
      <c r="B4969" t="s">
        <v>169</v>
      </c>
      <c r="C4969" t="s">
        <v>123</v>
      </c>
      <c r="D4969" t="s">
        <v>14</v>
      </c>
      <c r="E4969" t="s">
        <v>159</v>
      </c>
      <c r="F4969" s="1">
        <v>42935</v>
      </c>
      <c r="G4969" s="1">
        <v>42945</v>
      </c>
      <c r="H4969">
        <v>0</v>
      </c>
      <c r="I4969" t="str">
        <f>IF(COUNTIF(Products!$A$2:$A$8,C4969)=0,C4969,"")</f>
        <v/>
      </c>
      <c r="J4969">
        <f>IF(OR(E4969="Prospecting",E4969="Engaging"),VLOOKUP(C4969,Products!$A$2:$C$8,3,FALSE),0)</f>
        <v>0</v>
      </c>
    </row>
    <row r="4970" spans="1:10" x14ac:dyDescent="0.25">
      <c r="A4970" t="s">
        <v>5137</v>
      </c>
      <c r="B4970" t="s">
        <v>169</v>
      </c>
      <c r="C4970" t="s">
        <v>123</v>
      </c>
      <c r="D4970" t="s">
        <v>46</v>
      </c>
      <c r="E4970" t="s">
        <v>138</v>
      </c>
      <c r="F4970" s="1">
        <v>42935</v>
      </c>
      <c r="G4970" s="1">
        <v>42943</v>
      </c>
      <c r="H4970">
        <v>65</v>
      </c>
      <c r="I4970" t="str">
        <f>IF(COUNTIF(Products!$A$2:$A$8,C4970)=0,C4970,"")</f>
        <v/>
      </c>
      <c r="J4970">
        <f>IF(OR(E4970="Prospecting",E4970="Engaging"),VLOOKUP(C4970,Products!$A$2:$C$8,3,FALSE),0)</f>
        <v>0</v>
      </c>
    </row>
    <row r="4971" spans="1:10" x14ac:dyDescent="0.25">
      <c r="A4971" t="s">
        <v>5138</v>
      </c>
      <c r="B4971" t="s">
        <v>169</v>
      </c>
      <c r="C4971" t="s">
        <v>123</v>
      </c>
      <c r="D4971" t="s">
        <v>46</v>
      </c>
      <c r="E4971" t="s">
        <v>138</v>
      </c>
      <c r="F4971" s="1">
        <v>42935</v>
      </c>
      <c r="G4971" s="1">
        <v>42941</v>
      </c>
      <c r="H4971">
        <v>47</v>
      </c>
      <c r="I4971" t="str">
        <f>IF(COUNTIF(Products!$A$2:$A$8,C4971)=0,C4971,"")</f>
        <v/>
      </c>
      <c r="J4971">
        <f>IF(OR(E4971="Prospecting",E4971="Engaging"),VLOOKUP(C4971,Products!$A$2:$C$8,3,FALSE),0)</f>
        <v>0</v>
      </c>
    </row>
    <row r="4972" spans="1:10" x14ac:dyDescent="0.25">
      <c r="A4972" t="s">
        <v>5139</v>
      </c>
      <c r="B4972" t="s">
        <v>148</v>
      </c>
      <c r="C4972" t="s">
        <v>122</v>
      </c>
      <c r="D4972" t="s">
        <v>57</v>
      </c>
      <c r="E4972" t="s">
        <v>155</v>
      </c>
      <c r="F4972" s="1">
        <v>42935</v>
      </c>
      <c r="I4972" t="str">
        <f>IF(COUNTIF(Products!$A$2:$A$8,C4972)=0,C4972,"")</f>
        <v/>
      </c>
      <c r="J4972">
        <f>IF(OR(E4972="Prospecting",E4972="Engaging"),VLOOKUP(C4972,Products!$A$2:$C$8,3,FALSE),0)</f>
        <v>4821</v>
      </c>
    </row>
    <row r="4973" spans="1:10" x14ac:dyDescent="0.25">
      <c r="A4973" t="s">
        <v>5140</v>
      </c>
      <c r="B4973" t="s">
        <v>177</v>
      </c>
      <c r="C4973" t="s">
        <v>125</v>
      </c>
      <c r="D4973" t="s">
        <v>72</v>
      </c>
      <c r="E4973" t="s">
        <v>155</v>
      </c>
      <c r="F4973" s="1">
        <v>42935</v>
      </c>
      <c r="I4973" t="str">
        <f>IF(COUNTIF(Products!$A$2:$A$8,C4973)=0,C4973,"")</f>
        <v/>
      </c>
      <c r="J4973">
        <f>IF(OR(E4973="Prospecting",E4973="Engaging"),VLOOKUP(C4973,Products!$A$2:$C$8,3,FALSE),0)</f>
        <v>3393</v>
      </c>
    </row>
    <row r="4974" spans="1:10" x14ac:dyDescent="0.25">
      <c r="A4974" t="s">
        <v>5141</v>
      </c>
      <c r="B4974" t="s">
        <v>146</v>
      </c>
      <c r="C4974" t="s">
        <v>127</v>
      </c>
      <c r="E4974" t="s">
        <v>155</v>
      </c>
      <c r="F4974" s="1">
        <v>42936</v>
      </c>
      <c r="I4974" t="str">
        <f>IF(COUNTIF(Products!$A$2:$A$8,C4974)=0,C4974,"")</f>
        <v/>
      </c>
      <c r="J4974">
        <f>IF(OR(E4974="Prospecting",E4974="Engaging"),VLOOKUP(C4974,Products!$A$2:$C$8,3,FALSE),0)</f>
        <v>1096</v>
      </c>
    </row>
    <row r="4975" spans="1:10" x14ac:dyDescent="0.25">
      <c r="A4975" t="s">
        <v>5142</v>
      </c>
      <c r="B4975" t="s">
        <v>146</v>
      </c>
      <c r="C4975" t="s">
        <v>126</v>
      </c>
      <c r="D4975" t="s">
        <v>59</v>
      </c>
      <c r="E4975" t="s">
        <v>155</v>
      </c>
      <c r="F4975" s="1">
        <v>42936</v>
      </c>
      <c r="I4975" t="str">
        <f>IF(COUNTIF(Products!$A$2:$A$8,C4975)=0,C4975,"")</f>
        <v/>
      </c>
      <c r="J4975">
        <f>IF(OR(E4975="Prospecting",E4975="Engaging"),VLOOKUP(C4975,Products!$A$2:$C$8,3,FALSE),0)</f>
        <v>5482</v>
      </c>
    </row>
    <row r="4976" spans="1:10" x14ac:dyDescent="0.25">
      <c r="A4976" t="s">
        <v>5143</v>
      </c>
      <c r="B4976" t="s">
        <v>146</v>
      </c>
      <c r="C4976" t="s">
        <v>126</v>
      </c>
      <c r="D4976" t="s">
        <v>71</v>
      </c>
      <c r="E4976" t="s">
        <v>155</v>
      </c>
      <c r="F4976" s="1">
        <v>42936</v>
      </c>
      <c r="I4976" t="str">
        <f>IF(COUNTIF(Products!$A$2:$A$8,C4976)=0,C4976,"")</f>
        <v/>
      </c>
      <c r="J4976">
        <f>IF(OR(E4976="Prospecting",E4976="Engaging"),VLOOKUP(C4976,Products!$A$2:$C$8,3,FALSE),0)</f>
        <v>5482</v>
      </c>
    </row>
    <row r="4977" spans="1:10" x14ac:dyDescent="0.25">
      <c r="A4977" t="s">
        <v>5144</v>
      </c>
      <c r="B4977" t="s">
        <v>146</v>
      </c>
      <c r="C4977" t="s">
        <v>123</v>
      </c>
      <c r="D4977" t="s">
        <v>92</v>
      </c>
      <c r="E4977" t="s">
        <v>155</v>
      </c>
      <c r="F4977" s="1">
        <v>42936</v>
      </c>
      <c r="I4977" t="str">
        <f>IF(COUNTIF(Products!$A$2:$A$8,C4977)=0,C4977,"")</f>
        <v/>
      </c>
      <c r="J4977">
        <f>IF(OR(E4977="Prospecting",E4977="Engaging"),VLOOKUP(C4977,Products!$A$2:$C$8,3,FALSE),0)</f>
        <v>55</v>
      </c>
    </row>
    <row r="4978" spans="1:10" x14ac:dyDescent="0.25">
      <c r="A4978" t="s">
        <v>5145</v>
      </c>
      <c r="B4978" t="s">
        <v>146</v>
      </c>
      <c r="C4978" t="s">
        <v>123</v>
      </c>
      <c r="E4978" t="s">
        <v>155</v>
      </c>
      <c r="F4978" s="1">
        <v>42936</v>
      </c>
      <c r="I4978" t="str">
        <f>IF(COUNTIF(Products!$A$2:$A$8,C4978)=0,C4978,"")</f>
        <v/>
      </c>
      <c r="J4978">
        <f>IF(OR(E4978="Prospecting",E4978="Engaging"),VLOOKUP(C4978,Products!$A$2:$C$8,3,FALSE),0)</f>
        <v>55</v>
      </c>
    </row>
    <row r="4979" spans="1:10" x14ac:dyDescent="0.25">
      <c r="A4979" t="s">
        <v>5146</v>
      </c>
      <c r="B4979" t="s">
        <v>146</v>
      </c>
      <c r="C4979" t="s">
        <v>127</v>
      </c>
      <c r="D4979" t="s">
        <v>88</v>
      </c>
      <c r="E4979" t="s">
        <v>159</v>
      </c>
      <c r="F4979" s="1">
        <v>42936</v>
      </c>
      <c r="G4979" s="1">
        <v>43050</v>
      </c>
      <c r="H4979">
        <v>0</v>
      </c>
      <c r="I4979" t="str">
        <f>IF(COUNTIF(Products!$A$2:$A$8,C4979)=0,C4979,"")</f>
        <v/>
      </c>
      <c r="J4979">
        <f>IF(OR(E4979="Prospecting",E4979="Engaging"),VLOOKUP(C4979,Products!$A$2:$C$8,3,FALSE),0)</f>
        <v>0</v>
      </c>
    </row>
    <row r="4980" spans="1:10" x14ac:dyDescent="0.25">
      <c r="A4980" t="s">
        <v>5147</v>
      </c>
      <c r="B4980" t="s">
        <v>146</v>
      </c>
      <c r="C4980" t="s">
        <v>127</v>
      </c>
      <c r="D4980" t="s">
        <v>88</v>
      </c>
      <c r="E4980" t="s">
        <v>138</v>
      </c>
      <c r="F4980" s="1">
        <v>42936</v>
      </c>
      <c r="G4980" s="1">
        <v>42937</v>
      </c>
      <c r="H4980">
        <v>1160</v>
      </c>
      <c r="I4980" t="str">
        <f>IF(COUNTIF(Products!$A$2:$A$8,C4980)=0,C4980,"")</f>
        <v/>
      </c>
      <c r="J4980">
        <f>IF(OR(E4980="Prospecting",E4980="Engaging"),VLOOKUP(C4980,Products!$A$2:$C$8,3,FALSE),0)</f>
        <v>0</v>
      </c>
    </row>
    <row r="4981" spans="1:10" x14ac:dyDescent="0.25">
      <c r="A4981" t="s">
        <v>5148</v>
      </c>
      <c r="B4981" t="s">
        <v>146</v>
      </c>
      <c r="C4981" t="s">
        <v>126</v>
      </c>
      <c r="D4981" t="s">
        <v>94</v>
      </c>
      <c r="E4981" t="s">
        <v>138</v>
      </c>
      <c r="F4981" s="1">
        <v>42936</v>
      </c>
      <c r="G4981" s="1">
        <v>42970</v>
      </c>
      <c r="H4981">
        <v>5847</v>
      </c>
      <c r="I4981" t="str">
        <f>IF(COUNTIF(Products!$A$2:$A$8,C4981)=0,C4981,"")</f>
        <v/>
      </c>
      <c r="J4981">
        <f>IF(OR(E4981="Prospecting",E4981="Engaging"),VLOOKUP(C4981,Products!$A$2:$C$8,3,FALSE),0)</f>
        <v>0</v>
      </c>
    </row>
    <row r="4982" spans="1:10" x14ac:dyDescent="0.25">
      <c r="A4982" t="s">
        <v>5149</v>
      </c>
      <c r="B4982" t="s">
        <v>222</v>
      </c>
      <c r="C4982" t="s">
        <v>125</v>
      </c>
      <c r="D4982" t="s">
        <v>67</v>
      </c>
      <c r="E4982" t="s">
        <v>159</v>
      </c>
      <c r="F4982" s="1">
        <v>42936</v>
      </c>
      <c r="G4982" s="1">
        <v>42946</v>
      </c>
      <c r="H4982">
        <v>0</v>
      </c>
      <c r="I4982" t="str">
        <f>IF(COUNTIF(Products!$A$2:$A$8,C4982)=0,C4982,"")</f>
        <v/>
      </c>
      <c r="J4982">
        <f>IF(OR(E4982="Prospecting",E4982="Engaging"),VLOOKUP(C4982,Products!$A$2:$C$8,3,FALSE),0)</f>
        <v>0</v>
      </c>
    </row>
    <row r="4983" spans="1:10" x14ac:dyDescent="0.25">
      <c r="A4983" t="s">
        <v>5150</v>
      </c>
      <c r="B4983" t="s">
        <v>222</v>
      </c>
      <c r="C4983" t="s">
        <v>127</v>
      </c>
      <c r="D4983" t="s">
        <v>110</v>
      </c>
      <c r="E4983" t="s">
        <v>138</v>
      </c>
      <c r="F4983" s="1">
        <v>42936</v>
      </c>
      <c r="G4983" s="1">
        <v>42998</v>
      </c>
      <c r="H4983">
        <v>1029</v>
      </c>
      <c r="I4983" t="str">
        <f>IF(COUNTIF(Products!$A$2:$A$8,C4983)=0,C4983,"")</f>
        <v/>
      </c>
      <c r="J4983">
        <f>IF(OR(E4983="Prospecting",E4983="Engaging"),VLOOKUP(C4983,Products!$A$2:$C$8,3,FALSE),0)</f>
        <v>0</v>
      </c>
    </row>
    <row r="4984" spans="1:10" x14ac:dyDescent="0.25">
      <c r="A4984" t="s">
        <v>5151</v>
      </c>
      <c r="B4984" t="s">
        <v>239</v>
      </c>
      <c r="C4984" t="s">
        <v>126</v>
      </c>
      <c r="D4984" t="s">
        <v>80</v>
      </c>
      <c r="E4984" t="s">
        <v>159</v>
      </c>
      <c r="F4984" s="1">
        <v>42936</v>
      </c>
      <c r="G4984" s="1">
        <v>42937</v>
      </c>
      <c r="H4984">
        <v>0</v>
      </c>
      <c r="I4984" t="str">
        <f>IF(COUNTIF(Products!$A$2:$A$8,C4984)=0,C4984,"")</f>
        <v/>
      </c>
      <c r="J4984">
        <f>IF(OR(E4984="Prospecting",E4984="Engaging"),VLOOKUP(C4984,Products!$A$2:$C$8,3,FALSE),0)</f>
        <v>0</v>
      </c>
    </row>
    <row r="4985" spans="1:10" x14ac:dyDescent="0.25">
      <c r="A4985" t="s">
        <v>5152</v>
      </c>
      <c r="B4985" t="s">
        <v>239</v>
      </c>
      <c r="C4985" t="s">
        <v>122</v>
      </c>
      <c r="D4985" t="s">
        <v>35</v>
      </c>
      <c r="E4985" t="s">
        <v>159</v>
      </c>
      <c r="F4985" s="1">
        <v>42936</v>
      </c>
      <c r="G4985" s="1">
        <v>42947</v>
      </c>
      <c r="H4985">
        <v>0</v>
      </c>
      <c r="I4985" t="str">
        <f>IF(COUNTIF(Products!$A$2:$A$8,C4985)=0,C4985,"")</f>
        <v/>
      </c>
      <c r="J4985">
        <f>IF(OR(E4985="Prospecting",E4985="Engaging"),VLOOKUP(C4985,Products!$A$2:$C$8,3,FALSE),0)</f>
        <v>0</v>
      </c>
    </row>
    <row r="4986" spans="1:10" x14ac:dyDescent="0.25">
      <c r="A4986" t="s">
        <v>5153</v>
      </c>
      <c r="B4986" t="s">
        <v>171</v>
      </c>
      <c r="C4986" t="s">
        <v>127</v>
      </c>
      <c r="E4986" t="s">
        <v>155</v>
      </c>
      <c r="F4986" s="1">
        <v>42936</v>
      </c>
      <c r="I4986" t="str">
        <f>IF(COUNTIF(Products!$A$2:$A$8,C4986)=0,C4986,"")</f>
        <v/>
      </c>
      <c r="J4986">
        <f>IF(OR(E4986="Prospecting",E4986="Engaging"),VLOOKUP(C4986,Products!$A$2:$C$8,3,FALSE),0)</f>
        <v>1096</v>
      </c>
    </row>
    <row r="4987" spans="1:10" x14ac:dyDescent="0.25">
      <c r="A4987" t="s">
        <v>5154</v>
      </c>
      <c r="B4987" t="s">
        <v>171</v>
      </c>
      <c r="C4987" t="s">
        <v>125</v>
      </c>
      <c r="D4987" t="s">
        <v>69</v>
      </c>
      <c r="E4987" t="s">
        <v>159</v>
      </c>
      <c r="F4987" s="1">
        <v>42936</v>
      </c>
      <c r="G4987" s="1">
        <v>43048</v>
      </c>
      <c r="H4987">
        <v>0</v>
      </c>
      <c r="I4987" t="str">
        <f>IF(COUNTIF(Products!$A$2:$A$8,C4987)=0,C4987,"")</f>
        <v/>
      </c>
      <c r="J4987">
        <f>IF(OR(E4987="Prospecting",E4987="Engaging"),VLOOKUP(C4987,Products!$A$2:$C$8,3,FALSE),0)</f>
        <v>0</v>
      </c>
    </row>
    <row r="4988" spans="1:10" x14ac:dyDescent="0.25">
      <c r="A4988" t="s">
        <v>5155</v>
      </c>
      <c r="B4988" t="s">
        <v>140</v>
      </c>
      <c r="C4988" t="s">
        <v>127</v>
      </c>
      <c r="E4988" t="s">
        <v>155</v>
      </c>
      <c r="F4988" s="1">
        <v>42936</v>
      </c>
      <c r="I4988" t="str">
        <f>IF(COUNTIF(Products!$A$2:$A$8,C4988)=0,C4988,"")</f>
        <v/>
      </c>
      <c r="J4988">
        <f>IF(OR(E4988="Prospecting",E4988="Engaging"),VLOOKUP(C4988,Products!$A$2:$C$8,3,FALSE),0)</f>
        <v>1096</v>
      </c>
    </row>
    <row r="4989" spans="1:10" x14ac:dyDescent="0.25">
      <c r="A4989" t="s">
        <v>5156</v>
      </c>
      <c r="B4989" t="s">
        <v>140</v>
      </c>
      <c r="C4989" t="s">
        <v>127</v>
      </c>
      <c r="E4989" t="s">
        <v>155</v>
      </c>
      <c r="F4989" s="1">
        <v>42936</v>
      </c>
      <c r="I4989" t="str">
        <f>IF(COUNTIF(Products!$A$2:$A$8,C4989)=0,C4989,"")</f>
        <v/>
      </c>
      <c r="J4989">
        <f>IF(OR(E4989="Prospecting",E4989="Engaging"),VLOOKUP(C4989,Products!$A$2:$C$8,3,FALSE),0)</f>
        <v>1096</v>
      </c>
    </row>
    <row r="4990" spans="1:10" x14ac:dyDescent="0.25">
      <c r="A4990" t="s">
        <v>5157</v>
      </c>
      <c r="B4990" t="s">
        <v>140</v>
      </c>
      <c r="C4990" t="s">
        <v>122</v>
      </c>
      <c r="E4990" t="s">
        <v>155</v>
      </c>
      <c r="F4990" s="1">
        <v>42936</v>
      </c>
      <c r="I4990" t="str">
        <f>IF(COUNTIF(Products!$A$2:$A$8,C4990)=0,C4990,"")</f>
        <v/>
      </c>
      <c r="J4990">
        <f>IF(OR(E4990="Prospecting",E4990="Engaging"),VLOOKUP(C4990,Products!$A$2:$C$8,3,FALSE),0)</f>
        <v>4821</v>
      </c>
    </row>
    <row r="4991" spans="1:10" x14ac:dyDescent="0.25">
      <c r="A4991" t="s">
        <v>5158</v>
      </c>
      <c r="B4991" t="s">
        <v>140</v>
      </c>
      <c r="C4991" t="s">
        <v>122</v>
      </c>
      <c r="D4991" t="s">
        <v>46</v>
      </c>
      <c r="E4991" t="s">
        <v>159</v>
      </c>
      <c r="F4991" s="1">
        <v>42936</v>
      </c>
      <c r="G4991" s="1">
        <v>42944</v>
      </c>
      <c r="H4991">
        <v>0</v>
      </c>
      <c r="I4991" t="str">
        <f>IF(COUNTIF(Products!$A$2:$A$8,C4991)=0,C4991,"")</f>
        <v/>
      </c>
      <c r="J4991">
        <f>IF(OR(E4991="Prospecting",E4991="Engaging"),VLOOKUP(C4991,Products!$A$2:$C$8,3,FALSE),0)</f>
        <v>0</v>
      </c>
    </row>
    <row r="4992" spans="1:10" x14ac:dyDescent="0.25">
      <c r="A4992" t="s">
        <v>5159</v>
      </c>
      <c r="B4992" t="s">
        <v>140</v>
      </c>
      <c r="C4992" t="s">
        <v>122</v>
      </c>
      <c r="D4992" t="s">
        <v>55</v>
      </c>
      <c r="E4992" t="s">
        <v>159</v>
      </c>
      <c r="F4992" s="1">
        <v>42936</v>
      </c>
      <c r="G4992" s="1">
        <v>42944</v>
      </c>
      <c r="H4992">
        <v>0</v>
      </c>
      <c r="I4992" t="str">
        <f>IF(COUNTIF(Products!$A$2:$A$8,C4992)=0,C4992,"")</f>
        <v/>
      </c>
      <c r="J4992">
        <f>IF(OR(E4992="Prospecting",E4992="Engaging"),VLOOKUP(C4992,Products!$A$2:$C$8,3,FALSE),0)</f>
        <v>0</v>
      </c>
    </row>
    <row r="4993" spans="1:10" x14ac:dyDescent="0.25">
      <c r="A4993" t="s">
        <v>5160</v>
      </c>
      <c r="B4993" t="s">
        <v>140</v>
      </c>
      <c r="C4993" t="s">
        <v>122</v>
      </c>
      <c r="D4993" t="s">
        <v>85</v>
      </c>
      <c r="E4993" t="s">
        <v>159</v>
      </c>
      <c r="F4993" s="1">
        <v>42936</v>
      </c>
      <c r="G4993" s="1">
        <v>42951</v>
      </c>
      <c r="H4993">
        <v>0</v>
      </c>
      <c r="I4993" t="str">
        <f>IF(COUNTIF(Products!$A$2:$A$8,C4993)=0,C4993,"")</f>
        <v/>
      </c>
      <c r="J4993">
        <f>IF(OR(E4993="Prospecting",E4993="Engaging"),VLOOKUP(C4993,Products!$A$2:$C$8,3,FALSE),0)</f>
        <v>0</v>
      </c>
    </row>
    <row r="4994" spans="1:10" x14ac:dyDescent="0.25">
      <c r="A4994" t="s">
        <v>5161</v>
      </c>
      <c r="B4994" t="s">
        <v>140</v>
      </c>
      <c r="C4994" t="s">
        <v>122</v>
      </c>
      <c r="D4994" t="s">
        <v>94</v>
      </c>
      <c r="E4994" t="s">
        <v>159</v>
      </c>
      <c r="F4994" s="1">
        <v>42936</v>
      </c>
      <c r="G4994" s="1">
        <v>42944</v>
      </c>
      <c r="H4994">
        <v>0</v>
      </c>
      <c r="I4994" t="str">
        <f>IF(COUNTIF(Products!$A$2:$A$8,C4994)=0,C4994,"")</f>
        <v/>
      </c>
      <c r="J4994">
        <f>IF(OR(E4994="Prospecting",E4994="Engaging"),VLOOKUP(C4994,Products!$A$2:$C$8,3,FALSE),0)</f>
        <v>0</v>
      </c>
    </row>
    <row r="4995" spans="1:10" x14ac:dyDescent="0.25">
      <c r="A4995" t="s">
        <v>5162</v>
      </c>
      <c r="B4995" t="s">
        <v>140</v>
      </c>
      <c r="C4995" t="s">
        <v>125</v>
      </c>
      <c r="D4995" t="s">
        <v>14</v>
      </c>
      <c r="E4995" t="s">
        <v>159</v>
      </c>
      <c r="F4995" s="1">
        <v>42936</v>
      </c>
      <c r="G4995" s="1">
        <v>42939</v>
      </c>
      <c r="H4995">
        <v>0</v>
      </c>
      <c r="I4995" t="str">
        <f>IF(COUNTIF(Products!$A$2:$A$8,C4995)=0,C4995,"")</f>
        <v/>
      </c>
      <c r="J4995">
        <f>IF(OR(E4995="Prospecting",E4995="Engaging"),VLOOKUP(C4995,Products!$A$2:$C$8,3,FALSE),0)</f>
        <v>0</v>
      </c>
    </row>
    <row r="4996" spans="1:10" x14ac:dyDescent="0.25">
      <c r="A4996" t="s">
        <v>5163</v>
      </c>
      <c r="B4996" t="s">
        <v>140</v>
      </c>
      <c r="C4996" t="s">
        <v>122</v>
      </c>
      <c r="D4996" t="s">
        <v>104</v>
      </c>
      <c r="E4996" t="s">
        <v>138</v>
      </c>
      <c r="F4996" s="1">
        <v>42936</v>
      </c>
      <c r="G4996" s="1">
        <v>42964</v>
      </c>
      <c r="H4996">
        <v>5058</v>
      </c>
      <c r="I4996" t="str">
        <f>IF(COUNTIF(Products!$A$2:$A$8,C4996)=0,C4996,"")</f>
        <v/>
      </c>
      <c r="J4996">
        <f>IF(OR(E4996="Prospecting",E4996="Engaging"),VLOOKUP(C4996,Products!$A$2:$C$8,3,FALSE),0)</f>
        <v>0</v>
      </c>
    </row>
    <row r="4997" spans="1:10" x14ac:dyDescent="0.25">
      <c r="A4997" t="s">
        <v>5164</v>
      </c>
      <c r="B4997" t="s">
        <v>224</v>
      </c>
      <c r="C4997" t="s">
        <v>127</v>
      </c>
      <c r="D4997" t="s">
        <v>50</v>
      </c>
      <c r="E4997" t="s">
        <v>159</v>
      </c>
      <c r="F4997" s="1">
        <v>42936</v>
      </c>
      <c r="G4997" s="1">
        <v>42999</v>
      </c>
      <c r="H4997">
        <v>0</v>
      </c>
      <c r="I4997" t="str">
        <f>IF(COUNTIF(Products!$A$2:$A$8,C4997)=0,C4997,"")</f>
        <v/>
      </c>
      <c r="J4997">
        <f>IF(OR(E4997="Prospecting",E4997="Engaging"),VLOOKUP(C4997,Products!$A$2:$C$8,3,FALSE),0)</f>
        <v>0</v>
      </c>
    </row>
    <row r="4998" spans="1:10" x14ac:dyDescent="0.25">
      <c r="A4998" t="s">
        <v>5165</v>
      </c>
      <c r="B4998" t="s">
        <v>224</v>
      </c>
      <c r="C4998" t="s">
        <v>122</v>
      </c>
      <c r="D4998" t="s">
        <v>92</v>
      </c>
      <c r="E4998" t="s">
        <v>159</v>
      </c>
      <c r="F4998" s="1">
        <v>42936</v>
      </c>
      <c r="G4998" s="1">
        <v>43005</v>
      </c>
      <c r="H4998">
        <v>0</v>
      </c>
      <c r="I4998" t="str">
        <f>IF(COUNTIF(Products!$A$2:$A$8,C4998)=0,C4998,"")</f>
        <v/>
      </c>
      <c r="J4998">
        <f>IF(OR(E4998="Prospecting",E4998="Engaging"),VLOOKUP(C4998,Products!$A$2:$C$8,3,FALSE),0)</f>
        <v>0</v>
      </c>
    </row>
    <row r="4999" spans="1:10" x14ac:dyDescent="0.25">
      <c r="A4999" t="s">
        <v>5166</v>
      </c>
      <c r="B4999" t="s">
        <v>224</v>
      </c>
      <c r="C4999" t="s">
        <v>122</v>
      </c>
      <c r="D4999" t="s">
        <v>111</v>
      </c>
      <c r="E4999" t="s">
        <v>159</v>
      </c>
      <c r="F4999" s="1">
        <v>42936</v>
      </c>
      <c r="G4999" s="1">
        <v>42944</v>
      </c>
      <c r="H4999">
        <v>0</v>
      </c>
      <c r="I4999" t="str">
        <f>IF(COUNTIF(Products!$A$2:$A$8,C4999)=0,C4999,"")</f>
        <v/>
      </c>
      <c r="J4999">
        <f>IF(OR(E4999="Prospecting",E4999="Engaging"),VLOOKUP(C4999,Products!$A$2:$C$8,3,FALSE),0)</f>
        <v>0</v>
      </c>
    </row>
    <row r="5000" spans="1:10" x14ac:dyDescent="0.25">
      <c r="A5000" t="s">
        <v>5167</v>
      </c>
      <c r="B5000" t="s">
        <v>158</v>
      </c>
      <c r="C5000" t="s">
        <v>125</v>
      </c>
      <c r="D5000" t="s">
        <v>85</v>
      </c>
      <c r="E5000" t="s">
        <v>138</v>
      </c>
      <c r="F5000" s="1">
        <v>42936</v>
      </c>
      <c r="G5000" s="1">
        <v>43053</v>
      </c>
      <c r="H5000">
        <v>3552</v>
      </c>
      <c r="I5000" t="str">
        <f>IF(COUNTIF(Products!$A$2:$A$8,C5000)=0,C5000,"")</f>
        <v/>
      </c>
      <c r="J5000">
        <f>IF(OR(E5000="Prospecting",E5000="Engaging"),VLOOKUP(C5000,Products!$A$2:$C$8,3,FALSE),0)</f>
        <v>0</v>
      </c>
    </row>
    <row r="5001" spans="1:10" x14ac:dyDescent="0.25">
      <c r="A5001" t="s">
        <v>5168</v>
      </c>
      <c r="B5001" t="s">
        <v>164</v>
      </c>
      <c r="C5001" t="s">
        <v>127</v>
      </c>
      <c r="D5001" t="s">
        <v>70</v>
      </c>
      <c r="E5001" t="s">
        <v>155</v>
      </c>
      <c r="F5001" s="1">
        <v>42936</v>
      </c>
      <c r="I5001" t="str">
        <f>IF(COUNTIF(Products!$A$2:$A$8,C5001)=0,C5001,"")</f>
        <v/>
      </c>
      <c r="J5001">
        <f>IF(OR(E5001="Prospecting",E5001="Engaging"),VLOOKUP(C5001,Products!$A$2:$C$8,3,FALSE),0)</f>
        <v>1096</v>
      </c>
    </row>
    <row r="5002" spans="1:10" x14ac:dyDescent="0.25">
      <c r="A5002" t="s">
        <v>5169</v>
      </c>
      <c r="B5002" t="s">
        <v>164</v>
      </c>
      <c r="C5002" t="s">
        <v>126</v>
      </c>
      <c r="D5002" t="s">
        <v>67</v>
      </c>
      <c r="E5002" t="s">
        <v>138</v>
      </c>
      <c r="F5002" s="1">
        <v>42936</v>
      </c>
      <c r="G5002" s="1">
        <v>43047</v>
      </c>
      <c r="H5002">
        <v>5526</v>
      </c>
      <c r="I5002" t="str">
        <f>IF(COUNTIF(Products!$A$2:$A$8,C5002)=0,C5002,"")</f>
        <v/>
      </c>
      <c r="J5002">
        <f>IF(OR(E5002="Prospecting",E5002="Engaging"),VLOOKUP(C5002,Products!$A$2:$C$8,3,FALSE),0)</f>
        <v>0</v>
      </c>
    </row>
    <row r="5003" spans="1:10" x14ac:dyDescent="0.25">
      <c r="A5003" t="s">
        <v>5170</v>
      </c>
      <c r="B5003" t="s">
        <v>303</v>
      </c>
      <c r="C5003" t="s">
        <v>120</v>
      </c>
      <c r="D5003" t="s">
        <v>23</v>
      </c>
      <c r="E5003" t="s">
        <v>155</v>
      </c>
      <c r="F5003" s="1">
        <v>42936</v>
      </c>
      <c r="I5003" t="str">
        <f>IF(COUNTIF(Products!$A$2:$A$8,C5003)=0,C5003,"")</f>
        <v/>
      </c>
      <c r="J5003">
        <f>IF(OR(E5003="Prospecting",E5003="Engaging"),VLOOKUP(C5003,Products!$A$2:$C$8,3,FALSE),0)</f>
        <v>550</v>
      </c>
    </row>
    <row r="5004" spans="1:10" x14ac:dyDescent="0.25">
      <c r="A5004" t="s">
        <v>5171</v>
      </c>
      <c r="B5004" t="s">
        <v>303</v>
      </c>
      <c r="C5004" t="s">
        <v>120</v>
      </c>
      <c r="E5004" t="s">
        <v>155</v>
      </c>
      <c r="F5004" s="1">
        <v>42936</v>
      </c>
      <c r="I5004" t="str">
        <f>IF(COUNTIF(Products!$A$2:$A$8,C5004)=0,C5004,"")</f>
        <v/>
      </c>
      <c r="J5004">
        <f>IF(OR(E5004="Prospecting",E5004="Engaging"),VLOOKUP(C5004,Products!$A$2:$C$8,3,FALSE),0)</f>
        <v>550</v>
      </c>
    </row>
    <row r="5005" spans="1:10" x14ac:dyDescent="0.25">
      <c r="A5005" t="s">
        <v>5172</v>
      </c>
      <c r="B5005" t="s">
        <v>303</v>
      </c>
      <c r="C5005" t="s">
        <v>120</v>
      </c>
      <c r="E5005" t="s">
        <v>155</v>
      </c>
      <c r="F5005" s="1">
        <v>42936</v>
      </c>
      <c r="I5005" t="str">
        <f>IF(COUNTIF(Products!$A$2:$A$8,C5005)=0,C5005,"")</f>
        <v/>
      </c>
      <c r="J5005">
        <f>IF(OR(E5005="Prospecting",E5005="Engaging"),VLOOKUP(C5005,Products!$A$2:$C$8,3,FALSE),0)</f>
        <v>550</v>
      </c>
    </row>
    <row r="5006" spans="1:10" x14ac:dyDescent="0.25">
      <c r="A5006" t="s">
        <v>5173</v>
      </c>
      <c r="B5006" t="s">
        <v>303</v>
      </c>
      <c r="C5006" t="s">
        <v>120</v>
      </c>
      <c r="E5006" t="s">
        <v>155</v>
      </c>
      <c r="F5006" s="1">
        <v>42936</v>
      </c>
      <c r="I5006" t="str">
        <f>IF(COUNTIF(Products!$A$2:$A$8,C5006)=0,C5006,"")</f>
        <v/>
      </c>
      <c r="J5006">
        <f>IF(OR(E5006="Prospecting",E5006="Engaging"),VLOOKUP(C5006,Products!$A$2:$C$8,3,FALSE),0)</f>
        <v>550</v>
      </c>
    </row>
    <row r="5007" spans="1:10" x14ac:dyDescent="0.25">
      <c r="A5007" t="s">
        <v>5174</v>
      </c>
      <c r="B5007" t="s">
        <v>303</v>
      </c>
      <c r="C5007" t="s">
        <v>127</v>
      </c>
      <c r="D5007" t="s">
        <v>50</v>
      </c>
      <c r="E5007" t="s">
        <v>155</v>
      </c>
      <c r="F5007" s="1">
        <v>42936</v>
      </c>
      <c r="I5007" t="str">
        <f>IF(COUNTIF(Products!$A$2:$A$8,C5007)=0,C5007,"")</f>
        <v/>
      </c>
      <c r="J5007">
        <f>IF(OR(E5007="Prospecting",E5007="Engaging"),VLOOKUP(C5007,Products!$A$2:$C$8,3,FALSE),0)</f>
        <v>1096</v>
      </c>
    </row>
    <row r="5008" spans="1:10" x14ac:dyDescent="0.25">
      <c r="A5008" t="s">
        <v>5175</v>
      </c>
      <c r="B5008" t="s">
        <v>303</v>
      </c>
      <c r="C5008" t="s">
        <v>127</v>
      </c>
      <c r="E5008" t="s">
        <v>155</v>
      </c>
      <c r="F5008" s="1">
        <v>42936</v>
      </c>
      <c r="I5008" t="str">
        <f>IF(COUNTIF(Products!$A$2:$A$8,C5008)=0,C5008,"")</f>
        <v/>
      </c>
      <c r="J5008">
        <f>IF(OR(E5008="Prospecting",E5008="Engaging"),VLOOKUP(C5008,Products!$A$2:$C$8,3,FALSE),0)</f>
        <v>1096</v>
      </c>
    </row>
    <row r="5009" spans="1:10" x14ac:dyDescent="0.25">
      <c r="A5009" t="s">
        <v>5176</v>
      </c>
      <c r="B5009" t="s">
        <v>303</v>
      </c>
      <c r="C5009" t="s">
        <v>122</v>
      </c>
      <c r="E5009" t="s">
        <v>155</v>
      </c>
      <c r="F5009" s="1">
        <v>42936</v>
      </c>
      <c r="I5009" t="str">
        <f>IF(COUNTIF(Products!$A$2:$A$8,C5009)=0,C5009,"")</f>
        <v/>
      </c>
      <c r="J5009">
        <f>IF(OR(E5009="Prospecting",E5009="Engaging"),VLOOKUP(C5009,Products!$A$2:$C$8,3,FALSE),0)</f>
        <v>4821</v>
      </c>
    </row>
    <row r="5010" spans="1:10" x14ac:dyDescent="0.25">
      <c r="A5010" t="s">
        <v>5177</v>
      </c>
      <c r="B5010" t="s">
        <v>303</v>
      </c>
      <c r="C5010" t="s">
        <v>123</v>
      </c>
      <c r="E5010" t="s">
        <v>155</v>
      </c>
      <c r="F5010" s="1">
        <v>42936</v>
      </c>
      <c r="I5010" t="str">
        <f>IF(COUNTIF(Products!$A$2:$A$8,C5010)=0,C5010,"")</f>
        <v/>
      </c>
      <c r="J5010">
        <f>IF(OR(E5010="Prospecting",E5010="Engaging"),VLOOKUP(C5010,Products!$A$2:$C$8,3,FALSE),0)</f>
        <v>55</v>
      </c>
    </row>
    <row r="5011" spans="1:10" x14ac:dyDescent="0.25">
      <c r="A5011" t="s">
        <v>5178</v>
      </c>
      <c r="B5011" t="s">
        <v>180</v>
      </c>
      <c r="C5011" t="s">
        <v>125</v>
      </c>
      <c r="D5011" t="s">
        <v>68</v>
      </c>
      <c r="E5011" t="s">
        <v>155</v>
      </c>
      <c r="F5011" s="1">
        <v>42936</v>
      </c>
      <c r="I5011" t="str">
        <f>IF(COUNTIF(Products!$A$2:$A$8,C5011)=0,C5011,"")</f>
        <v/>
      </c>
      <c r="J5011">
        <f>IF(OR(E5011="Prospecting",E5011="Engaging"),VLOOKUP(C5011,Products!$A$2:$C$8,3,FALSE),0)</f>
        <v>3393</v>
      </c>
    </row>
    <row r="5012" spans="1:10" x14ac:dyDescent="0.25">
      <c r="A5012" t="s">
        <v>5179</v>
      </c>
      <c r="B5012" t="s">
        <v>191</v>
      </c>
      <c r="C5012" t="s">
        <v>122</v>
      </c>
      <c r="D5012" t="s">
        <v>82</v>
      </c>
      <c r="E5012" t="s">
        <v>138</v>
      </c>
      <c r="F5012" s="1">
        <v>42936</v>
      </c>
      <c r="G5012" s="1">
        <v>42942</v>
      </c>
      <c r="H5012">
        <v>4428</v>
      </c>
      <c r="I5012" t="str">
        <f>IF(COUNTIF(Products!$A$2:$A$8,C5012)=0,C5012,"")</f>
        <v/>
      </c>
      <c r="J5012">
        <f>IF(OR(E5012="Prospecting",E5012="Engaging"),VLOOKUP(C5012,Products!$A$2:$C$8,3,FALSE),0)</f>
        <v>0</v>
      </c>
    </row>
    <row r="5013" spans="1:10" x14ac:dyDescent="0.25">
      <c r="A5013" t="s">
        <v>5180</v>
      </c>
      <c r="B5013" t="s">
        <v>205</v>
      </c>
      <c r="C5013" t="s">
        <v>122</v>
      </c>
      <c r="D5013" t="s">
        <v>98</v>
      </c>
      <c r="E5013" t="s">
        <v>155</v>
      </c>
      <c r="F5013" s="1">
        <v>42936</v>
      </c>
      <c r="I5013" t="str">
        <f>IF(COUNTIF(Products!$A$2:$A$8,C5013)=0,C5013,"")</f>
        <v/>
      </c>
      <c r="J5013">
        <f>IF(OR(E5013="Prospecting",E5013="Engaging"),VLOOKUP(C5013,Products!$A$2:$C$8,3,FALSE),0)</f>
        <v>4821</v>
      </c>
    </row>
    <row r="5014" spans="1:10" x14ac:dyDescent="0.25">
      <c r="A5014" t="s">
        <v>5181</v>
      </c>
      <c r="B5014" t="s">
        <v>162</v>
      </c>
      <c r="C5014" t="s">
        <v>120</v>
      </c>
      <c r="D5014" t="s">
        <v>93</v>
      </c>
      <c r="E5014" t="s">
        <v>138</v>
      </c>
      <c r="F5014" s="1">
        <v>42936</v>
      </c>
      <c r="G5014" s="1">
        <v>42943</v>
      </c>
      <c r="H5014">
        <v>523</v>
      </c>
      <c r="I5014" t="str">
        <f>IF(COUNTIF(Products!$A$2:$A$8,C5014)=0,C5014,"")</f>
        <v/>
      </c>
      <c r="J5014">
        <f>IF(OR(E5014="Prospecting",E5014="Engaging"),VLOOKUP(C5014,Products!$A$2:$C$8,3,FALSE),0)</f>
        <v>0</v>
      </c>
    </row>
    <row r="5015" spans="1:10" x14ac:dyDescent="0.25">
      <c r="A5015" t="s">
        <v>5182</v>
      </c>
      <c r="B5015" t="s">
        <v>137</v>
      </c>
      <c r="C5015" t="s">
        <v>120</v>
      </c>
      <c r="E5015" t="s">
        <v>155</v>
      </c>
      <c r="F5015" s="1">
        <v>42936</v>
      </c>
      <c r="I5015" t="str">
        <f>IF(COUNTIF(Products!$A$2:$A$8,C5015)=0,C5015,"")</f>
        <v/>
      </c>
      <c r="J5015">
        <f>IF(OR(E5015="Prospecting",E5015="Engaging"),VLOOKUP(C5015,Products!$A$2:$C$8,3,FALSE),0)</f>
        <v>550</v>
      </c>
    </row>
    <row r="5016" spans="1:10" x14ac:dyDescent="0.25">
      <c r="A5016" t="s">
        <v>5183</v>
      </c>
      <c r="B5016" t="s">
        <v>137</v>
      </c>
      <c r="C5016" t="s">
        <v>126</v>
      </c>
      <c r="D5016" t="s">
        <v>51</v>
      </c>
      <c r="E5016" t="s">
        <v>155</v>
      </c>
      <c r="F5016" s="1">
        <v>42936</v>
      </c>
      <c r="I5016" t="str">
        <f>IF(COUNTIF(Products!$A$2:$A$8,C5016)=0,C5016,"")</f>
        <v/>
      </c>
      <c r="J5016">
        <f>IF(OR(E5016="Prospecting",E5016="Engaging"),VLOOKUP(C5016,Products!$A$2:$C$8,3,FALSE),0)</f>
        <v>5482</v>
      </c>
    </row>
    <row r="5017" spans="1:10" x14ac:dyDescent="0.25">
      <c r="A5017" t="s">
        <v>5184</v>
      </c>
      <c r="B5017" t="s">
        <v>152</v>
      </c>
      <c r="C5017" t="s">
        <v>127</v>
      </c>
      <c r="E5017" t="s">
        <v>155</v>
      </c>
      <c r="F5017" s="1">
        <v>42936</v>
      </c>
      <c r="I5017" t="str">
        <f>IF(COUNTIF(Products!$A$2:$A$8,C5017)=0,C5017,"")</f>
        <v/>
      </c>
      <c r="J5017">
        <f>IF(OR(E5017="Prospecting",E5017="Engaging"),VLOOKUP(C5017,Products!$A$2:$C$8,3,FALSE),0)</f>
        <v>1096</v>
      </c>
    </row>
    <row r="5018" spans="1:10" x14ac:dyDescent="0.25">
      <c r="A5018" t="s">
        <v>5185</v>
      </c>
      <c r="B5018" t="s">
        <v>152</v>
      </c>
      <c r="C5018" t="s">
        <v>126</v>
      </c>
      <c r="D5018" t="s">
        <v>17</v>
      </c>
      <c r="E5018" t="s">
        <v>155</v>
      </c>
      <c r="F5018" s="1">
        <v>42936</v>
      </c>
      <c r="I5018" t="str">
        <f>IF(COUNTIF(Products!$A$2:$A$8,C5018)=0,C5018,"")</f>
        <v/>
      </c>
      <c r="J5018">
        <f>IF(OR(E5018="Prospecting",E5018="Engaging"),VLOOKUP(C5018,Products!$A$2:$C$8,3,FALSE),0)</f>
        <v>5482</v>
      </c>
    </row>
    <row r="5019" spans="1:10" x14ac:dyDescent="0.25">
      <c r="A5019" t="s">
        <v>5186</v>
      </c>
      <c r="B5019" t="s">
        <v>193</v>
      </c>
      <c r="C5019" t="s">
        <v>127</v>
      </c>
      <c r="D5019" t="s">
        <v>73</v>
      </c>
      <c r="E5019" t="s">
        <v>159</v>
      </c>
      <c r="F5019" s="1">
        <v>42936</v>
      </c>
      <c r="G5019" s="1">
        <v>42938</v>
      </c>
      <c r="H5019">
        <v>0</v>
      </c>
      <c r="I5019" t="str">
        <f>IF(COUNTIF(Products!$A$2:$A$8,C5019)=0,C5019,"")</f>
        <v/>
      </c>
      <c r="J5019">
        <f>IF(OR(E5019="Prospecting",E5019="Engaging"),VLOOKUP(C5019,Products!$A$2:$C$8,3,FALSE),0)</f>
        <v>0</v>
      </c>
    </row>
    <row r="5020" spans="1:10" x14ac:dyDescent="0.25">
      <c r="A5020" t="s">
        <v>5187</v>
      </c>
      <c r="B5020" t="s">
        <v>193</v>
      </c>
      <c r="C5020" t="s">
        <v>126</v>
      </c>
      <c r="D5020" t="s">
        <v>84</v>
      </c>
      <c r="E5020" t="s">
        <v>159</v>
      </c>
      <c r="F5020" s="1">
        <v>42936</v>
      </c>
      <c r="G5020" s="1">
        <v>42946</v>
      </c>
      <c r="H5020">
        <v>0</v>
      </c>
      <c r="I5020" t="str">
        <f>IF(COUNTIF(Products!$A$2:$A$8,C5020)=0,C5020,"")</f>
        <v/>
      </c>
      <c r="J5020">
        <f>IF(OR(E5020="Prospecting",E5020="Engaging"),VLOOKUP(C5020,Products!$A$2:$C$8,3,FALSE),0)</f>
        <v>0</v>
      </c>
    </row>
    <row r="5021" spans="1:10" x14ac:dyDescent="0.25">
      <c r="A5021" t="s">
        <v>5188</v>
      </c>
      <c r="B5021" t="s">
        <v>187</v>
      </c>
      <c r="C5021" t="s">
        <v>122</v>
      </c>
      <c r="D5021" t="s">
        <v>73</v>
      </c>
      <c r="E5021" t="s">
        <v>138</v>
      </c>
      <c r="F5021" s="1">
        <v>42936</v>
      </c>
      <c r="G5021" s="1">
        <v>42947</v>
      </c>
      <c r="H5021">
        <v>5392</v>
      </c>
      <c r="I5021" t="str">
        <f>IF(COUNTIF(Products!$A$2:$A$8,C5021)=0,C5021,"")</f>
        <v/>
      </c>
      <c r="J5021">
        <f>IF(OR(E5021="Prospecting",E5021="Engaging"),VLOOKUP(C5021,Products!$A$2:$C$8,3,FALSE),0)</f>
        <v>0</v>
      </c>
    </row>
    <row r="5022" spans="1:10" x14ac:dyDescent="0.25">
      <c r="A5022" t="s">
        <v>5189</v>
      </c>
      <c r="B5022" t="s">
        <v>148</v>
      </c>
      <c r="C5022" t="s">
        <v>120</v>
      </c>
      <c r="D5022" t="s">
        <v>44</v>
      </c>
      <c r="E5022" t="s">
        <v>159</v>
      </c>
      <c r="F5022" s="1">
        <v>42936</v>
      </c>
      <c r="G5022" s="1">
        <v>42943</v>
      </c>
      <c r="H5022">
        <v>0</v>
      </c>
      <c r="I5022" t="str">
        <f>IF(COUNTIF(Products!$A$2:$A$8,C5022)=0,C5022,"")</f>
        <v/>
      </c>
      <c r="J5022">
        <f>IF(OR(E5022="Prospecting",E5022="Engaging"),VLOOKUP(C5022,Products!$A$2:$C$8,3,FALSE),0)</f>
        <v>0</v>
      </c>
    </row>
    <row r="5023" spans="1:10" x14ac:dyDescent="0.25">
      <c r="A5023" t="s">
        <v>5190</v>
      </c>
      <c r="B5023" t="s">
        <v>177</v>
      </c>
      <c r="C5023" t="s">
        <v>123</v>
      </c>
      <c r="D5023" t="s">
        <v>112</v>
      </c>
      <c r="E5023" t="s">
        <v>138</v>
      </c>
      <c r="F5023" s="1">
        <v>42936</v>
      </c>
      <c r="G5023" s="1">
        <v>42944</v>
      </c>
      <c r="H5023">
        <v>55</v>
      </c>
      <c r="I5023" t="str">
        <f>IF(COUNTIF(Products!$A$2:$A$8,C5023)=0,C5023,"")</f>
        <v/>
      </c>
      <c r="J5023">
        <f>IF(OR(E5023="Prospecting",E5023="Engaging"),VLOOKUP(C5023,Products!$A$2:$C$8,3,FALSE),0)</f>
        <v>0</v>
      </c>
    </row>
    <row r="5024" spans="1:10" x14ac:dyDescent="0.25">
      <c r="A5024" t="s">
        <v>5191</v>
      </c>
      <c r="B5024" t="s">
        <v>196</v>
      </c>
      <c r="C5024" t="s">
        <v>127</v>
      </c>
      <c r="D5024" t="s">
        <v>84</v>
      </c>
      <c r="E5024" t="s">
        <v>155</v>
      </c>
      <c r="F5024" s="1">
        <v>42936</v>
      </c>
      <c r="I5024" t="str">
        <f>IF(COUNTIF(Products!$A$2:$A$8,C5024)=0,C5024,"")</f>
        <v/>
      </c>
      <c r="J5024">
        <f>IF(OR(E5024="Prospecting",E5024="Engaging"),VLOOKUP(C5024,Products!$A$2:$C$8,3,FALSE),0)</f>
        <v>1096</v>
      </c>
    </row>
    <row r="5025" spans="1:10" x14ac:dyDescent="0.25">
      <c r="A5025" t="s">
        <v>5192</v>
      </c>
      <c r="B5025" t="s">
        <v>146</v>
      </c>
      <c r="C5025" t="s">
        <v>127</v>
      </c>
      <c r="E5025" t="s">
        <v>155</v>
      </c>
      <c r="F5025" s="1">
        <v>42937</v>
      </c>
      <c r="I5025" t="str">
        <f>IF(COUNTIF(Products!$A$2:$A$8,C5025)=0,C5025,"")</f>
        <v/>
      </c>
      <c r="J5025">
        <f>IF(OR(E5025="Prospecting",E5025="Engaging"),VLOOKUP(C5025,Products!$A$2:$C$8,3,FALSE),0)</f>
        <v>1096</v>
      </c>
    </row>
    <row r="5026" spans="1:10" x14ac:dyDescent="0.25">
      <c r="A5026" t="s">
        <v>5193</v>
      </c>
      <c r="B5026" t="s">
        <v>146</v>
      </c>
      <c r="C5026" t="s">
        <v>125</v>
      </c>
      <c r="D5026" t="s">
        <v>60</v>
      </c>
      <c r="E5026" t="s">
        <v>155</v>
      </c>
      <c r="F5026" s="1">
        <v>42937</v>
      </c>
      <c r="I5026" t="str">
        <f>IF(COUNTIF(Products!$A$2:$A$8,C5026)=0,C5026,"")</f>
        <v/>
      </c>
      <c r="J5026">
        <f>IF(OR(E5026="Prospecting",E5026="Engaging"),VLOOKUP(C5026,Products!$A$2:$C$8,3,FALSE),0)</f>
        <v>3393</v>
      </c>
    </row>
    <row r="5027" spans="1:10" x14ac:dyDescent="0.25">
      <c r="A5027" t="s">
        <v>5194</v>
      </c>
      <c r="B5027" t="s">
        <v>146</v>
      </c>
      <c r="C5027" t="s">
        <v>120</v>
      </c>
      <c r="D5027" t="s">
        <v>104</v>
      </c>
      <c r="E5027" t="s">
        <v>159</v>
      </c>
      <c r="F5027" s="1">
        <v>42937</v>
      </c>
      <c r="G5027" s="1">
        <v>43045</v>
      </c>
      <c r="H5027">
        <v>0</v>
      </c>
      <c r="I5027" t="str">
        <f>IF(COUNTIF(Products!$A$2:$A$8,C5027)=0,C5027,"")</f>
        <v/>
      </c>
      <c r="J5027">
        <f>IF(OR(E5027="Prospecting",E5027="Engaging"),VLOOKUP(C5027,Products!$A$2:$C$8,3,FALSE),0)</f>
        <v>0</v>
      </c>
    </row>
    <row r="5028" spans="1:10" x14ac:dyDescent="0.25">
      <c r="A5028" t="s">
        <v>5195</v>
      </c>
      <c r="B5028" t="s">
        <v>222</v>
      </c>
      <c r="C5028" t="s">
        <v>122</v>
      </c>
      <c r="D5028" t="s">
        <v>50</v>
      </c>
      <c r="E5028" t="s">
        <v>138</v>
      </c>
      <c r="F5028" s="1">
        <v>42937</v>
      </c>
      <c r="G5028" s="1">
        <v>43059</v>
      </c>
      <c r="H5028">
        <v>4197</v>
      </c>
      <c r="I5028" t="str">
        <f>IF(COUNTIF(Products!$A$2:$A$8,C5028)=0,C5028,"")</f>
        <v/>
      </c>
      <c r="J5028">
        <f>IF(OR(E5028="Prospecting",E5028="Engaging"),VLOOKUP(C5028,Products!$A$2:$C$8,3,FALSE),0)</f>
        <v>0</v>
      </c>
    </row>
    <row r="5029" spans="1:10" x14ac:dyDescent="0.25">
      <c r="A5029" t="s">
        <v>5196</v>
      </c>
      <c r="B5029" t="s">
        <v>222</v>
      </c>
      <c r="C5029" t="s">
        <v>125</v>
      </c>
      <c r="D5029" t="s">
        <v>73</v>
      </c>
      <c r="E5029" t="s">
        <v>138</v>
      </c>
      <c r="F5029" s="1">
        <v>42937</v>
      </c>
      <c r="G5029" s="1">
        <v>42996</v>
      </c>
      <c r="H5029">
        <v>3830</v>
      </c>
      <c r="I5029" t="str">
        <f>IF(COUNTIF(Products!$A$2:$A$8,C5029)=0,C5029,"")</f>
        <v/>
      </c>
      <c r="J5029">
        <f>IF(OR(E5029="Prospecting",E5029="Engaging"),VLOOKUP(C5029,Products!$A$2:$C$8,3,FALSE),0)</f>
        <v>0</v>
      </c>
    </row>
    <row r="5030" spans="1:10" x14ac:dyDescent="0.25">
      <c r="A5030" t="s">
        <v>5197</v>
      </c>
      <c r="B5030" t="s">
        <v>207</v>
      </c>
      <c r="C5030" t="s">
        <v>120</v>
      </c>
      <c r="D5030" t="s">
        <v>37</v>
      </c>
      <c r="E5030" t="s">
        <v>138</v>
      </c>
      <c r="F5030" s="1">
        <v>42937</v>
      </c>
      <c r="G5030" s="1">
        <v>42946</v>
      </c>
      <c r="H5030">
        <v>494</v>
      </c>
      <c r="I5030" t="str">
        <f>IF(COUNTIF(Products!$A$2:$A$8,C5030)=0,C5030,"")</f>
        <v/>
      </c>
      <c r="J5030">
        <f>IF(OR(E5030="Prospecting",E5030="Engaging"),VLOOKUP(C5030,Products!$A$2:$C$8,3,FALSE),0)</f>
        <v>0</v>
      </c>
    </row>
    <row r="5031" spans="1:10" x14ac:dyDescent="0.25">
      <c r="A5031" t="s">
        <v>5198</v>
      </c>
      <c r="B5031" t="s">
        <v>264</v>
      </c>
      <c r="C5031" t="s">
        <v>127</v>
      </c>
      <c r="E5031" t="s">
        <v>155</v>
      </c>
      <c r="F5031" s="1">
        <v>42937</v>
      </c>
      <c r="I5031" t="str">
        <f>IF(COUNTIF(Products!$A$2:$A$8,C5031)=0,C5031,"")</f>
        <v/>
      </c>
      <c r="J5031">
        <f>IF(OR(E5031="Prospecting",E5031="Engaging"),VLOOKUP(C5031,Products!$A$2:$C$8,3,FALSE),0)</f>
        <v>1096</v>
      </c>
    </row>
    <row r="5032" spans="1:10" x14ac:dyDescent="0.25">
      <c r="A5032" t="s">
        <v>5199</v>
      </c>
      <c r="B5032" t="s">
        <v>264</v>
      </c>
      <c r="C5032" t="s">
        <v>127</v>
      </c>
      <c r="E5032" t="s">
        <v>155</v>
      </c>
      <c r="F5032" s="1">
        <v>42937</v>
      </c>
      <c r="I5032" t="str">
        <f>IF(COUNTIF(Products!$A$2:$A$8,C5032)=0,C5032,"")</f>
        <v/>
      </c>
      <c r="J5032">
        <f>IF(OR(E5032="Prospecting",E5032="Engaging"),VLOOKUP(C5032,Products!$A$2:$C$8,3,FALSE),0)</f>
        <v>1096</v>
      </c>
    </row>
    <row r="5033" spans="1:10" x14ac:dyDescent="0.25">
      <c r="A5033" t="s">
        <v>5200</v>
      </c>
      <c r="B5033" t="s">
        <v>264</v>
      </c>
      <c r="C5033" t="s">
        <v>123</v>
      </c>
      <c r="E5033" t="s">
        <v>155</v>
      </c>
      <c r="F5033" s="1">
        <v>42937</v>
      </c>
      <c r="I5033" t="str">
        <f>IF(COUNTIF(Products!$A$2:$A$8,C5033)=0,C5033,"")</f>
        <v/>
      </c>
      <c r="J5033">
        <f>IF(OR(E5033="Prospecting",E5033="Engaging"),VLOOKUP(C5033,Products!$A$2:$C$8,3,FALSE),0)</f>
        <v>55</v>
      </c>
    </row>
    <row r="5034" spans="1:10" x14ac:dyDescent="0.25">
      <c r="A5034" t="s">
        <v>5201</v>
      </c>
      <c r="B5034" t="s">
        <v>171</v>
      </c>
      <c r="C5034" t="s">
        <v>126</v>
      </c>
      <c r="D5034" t="s">
        <v>69</v>
      </c>
      <c r="E5034" t="s">
        <v>138</v>
      </c>
      <c r="F5034" s="1">
        <v>42937</v>
      </c>
      <c r="G5034" s="1">
        <v>42938</v>
      </c>
      <c r="H5034">
        <v>5118</v>
      </c>
      <c r="I5034" t="str">
        <f>IF(COUNTIF(Products!$A$2:$A$8,C5034)=0,C5034,"")</f>
        <v/>
      </c>
      <c r="J5034">
        <f>IF(OR(E5034="Prospecting",E5034="Engaging"),VLOOKUP(C5034,Products!$A$2:$C$8,3,FALSE),0)</f>
        <v>0</v>
      </c>
    </row>
    <row r="5035" spans="1:10" x14ac:dyDescent="0.25">
      <c r="A5035" t="s">
        <v>5202</v>
      </c>
      <c r="B5035" t="s">
        <v>140</v>
      </c>
      <c r="C5035" t="s">
        <v>122</v>
      </c>
      <c r="E5035" t="s">
        <v>155</v>
      </c>
      <c r="F5035" s="1">
        <v>42937</v>
      </c>
      <c r="I5035" t="str">
        <f>IF(COUNTIF(Products!$A$2:$A$8,C5035)=0,C5035,"")</f>
        <v/>
      </c>
      <c r="J5035">
        <f>IF(OR(E5035="Prospecting",E5035="Engaging"),VLOOKUP(C5035,Products!$A$2:$C$8,3,FALSE),0)</f>
        <v>4821</v>
      </c>
    </row>
    <row r="5036" spans="1:10" x14ac:dyDescent="0.25">
      <c r="A5036" t="s">
        <v>5203</v>
      </c>
      <c r="B5036" t="s">
        <v>140</v>
      </c>
      <c r="C5036" t="s">
        <v>122</v>
      </c>
      <c r="E5036" t="s">
        <v>155</v>
      </c>
      <c r="F5036" s="1">
        <v>42937</v>
      </c>
      <c r="I5036" t="str">
        <f>IF(COUNTIF(Products!$A$2:$A$8,C5036)=0,C5036,"")</f>
        <v/>
      </c>
      <c r="J5036">
        <f>IF(OR(E5036="Prospecting",E5036="Engaging"),VLOOKUP(C5036,Products!$A$2:$C$8,3,FALSE),0)</f>
        <v>4821</v>
      </c>
    </row>
    <row r="5037" spans="1:10" x14ac:dyDescent="0.25">
      <c r="A5037" t="s">
        <v>5204</v>
      </c>
      <c r="B5037" t="s">
        <v>140</v>
      </c>
      <c r="C5037" t="s">
        <v>123</v>
      </c>
      <c r="D5037" t="s">
        <v>10</v>
      </c>
      <c r="E5037" t="s">
        <v>155</v>
      </c>
      <c r="F5037" s="1">
        <v>42937</v>
      </c>
      <c r="I5037" t="str">
        <f>IF(COUNTIF(Products!$A$2:$A$8,C5037)=0,C5037,"")</f>
        <v/>
      </c>
      <c r="J5037">
        <f>IF(OR(E5037="Prospecting",E5037="Engaging"),VLOOKUP(C5037,Products!$A$2:$C$8,3,FALSE),0)</f>
        <v>55</v>
      </c>
    </row>
    <row r="5038" spans="1:10" x14ac:dyDescent="0.25">
      <c r="A5038" t="s">
        <v>5205</v>
      </c>
      <c r="B5038" t="s">
        <v>140</v>
      </c>
      <c r="C5038" t="s">
        <v>125</v>
      </c>
      <c r="D5038" t="s">
        <v>20</v>
      </c>
      <c r="E5038" t="s">
        <v>155</v>
      </c>
      <c r="F5038" s="1">
        <v>42937</v>
      </c>
      <c r="I5038" t="str">
        <f>IF(COUNTIF(Products!$A$2:$A$8,C5038)=0,C5038,"")</f>
        <v/>
      </c>
      <c r="J5038">
        <f>IF(OR(E5038="Prospecting",E5038="Engaging"),VLOOKUP(C5038,Products!$A$2:$C$8,3,FALSE),0)</f>
        <v>3393</v>
      </c>
    </row>
    <row r="5039" spans="1:10" x14ac:dyDescent="0.25">
      <c r="A5039" t="s">
        <v>5206</v>
      </c>
      <c r="B5039" t="s">
        <v>140</v>
      </c>
      <c r="C5039" t="s">
        <v>125</v>
      </c>
      <c r="D5039" t="s">
        <v>90</v>
      </c>
      <c r="E5039" t="s">
        <v>155</v>
      </c>
      <c r="F5039" s="1">
        <v>42937</v>
      </c>
      <c r="I5039" t="str">
        <f>IF(COUNTIF(Products!$A$2:$A$8,C5039)=0,C5039,"")</f>
        <v/>
      </c>
      <c r="J5039">
        <f>IF(OR(E5039="Prospecting",E5039="Engaging"),VLOOKUP(C5039,Products!$A$2:$C$8,3,FALSE),0)</f>
        <v>3393</v>
      </c>
    </row>
    <row r="5040" spans="1:10" x14ac:dyDescent="0.25">
      <c r="A5040" t="s">
        <v>5207</v>
      </c>
      <c r="B5040" t="s">
        <v>140</v>
      </c>
      <c r="C5040" t="s">
        <v>127</v>
      </c>
      <c r="D5040" t="s">
        <v>103</v>
      </c>
      <c r="E5040" t="s">
        <v>138</v>
      </c>
      <c r="F5040" s="1">
        <v>42937</v>
      </c>
      <c r="G5040" s="1">
        <v>42944</v>
      </c>
      <c r="H5040">
        <v>1000</v>
      </c>
      <c r="I5040" t="str">
        <f>IF(COUNTIF(Products!$A$2:$A$8,C5040)=0,C5040,"")</f>
        <v/>
      </c>
      <c r="J5040">
        <f>IF(OR(E5040="Prospecting",E5040="Engaging"),VLOOKUP(C5040,Products!$A$2:$C$8,3,FALSE),0)</f>
        <v>0</v>
      </c>
    </row>
    <row r="5041" spans="1:10" x14ac:dyDescent="0.25">
      <c r="A5041" t="s">
        <v>5208</v>
      </c>
      <c r="B5041" t="s">
        <v>140</v>
      </c>
      <c r="C5041" t="s">
        <v>122</v>
      </c>
      <c r="D5041" t="s">
        <v>28</v>
      </c>
      <c r="E5041" t="s">
        <v>138</v>
      </c>
      <c r="F5041" s="1">
        <v>42937</v>
      </c>
      <c r="G5041" s="1">
        <v>42942</v>
      </c>
      <c r="H5041">
        <v>5347</v>
      </c>
      <c r="I5041" t="str">
        <f>IF(COUNTIF(Products!$A$2:$A$8,C5041)=0,C5041,"")</f>
        <v/>
      </c>
      <c r="J5041">
        <f>IF(OR(E5041="Prospecting",E5041="Engaging"),VLOOKUP(C5041,Products!$A$2:$C$8,3,FALSE),0)</f>
        <v>0</v>
      </c>
    </row>
    <row r="5042" spans="1:10" x14ac:dyDescent="0.25">
      <c r="A5042" t="s">
        <v>5209</v>
      </c>
      <c r="B5042" t="s">
        <v>224</v>
      </c>
      <c r="C5042" t="s">
        <v>120</v>
      </c>
      <c r="D5042" t="s">
        <v>48</v>
      </c>
      <c r="E5042" t="s">
        <v>159</v>
      </c>
      <c r="F5042" s="1">
        <v>42937</v>
      </c>
      <c r="G5042" s="1">
        <v>42938</v>
      </c>
      <c r="H5042">
        <v>0</v>
      </c>
      <c r="I5042" t="str">
        <f>IF(COUNTIF(Products!$A$2:$A$8,C5042)=0,C5042,"")</f>
        <v/>
      </c>
      <c r="J5042">
        <f>IF(OR(E5042="Prospecting",E5042="Engaging"),VLOOKUP(C5042,Products!$A$2:$C$8,3,FALSE),0)</f>
        <v>0</v>
      </c>
    </row>
    <row r="5043" spans="1:10" x14ac:dyDescent="0.25">
      <c r="A5043" t="s">
        <v>5210</v>
      </c>
      <c r="B5043" t="s">
        <v>224</v>
      </c>
      <c r="C5043" t="s">
        <v>120</v>
      </c>
      <c r="D5043" t="s">
        <v>98</v>
      </c>
      <c r="E5043" t="s">
        <v>159</v>
      </c>
      <c r="F5043" s="1">
        <v>42937</v>
      </c>
      <c r="G5043" s="1">
        <v>42945</v>
      </c>
      <c r="H5043">
        <v>0</v>
      </c>
      <c r="I5043" t="str">
        <f>IF(COUNTIF(Products!$A$2:$A$8,C5043)=0,C5043,"")</f>
        <v/>
      </c>
      <c r="J5043">
        <f>IF(OR(E5043="Prospecting",E5043="Engaging"),VLOOKUP(C5043,Products!$A$2:$C$8,3,FALSE),0)</f>
        <v>0</v>
      </c>
    </row>
    <row r="5044" spans="1:10" x14ac:dyDescent="0.25">
      <c r="A5044" t="s">
        <v>5211</v>
      </c>
      <c r="B5044" t="s">
        <v>224</v>
      </c>
      <c r="C5044" t="s">
        <v>126</v>
      </c>
      <c r="D5044" t="s">
        <v>84</v>
      </c>
      <c r="E5044" t="s">
        <v>138</v>
      </c>
      <c r="F5044" s="1">
        <v>42937</v>
      </c>
      <c r="G5044" s="1">
        <v>42970</v>
      </c>
      <c r="H5044">
        <v>5340</v>
      </c>
      <c r="I5044" t="str">
        <f>IF(COUNTIF(Products!$A$2:$A$8,C5044)=0,C5044,"")</f>
        <v/>
      </c>
      <c r="J5044">
        <f>IF(OR(E5044="Prospecting",E5044="Engaging"),VLOOKUP(C5044,Products!$A$2:$C$8,3,FALSE),0)</f>
        <v>0</v>
      </c>
    </row>
    <row r="5045" spans="1:10" x14ac:dyDescent="0.25">
      <c r="A5045" t="s">
        <v>5212</v>
      </c>
      <c r="B5045" t="s">
        <v>158</v>
      </c>
      <c r="C5045" t="s">
        <v>120</v>
      </c>
      <c r="E5045" t="s">
        <v>155</v>
      </c>
      <c r="F5045" s="1">
        <v>42937</v>
      </c>
      <c r="I5045" t="str">
        <f>IF(COUNTIF(Products!$A$2:$A$8,C5045)=0,C5045,"")</f>
        <v/>
      </c>
      <c r="J5045">
        <f>IF(OR(E5045="Prospecting",E5045="Engaging"),VLOOKUP(C5045,Products!$A$2:$C$8,3,FALSE),0)</f>
        <v>550</v>
      </c>
    </row>
    <row r="5046" spans="1:10" x14ac:dyDescent="0.25">
      <c r="A5046" t="s">
        <v>5213</v>
      </c>
      <c r="B5046" t="s">
        <v>158</v>
      </c>
      <c r="C5046" t="s">
        <v>123</v>
      </c>
      <c r="D5046" t="s">
        <v>92</v>
      </c>
      <c r="E5046" t="s">
        <v>155</v>
      </c>
      <c r="F5046" s="1">
        <v>42937</v>
      </c>
      <c r="I5046" t="str">
        <f>IF(COUNTIF(Products!$A$2:$A$8,C5046)=0,C5046,"")</f>
        <v/>
      </c>
      <c r="J5046">
        <f>IF(OR(E5046="Prospecting",E5046="Engaging"),VLOOKUP(C5046,Products!$A$2:$C$8,3,FALSE),0)</f>
        <v>55</v>
      </c>
    </row>
    <row r="5047" spans="1:10" x14ac:dyDescent="0.25">
      <c r="A5047" t="s">
        <v>5214</v>
      </c>
      <c r="B5047" t="s">
        <v>158</v>
      </c>
      <c r="C5047" t="s">
        <v>125</v>
      </c>
      <c r="E5047" t="s">
        <v>155</v>
      </c>
      <c r="F5047" s="1">
        <v>42937</v>
      </c>
      <c r="I5047" t="str">
        <f>IF(COUNTIF(Products!$A$2:$A$8,C5047)=0,C5047,"")</f>
        <v/>
      </c>
      <c r="J5047">
        <f>IF(OR(E5047="Prospecting",E5047="Engaging"),VLOOKUP(C5047,Products!$A$2:$C$8,3,FALSE),0)</f>
        <v>3393</v>
      </c>
    </row>
    <row r="5048" spans="1:10" x14ac:dyDescent="0.25">
      <c r="A5048" t="s">
        <v>5215</v>
      </c>
      <c r="B5048" t="s">
        <v>158</v>
      </c>
      <c r="C5048" t="s">
        <v>120</v>
      </c>
      <c r="D5048" t="s">
        <v>96</v>
      </c>
      <c r="E5048" t="s">
        <v>159</v>
      </c>
      <c r="F5048" s="1">
        <v>42937</v>
      </c>
      <c r="G5048" s="1">
        <v>43056</v>
      </c>
      <c r="H5048">
        <v>0</v>
      </c>
      <c r="I5048" t="str">
        <f>IF(COUNTIF(Products!$A$2:$A$8,C5048)=0,C5048,"")</f>
        <v/>
      </c>
      <c r="J5048">
        <f>IF(OR(E5048="Prospecting",E5048="Engaging"),VLOOKUP(C5048,Products!$A$2:$C$8,3,FALSE),0)</f>
        <v>0</v>
      </c>
    </row>
    <row r="5049" spans="1:10" x14ac:dyDescent="0.25">
      <c r="A5049" t="s">
        <v>5216</v>
      </c>
      <c r="B5049" t="s">
        <v>158</v>
      </c>
      <c r="C5049" t="s">
        <v>125</v>
      </c>
      <c r="D5049" t="s">
        <v>94</v>
      </c>
      <c r="E5049" t="s">
        <v>138</v>
      </c>
      <c r="F5049" s="1">
        <v>42937</v>
      </c>
      <c r="G5049" s="1">
        <v>42947</v>
      </c>
      <c r="H5049">
        <v>2970</v>
      </c>
      <c r="I5049" t="str">
        <f>IF(COUNTIF(Products!$A$2:$A$8,C5049)=0,C5049,"")</f>
        <v/>
      </c>
      <c r="J5049">
        <f>IF(OR(E5049="Prospecting",E5049="Engaging"),VLOOKUP(C5049,Products!$A$2:$C$8,3,FALSE),0)</f>
        <v>0</v>
      </c>
    </row>
    <row r="5050" spans="1:10" x14ac:dyDescent="0.25">
      <c r="A5050" t="s">
        <v>5217</v>
      </c>
      <c r="B5050" t="s">
        <v>154</v>
      </c>
      <c r="C5050" t="s">
        <v>122</v>
      </c>
      <c r="D5050" t="s">
        <v>87</v>
      </c>
      <c r="E5050" t="s">
        <v>159</v>
      </c>
      <c r="F5050" s="1">
        <v>42937</v>
      </c>
      <c r="G5050" s="1">
        <v>42944</v>
      </c>
      <c r="H5050">
        <v>0</v>
      </c>
      <c r="I5050" t="str">
        <f>IF(COUNTIF(Products!$A$2:$A$8,C5050)=0,C5050,"")</f>
        <v/>
      </c>
      <c r="J5050">
        <f>IF(OR(E5050="Prospecting",E5050="Engaging"),VLOOKUP(C5050,Products!$A$2:$C$8,3,FALSE),0)</f>
        <v>0</v>
      </c>
    </row>
    <row r="5051" spans="1:10" x14ac:dyDescent="0.25">
      <c r="A5051" t="s">
        <v>5218</v>
      </c>
      <c r="B5051" t="s">
        <v>303</v>
      </c>
      <c r="C5051" t="s">
        <v>120</v>
      </c>
      <c r="D5051" t="s">
        <v>94</v>
      </c>
      <c r="E5051" t="s">
        <v>155</v>
      </c>
      <c r="F5051" s="1">
        <v>42937</v>
      </c>
      <c r="I5051" t="str">
        <f>IF(COUNTIF(Products!$A$2:$A$8,C5051)=0,C5051,"")</f>
        <v/>
      </c>
      <c r="J5051">
        <f>IF(OR(E5051="Prospecting",E5051="Engaging"),VLOOKUP(C5051,Products!$A$2:$C$8,3,FALSE),0)</f>
        <v>550</v>
      </c>
    </row>
    <row r="5052" spans="1:10" x14ac:dyDescent="0.25">
      <c r="A5052" t="s">
        <v>5219</v>
      </c>
      <c r="B5052" t="s">
        <v>303</v>
      </c>
      <c r="C5052" t="s">
        <v>127</v>
      </c>
      <c r="E5052" t="s">
        <v>155</v>
      </c>
      <c r="F5052" s="1">
        <v>42937</v>
      </c>
      <c r="I5052" t="str">
        <f>IF(COUNTIF(Products!$A$2:$A$8,C5052)=0,C5052,"")</f>
        <v/>
      </c>
      <c r="J5052">
        <f>IF(OR(E5052="Prospecting",E5052="Engaging"),VLOOKUP(C5052,Products!$A$2:$C$8,3,FALSE),0)</f>
        <v>1096</v>
      </c>
    </row>
    <row r="5053" spans="1:10" x14ac:dyDescent="0.25">
      <c r="A5053" t="s">
        <v>5220</v>
      </c>
      <c r="B5053" t="s">
        <v>303</v>
      </c>
      <c r="C5053" t="s">
        <v>127</v>
      </c>
      <c r="E5053" t="s">
        <v>155</v>
      </c>
      <c r="F5053" s="1">
        <v>42937</v>
      </c>
      <c r="I5053" t="str">
        <f>IF(COUNTIF(Products!$A$2:$A$8,C5053)=0,C5053,"")</f>
        <v/>
      </c>
      <c r="J5053">
        <f>IF(OR(E5053="Prospecting",E5053="Engaging"),VLOOKUP(C5053,Products!$A$2:$C$8,3,FALSE),0)</f>
        <v>1096</v>
      </c>
    </row>
    <row r="5054" spans="1:10" x14ac:dyDescent="0.25">
      <c r="A5054" t="s">
        <v>5221</v>
      </c>
      <c r="B5054" t="s">
        <v>180</v>
      </c>
      <c r="C5054" t="s">
        <v>120</v>
      </c>
      <c r="E5054" t="s">
        <v>155</v>
      </c>
      <c r="F5054" s="1">
        <v>42937</v>
      </c>
      <c r="I5054" t="str">
        <f>IF(COUNTIF(Products!$A$2:$A$8,C5054)=0,C5054,"")</f>
        <v/>
      </c>
      <c r="J5054">
        <f>IF(OR(E5054="Prospecting",E5054="Engaging"),VLOOKUP(C5054,Products!$A$2:$C$8,3,FALSE),0)</f>
        <v>550</v>
      </c>
    </row>
    <row r="5055" spans="1:10" x14ac:dyDescent="0.25">
      <c r="A5055" t="s">
        <v>5222</v>
      </c>
      <c r="B5055" t="s">
        <v>191</v>
      </c>
      <c r="C5055" t="s">
        <v>127</v>
      </c>
      <c r="D5055" t="s">
        <v>41</v>
      </c>
      <c r="E5055" t="s">
        <v>138</v>
      </c>
      <c r="F5055" s="1">
        <v>42937</v>
      </c>
      <c r="G5055" s="1">
        <v>42946</v>
      </c>
      <c r="H5055">
        <v>997</v>
      </c>
      <c r="I5055" t="str">
        <f>IF(COUNTIF(Products!$A$2:$A$8,C5055)=0,C5055,"")</f>
        <v/>
      </c>
      <c r="J5055">
        <f>IF(OR(E5055="Prospecting",E5055="Engaging"),VLOOKUP(C5055,Products!$A$2:$C$8,3,FALSE),0)</f>
        <v>0</v>
      </c>
    </row>
    <row r="5056" spans="1:10" x14ac:dyDescent="0.25">
      <c r="A5056" t="s">
        <v>5223</v>
      </c>
      <c r="B5056" t="s">
        <v>217</v>
      </c>
      <c r="C5056" t="s">
        <v>123</v>
      </c>
      <c r="E5056" t="s">
        <v>155</v>
      </c>
      <c r="F5056" s="1">
        <v>42937</v>
      </c>
      <c r="I5056" t="str">
        <f>IF(COUNTIF(Products!$A$2:$A$8,C5056)=0,C5056,"")</f>
        <v/>
      </c>
      <c r="J5056">
        <f>IF(OR(E5056="Prospecting",E5056="Engaging"),VLOOKUP(C5056,Products!$A$2:$C$8,3,FALSE),0)</f>
        <v>55</v>
      </c>
    </row>
    <row r="5057" spans="1:10" x14ac:dyDescent="0.25">
      <c r="A5057" t="s">
        <v>5224</v>
      </c>
      <c r="B5057" t="s">
        <v>217</v>
      </c>
      <c r="C5057" t="s">
        <v>127</v>
      </c>
      <c r="D5057" t="s">
        <v>46</v>
      </c>
      <c r="E5057" t="s">
        <v>159</v>
      </c>
      <c r="F5057" s="1">
        <v>42937</v>
      </c>
      <c r="G5057" s="1">
        <v>42945</v>
      </c>
      <c r="H5057">
        <v>0</v>
      </c>
      <c r="I5057" t="str">
        <f>IF(COUNTIF(Products!$A$2:$A$8,C5057)=0,C5057,"")</f>
        <v/>
      </c>
      <c r="J5057">
        <f>IF(OR(E5057="Prospecting",E5057="Engaging"),VLOOKUP(C5057,Products!$A$2:$C$8,3,FALSE),0)</f>
        <v>0</v>
      </c>
    </row>
    <row r="5058" spans="1:10" x14ac:dyDescent="0.25">
      <c r="A5058" t="s">
        <v>5225</v>
      </c>
      <c r="B5058" t="s">
        <v>217</v>
      </c>
      <c r="C5058" t="s">
        <v>125</v>
      </c>
      <c r="D5058" t="s">
        <v>94</v>
      </c>
      <c r="E5058" t="s">
        <v>159</v>
      </c>
      <c r="F5058" s="1">
        <v>42937</v>
      </c>
      <c r="G5058" s="1">
        <v>42946</v>
      </c>
      <c r="H5058">
        <v>0</v>
      </c>
      <c r="I5058" t="str">
        <f>IF(COUNTIF(Products!$A$2:$A$8,C5058)=0,C5058,"")</f>
        <v/>
      </c>
      <c r="J5058">
        <f>IF(OR(E5058="Prospecting",E5058="Engaging"),VLOOKUP(C5058,Products!$A$2:$C$8,3,FALSE),0)</f>
        <v>0</v>
      </c>
    </row>
    <row r="5059" spans="1:10" x14ac:dyDescent="0.25">
      <c r="A5059" t="s">
        <v>5226</v>
      </c>
      <c r="B5059" t="s">
        <v>205</v>
      </c>
      <c r="C5059" t="s">
        <v>127</v>
      </c>
      <c r="D5059" t="s">
        <v>104</v>
      </c>
      <c r="E5059" t="s">
        <v>155</v>
      </c>
      <c r="F5059" s="1">
        <v>42937</v>
      </c>
      <c r="I5059" t="str">
        <f>IF(COUNTIF(Products!$A$2:$A$8,C5059)=0,C5059,"")</f>
        <v/>
      </c>
      <c r="J5059">
        <f>IF(OR(E5059="Prospecting",E5059="Engaging"),VLOOKUP(C5059,Products!$A$2:$C$8,3,FALSE),0)</f>
        <v>1096</v>
      </c>
    </row>
    <row r="5060" spans="1:10" x14ac:dyDescent="0.25">
      <c r="A5060" t="s">
        <v>5227</v>
      </c>
      <c r="B5060" t="s">
        <v>205</v>
      </c>
      <c r="C5060" t="s">
        <v>126</v>
      </c>
      <c r="D5060" t="s">
        <v>92</v>
      </c>
      <c r="E5060" t="s">
        <v>155</v>
      </c>
      <c r="F5060" s="1">
        <v>42937</v>
      </c>
      <c r="I5060" t="str">
        <f>IF(COUNTIF(Products!$A$2:$A$8,C5060)=0,C5060,"")</f>
        <v/>
      </c>
      <c r="J5060">
        <f>IF(OR(E5060="Prospecting",E5060="Engaging"),VLOOKUP(C5060,Products!$A$2:$C$8,3,FALSE),0)</f>
        <v>5482</v>
      </c>
    </row>
    <row r="5061" spans="1:10" x14ac:dyDescent="0.25">
      <c r="A5061" t="s">
        <v>5228</v>
      </c>
      <c r="B5061" t="s">
        <v>162</v>
      </c>
      <c r="C5061" t="s">
        <v>127</v>
      </c>
      <c r="E5061" t="s">
        <v>155</v>
      </c>
      <c r="F5061" s="1">
        <v>42937</v>
      </c>
      <c r="I5061" t="str">
        <f>IF(COUNTIF(Products!$A$2:$A$8,C5061)=0,C5061,"")</f>
        <v/>
      </c>
      <c r="J5061">
        <f>IF(OR(E5061="Prospecting",E5061="Engaging"),VLOOKUP(C5061,Products!$A$2:$C$8,3,FALSE),0)</f>
        <v>1096</v>
      </c>
    </row>
    <row r="5062" spans="1:10" x14ac:dyDescent="0.25">
      <c r="A5062" t="s">
        <v>5229</v>
      </c>
      <c r="B5062" t="s">
        <v>162</v>
      </c>
      <c r="C5062" t="s">
        <v>122</v>
      </c>
      <c r="E5062" t="s">
        <v>155</v>
      </c>
      <c r="F5062" s="1">
        <v>42937</v>
      </c>
      <c r="I5062" t="str">
        <f>IF(COUNTIF(Products!$A$2:$A$8,C5062)=0,C5062,"")</f>
        <v/>
      </c>
      <c r="J5062">
        <f>IF(OR(E5062="Prospecting",E5062="Engaging"),VLOOKUP(C5062,Products!$A$2:$C$8,3,FALSE),0)</f>
        <v>4821</v>
      </c>
    </row>
    <row r="5063" spans="1:10" x14ac:dyDescent="0.25">
      <c r="A5063" t="s">
        <v>5230</v>
      </c>
      <c r="B5063" t="s">
        <v>137</v>
      </c>
      <c r="C5063" t="s">
        <v>123</v>
      </c>
      <c r="E5063" t="s">
        <v>155</v>
      </c>
      <c r="F5063" s="1">
        <v>42937</v>
      </c>
      <c r="I5063" t="str">
        <f>IF(COUNTIF(Products!$A$2:$A$8,C5063)=0,C5063,"")</f>
        <v/>
      </c>
      <c r="J5063">
        <f>IF(OR(E5063="Prospecting",E5063="Engaging"),VLOOKUP(C5063,Products!$A$2:$C$8,3,FALSE),0)</f>
        <v>55</v>
      </c>
    </row>
    <row r="5064" spans="1:10" x14ac:dyDescent="0.25">
      <c r="A5064" t="s">
        <v>5231</v>
      </c>
      <c r="B5064" t="s">
        <v>137</v>
      </c>
      <c r="C5064" t="s">
        <v>120</v>
      </c>
      <c r="D5064" t="s">
        <v>42</v>
      </c>
      <c r="E5064" t="s">
        <v>138</v>
      </c>
      <c r="F5064" s="1">
        <v>42937</v>
      </c>
      <c r="G5064" s="1">
        <v>42946</v>
      </c>
      <c r="H5064">
        <v>526</v>
      </c>
      <c r="I5064" t="str">
        <f>IF(COUNTIF(Products!$A$2:$A$8,C5064)=0,C5064,"")</f>
        <v/>
      </c>
      <c r="J5064">
        <f>IF(OR(E5064="Prospecting",E5064="Engaging"),VLOOKUP(C5064,Products!$A$2:$C$8,3,FALSE),0)</f>
        <v>0</v>
      </c>
    </row>
    <row r="5065" spans="1:10" x14ac:dyDescent="0.25">
      <c r="A5065" t="s">
        <v>5232</v>
      </c>
      <c r="B5065" t="s">
        <v>152</v>
      </c>
      <c r="C5065" t="s">
        <v>126</v>
      </c>
      <c r="D5065" t="s">
        <v>26</v>
      </c>
      <c r="E5065" t="s">
        <v>159</v>
      </c>
      <c r="F5065" s="1">
        <v>42937</v>
      </c>
      <c r="G5065" s="1">
        <v>42944</v>
      </c>
      <c r="H5065">
        <v>0</v>
      </c>
      <c r="I5065" t="str">
        <f>IF(COUNTIF(Products!$A$2:$A$8,C5065)=0,C5065,"")</f>
        <v/>
      </c>
      <c r="J5065">
        <f>IF(OR(E5065="Prospecting",E5065="Engaging"),VLOOKUP(C5065,Products!$A$2:$C$8,3,FALSE),0)</f>
        <v>0</v>
      </c>
    </row>
    <row r="5066" spans="1:10" x14ac:dyDescent="0.25">
      <c r="A5066" t="s">
        <v>5233</v>
      </c>
      <c r="B5066" t="s">
        <v>152</v>
      </c>
      <c r="C5066" t="s">
        <v>120</v>
      </c>
      <c r="D5066" t="s">
        <v>36</v>
      </c>
      <c r="E5066" t="s">
        <v>138</v>
      </c>
      <c r="F5066" s="1">
        <v>42937</v>
      </c>
      <c r="G5066" s="1">
        <v>42946</v>
      </c>
      <c r="H5066">
        <v>418</v>
      </c>
      <c r="I5066" t="str">
        <f>IF(COUNTIF(Products!$A$2:$A$8,C5066)=0,C5066,"")</f>
        <v/>
      </c>
      <c r="J5066">
        <f>IF(OR(E5066="Prospecting",E5066="Engaging"),VLOOKUP(C5066,Products!$A$2:$C$8,3,FALSE),0)</f>
        <v>0</v>
      </c>
    </row>
    <row r="5067" spans="1:10" x14ac:dyDescent="0.25">
      <c r="A5067" t="s">
        <v>5234</v>
      </c>
      <c r="B5067" t="s">
        <v>152</v>
      </c>
      <c r="C5067" t="s">
        <v>123</v>
      </c>
      <c r="D5067" t="s">
        <v>96</v>
      </c>
      <c r="E5067" t="s">
        <v>138</v>
      </c>
      <c r="F5067" s="1">
        <v>42937</v>
      </c>
      <c r="G5067" s="1">
        <v>42944</v>
      </c>
      <c r="H5067">
        <v>54</v>
      </c>
      <c r="I5067" t="str">
        <f>IF(COUNTIF(Products!$A$2:$A$8,C5067)=0,C5067,"")</f>
        <v/>
      </c>
      <c r="J5067">
        <f>IF(OR(E5067="Prospecting",E5067="Engaging"),VLOOKUP(C5067,Products!$A$2:$C$8,3,FALSE),0)</f>
        <v>0</v>
      </c>
    </row>
    <row r="5068" spans="1:10" x14ac:dyDescent="0.25">
      <c r="A5068" t="s">
        <v>5235</v>
      </c>
      <c r="B5068" t="s">
        <v>166</v>
      </c>
      <c r="C5068" t="s">
        <v>120</v>
      </c>
      <c r="D5068" t="s">
        <v>59</v>
      </c>
      <c r="E5068" t="s">
        <v>138</v>
      </c>
      <c r="F5068" s="1">
        <v>42937</v>
      </c>
      <c r="G5068" s="1">
        <v>42985</v>
      </c>
      <c r="H5068">
        <v>622</v>
      </c>
      <c r="I5068" t="str">
        <f>IF(COUNTIF(Products!$A$2:$A$8,C5068)=0,C5068,"")</f>
        <v/>
      </c>
      <c r="J5068">
        <f>IF(OR(E5068="Prospecting",E5068="Engaging"),VLOOKUP(C5068,Products!$A$2:$C$8,3,FALSE),0)</f>
        <v>0</v>
      </c>
    </row>
    <row r="5069" spans="1:10" x14ac:dyDescent="0.25">
      <c r="A5069" t="s">
        <v>5236</v>
      </c>
      <c r="B5069" t="s">
        <v>187</v>
      </c>
      <c r="C5069" t="s">
        <v>126</v>
      </c>
      <c r="D5069" t="s">
        <v>105</v>
      </c>
      <c r="E5069" t="s">
        <v>138</v>
      </c>
      <c r="F5069" s="1">
        <v>42937</v>
      </c>
      <c r="G5069" s="1">
        <v>42970</v>
      </c>
      <c r="H5069">
        <v>4930</v>
      </c>
      <c r="I5069" t="str">
        <f>IF(COUNTIF(Products!$A$2:$A$8,C5069)=0,C5069,"")</f>
        <v/>
      </c>
      <c r="J5069">
        <f>IF(OR(E5069="Prospecting",E5069="Engaging"),VLOOKUP(C5069,Products!$A$2:$C$8,3,FALSE),0)</f>
        <v>0</v>
      </c>
    </row>
    <row r="5070" spans="1:10" x14ac:dyDescent="0.25">
      <c r="A5070" t="s">
        <v>5237</v>
      </c>
      <c r="B5070" t="s">
        <v>169</v>
      </c>
      <c r="C5070" t="s">
        <v>126</v>
      </c>
      <c r="E5070" t="s">
        <v>155</v>
      </c>
      <c r="F5070" s="1">
        <v>42937</v>
      </c>
      <c r="I5070" t="str">
        <f>IF(COUNTIF(Products!$A$2:$A$8,C5070)=0,C5070,"")</f>
        <v/>
      </c>
      <c r="J5070">
        <f>IF(OR(E5070="Prospecting",E5070="Engaging"),VLOOKUP(C5070,Products!$A$2:$C$8,3,FALSE),0)</f>
        <v>5482</v>
      </c>
    </row>
    <row r="5071" spans="1:10" x14ac:dyDescent="0.25">
      <c r="A5071" t="s">
        <v>5238</v>
      </c>
      <c r="B5071" t="s">
        <v>169</v>
      </c>
      <c r="C5071" t="s">
        <v>123</v>
      </c>
      <c r="D5071" t="s">
        <v>61</v>
      </c>
      <c r="E5071" t="s">
        <v>155</v>
      </c>
      <c r="F5071" s="1">
        <v>42937</v>
      </c>
      <c r="I5071" t="str">
        <f>IF(COUNTIF(Products!$A$2:$A$8,C5071)=0,C5071,"")</f>
        <v/>
      </c>
      <c r="J5071">
        <f>IF(OR(E5071="Prospecting",E5071="Engaging"),VLOOKUP(C5071,Products!$A$2:$C$8,3,FALSE),0)</f>
        <v>55</v>
      </c>
    </row>
    <row r="5072" spans="1:10" x14ac:dyDescent="0.25">
      <c r="A5072" t="s">
        <v>5239</v>
      </c>
      <c r="B5072" t="s">
        <v>169</v>
      </c>
      <c r="C5072" t="s">
        <v>123</v>
      </c>
      <c r="D5072" t="s">
        <v>91</v>
      </c>
      <c r="E5072" t="s">
        <v>138</v>
      </c>
      <c r="F5072" s="1">
        <v>42937</v>
      </c>
      <c r="G5072" s="1">
        <v>42944</v>
      </c>
      <c r="H5072">
        <v>51</v>
      </c>
      <c r="I5072" t="str">
        <f>IF(COUNTIF(Products!$A$2:$A$8,C5072)=0,C5072,"")</f>
        <v/>
      </c>
      <c r="J5072">
        <f>IF(OR(E5072="Prospecting",E5072="Engaging"),VLOOKUP(C5072,Products!$A$2:$C$8,3,FALSE),0)</f>
        <v>0</v>
      </c>
    </row>
    <row r="5073" spans="1:10" x14ac:dyDescent="0.25">
      <c r="A5073" t="s">
        <v>5240</v>
      </c>
      <c r="B5073" t="s">
        <v>169</v>
      </c>
      <c r="C5073" t="s">
        <v>125</v>
      </c>
      <c r="D5073" t="s">
        <v>12</v>
      </c>
      <c r="E5073" t="s">
        <v>138</v>
      </c>
      <c r="F5073" s="1">
        <v>42937</v>
      </c>
      <c r="G5073" s="1">
        <v>42946</v>
      </c>
      <c r="H5073">
        <v>3167</v>
      </c>
      <c r="I5073" t="str">
        <f>IF(COUNTIF(Products!$A$2:$A$8,C5073)=0,C5073,"")</f>
        <v/>
      </c>
      <c r="J5073">
        <f>IF(OR(E5073="Prospecting",E5073="Engaging"),VLOOKUP(C5073,Products!$A$2:$C$8,3,FALSE),0)</f>
        <v>0</v>
      </c>
    </row>
    <row r="5074" spans="1:10" x14ac:dyDescent="0.25">
      <c r="A5074" t="s">
        <v>5241</v>
      </c>
      <c r="B5074" t="s">
        <v>169</v>
      </c>
      <c r="C5074" t="s">
        <v>125</v>
      </c>
      <c r="D5074" t="s">
        <v>53</v>
      </c>
      <c r="E5074" t="s">
        <v>138</v>
      </c>
      <c r="F5074" s="1">
        <v>42937</v>
      </c>
      <c r="G5074" s="1">
        <v>43005</v>
      </c>
      <c r="H5074">
        <v>3038</v>
      </c>
      <c r="I5074" t="str">
        <f>IF(COUNTIF(Products!$A$2:$A$8,C5074)=0,C5074,"")</f>
        <v/>
      </c>
      <c r="J5074">
        <f>IF(OR(E5074="Prospecting",E5074="Engaging"),VLOOKUP(C5074,Products!$A$2:$C$8,3,FALSE),0)</f>
        <v>0</v>
      </c>
    </row>
    <row r="5075" spans="1:10" x14ac:dyDescent="0.25">
      <c r="A5075" t="s">
        <v>5242</v>
      </c>
      <c r="B5075" t="s">
        <v>148</v>
      </c>
      <c r="C5075" t="s">
        <v>122</v>
      </c>
      <c r="D5075" t="s">
        <v>105</v>
      </c>
      <c r="E5075" t="s">
        <v>155</v>
      </c>
      <c r="F5075" s="1">
        <v>42937</v>
      </c>
      <c r="I5075" t="str">
        <f>IF(COUNTIF(Products!$A$2:$A$8,C5075)=0,C5075,"")</f>
        <v/>
      </c>
      <c r="J5075">
        <f>IF(OR(E5075="Prospecting",E5075="Engaging"),VLOOKUP(C5075,Products!$A$2:$C$8,3,FALSE),0)</f>
        <v>4821</v>
      </c>
    </row>
    <row r="5076" spans="1:10" x14ac:dyDescent="0.25">
      <c r="A5076" t="s">
        <v>5243</v>
      </c>
      <c r="B5076" t="s">
        <v>148</v>
      </c>
      <c r="C5076" t="s">
        <v>122</v>
      </c>
      <c r="E5076" t="s">
        <v>155</v>
      </c>
      <c r="F5076" s="1">
        <v>42937</v>
      </c>
      <c r="I5076" t="str">
        <f>IF(COUNTIF(Products!$A$2:$A$8,C5076)=0,C5076,"")</f>
        <v/>
      </c>
      <c r="J5076">
        <f>IF(OR(E5076="Prospecting",E5076="Engaging"),VLOOKUP(C5076,Products!$A$2:$C$8,3,FALSE),0)</f>
        <v>4821</v>
      </c>
    </row>
    <row r="5077" spans="1:10" x14ac:dyDescent="0.25">
      <c r="A5077" t="s">
        <v>5244</v>
      </c>
      <c r="B5077" t="s">
        <v>148</v>
      </c>
      <c r="C5077" t="s">
        <v>125</v>
      </c>
      <c r="D5077" t="s">
        <v>107</v>
      </c>
      <c r="E5077" t="s">
        <v>138</v>
      </c>
      <c r="F5077" s="1">
        <v>42937</v>
      </c>
      <c r="G5077" s="1">
        <v>43002</v>
      </c>
      <c r="H5077">
        <v>2851</v>
      </c>
      <c r="I5077" t="str">
        <f>IF(COUNTIF(Products!$A$2:$A$8,C5077)=0,C5077,"")</f>
        <v/>
      </c>
      <c r="J5077">
        <f>IF(OR(E5077="Prospecting",E5077="Engaging"),VLOOKUP(C5077,Products!$A$2:$C$8,3,FALSE),0)</f>
        <v>0</v>
      </c>
    </row>
    <row r="5078" spans="1:10" x14ac:dyDescent="0.25">
      <c r="A5078" t="s">
        <v>5245</v>
      </c>
      <c r="B5078" t="s">
        <v>177</v>
      </c>
      <c r="C5078" t="s">
        <v>127</v>
      </c>
      <c r="D5078" t="s">
        <v>23</v>
      </c>
      <c r="E5078" t="s">
        <v>155</v>
      </c>
      <c r="F5078" s="1">
        <v>42937</v>
      </c>
      <c r="I5078" t="str">
        <f>IF(COUNTIF(Products!$A$2:$A$8,C5078)=0,C5078,"")</f>
        <v/>
      </c>
      <c r="J5078">
        <f>IF(OR(E5078="Prospecting",E5078="Engaging"),VLOOKUP(C5078,Products!$A$2:$C$8,3,FALSE),0)</f>
        <v>1096</v>
      </c>
    </row>
    <row r="5079" spans="1:10" x14ac:dyDescent="0.25">
      <c r="A5079" t="s">
        <v>5246</v>
      </c>
      <c r="B5079" t="s">
        <v>144</v>
      </c>
      <c r="C5079" t="s">
        <v>120</v>
      </c>
      <c r="E5079" t="s">
        <v>155</v>
      </c>
      <c r="F5079" s="1">
        <v>42937</v>
      </c>
      <c r="I5079" t="str">
        <f>IF(COUNTIF(Products!$A$2:$A$8,C5079)=0,C5079,"")</f>
        <v/>
      </c>
      <c r="J5079">
        <f>IF(OR(E5079="Prospecting",E5079="Engaging"),VLOOKUP(C5079,Products!$A$2:$C$8,3,FALSE),0)</f>
        <v>550</v>
      </c>
    </row>
    <row r="5080" spans="1:10" x14ac:dyDescent="0.25">
      <c r="A5080" t="s">
        <v>5247</v>
      </c>
      <c r="B5080" t="s">
        <v>144</v>
      </c>
      <c r="C5080" t="s">
        <v>120</v>
      </c>
      <c r="E5080" t="s">
        <v>155</v>
      </c>
      <c r="F5080" s="1">
        <v>42937</v>
      </c>
      <c r="I5080" t="str">
        <f>IF(COUNTIF(Products!$A$2:$A$8,C5080)=0,C5080,"")</f>
        <v/>
      </c>
      <c r="J5080">
        <f>IF(OR(E5080="Prospecting",E5080="Engaging"),VLOOKUP(C5080,Products!$A$2:$C$8,3,FALSE),0)</f>
        <v>550</v>
      </c>
    </row>
    <row r="5081" spans="1:10" x14ac:dyDescent="0.25">
      <c r="A5081" t="s">
        <v>5248</v>
      </c>
      <c r="B5081" t="s">
        <v>144</v>
      </c>
      <c r="C5081" t="s">
        <v>120</v>
      </c>
      <c r="E5081" t="s">
        <v>155</v>
      </c>
      <c r="F5081" s="1">
        <v>42937</v>
      </c>
      <c r="I5081" t="str">
        <f>IF(COUNTIF(Products!$A$2:$A$8,C5081)=0,C5081,"")</f>
        <v/>
      </c>
      <c r="J5081">
        <f>IF(OR(E5081="Prospecting",E5081="Engaging"),VLOOKUP(C5081,Products!$A$2:$C$8,3,FALSE),0)</f>
        <v>550</v>
      </c>
    </row>
    <row r="5082" spans="1:10" x14ac:dyDescent="0.25">
      <c r="A5082" t="s">
        <v>5249</v>
      </c>
      <c r="B5082" t="s">
        <v>144</v>
      </c>
      <c r="C5082" t="s">
        <v>120</v>
      </c>
      <c r="D5082" t="s">
        <v>29</v>
      </c>
      <c r="E5082" t="s">
        <v>159</v>
      </c>
      <c r="F5082" s="1">
        <v>42937</v>
      </c>
      <c r="G5082" s="1">
        <v>43057</v>
      </c>
      <c r="H5082">
        <v>0</v>
      </c>
      <c r="I5082" t="str">
        <f>IF(COUNTIF(Products!$A$2:$A$8,C5082)=0,C5082,"")</f>
        <v/>
      </c>
      <c r="J5082">
        <f>IF(OR(E5082="Prospecting",E5082="Engaging"),VLOOKUP(C5082,Products!$A$2:$C$8,3,FALSE),0)</f>
        <v>0</v>
      </c>
    </row>
    <row r="5083" spans="1:10" x14ac:dyDescent="0.25">
      <c r="A5083" t="s">
        <v>5250</v>
      </c>
      <c r="B5083" t="s">
        <v>144</v>
      </c>
      <c r="C5083" t="s">
        <v>122</v>
      </c>
      <c r="D5083" t="s">
        <v>34</v>
      </c>
      <c r="E5083" t="s">
        <v>138</v>
      </c>
      <c r="F5083" s="1">
        <v>42937</v>
      </c>
      <c r="G5083" s="1">
        <v>42938</v>
      </c>
      <c r="H5083">
        <v>5283</v>
      </c>
      <c r="I5083" t="str">
        <f>IF(COUNTIF(Products!$A$2:$A$8,C5083)=0,C5083,"")</f>
        <v/>
      </c>
      <c r="J5083">
        <f>IF(OR(E5083="Prospecting",E5083="Engaging"),VLOOKUP(C5083,Products!$A$2:$C$8,3,FALSE),0)</f>
        <v>0</v>
      </c>
    </row>
    <row r="5084" spans="1:10" x14ac:dyDescent="0.25">
      <c r="A5084" t="s">
        <v>5251</v>
      </c>
      <c r="B5084" t="s">
        <v>144</v>
      </c>
      <c r="C5084" t="s">
        <v>123</v>
      </c>
      <c r="D5084" t="s">
        <v>34</v>
      </c>
      <c r="E5084" t="s">
        <v>138</v>
      </c>
      <c r="F5084" s="1">
        <v>42937</v>
      </c>
      <c r="G5084" s="1">
        <v>42939</v>
      </c>
      <c r="H5084">
        <v>49</v>
      </c>
      <c r="I5084" t="str">
        <f>IF(COUNTIF(Products!$A$2:$A$8,C5084)=0,C5084,"")</f>
        <v/>
      </c>
      <c r="J5084">
        <f>IF(OR(E5084="Prospecting",E5084="Engaging"),VLOOKUP(C5084,Products!$A$2:$C$8,3,FALSE),0)</f>
        <v>0</v>
      </c>
    </row>
    <row r="5085" spans="1:10" x14ac:dyDescent="0.25">
      <c r="A5085" t="s">
        <v>5252</v>
      </c>
      <c r="B5085" t="s">
        <v>146</v>
      </c>
      <c r="C5085" t="s">
        <v>120</v>
      </c>
      <c r="E5085" t="s">
        <v>155</v>
      </c>
      <c r="F5085" s="1">
        <v>42938</v>
      </c>
      <c r="I5085" t="str">
        <f>IF(COUNTIF(Products!$A$2:$A$8,C5085)=0,C5085,"")</f>
        <v/>
      </c>
      <c r="J5085">
        <f>IF(OR(E5085="Prospecting",E5085="Engaging"),VLOOKUP(C5085,Products!$A$2:$C$8,3,FALSE),0)</f>
        <v>550</v>
      </c>
    </row>
    <row r="5086" spans="1:10" x14ac:dyDescent="0.25">
      <c r="A5086" t="s">
        <v>5253</v>
      </c>
      <c r="B5086" t="s">
        <v>146</v>
      </c>
      <c r="C5086" t="s">
        <v>126</v>
      </c>
      <c r="E5086" t="s">
        <v>155</v>
      </c>
      <c r="F5086" s="1">
        <v>42938</v>
      </c>
      <c r="I5086" t="str">
        <f>IF(COUNTIF(Products!$A$2:$A$8,C5086)=0,C5086,"")</f>
        <v/>
      </c>
      <c r="J5086">
        <f>IF(OR(E5086="Prospecting",E5086="Engaging"),VLOOKUP(C5086,Products!$A$2:$C$8,3,FALSE),0)</f>
        <v>5482</v>
      </c>
    </row>
    <row r="5087" spans="1:10" x14ac:dyDescent="0.25">
      <c r="A5087" t="s">
        <v>5254</v>
      </c>
      <c r="B5087" t="s">
        <v>146</v>
      </c>
      <c r="C5087" t="s">
        <v>123</v>
      </c>
      <c r="D5087" t="s">
        <v>93</v>
      </c>
      <c r="E5087" t="s">
        <v>155</v>
      </c>
      <c r="F5087" s="1">
        <v>42938</v>
      </c>
      <c r="I5087" t="str">
        <f>IF(COUNTIF(Products!$A$2:$A$8,C5087)=0,C5087,"")</f>
        <v/>
      </c>
      <c r="J5087">
        <f>IF(OR(E5087="Prospecting",E5087="Engaging"),VLOOKUP(C5087,Products!$A$2:$C$8,3,FALSE),0)</f>
        <v>55</v>
      </c>
    </row>
    <row r="5088" spans="1:10" x14ac:dyDescent="0.25">
      <c r="A5088" t="s">
        <v>5255</v>
      </c>
      <c r="B5088" t="s">
        <v>146</v>
      </c>
      <c r="C5088" t="s">
        <v>123</v>
      </c>
      <c r="E5088" t="s">
        <v>155</v>
      </c>
      <c r="F5088" s="1">
        <v>42938</v>
      </c>
      <c r="I5088" t="str">
        <f>IF(COUNTIF(Products!$A$2:$A$8,C5088)=0,C5088,"")</f>
        <v/>
      </c>
      <c r="J5088">
        <f>IF(OR(E5088="Prospecting",E5088="Engaging"),VLOOKUP(C5088,Products!$A$2:$C$8,3,FALSE),0)</f>
        <v>55</v>
      </c>
    </row>
    <row r="5089" spans="1:10" x14ac:dyDescent="0.25">
      <c r="A5089" t="s">
        <v>5256</v>
      </c>
      <c r="B5089" t="s">
        <v>146</v>
      </c>
      <c r="C5089" t="s">
        <v>123</v>
      </c>
      <c r="E5089" t="s">
        <v>155</v>
      </c>
      <c r="F5089" s="1">
        <v>42938</v>
      </c>
      <c r="I5089" t="str">
        <f>IF(COUNTIF(Products!$A$2:$A$8,C5089)=0,C5089,"")</f>
        <v/>
      </c>
      <c r="J5089">
        <f>IF(OR(E5089="Prospecting",E5089="Engaging"),VLOOKUP(C5089,Products!$A$2:$C$8,3,FALSE),0)</f>
        <v>55</v>
      </c>
    </row>
    <row r="5090" spans="1:10" x14ac:dyDescent="0.25">
      <c r="A5090" t="s">
        <v>5257</v>
      </c>
      <c r="B5090" t="s">
        <v>146</v>
      </c>
      <c r="C5090" t="s">
        <v>123</v>
      </c>
      <c r="E5090" t="s">
        <v>155</v>
      </c>
      <c r="F5090" s="1">
        <v>42938</v>
      </c>
      <c r="I5090" t="str">
        <f>IF(COUNTIF(Products!$A$2:$A$8,C5090)=0,C5090,"")</f>
        <v/>
      </c>
      <c r="J5090">
        <f>IF(OR(E5090="Prospecting",E5090="Engaging"),VLOOKUP(C5090,Products!$A$2:$C$8,3,FALSE),0)</f>
        <v>55</v>
      </c>
    </row>
    <row r="5091" spans="1:10" x14ac:dyDescent="0.25">
      <c r="A5091" t="s">
        <v>5258</v>
      </c>
      <c r="B5091" t="s">
        <v>146</v>
      </c>
      <c r="C5091" t="s">
        <v>125</v>
      </c>
      <c r="E5091" t="s">
        <v>155</v>
      </c>
      <c r="F5091" s="1">
        <v>42938</v>
      </c>
      <c r="I5091" t="str">
        <f>IF(COUNTIF(Products!$A$2:$A$8,C5091)=0,C5091,"")</f>
        <v/>
      </c>
      <c r="J5091">
        <f>IF(OR(E5091="Prospecting",E5091="Engaging"),VLOOKUP(C5091,Products!$A$2:$C$8,3,FALSE),0)</f>
        <v>3393</v>
      </c>
    </row>
    <row r="5092" spans="1:10" x14ac:dyDescent="0.25">
      <c r="A5092" t="s">
        <v>5259</v>
      </c>
      <c r="B5092" t="s">
        <v>146</v>
      </c>
      <c r="C5092" t="s">
        <v>127</v>
      </c>
      <c r="D5092" t="s">
        <v>27</v>
      </c>
      <c r="E5092" t="s">
        <v>159</v>
      </c>
      <c r="F5092" s="1">
        <v>42938</v>
      </c>
      <c r="G5092" s="1">
        <v>42945</v>
      </c>
      <c r="H5092">
        <v>0</v>
      </c>
      <c r="I5092" t="str">
        <f>IF(COUNTIF(Products!$A$2:$A$8,C5092)=0,C5092,"")</f>
        <v/>
      </c>
      <c r="J5092">
        <f>IF(OR(E5092="Prospecting",E5092="Engaging"),VLOOKUP(C5092,Products!$A$2:$C$8,3,FALSE),0)</f>
        <v>0</v>
      </c>
    </row>
    <row r="5093" spans="1:10" x14ac:dyDescent="0.25">
      <c r="A5093" t="s">
        <v>5260</v>
      </c>
      <c r="B5093" t="s">
        <v>146</v>
      </c>
      <c r="C5093" t="s">
        <v>125</v>
      </c>
      <c r="D5093" t="s">
        <v>95</v>
      </c>
      <c r="E5093" t="s">
        <v>159</v>
      </c>
      <c r="F5093" s="1">
        <v>42938</v>
      </c>
      <c r="G5093" s="1">
        <v>43042</v>
      </c>
      <c r="H5093">
        <v>0</v>
      </c>
      <c r="I5093" t="str">
        <f>IF(COUNTIF(Products!$A$2:$A$8,C5093)=0,C5093,"")</f>
        <v/>
      </c>
      <c r="J5093">
        <f>IF(OR(E5093="Prospecting",E5093="Engaging"),VLOOKUP(C5093,Products!$A$2:$C$8,3,FALSE),0)</f>
        <v>0</v>
      </c>
    </row>
    <row r="5094" spans="1:10" x14ac:dyDescent="0.25">
      <c r="A5094" t="s">
        <v>5261</v>
      </c>
      <c r="B5094" t="s">
        <v>207</v>
      </c>
      <c r="C5094" t="s">
        <v>127</v>
      </c>
      <c r="D5094" t="s">
        <v>108</v>
      </c>
      <c r="E5094" t="s">
        <v>159</v>
      </c>
      <c r="F5094" s="1">
        <v>42938</v>
      </c>
      <c r="G5094" s="1">
        <v>42990</v>
      </c>
      <c r="H5094">
        <v>0</v>
      </c>
      <c r="I5094" t="str">
        <f>IF(COUNTIF(Products!$A$2:$A$8,C5094)=0,C5094,"")</f>
        <v/>
      </c>
      <c r="J5094">
        <f>IF(OR(E5094="Prospecting",E5094="Engaging"),VLOOKUP(C5094,Products!$A$2:$C$8,3,FALSE),0)</f>
        <v>0</v>
      </c>
    </row>
    <row r="5095" spans="1:10" x14ac:dyDescent="0.25">
      <c r="A5095" t="s">
        <v>5262</v>
      </c>
      <c r="B5095" t="s">
        <v>207</v>
      </c>
      <c r="C5095" t="s">
        <v>123</v>
      </c>
      <c r="D5095" t="s">
        <v>50</v>
      </c>
      <c r="E5095" t="s">
        <v>159</v>
      </c>
      <c r="F5095" s="1">
        <v>42938</v>
      </c>
      <c r="G5095" s="1">
        <v>42943</v>
      </c>
      <c r="H5095">
        <v>0</v>
      </c>
      <c r="I5095" t="str">
        <f>IF(COUNTIF(Products!$A$2:$A$8,C5095)=0,C5095,"")</f>
        <v/>
      </c>
      <c r="J5095">
        <f>IF(OR(E5095="Prospecting",E5095="Engaging"),VLOOKUP(C5095,Products!$A$2:$C$8,3,FALSE),0)</f>
        <v>0</v>
      </c>
    </row>
    <row r="5096" spans="1:10" x14ac:dyDescent="0.25">
      <c r="A5096" t="s">
        <v>5263</v>
      </c>
      <c r="B5096" t="s">
        <v>207</v>
      </c>
      <c r="C5096" t="s">
        <v>125</v>
      </c>
      <c r="D5096" t="s">
        <v>63</v>
      </c>
      <c r="E5096" t="s">
        <v>138</v>
      </c>
      <c r="F5096" s="1">
        <v>42938</v>
      </c>
      <c r="G5096" s="1">
        <v>42939</v>
      </c>
      <c r="H5096">
        <v>3684</v>
      </c>
      <c r="I5096" t="str">
        <f>IF(COUNTIF(Products!$A$2:$A$8,C5096)=0,C5096,"")</f>
        <v/>
      </c>
      <c r="J5096">
        <f>IF(OR(E5096="Prospecting",E5096="Engaging"),VLOOKUP(C5096,Products!$A$2:$C$8,3,FALSE),0)</f>
        <v>0</v>
      </c>
    </row>
    <row r="5097" spans="1:10" x14ac:dyDescent="0.25">
      <c r="A5097" t="s">
        <v>5264</v>
      </c>
      <c r="B5097" t="s">
        <v>207</v>
      </c>
      <c r="C5097" t="s">
        <v>125</v>
      </c>
      <c r="D5097" t="s">
        <v>92</v>
      </c>
      <c r="E5097" t="s">
        <v>138</v>
      </c>
      <c r="F5097" s="1">
        <v>42938</v>
      </c>
      <c r="G5097" s="1">
        <v>43062</v>
      </c>
      <c r="H5097">
        <v>2986</v>
      </c>
      <c r="I5097" t="str">
        <f>IF(COUNTIF(Products!$A$2:$A$8,C5097)=0,C5097,"")</f>
        <v/>
      </c>
      <c r="J5097">
        <f>IF(OR(E5097="Prospecting",E5097="Engaging"),VLOOKUP(C5097,Products!$A$2:$C$8,3,FALSE),0)</f>
        <v>0</v>
      </c>
    </row>
    <row r="5098" spans="1:10" x14ac:dyDescent="0.25">
      <c r="A5098" t="s">
        <v>5265</v>
      </c>
      <c r="B5098" t="s">
        <v>264</v>
      </c>
      <c r="C5098" t="s">
        <v>120</v>
      </c>
      <c r="E5098" t="s">
        <v>155</v>
      </c>
      <c r="F5098" s="1">
        <v>42938</v>
      </c>
      <c r="I5098" t="str">
        <f>IF(COUNTIF(Products!$A$2:$A$8,C5098)=0,C5098,"")</f>
        <v/>
      </c>
      <c r="J5098">
        <f>IF(OR(E5098="Prospecting",E5098="Engaging"),VLOOKUP(C5098,Products!$A$2:$C$8,3,FALSE),0)</f>
        <v>550</v>
      </c>
    </row>
    <row r="5099" spans="1:10" x14ac:dyDescent="0.25">
      <c r="A5099" t="s">
        <v>5266</v>
      </c>
      <c r="B5099" t="s">
        <v>264</v>
      </c>
      <c r="C5099" t="s">
        <v>127</v>
      </c>
      <c r="E5099" t="s">
        <v>155</v>
      </c>
      <c r="F5099" s="1">
        <v>42938</v>
      </c>
      <c r="I5099" t="str">
        <f>IF(COUNTIF(Products!$A$2:$A$8,C5099)=0,C5099,"")</f>
        <v/>
      </c>
      <c r="J5099">
        <f>IF(OR(E5099="Prospecting",E5099="Engaging"),VLOOKUP(C5099,Products!$A$2:$C$8,3,FALSE),0)</f>
        <v>1096</v>
      </c>
    </row>
    <row r="5100" spans="1:10" x14ac:dyDescent="0.25">
      <c r="A5100" t="s">
        <v>5267</v>
      </c>
      <c r="B5100" t="s">
        <v>264</v>
      </c>
      <c r="C5100" t="s">
        <v>125</v>
      </c>
      <c r="D5100" t="s">
        <v>104</v>
      </c>
      <c r="E5100" t="s">
        <v>155</v>
      </c>
      <c r="F5100" s="1">
        <v>42938</v>
      </c>
      <c r="I5100" t="str">
        <f>IF(COUNTIF(Products!$A$2:$A$8,C5100)=0,C5100,"")</f>
        <v/>
      </c>
      <c r="J5100">
        <f>IF(OR(E5100="Prospecting",E5100="Engaging"),VLOOKUP(C5100,Products!$A$2:$C$8,3,FALSE),0)</f>
        <v>3393</v>
      </c>
    </row>
    <row r="5101" spans="1:10" x14ac:dyDescent="0.25">
      <c r="A5101" t="s">
        <v>5268</v>
      </c>
      <c r="B5101" t="s">
        <v>264</v>
      </c>
      <c r="C5101" t="s">
        <v>123</v>
      </c>
      <c r="D5101" t="s">
        <v>94</v>
      </c>
      <c r="E5101" t="s">
        <v>138</v>
      </c>
      <c r="F5101" s="1">
        <v>42938</v>
      </c>
      <c r="G5101" s="1">
        <v>42939</v>
      </c>
      <c r="H5101">
        <v>50</v>
      </c>
      <c r="I5101" t="str">
        <f>IF(COUNTIF(Products!$A$2:$A$8,C5101)=0,C5101,"")</f>
        <v/>
      </c>
      <c r="J5101">
        <f>IF(OR(E5101="Prospecting",E5101="Engaging"),VLOOKUP(C5101,Products!$A$2:$C$8,3,FALSE),0)</f>
        <v>0</v>
      </c>
    </row>
    <row r="5102" spans="1:10" x14ac:dyDescent="0.25">
      <c r="A5102" t="s">
        <v>5269</v>
      </c>
      <c r="B5102" t="s">
        <v>239</v>
      </c>
      <c r="C5102" t="s">
        <v>122</v>
      </c>
      <c r="D5102" t="s">
        <v>37</v>
      </c>
      <c r="E5102" t="s">
        <v>159</v>
      </c>
      <c r="F5102" s="1">
        <v>42938</v>
      </c>
      <c r="G5102" s="1">
        <v>42949</v>
      </c>
      <c r="H5102">
        <v>0</v>
      </c>
      <c r="I5102" t="str">
        <f>IF(COUNTIF(Products!$A$2:$A$8,C5102)=0,C5102,"")</f>
        <v/>
      </c>
      <c r="J5102">
        <f>IF(OR(E5102="Prospecting",E5102="Engaging"),VLOOKUP(C5102,Products!$A$2:$C$8,3,FALSE),0)</f>
        <v>0</v>
      </c>
    </row>
    <row r="5103" spans="1:10" x14ac:dyDescent="0.25">
      <c r="A5103" t="s">
        <v>5270</v>
      </c>
      <c r="B5103" t="s">
        <v>239</v>
      </c>
      <c r="C5103" t="s">
        <v>122</v>
      </c>
      <c r="D5103" t="s">
        <v>48</v>
      </c>
      <c r="E5103" t="s">
        <v>159</v>
      </c>
      <c r="F5103" s="1">
        <v>42938</v>
      </c>
      <c r="G5103" s="1">
        <v>42945</v>
      </c>
      <c r="H5103">
        <v>0</v>
      </c>
      <c r="I5103" t="str">
        <f>IF(COUNTIF(Products!$A$2:$A$8,C5103)=0,C5103,"")</f>
        <v/>
      </c>
      <c r="J5103">
        <f>IF(OR(E5103="Prospecting",E5103="Engaging"),VLOOKUP(C5103,Products!$A$2:$C$8,3,FALSE),0)</f>
        <v>0</v>
      </c>
    </row>
    <row r="5104" spans="1:10" x14ac:dyDescent="0.25">
      <c r="A5104" t="s">
        <v>5271</v>
      </c>
      <c r="B5104" t="s">
        <v>140</v>
      </c>
      <c r="C5104" t="s">
        <v>120</v>
      </c>
      <c r="E5104" t="s">
        <v>155</v>
      </c>
      <c r="F5104" s="1">
        <v>42938</v>
      </c>
      <c r="I5104" t="str">
        <f>IF(COUNTIF(Products!$A$2:$A$8,C5104)=0,C5104,"")</f>
        <v/>
      </c>
      <c r="J5104">
        <f>IF(OR(E5104="Prospecting",E5104="Engaging"),VLOOKUP(C5104,Products!$A$2:$C$8,3,FALSE),0)</f>
        <v>550</v>
      </c>
    </row>
    <row r="5105" spans="1:10" x14ac:dyDescent="0.25">
      <c r="A5105" t="s">
        <v>5272</v>
      </c>
      <c r="B5105" t="s">
        <v>140</v>
      </c>
      <c r="C5105" t="s">
        <v>127</v>
      </c>
      <c r="E5105" t="s">
        <v>155</v>
      </c>
      <c r="F5105" s="1">
        <v>42938</v>
      </c>
      <c r="I5105" t="str">
        <f>IF(COUNTIF(Products!$A$2:$A$8,C5105)=0,C5105,"")</f>
        <v/>
      </c>
      <c r="J5105">
        <f>IF(OR(E5105="Prospecting",E5105="Engaging"),VLOOKUP(C5105,Products!$A$2:$C$8,3,FALSE),0)</f>
        <v>1096</v>
      </c>
    </row>
    <row r="5106" spans="1:10" x14ac:dyDescent="0.25">
      <c r="A5106" t="s">
        <v>5273</v>
      </c>
      <c r="B5106" t="s">
        <v>140</v>
      </c>
      <c r="C5106" t="s">
        <v>122</v>
      </c>
      <c r="E5106" t="s">
        <v>155</v>
      </c>
      <c r="F5106" s="1">
        <v>42938</v>
      </c>
      <c r="I5106" t="str">
        <f>IF(COUNTIF(Products!$A$2:$A$8,C5106)=0,C5106,"")</f>
        <v/>
      </c>
      <c r="J5106">
        <f>IF(OR(E5106="Prospecting",E5106="Engaging"),VLOOKUP(C5106,Products!$A$2:$C$8,3,FALSE),0)</f>
        <v>4821</v>
      </c>
    </row>
    <row r="5107" spans="1:10" x14ac:dyDescent="0.25">
      <c r="A5107" t="s">
        <v>5274</v>
      </c>
      <c r="B5107" t="s">
        <v>140</v>
      </c>
      <c r="C5107" t="s">
        <v>123</v>
      </c>
      <c r="E5107" t="s">
        <v>155</v>
      </c>
      <c r="F5107" s="1">
        <v>42938</v>
      </c>
      <c r="I5107" t="str">
        <f>IF(COUNTIF(Products!$A$2:$A$8,C5107)=0,C5107,"")</f>
        <v/>
      </c>
      <c r="J5107">
        <f>IF(OR(E5107="Prospecting",E5107="Engaging"),VLOOKUP(C5107,Products!$A$2:$C$8,3,FALSE),0)</f>
        <v>55</v>
      </c>
    </row>
    <row r="5108" spans="1:10" x14ac:dyDescent="0.25">
      <c r="A5108" t="s">
        <v>5275</v>
      </c>
      <c r="B5108" t="s">
        <v>140</v>
      </c>
      <c r="C5108" t="s">
        <v>122</v>
      </c>
      <c r="D5108" t="s">
        <v>96</v>
      </c>
      <c r="E5108" t="s">
        <v>159</v>
      </c>
      <c r="F5108" s="1">
        <v>42938</v>
      </c>
      <c r="G5108" s="1">
        <v>42940</v>
      </c>
      <c r="H5108">
        <v>0</v>
      </c>
      <c r="I5108" t="str">
        <f>IF(COUNTIF(Products!$A$2:$A$8,C5108)=0,C5108,"")</f>
        <v/>
      </c>
      <c r="J5108">
        <f>IF(OR(E5108="Prospecting",E5108="Engaging"),VLOOKUP(C5108,Products!$A$2:$C$8,3,FALSE),0)</f>
        <v>0</v>
      </c>
    </row>
    <row r="5109" spans="1:10" x14ac:dyDescent="0.25">
      <c r="A5109" t="s">
        <v>5276</v>
      </c>
      <c r="B5109" t="s">
        <v>140</v>
      </c>
      <c r="C5109" t="s">
        <v>127</v>
      </c>
      <c r="D5109" t="s">
        <v>55</v>
      </c>
      <c r="E5109" t="s">
        <v>138</v>
      </c>
      <c r="F5109" s="1">
        <v>42938</v>
      </c>
      <c r="G5109" s="1">
        <v>42945</v>
      </c>
      <c r="H5109">
        <v>927</v>
      </c>
      <c r="I5109" t="str">
        <f>IF(COUNTIF(Products!$A$2:$A$8,C5109)=0,C5109,"")</f>
        <v/>
      </c>
      <c r="J5109">
        <f>IF(OR(E5109="Prospecting",E5109="Engaging"),VLOOKUP(C5109,Products!$A$2:$C$8,3,FALSE),0)</f>
        <v>0</v>
      </c>
    </row>
    <row r="5110" spans="1:10" x14ac:dyDescent="0.25">
      <c r="A5110" t="s">
        <v>5277</v>
      </c>
      <c r="B5110" t="s">
        <v>140</v>
      </c>
      <c r="C5110" t="s">
        <v>122</v>
      </c>
      <c r="D5110" t="s">
        <v>30</v>
      </c>
      <c r="E5110" t="s">
        <v>138</v>
      </c>
      <c r="F5110" s="1">
        <v>42938</v>
      </c>
      <c r="G5110" s="1">
        <v>42983</v>
      </c>
      <c r="H5110">
        <v>5113</v>
      </c>
      <c r="I5110" t="str">
        <f>IF(COUNTIF(Products!$A$2:$A$8,C5110)=0,C5110,"")</f>
        <v/>
      </c>
      <c r="J5110">
        <f>IF(OR(E5110="Prospecting",E5110="Engaging"),VLOOKUP(C5110,Products!$A$2:$C$8,3,FALSE),0)</f>
        <v>0</v>
      </c>
    </row>
    <row r="5111" spans="1:10" x14ac:dyDescent="0.25">
      <c r="A5111" t="s">
        <v>5278</v>
      </c>
      <c r="B5111" t="s">
        <v>173</v>
      </c>
      <c r="C5111" t="s">
        <v>123</v>
      </c>
      <c r="D5111" t="s">
        <v>17</v>
      </c>
      <c r="E5111" t="s">
        <v>138</v>
      </c>
      <c r="F5111" s="1">
        <v>42938</v>
      </c>
      <c r="G5111" s="1">
        <v>42939</v>
      </c>
      <c r="H5111">
        <v>51</v>
      </c>
      <c r="I5111" t="str">
        <f>IF(COUNTIF(Products!$A$2:$A$8,C5111)=0,C5111,"")</f>
        <v/>
      </c>
      <c r="J5111">
        <f>IF(OR(E5111="Prospecting",E5111="Engaging"),VLOOKUP(C5111,Products!$A$2:$C$8,3,FALSE),0)</f>
        <v>0</v>
      </c>
    </row>
    <row r="5112" spans="1:10" x14ac:dyDescent="0.25">
      <c r="A5112" t="s">
        <v>5279</v>
      </c>
      <c r="B5112" t="s">
        <v>158</v>
      </c>
      <c r="C5112" t="s">
        <v>120</v>
      </c>
      <c r="E5112" t="s">
        <v>155</v>
      </c>
      <c r="F5112" s="1">
        <v>42938</v>
      </c>
      <c r="I5112" t="str">
        <f>IF(COUNTIF(Products!$A$2:$A$8,C5112)=0,C5112,"")</f>
        <v/>
      </c>
      <c r="J5112">
        <f>IF(OR(E5112="Prospecting",E5112="Engaging"),VLOOKUP(C5112,Products!$A$2:$C$8,3,FALSE),0)</f>
        <v>550</v>
      </c>
    </row>
    <row r="5113" spans="1:10" x14ac:dyDescent="0.25">
      <c r="A5113" t="s">
        <v>5280</v>
      </c>
      <c r="B5113" t="s">
        <v>158</v>
      </c>
      <c r="C5113" t="s">
        <v>127</v>
      </c>
      <c r="D5113" t="s">
        <v>46</v>
      </c>
      <c r="E5113" t="s">
        <v>155</v>
      </c>
      <c r="F5113" s="1">
        <v>42938</v>
      </c>
      <c r="I5113" t="str">
        <f>IF(COUNTIF(Products!$A$2:$A$8,C5113)=0,C5113,"")</f>
        <v/>
      </c>
      <c r="J5113">
        <f>IF(OR(E5113="Prospecting",E5113="Engaging"),VLOOKUP(C5113,Products!$A$2:$C$8,3,FALSE),0)</f>
        <v>1096</v>
      </c>
    </row>
    <row r="5114" spans="1:10" x14ac:dyDescent="0.25">
      <c r="A5114" t="s">
        <v>5281</v>
      </c>
      <c r="B5114" t="s">
        <v>158</v>
      </c>
      <c r="C5114" t="s">
        <v>123</v>
      </c>
      <c r="D5114" t="s">
        <v>81</v>
      </c>
      <c r="E5114" t="s">
        <v>155</v>
      </c>
      <c r="F5114" s="1">
        <v>42938</v>
      </c>
      <c r="I5114" t="str">
        <f>IF(COUNTIF(Products!$A$2:$A$8,C5114)=0,C5114,"")</f>
        <v/>
      </c>
      <c r="J5114">
        <f>IF(OR(E5114="Prospecting",E5114="Engaging"),VLOOKUP(C5114,Products!$A$2:$C$8,3,FALSE),0)</f>
        <v>55</v>
      </c>
    </row>
    <row r="5115" spans="1:10" x14ac:dyDescent="0.25">
      <c r="A5115" t="s">
        <v>5282</v>
      </c>
      <c r="B5115" t="s">
        <v>158</v>
      </c>
      <c r="C5115" t="s">
        <v>123</v>
      </c>
      <c r="E5115" t="s">
        <v>155</v>
      </c>
      <c r="F5115" s="1">
        <v>42938</v>
      </c>
      <c r="I5115" t="str">
        <f>IF(COUNTIF(Products!$A$2:$A$8,C5115)=0,C5115,"")</f>
        <v/>
      </c>
      <c r="J5115">
        <f>IF(OR(E5115="Prospecting",E5115="Engaging"),VLOOKUP(C5115,Products!$A$2:$C$8,3,FALSE),0)</f>
        <v>55</v>
      </c>
    </row>
    <row r="5116" spans="1:10" x14ac:dyDescent="0.25">
      <c r="A5116" t="s">
        <v>5283</v>
      </c>
      <c r="B5116" t="s">
        <v>158</v>
      </c>
      <c r="C5116" t="s">
        <v>125</v>
      </c>
      <c r="D5116" t="s">
        <v>73</v>
      </c>
      <c r="E5116" t="s">
        <v>155</v>
      </c>
      <c r="F5116" s="1">
        <v>42938</v>
      </c>
      <c r="I5116" t="str">
        <f>IF(COUNTIF(Products!$A$2:$A$8,C5116)=0,C5116,"")</f>
        <v/>
      </c>
      <c r="J5116">
        <f>IF(OR(E5116="Prospecting",E5116="Engaging"),VLOOKUP(C5116,Products!$A$2:$C$8,3,FALSE),0)</f>
        <v>3393</v>
      </c>
    </row>
    <row r="5117" spans="1:10" x14ac:dyDescent="0.25">
      <c r="A5117" t="s">
        <v>5284</v>
      </c>
      <c r="B5117" t="s">
        <v>164</v>
      </c>
      <c r="C5117" t="s">
        <v>123</v>
      </c>
      <c r="D5117" t="s">
        <v>44</v>
      </c>
      <c r="E5117" t="s">
        <v>138</v>
      </c>
      <c r="F5117" s="1">
        <v>42938</v>
      </c>
      <c r="G5117" s="1">
        <v>42992</v>
      </c>
      <c r="H5117">
        <v>64</v>
      </c>
      <c r="I5117" t="str">
        <f>IF(COUNTIF(Products!$A$2:$A$8,C5117)=0,C5117,"")</f>
        <v/>
      </c>
      <c r="J5117">
        <f>IF(OR(E5117="Prospecting",E5117="Engaging"),VLOOKUP(C5117,Products!$A$2:$C$8,3,FALSE),0)</f>
        <v>0</v>
      </c>
    </row>
    <row r="5118" spans="1:10" x14ac:dyDescent="0.25">
      <c r="A5118" t="s">
        <v>5285</v>
      </c>
      <c r="B5118" t="s">
        <v>154</v>
      </c>
      <c r="C5118" t="s">
        <v>123</v>
      </c>
      <c r="E5118" t="s">
        <v>155</v>
      </c>
      <c r="F5118" s="1">
        <v>42938</v>
      </c>
      <c r="I5118" t="str">
        <f>IF(COUNTIF(Products!$A$2:$A$8,C5118)=0,C5118,"")</f>
        <v/>
      </c>
      <c r="J5118">
        <f>IF(OR(E5118="Prospecting",E5118="Engaging"),VLOOKUP(C5118,Products!$A$2:$C$8,3,FALSE),0)</f>
        <v>55</v>
      </c>
    </row>
    <row r="5119" spans="1:10" x14ac:dyDescent="0.25">
      <c r="A5119" t="s">
        <v>5286</v>
      </c>
      <c r="B5119" t="s">
        <v>303</v>
      </c>
      <c r="C5119" t="s">
        <v>127</v>
      </c>
      <c r="E5119" t="s">
        <v>155</v>
      </c>
      <c r="F5119" s="1">
        <v>42938</v>
      </c>
      <c r="I5119" t="str">
        <f>IF(COUNTIF(Products!$A$2:$A$8,C5119)=0,C5119,"")</f>
        <v/>
      </c>
      <c r="J5119">
        <f>IF(OR(E5119="Prospecting",E5119="Engaging"),VLOOKUP(C5119,Products!$A$2:$C$8,3,FALSE),0)</f>
        <v>1096</v>
      </c>
    </row>
    <row r="5120" spans="1:10" x14ac:dyDescent="0.25">
      <c r="A5120" t="s">
        <v>5287</v>
      </c>
      <c r="B5120" t="s">
        <v>303</v>
      </c>
      <c r="C5120" t="s">
        <v>120</v>
      </c>
      <c r="D5120" t="s">
        <v>89</v>
      </c>
      <c r="E5120" t="s">
        <v>159</v>
      </c>
      <c r="F5120" s="1">
        <v>42938</v>
      </c>
      <c r="G5120" s="1">
        <v>43044</v>
      </c>
      <c r="H5120">
        <v>0</v>
      </c>
      <c r="I5120" t="str">
        <f>IF(COUNTIF(Products!$A$2:$A$8,C5120)=0,C5120,"")</f>
        <v/>
      </c>
      <c r="J5120">
        <f>IF(OR(E5120="Prospecting",E5120="Engaging"),VLOOKUP(C5120,Products!$A$2:$C$8,3,FALSE),0)</f>
        <v>0</v>
      </c>
    </row>
    <row r="5121" spans="1:10" x14ac:dyDescent="0.25">
      <c r="A5121" t="s">
        <v>5288</v>
      </c>
      <c r="B5121" t="s">
        <v>303</v>
      </c>
      <c r="C5121" t="s">
        <v>127</v>
      </c>
      <c r="D5121" t="s">
        <v>33</v>
      </c>
      <c r="E5121" t="s">
        <v>159</v>
      </c>
      <c r="F5121" s="1">
        <v>42938</v>
      </c>
      <c r="G5121" s="1">
        <v>42940</v>
      </c>
      <c r="H5121">
        <v>0</v>
      </c>
      <c r="I5121" t="str">
        <f>IF(COUNTIF(Products!$A$2:$A$8,C5121)=0,C5121,"")</f>
        <v/>
      </c>
      <c r="J5121">
        <f>IF(OR(E5121="Prospecting",E5121="Engaging"),VLOOKUP(C5121,Products!$A$2:$C$8,3,FALSE),0)</f>
        <v>0</v>
      </c>
    </row>
    <row r="5122" spans="1:10" x14ac:dyDescent="0.25">
      <c r="A5122" t="s">
        <v>5289</v>
      </c>
      <c r="B5122" t="s">
        <v>303</v>
      </c>
      <c r="C5122" t="s">
        <v>122</v>
      </c>
      <c r="D5122" t="s">
        <v>61</v>
      </c>
      <c r="E5122" t="s">
        <v>159</v>
      </c>
      <c r="F5122" s="1">
        <v>42938</v>
      </c>
      <c r="G5122" s="1">
        <v>43051</v>
      </c>
      <c r="H5122">
        <v>0</v>
      </c>
      <c r="I5122" t="str">
        <f>IF(COUNTIF(Products!$A$2:$A$8,C5122)=0,C5122,"")</f>
        <v/>
      </c>
      <c r="J5122">
        <f>IF(OR(E5122="Prospecting",E5122="Engaging"),VLOOKUP(C5122,Products!$A$2:$C$8,3,FALSE),0)</f>
        <v>0</v>
      </c>
    </row>
    <row r="5123" spans="1:10" x14ac:dyDescent="0.25">
      <c r="A5123" t="s">
        <v>5290</v>
      </c>
      <c r="B5123" t="s">
        <v>191</v>
      </c>
      <c r="C5123" t="s">
        <v>120</v>
      </c>
      <c r="D5123" t="s">
        <v>69</v>
      </c>
      <c r="E5123" t="s">
        <v>138</v>
      </c>
      <c r="F5123" s="1">
        <v>42938</v>
      </c>
      <c r="G5123" s="1">
        <v>42939</v>
      </c>
      <c r="H5123">
        <v>442</v>
      </c>
      <c r="I5123" t="str">
        <f>IF(COUNTIF(Products!$A$2:$A$8,C5123)=0,C5123,"")</f>
        <v/>
      </c>
      <c r="J5123">
        <f>IF(OR(E5123="Prospecting",E5123="Engaging"),VLOOKUP(C5123,Products!$A$2:$C$8,3,FALSE),0)</f>
        <v>0</v>
      </c>
    </row>
    <row r="5124" spans="1:10" x14ac:dyDescent="0.25">
      <c r="A5124" t="s">
        <v>5291</v>
      </c>
      <c r="B5124" t="s">
        <v>217</v>
      </c>
      <c r="C5124" t="s">
        <v>120</v>
      </c>
      <c r="E5124" t="s">
        <v>155</v>
      </c>
      <c r="F5124" s="1">
        <v>42938</v>
      </c>
      <c r="I5124" t="str">
        <f>IF(COUNTIF(Products!$A$2:$A$8,C5124)=0,C5124,"")</f>
        <v/>
      </c>
      <c r="J5124">
        <f>IF(OR(E5124="Prospecting",E5124="Engaging"),VLOOKUP(C5124,Products!$A$2:$C$8,3,FALSE),0)</f>
        <v>550</v>
      </c>
    </row>
    <row r="5125" spans="1:10" x14ac:dyDescent="0.25">
      <c r="A5125" t="s">
        <v>5292</v>
      </c>
      <c r="B5125" t="s">
        <v>217</v>
      </c>
      <c r="C5125" t="s">
        <v>127</v>
      </c>
      <c r="E5125" t="s">
        <v>155</v>
      </c>
      <c r="F5125" s="1">
        <v>42938</v>
      </c>
      <c r="I5125" t="str">
        <f>IF(COUNTIF(Products!$A$2:$A$8,C5125)=0,C5125,"")</f>
        <v/>
      </c>
      <c r="J5125">
        <f>IF(OR(E5125="Prospecting",E5125="Engaging"),VLOOKUP(C5125,Products!$A$2:$C$8,3,FALSE),0)</f>
        <v>1096</v>
      </c>
    </row>
    <row r="5126" spans="1:10" x14ac:dyDescent="0.25">
      <c r="A5126" t="s">
        <v>5293</v>
      </c>
      <c r="B5126" t="s">
        <v>217</v>
      </c>
      <c r="C5126" t="s">
        <v>126</v>
      </c>
      <c r="E5126" t="s">
        <v>155</v>
      </c>
      <c r="F5126" s="1">
        <v>42938</v>
      </c>
      <c r="I5126" t="str">
        <f>IF(COUNTIF(Products!$A$2:$A$8,C5126)=0,C5126,"")</f>
        <v/>
      </c>
      <c r="J5126">
        <f>IF(OR(E5126="Prospecting",E5126="Engaging"),VLOOKUP(C5126,Products!$A$2:$C$8,3,FALSE),0)</f>
        <v>5482</v>
      </c>
    </row>
    <row r="5127" spans="1:10" x14ac:dyDescent="0.25">
      <c r="A5127" t="s">
        <v>5294</v>
      </c>
      <c r="B5127" t="s">
        <v>217</v>
      </c>
      <c r="C5127" t="s">
        <v>125</v>
      </c>
      <c r="E5127" t="s">
        <v>155</v>
      </c>
      <c r="F5127" s="1">
        <v>42938</v>
      </c>
      <c r="I5127" t="str">
        <f>IF(COUNTIF(Products!$A$2:$A$8,C5127)=0,C5127,"")</f>
        <v/>
      </c>
      <c r="J5127">
        <f>IF(OR(E5127="Prospecting",E5127="Engaging"),VLOOKUP(C5127,Products!$A$2:$C$8,3,FALSE),0)</f>
        <v>3393</v>
      </c>
    </row>
    <row r="5128" spans="1:10" x14ac:dyDescent="0.25">
      <c r="A5128" t="s">
        <v>5295</v>
      </c>
      <c r="B5128" t="s">
        <v>150</v>
      </c>
      <c r="C5128" t="s">
        <v>122</v>
      </c>
      <c r="D5128" t="s">
        <v>38</v>
      </c>
      <c r="E5128" t="s">
        <v>159</v>
      </c>
      <c r="F5128" s="1">
        <v>42938</v>
      </c>
      <c r="G5128" s="1">
        <v>42946</v>
      </c>
      <c r="H5128">
        <v>0</v>
      </c>
      <c r="I5128" t="str">
        <f>IF(COUNTIF(Products!$A$2:$A$8,C5128)=0,C5128,"")</f>
        <v/>
      </c>
      <c r="J5128">
        <f>IF(OR(E5128="Prospecting",E5128="Engaging"),VLOOKUP(C5128,Products!$A$2:$C$8,3,FALSE),0)</f>
        <v>0</v>
      </c>
    </row>
    <row r="5129" spans="1:10" x14ac:dyDescent="0.25">
      <c r="A5129" t="s">
        <v>5296</v>
      </c>
      <c r="B5129" t="s">
        <v>150</v>
      </c>
      <c r="C5129" t="s">
        <v>125</v>
      </c>
      <c r="D5129" t="s">
        <v>17</v>
      </c>
      <c r="E5129" t="s">
        <v>138</v>
      </c>
      <c r="F5129" s="1">
        <v>42938</v>
      </c>
      <c r="G5129" s="1">
        <v>43008</v>
      </c>
      <c r="H5129">
        <v>3015</v>
      </c>
      <c r="I5129" t="str">
        <f>IF(COUNTIF(Products!$A$2:$A$8,C5129)=0,C5129,"")</f>
        <v/>
      </c>
      <c r="J5129">
        <f>IF(OR(E5129="Prospecting",E5129="Engaging"),VLOOKUP(C5129,Products!$A$2:$C$8,3,FALSE),0)</f>
        <v>0</v>
      </c>
    </row>
    <row r="5130" spans="1:10" x14ac:dyDescent="0.25">
      <c r="A5130" t="s">
        <v>5297</v>
      </c>
      <c r="B5130" t="s">
        <v>205</v>
      </c>
      <c r="C5130" t="s">
        <v>125</v>
      </c>
      <c r="D5130" t="s">
        <v>22</v>
      </c>
      <c r="E5130" t="s">
        <v>159</v>
      </c>
      <c r="F5130" s="1">
        <v>42938</v>
      </c>
      <c r="G5130" s="1">
        <v>42940</v>
      </c>
      <c r="H5130">
        <v>0</v>
      </c>
      <c r="I5130" t="str">
        <f>IF(COUNTIF(Products!$A$2:$A$8,C5130)=0,C5130,"")</f>
        <v/>
      </c>
      <c r="J5130">
        <f>IF(OR(E5130="Prospecting",E5130="Engaging"),VLOOKUP(C5130,Products!$A$2:$C$8,3,FALSE),0)</f>
        <v>0</v>
      </c>
    </row>
    <row r="5131" spans="1:10" x14ac:dyDescent="0.25">
      <c r="A5131" t="s">
        <v>5298</v>
      </c>
      <c r="B5131" t="s">
        <v>162</v>
      </c>
      <c r="C5131" t="s">
        <v>126</v>
      </c>
      <c r="D5131" t="s">
        <v>107</v>
      </c>
      <c r="E5131" t="s">
        <v>159</v>
      </c>
      <c r="F5131" s="1">
        <v>42938</v>
      </c>
      <c r="G5131" s="1">
        <v>42939</v>
      </c>
      <c r="H5131">
        <v>0</v>
      </c>
      <c r="I5131" t="str">
        <f>IF(COUNTIF(Products!$A$2:$A$8,C5131)=0,C5131,"")</f>
        <v/>
      </c>
      <c r="J5131">
        <f>IF(OR(E5131="Prospecting",E5131="Engaging"),VLOOKUP(C5131,Products!$A$2:$C$8,3,FALSE),0)</f>
        <v>0</v>
      </c>
    </row>
    <row r="5132" spans="1:10" x14ac:dyDescent="0.25">
      <c r="A5132" t="s">
        <v>5299</v>
      </c>
      <c r="B5132" t="s">
        <v>137</v>
      </c>
      <c r="C5132" t="s">
        <v>123</v>
      </c>
      <c r="D5132" t="s">
        <v>68</v>
      </c>
      <c r="E5132" t="s">
        <v>155</v>
      </c>
      <c r="F5132" s="1">
        <v>42938</v>
      </c>
      <c r="I5132" t="str">
        <f>IF(COUNTIF(Products!$A$2:$A$8,C5132)=0,C5132,"")</f>
        <v/>
      </c>
      <c r="J5132">
        <f>IF(OR(E5132="Prospecting",E5132="Engaging"),VLOOKUP(C5132,Products!$A$2:$C$8,3,FALSE),0)</f>
        <v>55</v>
      </c>
    </row>
    <row r="5133" spans="1:10" x14ac:dyDescent="0.25">
      <c r="A5133" t="s">
        <v>5300</v>
      </c>
      <c r="B5133" t="s">
        <v>137</v>
      </c>
      <c r="C5133" t="s">
        <v>123</v>
      </c>
      <c r="E5133" t="s">
        <v>155</v>
      </c>
      <c r="F5133" s="1">
        <v>42938</v>
      </c>
      <c r="I5133" t="str">
        <f>IF(COUNTIF(Products!$A$2:$A$8,C5133)=0,C5133,"")</f>
        <v/>
      </c>
      <c r="J5133">
        <f>IF(OR(E5133="Prospecting",E5133="Engaging"),VLOOKUP(C5133,Products!$A$2:$C$8,3,FALSE),0)</f>
        <v>55</v>
      </c>
    </row>
    <row r="5134" spans="1:10" x14ac:dyDescent="0.25">
      <c r="A5134" t="s">
        <v>5301</v>
      </c>
      <c r="B5134" t="s">
        <v>137</v>
      </c>
      <c r="C5134" t="s">
        <v>125</v>
      </c>
      <c r="E5134" t="s">
        <v>155</v>
      </c>
      <c r="F5134" s="1">
        <v>42938</v>
      </c>
      <c r="I5134" t="str">
        <f>IF(COUNTIF(Products!$A$2:$A$8,C5134)=0,C5134,"")</f>
        <v/>
      </c>
      <c r="J5134">
        <f>IF(OR(E5134="Prospecting",E5134="Engaging"),VLOOKUP(C5134,Products!$A$2:$C$8,3,FALSE),0)</f>
        <v>3393</v>
      </c>
    </row>
    <row r="5135" spans="1:10" x14ac:dyDescent="0.25">
      <c r="A5135" t="s">
        <v>5302</v>
      </c>
      <c r="B5135" t="s">
        <v>137</v>
      </c>
      <c r="C5135" t="s">
        <v>125</v>
      </c>
      <c r="E5135" t="s">
        <v>155</v>
      </c>
      <c r="F5135" s="1">
        <v>42938</v>
      </c>
      <c r="I5135" t="str">
        <f>IF(COUNTIF(Products!$A$2:$A$8,C5135)=0,C5135,"")</f>
        <v/>
      </c>
      <c r="J5135">
        <f>IF(OR(E5135="Prospecting",E5135="Engaging"),VLOOKUP(C5135,Products!$A$2:$C$8,3,FALSE),0)</f>
        <v>3393</v>
      </c>
    </row>
    <row r="5136" spans="1:10" x14ac:dyDescent="0.25">
      <c r="A5136" t="s">
        <v>5303</v>
      </c>
      <c r="B5136" t="s">
        <v>137</v>
      </c>
      <c r="C5136" t="s">
        <v>125</v>
      </c>
      <c r="E5136" t="s">
        <v>155</v>
      </c>
      <c r="F5136" s="1">
        <v>42938</v>
      </c>
      <c r="I5136" t="str">
        <f>IF(COUNTIF(Products!$A$2:$A$8,C5136)=0,C5136,"")</f>
        <v/>
      </c>
      <c r="J5136">
        <f>IF(OR(E5136="Prospecting",E5136="Engaging"),VLOOKUP(C5136,Products!$A$2:$C$8,3,FALSE),0)</f>
        <v>3393</v>
      </c>
    </row>
    <row r="5137" spans="1:10" x14ac:dyDescent="0.25">
      <c r="A5137" t="s">
        <v>5304</v>
      </c>
      <c r="B5137" t="s">
        <v>137</v>
      </c>
      <c r="C5137" t="s">
        <v>125</v>
      </c>
      <c r="D5137" t="s">
        <v>27</v>
      </c>
      <c r="E5137" t="s">
        <v>159</v>
      </c>
      <c r="F5137" s="1">
        <v>42938</v>
      </c>
      <c r="G5137" s="1">
        <v>42939</v>
      </c>
      <c r="H5137">
        <v>0</v>
      </c>
      <c r="I5137" t="str">
        <f>IF(COUNTIF(Products!$A$2:$A$8,C5137)=0,C5137,"")</f>
        <v/>
      </c>
      <c r="J5137">
        <f>IF(OR(E5137="Prospecting",E5137="Engaging"),VLOOKUP(C5137,Products!$A$2:$C$8,3,FALSE),0)</f>
        <v>0</v>
      </c>
    </row>
    <row r="5138" spans="1:10" x14ac:dyDescent="0.25">
      <c r="A5138" t="s">
        <v>5305</v>
      </c>
      <c r="B5138" t="s">
        <v>137</v>
      </c>
      <c r="C5138" t="s">
        <v>127</v>
      </c>
      <c r="D5138" t="s">
        <v>94</v>
      </c>
      <c r="E5138" t="s">
        <v>138</v>
      </c>
      <c r="F5138" s="1">
        <v>42938</v>
      </c>
      <c r="G5138" s="1">
        <v>42939</v>
      </c>
      <c r="H5138">
        <v>1174</v>
      </c>
      <c r="I5138" t="str">
        <f>IF(COUNTIF(Products!$A$2:$A$8,C5138)=0,C5138,"")</f>
        <v/>
      </c>
      <c r="J5138">
        <f>IF(OR(E5138="Prospecting",E5138="Engaging"),VLOOKUP(C5138,Products!$A$2:$C$8,3,FALSE),0)</f>
        <v>0</v>
      </c>
    </row>
    <row r="5139" spans="1:10" x14ac:dyDescent="0.25">
      <c r="A5139" t="s">
        <v>5306</v>
      </c>
      <c r="B5139" t="s">
        <v>152</v>
      </c>
      <c r="C5139" t="s">
        <v>125</v>
      </c>
      <c r="D5139" t="s">
        <v>85</v>
      </c>
      <c r="E5139" t="s">
        <v>138</v>
      </c>
      <c r="F5139" s="1">
        <v>42938</v>
      </c>
      <c r="G5139" s="1">
        <v>43006</v>
      </c>
      <c r="H5139">
        <v>3696</v>
      </c>
      <c r="I5139" t="str">
        <f>IF(COUNTIF(Products!$A$2:$A$8,C5139)=0,C5139,"")</f>
        <v/>
      </c>
      <c r="J5139">
        <f>IF(OR(E5139="Prospecting",E5139="Engaging"),VLOOKUP(C5139,Products!$A$2:$C$8,3,FALSE),0)</f>
        <v>0</v>
      </c>
    </row>
    <row r="5140" spans="1:10" x14ac:dyDescent="0.25">
      <c r="A5140" t="s">
        <v>5307</v>
      </c>
      <c r="B5140" t="s">
        <v>193</v>
      </c>
      <c r="C5140" t="s">
        <v>120</v>
      </c>
      <c r="D5140" t="s">
        <v>73</v>
      </c>
      <c r="E5140" t="s">
        <v>159</v>
      </c>
      <c r="F5140" s="1">
        <v>42938</v>
      </c>
      <c r="G5140" s="1">
        <v>42946</v>
      </c>
      <c r="H5140">
        <v>0</v>
      </c>
      <c r="I5140" t="str">
        <f>IF(COUNTIF(Products!$A$2:$A$8,C5140)=0,C5140,"")</f>
        <v/>
      </c>
      <c r="J5140">
        <f>IF(OR(E5140="Prospecting",E5140="Engaging"),VLOOKUP(C5140,Products!$A$2:$C$8,3,FALSE),0)</f>
        <v>0</v>
      </c>
    </row>
    <row r="5141" spans="1:10" x14ac:dyDescent="0.25">
      <c r="A5141" t="s">
        <v>5308</v>
      </c>
      <c r="B5141" t="s">
        <v>193</v>
      </c>
      <c r="C5141" t="s">
        <v>125</v>
      </c>
      <c r="D5141" t="s">
        <v>10</v>
      </c>
      <c r="E5141" t="s">
        <v>138</v>
      </c>
      <c r="F5141" s="1">
        <v>42938</v>
      </c>
      <c r="G5141" s="1">
        <v>43042</v>
      </c>
      <c r="H5141">
        <v>3252</v>
      </c>
      <c r="I5141" t="str">
        <f>IF(COUNTIF(Products!$A$2:$A$8,C5141)=0,C5141,"")</f>
        <v/>
      </c>
      <c r="J5141">
        <f>IF(OR(E5141="Prospecting",E5141="Engaging"),VLOOKUP(C5141,Products!$A$2:$C$8,3,FALSE),0)</f>
        <v>0</v>
      </c>
    </row>
    <row r="5142" spans="1:10" x14ac:dyDescent="0.25">
      <c r="A5142" t="s">
        <v>5309</v>
      </c>
      <c r="B5142" t="s">
        <v>169</v>
      </c>
      <c r="C5142" t="s">
        <v>123</v>
      </c>
      <c r="E5142" t="s">
        <v>155</v>
      </c>
      <c r="F5142" s="1">
        <v>42938</v>
      </c>
      <c r="I5142" t="str">
        <f>IF(COUNTIF(Products!$A$2:$A$8,C5142)=0,C5142,"")</f>
        <v/>
      </c>
      <c r="J5142">
        <f>IF(OR(E5142="Prospecting",E5142="Engaging"),VLOOKUP(C5142,Products!$A$2:$C$8,3,FALSE),0)</f>
        <v>55</v>
      </c>
    </row>
    <row r="5143" spans="1:10" x14ac:dyDescent="0.25">
      <c r="A5143" t="s">
        <v>5310</v>
      </c>
      <c r="B5143" t="s">
        <v>169</v>
      </c>
      <c r="C5143" t="s">
        <v>123</v>
      </c>
      <c r="E5143" t="s">
        <v>155</v>
      </c>
      <c r="F5143" s="1">
        <v>42938</v>
      </c>
      <c r="I5143" t="str">
        <f>IF(COUNTIF(Products!$A$2:$A$8,C5143)=0,C5143,"")</f>
        <v/>
      </c>
      <c r="J5143">
        <f>IF(OR(E5143="Prospecting",E5143="Engaging"),VLOOKUP(C5143,Products!$A$2:$C$8,3,FALSE),0)</f>
        <v>55</v>
      </c>
    </row>
    <row r="5144" spans="1:10" x14ac:dyDescent="0.25">
      <c r="A5144" t="s">
        <v>5311</v>
      </c>
      <c r="B5144" t="s">
        <v>169</v>
      </c>
      <c r="C5144" t="s">
        <v>123</v>
      </c>
      <c r="E5144" t="s">
        <v>155</v>
      </c>
      <c r="F5144" s="1">
        <v>42938</v>
      </c>
      <c r="I5144" t="str">
        <f>IF(COUNTIF(Products!$A$2:$A$8,C5144)=0,C5144,"")</f>
        <v/>
      </c>
      <c r="J5144">
        <f>IF(OR(E5144="Prospecting",E5144="Engaging"),VLOOKUP(C5144,Products!$A$2:$C$8,3,FALSE),0)</f>
        <v>55</v>
      </c>
    </row>
    <row r="5145" spans="1:10" x14ac:dyDescent="0.25">
      <c r="A5145" t="s">
        <v>5312</v>
      </c>
      <c r="B5145" t="s">
        <v>169</v>
      </c>
      <c r="C5145" t="s">
        <v>125</v>
      </c>
      <c r="E5145" t="s">
        <v>155</v>
      </c>
      <c r="F5145" s="1">
        <v>42938</v>
      </c>
      <c r="I5145" t="str">
        <f>IF(COUNTIF(Products!$A$2:$A$8,C5145)=0,C5145,"")</f>
        <v/>
      </c>
      <c r="J5145">
        <f>IF(OR(E5145="Prospecting",E5145="Engaging"),VLOOKUP(C5145,Products!$A$2:$C$8,3,FALSE),0)</f>
        <v>3393</v>
      </c>
    </row>
    <row r="5146" spans="1:10" x14ac:dyDescent="0.25">
      <c r="A5146" t="s">
        <v>5313</v>
      </c>
      <c r="B5146" t="s">
        <v>169</v>
      </c>
      <c r="C5146" t="s">
        <v>123</v>
      </c>
      <c r="D5146" t="s">
        <v>51</v>
      </c>
      <c r="E5146" t="s">
        <v>159</v>
      </c>
      <c r="F5146" s="1">
        <v>42938</v>
      </c>
      <c r="G5146" s="1">
        <v>43043</v>
      </c>
      <c r="H5146">
        <v>0</v>
      </c>
      <c r="I5146" t="str">
        <f>IF(COUNTIF(Products!$A$2:$A$8,C5146)=0,C5146,"")</f>
        <v/>
      </c>
      <c r="J5146">
        <f>IF(OR(E5146="Prospecting",E5146="Engaging"),VLOOKUP(C5146,Products!$A$2:$C$8,3,FALSE),0)</f>
        <v>0</v>
      </c>
    </row>
    <row r="5147" spans="1:10" x14ac:dyDescent="0.25">
      <c r="A5147" t="s">
        <v>5314</v>
      </c>
      <c r="B5147" t="s">
        <v>169</v>
      </c>
      <c r="C5147" t="s">
        <v>123</v>
      </c>
      <c r="D5147" t="s">
        <v>53</v>
      </c>
      <c r="E5147" t="s">
        <v>159</v>
      </c>
      <c r="F5147" s="1">
        <v>42938</v>
      </c>
      <c r="G5147" s="1">
        <v>42939</v>
      </c>
      <c r="H5147">
        <v>0</v>
      </c>
      <c r="I5147" t="str">
        <f>IF(COUNTIF(Products!$A$2:$A$8,C5147)=0,C5147,"")</f>
        <v/>
      </c>
      <c r="J5147">
        <f>IF(OR(E5147="Prospecting",E5147="Engaging"),VLOOKUP(C5147,Products!$A$2:$C$8,3,FALSE),0)</f>
        <v>0</v>
      </c>
    </row>
    <row r="5148" spans="1:10" x14ac:dyDescent="0.25">
      <c r="A5148" t="s">
        <v>5315</v>
      </c>
      <c r="B5148" t="s">
        <v>148</v>
      </c>
      <c r="C5148" t="s">
        <v>122</v>
      </c>
      <c r="D5148" t="s">
        <v>34</v>
      </c>
      <c r="E5148" t="s">
        <v>159</v>
      </c>
      <c r="F5148" s="1">
        <v>42938</v>
      </c>
      <c r="G5148" s="1">
        <v>42939</v>
      </c>
      <c r="H5148">
        <v>0</v>
      </c>
      <c r="I5148" t="str">
        <f>IF(COUNTIF(Products!$A$2:$A$8,C5148)=0,C5148,"")</f>
        <v/>
      </c>
      <c r="J5148">
        <f>IF(OR(E5148="Prospecting",E5148="Engaging"),VLOOKUP(C5148,Products!$A$2:$C$8,3,FALSE),0)</f>
        <v>0</v>
      </c>
    </row>
    <row r="5149" spans="1:10" x14ac:dyDescent="0.25">
      <c r="A5149" t="s">
        <v>5316</v>
      </c>
      <c r="B5149" t="s">
        <v>148</v>
      </c>
      <c r="C5149" t="s">
        <v>123</v>
      </c>
      <c r="D5149" t="s">
        <v>61</v>
      </c>
      <c r="E5149" t="s">
        <v>138</v>
      </c>
      <c r="F5149" s="1">
        <v>42938</v>
      </c>
      <c r="G5149" s="1">
        <v>43001</v>
      </c>
      <c r="H5149">
        <v>65</v>
      </c>
      <c r="I5149" t="str">
        <f>IF(COUNTIF(Products!$A$2:$A$8,C5149)=0,C5149,"")</f>
        <v/>
      </c>
      <c r="J5149">
        <f>IF(OR(E5149="Prospecting",E5149="Engaging"),VLOOKUP(C5149,Products!$A$2:$C$8,3,FALSE),0)</f>
        <v>0</v>
      </c>
    </row>
    <row r="5150" spans="1:10" x14ac:dyDescent="0.25">
      <c r="A5150" t="s">
        <v>5317</v>
      </c>
      <c r="B5150" t="s">
        <v>144</v>
      </c>
      <c r="C5150" t="s">
        <v>127</v>
      </c>
      <c r="D5150" t="s">
        <v>95</v>
      </c>
      <c r="E5150" t="s">
        <v>155</v>
      </c>
      <c r="F5150" s="1">
        <v>42938</v>
      </c>
      <c r="I5150" t="str">
        <f>IF(COUNTIF(Products!$A$2:$A$8,C5150)=0,C5150,"")</f>
        <v/>
      </c>
      <c r="J5150">
        <f>IF(OR(E5150="Prospecting",E5150="Engaging"),VLOOKUP(C5150,Products!$A$2:$C$8,3,FALSE),0)</f>
        <v>1096</v>
      </c>
    </row>
    <row r="5151" spans="1:10" x14ac:dyDescent="0.25">
      <c r="A5151" t="s">
        <v>5318</v>
      </c>
      <c r="B5151" t="s">
        <v>146</v>
      </c>
      <c r="C5151" t="s">
        <v>123</v>
      </c>
      <c r="E5151" t="s">
        <v>155</v>
      </c>
      <c r="F5151" s="1">
        <v>42939</v>
      </c>
      <c r="I5151" t="str">
        <f>IF(COUNTIF(Products!$A$2:$A$8,C5151)=0,C5151,"")</f>
        <v/>
      </c>
      <c r="J5151">
        <f>IF(OR(E5151="Prospecting",E5151="Engaging"),VLOOKUP(C5151,Products!$A$2:$C$8,3,FALSE),0)</f>
        <v>55</v>
      </c>
    </row>
    <row r="5152" spans="1:10" x14ac:dyDescent="0.25">
      <c r="A5152" t="s">
        <v>5319</v>
      </c>
      <c r="B5152" t="s">
        <v>146</v>
      </c>
      <c r="C5152" t="s">
        <v>123</v>
      </c>
      <c r="E5152" t="s">
        <v>155</v>
      </c>
      <c r="F5152" s="1">
        <v>42939</v>
      </c>
      <c r="I5152" t="str">
        <f>IF(COUNTIF(Products!$A$2:$A$8,C5152)=0,C5152,"")</f>
        <v/>
      </c>
      <c r="J5152">
        <f>IF(OR(E5152="Prospecting",E5152="Engaging"),VLOOKUP(C5152,Products!$A$2:$C$8,3,FALSE),0)</f>
        <v>55</v>
      </c>
    </row>
    <row r="5153" spans="1:10" x14ac:dyDescent="0.25">
      <c r="A5153" t="s">
        <v>5320</v>
      </c>
      <c r="B5153" t="s">
        <v>146</v>
      </c>
      <c r="C5153" t="s">
        <v>125</v>
      </c>
      <c r="E5153" t="s">
        <v>155</v>
      </c>
      <c r="F5153" s="1">
        <v>42939</v>
      </c>
      <c r="I5153" t="str">
        <f>IF(COUNTIF(Products!$A$2:$A$8,C5153)=0,C5153,"")</f>
        <v/>
      </c>
      <c r="J5153">
        <f>IF(OR(E5153="Prospecting",E5153="Engaging"),VLOOKUP(C5153,Products!$A$2:$C$8,3,FALSE),0)</f>
        <v>3393</v>
      </c>
    </row>
    <row r="5154" spans="1:10" x14ac:dyDescent="0.25">
      <c r="A5154" t="s">
        <v>5321</v>
      </c>
      <c r="B5154" t="s">
        <v>207</v>
      </c>
      <c r="C5154" t="s">
        <v>126</v>
      </c>
      <c r="E5154" t="s">
        <v>155</v>
      </c>
      <c r="F5154" s="1">
        <v>42939</v>
      </c>
      <c r="I5154" t="str">
        <f>IF(COUNTIF(Products!$A$2:$A$8,C5154)=0,C5154,"")</f>
        <v/>
      </c>
      <c r="J5154">
        <f>IF(OR(E5154="Prospecting",E5154="Engaging"),VLOOKUP(C5154,Products!$A$2:$C$8,3,FALSE),0)</f>
        <v>5482</v>
      </c>
    </row>
    <row r="5155" spans="1:10" x14ac:dyDescent="0.25">
      <c r="A5155" t="s">
        <v>5322</v>
      </c>
      <c r="B5155" t="s">
        <v>207</v>
      </c>
      <c r="C5155" t="s">
        <v>127</v>
      </c>
      <c r="D5155" t="s">
        <v>110</v>
      </c>
      <c r="E5155" t="s">
        <v>138</v>
      </c>
      <c r="F5155" s="1">
        <v>42939</v>
      </c>
      <c r="G5155" s="1">
        <v>42983</v>
      </c>
      <c r="H5155">
        <v>904</v>
      </c>
      <c r="I5155" t="str">
        <f>IF(COUNTIF(Products!$A$2:$A$8,C5155)=0,C5155,"")</f>
        <v/>
      </c>
      <c r="J5155">
        <f>IF(OR(E5155="Prospecting",E5155="Engaging"),VLOOKUP(C5155,Products!$A$2:$C$8,3,FALSE),0)</f>
        <v>0</v>
      </c>
    </row>
    <row r="5156" spans="1:10" x14ac:dyDescent="0.25">
      <c r="A5156" t="s">
        <v>5323</v>
      </c>
      <c r="B5156" t="s">
        <v>264</v>
      </c>
      <c r="C5156" t="s">
        <v>120</v>
      </c>
      <c r="D5156" t="s">
        <v>103</v>
      </c>
      <c r="E5156" t="s">
        <v>138</v>
      </c>
      <c r="F5156" s="1">
        <v>42939</v>
      </c>
      <c r="G5156" s="1">
        <v>42940</v>
      </c>
      <c r="H5156">
        <v>541</v>
      </c>
      <c r="I5156" t="str">
        <f>IF(COUNTIF(Products!$A$2:$A$8,C5156)=0,C5156,"")</f>
        <v/>
      </c>
      <c r="J5156">
        <f>IF(OR(E5156="Prospecting",E5156="Engaging"),VLOOKUP(C5156,Products!$A$2:$C$8,3,FALSE),0)</f>
        <v>0</v>
      </c>
    </row>
    <row r="5157" spans="1:10" x14ac:dyDescent="0.25">
      <c r="A5157" t="s">
        <v>5324</v>
      </c>
      <c r="B5157" t="s">
        <v>239</v>
      </c>
      <c r="C5157" t="s">
        <v>120</v>
      </c>
      <c r="D5157" t="s">
        <v>68</v>
      </c>
      <c r="E5157" t="s">
        <v>138</v>
      </c>
      <c r="F5157" s="1">
        <v>42939</v>
      </c>
      <c r="G5157" s="1">
        <v>42941</v>
      </c>
      <c r="H5157">
        <v>630</v>
      </c>
      <c r="I5157" t="str">
        <f>IF(COUNTIF(Products!$A$2:$A$8,C5157)=0,C5157,"")</f>
        <v/>
      </c>
      <c r="J5157">
        <f>IF(OR(E5157="Prospecting",E5157="Engaging"),VLOOKUP(C5157,Products!$A$2:$C$8,3,FALSE),0)</f>
        <v>0</v>
      </c>
    </row>
    <row r="5158" spans="1:10" x14ac:dyDescent="0.25">
      <c r="A5158" t="s">
        <v>5325</v>
      </c>
      <c r="B5158" t="s">
        <v>171</v>
      </c>
      <c r="C5158" t="s">
        <v>127</v>
      </c>
      <c r="D5158" t="s">
        <v>108</v>
      </c>
      <c r="E5158" t="s">
        <v>138</v>
      </c>
      <c r="F5158" s="1">
        <v>42939</v>
      </c>
      <c r="G5158" s="1">
        <v>42946</v>
      </c>
      <c r="H5158">
        <v>1231</v>
      </c>
      <c r="I5158" t="str">
        <f>IF(COUNTIF(Products!$A$2:$A$8,C5158)=0,C5158,"")</f>
        <v/>
      </c>
      <c r="J5158">
        <f>IF(OR(E5158="Prospecting",E5158="Engaging"),VLOOKUP(C5158,Products!$A$2:$C$8,3,FALSE),0)</f>
        <v>0</v>
      </c>
    </row>
    <row r="5159" spans="1:10" x14ac:dyDescent="0.25">
      <c r="A5159" t="s">
        <v>5326</v>
      </c>
      <c r="B5159" t="s">
        <v>140</v>
      </c>
      <c r="C5159" t="s">
        <v>120</v>
      </c>
      <c r="E5159" t="s">
        <v>155</v>
      </c>
      <c r="F5159" s="1">
        <v>42939</v>
      </c>
      <c r="I5159" t="str">
        <f>IF(COUNTIF(Products!$A$2:$A$8,C5159)=0,C5159,"")</f>
        <v/>
      </c>
      <c r="J5159">
        <f>IF(OR(E5159="Prospecting",E5159="Engaging"),VLOOKUP(C5159,Products!$A$2:$C$8,3,FALSE),0)</f>
        <v>550</v>
      </c>
    </row>
    <row r="5160" spans="1:10" x14ac:dyDescent="0.25">
      <c r="A5160" t="s">
        <v>5327</v>
      </c>
      <c r="B5160" t="s">
        <v>140</v>
      </c>
      <c r="C5160" t="s">
        <v>127</v>
      </c>
      <c r="E5160" t="s">
        <v>155</v>
      </c>
      <c r="F5160" s="1">
        <v>42939</v>
      </c>
      <c r="I5160" t="str">
        <f>IF(COUNTIF(Products!$A$2:$A$8,C5160)=0,C5160,"")</f>
        <v/>
      </c>
      <c r="J5160">
        <f>IF(OR(E5160="Prospecting",E5160="Engaging"),VLOOKUP(C5160,Products!$A$2:$C$8,3,FALSE),0)</f>
        <v>1096</v>
      </c>
    </row>
    <row r="5161" spans="1:10" x14ac:dyDescent="0.25">
      <c r="A5161" t="s">
        <v>5328</v>
      </c>
      <c r="B5161" t="s">
        <v>140</v>
      </c>
      <c r="C5161" t="s">
        <v>127</v>
      </c>
      <c r="E5161" t="s">
        <v>155</v>
      </c>
      <c r="F5161" s="1">
        <v>42939</v>
      </c>
      <c r="I5161" t="str">
        <f>IF(COUNTIF(Products!$A$2:$A$8,C5161)=0,C5161,"")</f>
        <v/>
      </c>
      <c r="J5161">
        <f>IF(OR(E5161="Prospecting",E5161="Engaging"),VLOOKUP(C5161,Products!$A$2:$C$8,3,FALSE),0)</f>
        <v>1096</v>
      </c>
    </row>
    <row r="5162" spans="1:10" x14ac:dyDescent="0.25">
      <c r="A5162" t="s">
        <v>5329</v>
      </c>
      <c r="B5162" t="s">
        <v>140</v>
      </c>
      <c r="C5162" t="s">
        <v>122</v>
      </c>
      <c r="E5162" t="s">
        <v>155</v>
      </c>
      <c r="F5162" s="1">
        <v>42939</v>
      </c>
      <c r="I5162" t="str">
        <f>IF(COUNTIF(Products!$A$2:$A$8,C5162)=0,C5162,"")</f>
        <v/>
      </c>
      <c r="J5162">
        <f>IF(OR(E5162="Prospecting",E5162="Engaging"),VLOOKUP(C5162,Products!$A$2:$C$8,3,FALSE),0)</f>
        <v>4821</v>
      </c>
    </row>
    <row r="5163" spans="1:10" x14ac:dyDescent="0.25">
      <c r="A5163" t="s">
        <v>5330</v>
      </c>
      <c r="B5163" t="s">
        <v>140</v>
      </c>
      <c r="C5163" t="s">
        <v>120</v>
      </c>
      <c r="D5163" t="s">
        <v>33</v>
      </c>
      <c r="E5163" t="s">
        <v>138</v>
      </c>
      <c r="F5163" s="1">
        <v>42939</v>
      </c>
      <c r="G5163" s="1">
        <v>43059</v>
      </c>
      <c r="H5163">
        <v>556</v>
      </c>
      <c r="I5163" t="str">
        <f>IF(COUNTIF(Products!$A$2:$A$8,C5163)=0,C5163,"")</f>
        <v/>
      </c>
      <c r="J5163">
        <f>IF(OR(E5163="Prospecting",E5163="Engaging"),VLOOKUP(C5163,Products!$A$2:$C$8,3,FALSE),0)</f>
        <v>0</v>
      </c>
    </row>
    <row r="5164" spans="1:10" x14ac:dyDescent="0.25">
      <c r="A5164" t="s">
        <v>5331</v>
      </c>
      <c r="B5164" t="s">
        <v>140</v>
      </c>
      <c r="C5164" t="s">
        <v>127</v>
      </c>
      <c r="D5164" t="s">
        <v>94</v>
      </c>
      <c r="E5164" t="s">
        <v>138</v>
      </c>
      <c r="F5164" s="1">
        <v>42939</v>
      </c>
      <c r="G5164" s="1">
        <v>42947</v>
      </c>
      <c r="H5164">
        <v>1070</v>
      </c>
      <c r="I5164" t="str">
        <f>IF(COUNTIF(Products!$A$2:$A$8,C5164)=0,C5164,"")</f>
        <v/>
      </c>
      <c r="J5164">
        <f>IF(OR(E5164="Prospecting",E5164="Engaging"),VLOOKUP(C5164,Products!$A$2:$C$8,3,FALSE),0)</f>
        <v>0</v>
      </c>
    </row>
    <row r="5165" spans="1:10" x14ac:dyDescent="0.25">
      <c r="A5165" t="s">
        <v>5332</v>
      </c>
      <c r="B5165" t="s">
        <v>173</v>
      </c>
      <c r="C5165" t="s">
        <v>123</v>
      </c>
      <c r="D5165" t="s">
        <v>78</v>
      </c>
      <c r="E5165" t="s">
        <v>138</v>
      </c>
      <c r="F5165" s="1">
        <v>42939</v>
      </c>
      <c r="G5165" s="1">
        <v>42941</v>
      </c>
      <c r="H5165">
        <v>57</v>
      </c>
      <c r="I5165" t="str">
        <f>IF(COUNTIF(Products!$A$2:$A$8,C5165)=0,C5165,"")</f>
        <v/>
      </c>
      <c r="J5165">
        <f>IF(OR(E5165="Prospecting",E5165="Engaging"),VLOOKUP(C5165,Products!$A$2:$C$8,3,FALSE),0)</f>
        <v>0</v>
      </c>
    </row>
    <row r="5166" spans="1:10" x14ac:dyDescent="0.25">
      <c r="A5166" t="s">
        <v>5333</v>
      </c>
      <c r="B5166" t="s">
        <v>158</v>
      </c>
      <c r="C5166" t="s">
        <v>123</v>
      </c>
      <c r="E5166" t="s">
        <v>155</v>
      </c>
      <c r="F5166" s="1">
        <v>42939</v>
      </c>
      <c r="I5166" t="str">
        <f>IF(COUNTIF(Products!$A$2:$A$8,C5166)=0,C5166,"")</f>
        <v/>
      </c>
      <c r="J5166">
        <f>IF(OR(E5166="Prospecting",E5166="Engaging"),VLOOKUP(C5166,Products!$A$2:$C$8,3,FALSE),0)</f>
        <v>55</v>
      </c>
    </row>
    <row r="5167" spans="1:10" x14ac:dyDescent="0.25">
      <c r="A5167" t="s">
        <v>5334</v>
      </c>
      <c r="B5167" t="s">
        <v>158</v>
      </c>
      <c r="C5167" t="s">
        <v>123</v>
      </c>
      <c r="E5167" t="s">
        <v>155</v>
      </c>
      <c r="F5167" s="1">
        <v>42939</v>
      </c>
      <c r="I5167" t="str">
        <f>IF(COUNTIF(Products!$A$2:$A$8,C5167)=0,C5167,"")</f>
        <v/>
      </c>
      <c r="J5167">
        <f>IF(OR(E5167="Prospecting",E5167="Engaging"),VLOOKUP(C5167,Products!$A$2:$C$8,3,FALSE),0)</f>
        <v>55</v>
      </c>
    </row>
    <row r="5168" spans="1:10" x14ac:dyDescent="0.25">
      <c r="A5168" t="s">
        <v>5335</v>
      </c>
      <c r="B5168" t="s">
        <v>164</v>
      </c>
      <c r="C5168" t="s">
        <v>127</v>
      </c>
      <c r="D5168" t="s">
        <v>60</v>
      </c>
      <c r="E5168" t="s">
        <v>159</v>
      </c>
      <c r="F5168" s="1">
        <v>42939</v>
      </c>
      <c r="G5168" s="1">
        <v>42947</v>
      </c>
      <c r="H5168">
        <v>0</v>
      </c>
      <c r="I5168" t="str">
        <f>IF(COUNTIF(Products!$A$2:$A$8,C5168)=0,C5168,"")</f>
        <v/>
      </c>
      <c r="J5168">
        <f>IF(OR(E5168="Prospecting",E5168="Engaging"),VLOOKUP(C5168,Products!$A$2:$C$8,3,FALSE),0)</f>
        <v>0</v>
      </c>
    </row>
    <row r="5169" spans="1:10" x14ac:dyDescent="0.25">
      <c r="A5169" t="s">
        <v>5336</v>
      </c>
      <c r="B5169" t="s">
        <v>154</v>
      </c>
      <c r="C5169" t="s">
        <v>126</v>
      </c>
      <c r="D5169" t="s">
        <v>66</v>
      </c>
      <c r="E5169" t="s">
        <v>138</v>
      </c>
      <c r="F5169" s="1">
        <v>42939</v>
      </c>
      <c r="G5169" s="1">
        <v>42941</v>
      </c>
      <c r="H5169">
        <v>4824</v>
      </c>
      <c r="I5169" t="str">
        <f>IF(COUNTIF(Products!$A$2:$A$8,C5169)=0,C5169,"")</f>
        <v/>
      </c>
      <c r="J5169">
        <f>IF(OR(E5169="Prospecting",E5169="Engaging"),VLOOKUP(C5169,Products!$A$2:$C$8,3,FALSE),0)</f>
        <v>0</v>
      </c>
    </row>
    <row r="5170" spans="1:10" x14ac:dyDescent="0.25">
      <c r="A5170" t="s">
        <v>5337</v>
      </c>
      <c r="B5170" t="s">
        <v>303</v>
      </c>
      <c r="C5170" t="s">
        <v>126</v>
      </c>
      <c r="D5170" t="s">
        <v>96</v>
      </c>
      <c r="E5170" t="s">
        <v>138</v>
      </c>
      <c r="F5170" s="1">
        <v>42939</v>
      </c>
      <c r="G5170" s="1">
        <v>43058</v>
      </c>
      <c r="H5170">
        <v>6049</v>
      </c>
      <c r="I5170" t="str">
        <f>IF(COUNTIF(Products!$A$2:$A$8,C5170)=0,C5170,"")</f>
        <v/>
      </c>
      <c r="J5170">
        <f>IF(OR(E5170="Prospecting",E5170="Engaging"),VLOOKUP(C5170,Products!$A$2:$C$8,3,FALSE),0)</f>
        <v>0</v>
      </c>
    </row>
    <row r="5171" spans="1:10" x14ac:dyDescent="0.25">
      <c r="A5171" t="s">
        <v>5338</v>
      </c>
      <c r="B5171" t="s">
        <v>180</v>
      </c>
      <c r="C5171" t="s">
        <v>123</v>
      </c>
      <c r="D5171" t="s">
        <v>34</v>
      </c>
      <c r="E5171" t="s">
        <v>138</v>
      </c>
      <c r="F5171" s="1">
        <v>42939</v>
      </c>
      <c r="G5171" s="1">
        <v>42944</v>
      </c>
      <c r="H5171">
        <v>58</v>
      </c>
      <c r="I5171" t="str">
        <f>IF(COUNTIF(Products!$A$2:$A$8,C5171)=0,C5171,"")</f>
        <v/>
      </c>
      <c r="J5171">
        <f>IF(OR(E5171="Prospecting",E5171="Engaging"),VLOOKUP(C5171,Products!$A$2:$C$8,3,FALSE),0)</f>
        <v>0</v>
      </c>
    </row>
    <row r="5172" spans="1:10" x14ac:dyDescent="0.25">
      <c r="A5172" t="s">
        <v>5339</v>
      </c>
      <c r="B5172" t="s">
        <v>180</v>
      </c>
      <c r="C5172" t="s">
        <v>125</v>
      </c>
      <c r="D5172" t="s">
        <v>69</v>
      </c>
      <c r="E5172" t="s">
        <v>138</v>
      </c>
      <c r="F5172" s="1">
        <v>42939</v>
      </c>
      <c r="G5172" s="1">
        <v>42967</v>
      </c>
      <c r="H5172">
        <v>3335</v>
      </c>
      <c r="I5172" t="str">
        <f>IF(COUNTIF(Products!$A$2:$A$8,C5172)=0,C5172,"")</f>
        <v/>
      </c>
      <c r="J5172">
        <f>IF(OR(E5172="Prospecting",E5172="Engaging"),VLOOKUP(C5172,Products!$A$2:$C$8,3,FALSE),0)</f>
        <v>0</v>
      </c>
    </row>
    <row r="5173" spans="1:10" x14ac:dyDescent="0.25">
      <c r="A5173" t="s">
        <v>5340</v>
      </c>
      <c r="B5173" t="s">
        <v>191</v>
      </c>
      <c r="C5173" t="s">
        <v>127</v>
      </c>
      <c r="D5173" t="s">
        <v>34</v>
      </c>
      <c r="E5173" t="s">
        <v>159</v>
      </c>
      <c r="F5173" s="1">
        <v>42939</v>
      </c>
      <c r="G5173" s="1">
        <v>42946</v>
      </c>
      <c r="H5173">
        <v>0</v>
      </c>
      <c r="I5173" t="str">
        <f>IF(COUNTIF(Products!$A$2:$A$8,C5173)=0,C5173,"")</f>
        <v/>
      </c>
      <c r="J5173">
        <f>IF(OR(E5173="Prospecting",E5173="Engaging"),VLOOKUP(C5173,Products!$A$2:$C$8,3,FALSE),0)</f>
        <v>0</v>
      </c>
    </row>
    <row r="5174" spans="1:10" x14ac:dyDescent="0.25">
      <c r="A5174" t="s">
        <v>5341</v>
      </c>
      <c r="B5174" t="s">
        <v>217</v>
      </c>
      <c r="C5174" t="s">
        <v>120</v>
      </c>
      <c r="E5174" t="s">
        <v>155</v>
      </c>
      <c r="F5174" s="1">
        <v>42939</v>
      </c>
      <c r="I5174" t="str">
        <f>IF(COUNTIF(Products!$A$2:$A$8,C5174)=0,C5174,"")</f>
        <v/>
      </c>
      <c r="J5174">
        <f>IF(OR(E5174="Prospecting",E5174="Engaging"),VLOOKUP(C5174,Products!$A$2:$C$8,3,FALSE),0)</f>
        <v>550</v>
      </c>
    </row>
    <row r="5175" spans="1:10" x14ac:dyDescent="0.25">
      <c r="A5175" t="s">
        <v>5342</v>
      </c>
      <c r="B5175" t="s">
        <v>217</v>
      </c>
      <c r="C5175" t="s">
        <v>120</v>
      </c>
      <c r="E5175" t="s">
        <v>155</v>
      </c>
      <c r="F5175" s="1">
        <v>42939</v>
      </c>
      <c r="I5175" t="str">
        <f>IF(COUNTIF(Products!$A$2:$A$8,C5175)=0,C5175,"")</f>
        <v/>
      </c>
      <c r="J5175">
        <f>IF(OR(E5175="Prospecting",E5175="Engaging"),VLOOKUP(C5175,Products!$A$2:$C$8,3,FALSE),0)</f>
        <v>550</v>
      </c>
    </row>
    <row r="5176" spans="1:10" x14ac:dyDescent="0.25">
      <c r="A5176" t="s">
        <v>5343</v>
      </c>
      <c r="B5176" t="s">
        <v>150</v>
      </c>
      <c r="C5176" t="s">
        <v>128</v>
      </c>
      <c r="D5176" t="s">
        <v>89</v>
      </c>
      <c r="E5176" t="s">
        <v>155</v>
      </c>
      <c r="F5176" s="1">
        <v>42939</v>
      </c>
      <c r="I5176" t="str">
        <f>IF(COUNTIF(Products!$A$2:$A$8,C5176)=0,C5176,"")</f>
        <v/>
      </c>
      <c r="J5176">
        <f>IF(OR(E5176="Prospecting",E5176="Engaging"),VLOOKUP(C5176,Products!$A$2:$C$8,3,FALSE),0)</f>
        <v>26768</v>
      </c>
    </row>
    <row r="5177" spans="1:10" x14ac:dyDescent="0.25">
      <c r="A5177" t="s">
        <v>5344</v>
      </c>
      <c r="B5177" t="s">
        <v>150</v>
      </c>
      <c r="C5177" t="s">
        <v>122</v>
      </c>
      <c r="D5177" t="s">
        <v>67</v>
      </c>
      <c r="E5177" t="s">
        <v>159</v>
      </c>
      <c r="F5177" s="1">
        <v>42939</v>
      </c>
      <c r="G5177" s="1">
        <v>43046</v>
      </c>
      <c r="H5177">
        <v>0</v>
      </c>
      <c r="I5177" t="str">
        <f>IF(COUNTIF(Products!$A$2:$A$8,C5177)=0,C5177,"")</f>
        <v/>
      </c>
      <c r="J5177">
        <f>IF(OR(E5177="Prospecting",E5177="Engaging"),VLOOKUP(C5177,Products!$A$2:$C$8,3,FALSE),0)</f>
        <v>0</v>
      </c>
    </row>
    <row r="5178" spans="1:10" x14ac:dyDescent="0.25">
      <c r="A5178" t="s">
        <v>5345</v>
      </c>
      <c r="B5178" t="s">
        <v>205</v>
      </c>
      <c r="C5178" t="s">
        <v>127</v>
      </c>
      <c r="D5178" t="s">
        <v>36</v>
      </c>
      <c r="E5178" t="s">
        <v>159</v>
      </c>
      <c r="F5178" s="1">
        <v>42939</v>
      </c>
      <c r="G5178" s="1">
        <v>42941</v>
      </c>
      <c r="H5178">
        <v>0</v>
      </c>
      <c r="I5178" t="str">
        <f>IF(COUNTIF(Products!$A$2:$A$8,C5178)=0,C5178,"")</f>
        <v/>
      </c>
      <c r="J5178">
        <f>IF(OR(E5178="Prospecting",E5178="Engaging"),VLOOKUP(C5178,Products!$A$2:$C$8,3,FALSE),0)</f>
        <v>0</v>
      </c>
    </row>
    <row r="5179" spans="1:10" x14ac:dyDescent="0.25">
      <c r="A5179" t="s">
        <v>5346</v>
      </c>
      <c r="B5179" t="s">
        <v>205</v>
      </c>
      <c r="C5179" t="s">
        <v>127</v>
      </c>
      <c r="D5179" t="s">
        <v>103</v>
      </c>
      <c r="E5179" t="s">
        <v>138</v>
      </c>
      <c r="F5179" s="1">
        <v>42939</v>
      </c>
      <c r="G5179" s="1">
        <v>42954</v>
      </c>
      <c r="H5179">
        <v>1006</v>
      </c>
      <c r="I5179" t="str">
        <f>IF(COUNTIF(Products!$A$2:$A$8,C5179)=0,C5179,"")</f>
        <v/>
      </c>
      <c r="J5179">
        <f>IF(OR(E5179="Prospecting",E5179="Engaging"),VLOOKUP(C5179,Products!$A$2:$C$8,3,FALSE),0)</f>
        <v>0</v>
      </c>
    </row>
    <row r="5180" spans="1:10" x14ac:dyDescent="0.25">
      <c r="A5180" t="s">
        <v>5347</v>
      </c>
      <c r="B5180" t="s">
        <v>205</v>
      </c>
      <c r="C5180" t="s">
        <v>125</v>
      </c>
      <c r="D5180" t="s">
        <v>96</v>
      </c>
      <c r="E5180" t="s">
        <v>138</v>
      </c>
      <c r="F5180" s="1">
        <v>42939</v>
      </c>
      <c r="G5180" s="1">
        <v>42949</v>
      </c>
      <c r="H5180">
        <v>3367</v>
      </c>
      <c r="I5180" t="str">
        <f>IF(COUNTIF(Products!$A$2:$A$8,C5180)=0,C5180,"")</f>
        <v/>
      </c>
      <c r="J5180">
        <f>IF(OR(E5180="Prospecting",E5180="Engaging"),VLOOKUP(C5180,Products!$A$2:$C$8,3,FALSE),0)</f>
        <v>0</v>
      </c>
    </row>
    <row r="5181" spans="1:10" x14ac:dyDescent="0.25">
      <c r="A5181" t="s">
        <v>5348</v>
      </c>
      <c r="B5181" t="s">
        <v>162</v>
      </c>
      <c r="C5181" t="s">
        <v>120</v>
      </c>
      <c r="D5181" t="s">
        <v>44</v>
      </c>
      <c r="E5181" t="s">
        <v>159</v>
      </c>
      <c r="F5181" s="1">
        <v>42939</v>
      </c>
      <c r="G5181" s="1">
        <v>43049</v>
      </c>
      <c r="H5181">
        <v>0</v>
      </c>
      <c r="I5181" t="str">
        <f>IF(COUNTIF(Products!$A$2:$A$8,C5181)=0,C5181,"")</f>
        <v/>
      </c>
      <c r="J5181">
        <f>IF(OR(E5181="Prospecting",E5181="Engaging"),VLOOKUP(C5181,Products!$A$2:$C$8,3,FALSE),0)</f>
        <v>0</v>
      </c>
    </row>
    <row r="5182" spans="1:10" x14ac:dyDescent="0.25">
      <c r="A5182" t="s">
        <v>5349</v>
      </c>
      <c r="B5182" t="s">
        <v>162</v>
      </c>
      <c r="C5182" t="s">
        <v>127</v>
      </c>
      <c r="D5182" t="s">
        <v>41</v>
      </c>
      <c r="E5182" t="s">
        <v>159</v>
      </c>
      <c r="F5182" s="1">
        <v>42939</v>
      </c>
      <c r="G5182" s="1">
        <v>42944</v>
      </c>
      <c r="H5182">
        <v>0</v>
      </c>
      <c r="I5182" t="str">
        <f>IF(COUNTIF(Products!$A$2:$A$8,C5182)=0,C5182,"")</f>
        <v/>
      </c>
      <c r="J5182">
        <f>IF(OR(E5182="Prospecting",E5182="Engaging"),VLOOKUP(C5182,Products!$A$2:$C$8,3,FALSE),0)</f>
        <v>0</v>
      </c>
    </row>
    <row r="5183" spans="1:10" x14ac:dyDescent="0.25">
      <c r="A5183" t="s">
        <v>5350</v>
      </c>
      <c r="B5183" t="s">
        <v>137</v>
      </c>
      <c r="C5183" t="s">
        <v>120</v>
      </c>
      <c r="E5183" t="s">
        <v>155</v>
      </c>
      <c r="F5183" s="1">
        <v>42939</v>
      </c>
      <c r="I5183" t="str">
        <f>IF(COUNTIF(Products!$A$2:$A$8,C5183)=0,C5183,"")</f>
        <v/>
      </c>
      <c r="J5183">
        <f>IF(OR(E5183="Prospecting",E5183="Engaging"),VLOOKUP(C5183,Products!$A$2:$C$8,3,FALSE),0)</f>
        <v>550</v>
      </c>
    </row>
    <row r="5184" spans="1:10" x14ac:dyDescent="0.25">
      <c r="A5184" t="s">
        <v>5351</v>
      </c>
      <c r="B5184" t="s">
        <v>137</v>
      </c>
      <c r="C5184" t="s">
        <v>123</v>
      </c>
      <c r="D5184" t="s">
        <v>95</v>
      </c>
      <c r="E5184" t="s">
        <v>159</v>
      </c>
      <c r="F5184" s="1">
        <v>42939</v>
      </c>
      <c r="G5184" s="1">
        <v>42953</v>
      </c>
      <c r="H5184">
        <v>0</v>
      </c>
      <c r="I5184" t="str">
        <f>IF(COUNTIF(Products!$A$2:$A$8,C5184)=0,C5184,"")</f>
        <v/>
      </c>
      <c r="J5184">
        <f>IF(OR(E5184="Prospecting",E5184="Engaging"),VLOOKUP(C5184,Products!$A$2:$C$8,3,FALSE),0)</f>
        <v>0</v>
      </c>
    </row>
    <row r="5185" spans="1:10" x14ac:dyDescent="0.25">
      <c r="A5185" t="s">
        <v>5352</v>
      </c>
      <c r="B5185" t="s">
        <v>152</v>
      </c>
      <c r="C5185" t="s">
        <v>127</v>
      </c>
      <c r="D5185" t="s">
        <v>108</v>
      </c>
      <c r="E5185" t="s">
        <v>155</v>
      </c>
      <c r="F5185" s="1">
        <v>42939</v>
      </c>
      <c r="I5185" t="str">
        <f>IF(COUNTIF(Products!$A$2:$A$8,C5185)=0,C5185,"")</f>
        <v/>
      </c>
      <c r="J5185">
        <f>IF(OR(E5185="Prospecting",E5185="Engaging"),VLOOKUP(C5185,Products!$A$2:$C$8,3,FALSE),0)</f>
        <v>1096</v>
      </c>
    </row>
    <row r="5186" spans="1:10" x14ac:dyDescent="0.25">
      <c r="A5186" t="s">
        <v>5353</v>
      </c>
      <c r="B5186" t="s">
        <v>152</v>
      </c>
      <c r="C5186" t="s">
        <v>125</v>
      </c>
      <c r="E5186" t="s">
        <v>155</v>
      </c>
      <c r="F5186" s="1">
        <v>42939</v>
      </c>
      <c r="I5186" t="str">
        <f>IF(COUNTIF(Products!$A$2:$A$8,C5186)=0,C5186,"")</f>
        <v/>
      </c>
      <c r="J5186">
        <f>IF(OR(E5186="Prospecting",E5186="Engaging"),VLOOKUP(C5186,Products!$A$2:$C$8,3,FALSE),0)</f>
        <v>3393</v>
      </c>
    </row>
    <row r="5187" spans="1:10" x14ac:dyDescent="0.25">
      <c r="A5187" t="s">
        <v>5354</v>
      </c>
      <c r="B5187" t="s">
        <v>152</v>
      </c>
      <c r="C5187" t="s">
        <v>127</v>
      </c>
      <c r="D5187" t="s">
        <v>22</v>
      </c>
      <c r="E5187" t="s">
        <v>159</v>
      </c>
      <c r="F5187" s="1">
        <v>42939</v>
      </c>
      <c r="G5187" s="1">
        <v>42941</v>
      </c>
      <c r="H5187">
        <v>0</v>
      </c>
      <c r="I5187" t="str">
        <f>IF(COUNTIF(Products!$A$2:$A$8,C5187)=0,C5187,"")</f>
        <v/>
      </c>
      <c r="J5187">
        <f>IF(OR(E5187="Prospecting",E5187="Engaging"),VLOOKUP(C5187,Products!$A$2:$C$8,3,FALSE),0)</f>
        <v>0</v>
      </c>
    </row>
    <row r="5188" spans="1:10" x14ac:dyDescent="0.25">
      <c r="A5188" t="s">
        <v>5355</v>
      </c>
      <c r="B5188" t="s">
        <v>193</v>
      </c>
      <c r="C5188" t="s">
        <v>122</v>
      </c>
      <c r="D5188" t="s">
        <v>80</v>
      </c>
      <c r="E5188" t="s">
        <v>159</v>
      </c>
      <c r="F5188" s="1">
        <v>42939</v>
      </c>
      <c r="G5188" s="1">
        <v>42947</v>
      </c>
      <c r="H5188">
        <v>0</v>
      </c>
      <c r="I5188" t="str">
        <f>IF(COUNTIF(Products!$A$2:$A$8,C5188)=0,C5188,"")</f>
        <v/>
      </c>
      <c r="J5188">
        <f>IF(OR(E5188="Prospecting",E5188="Engaging"),VLOOKUP(C5188,Products!$A$2:$C$8,3,FALSE),0)</f>
        <v>0</v>
      </c>
    </row>
    <row r="5189" spans="1:10" x14ac:dyDescent="0.25">
      <c r="A5189" t="s">
        <v>5356</v>
      </c>
      <c r="B5189" t="s">
        <v>193</v>
      </c>
      <c r="C5189" t="s">
        <v>120</v>
      </c>
      <c r="D5189" t="s">
        <v>108</v>
      </c>
      <c r="E5189" t="s">
        <v>138</v>
      </c>
      <c r="F5189" s="1">
        <v>42939</v>
      </c>
      <c r="G5189" s="1">
        <v>42947</v>
      </c>
      <c r="H5189">
        <v>494</v>
      </c>
      <c r="I5189" t="str">
        <f>IF(COUNTIF(Products!$A$2:$A$8,C5189)=0,C5189,"")</f>
        <v/>
      </c>
      <c r="J5189">
        <f>IF(OR(E5189="Prospecting",E5189="Engaging"),VLOOKUP(C5189,Products!$A$2:$C$8,3,FALSE),0)</f>
        <v>0</v>
      </c>
    </row>
    <row r="5190" spans="1:10" x14ac:dyDescent="0.25">
      <c r="A5190" t="s">
        <v>5357</v>
      </c>
      <c r="B5190" t="s">
        <v>193</v>
      </c>
      <c r="C5190" t="s">
        <v>122</v>
      </c>
      <c r="D5190" t="s">
        <v>80</v>
      </c>
      <c r="E5190" t="s">
        <v>138</v>
      </c>
      <c r="F5190" s="1">
        <v>42939</v>
      </c>
      <c r="G5190" s="1">
        <v>42946</v>
      </c>
      <c r="H5190">
        <v>4434</v>
      </c>
      <c r="I5190" t="str">
        <f>IF(COUNTIF(Products!$A$2:$A$8,C5190)=0,C5190,"")</f>
        <v/>
      </c>
      <c r="J5190">
        <f>IF(OR(E5190="Prospecting",E5190="Engaging"),VLOOKUP(C5190,Products!$A$2:$C$8,3,FALSE),0)</f>
        <v>0</v>
      </c>
    </row>
    <row r="5191" spans="1:10" x14ac:dyDescent="0.25">
      <c r="A5191" t="s">
        <v>5358</v>
      </c>
      <c r="B5191" t="s">
        <v>169</v>
      </c>
      <c r="C5191" t="s">
        <v>127</v>
      </c>
      <c r="D5191" t="s">
        <v>68</v>
      </c>
      <c r="E5191" t="s">
        <v>155</v>
      </c>
      <c r="F5191" s="1">
        <v>42939</v>
      </c>
      <c r="I5191" t="str">
        <f>IF(COUNTIF(Products!$A$2:$A$8,C5191)=0,C5191,"")</f>
        <v/>
      </c>
      <c r="J5191">
        <f>IF(OR(E5191="Prospecting",E5191="Engaging"),VLOOKUP(C5191,Products!$A$2:$C$8,3,FALSE),0)</f>
        <v>1096</v>
      </c>
    </row>
    <row r="5192" spans="1:10" x14ac:dyDescent="0.25">
      <c r="A5192" t="s">
        <v>5359</v>
      </c>
      <c r="B5192" t="s">
        <v>169</v>
      </c>
      <c r="C5192" t="s">
        <v>123</v>
      </c>
      <c r="E5192" t="s">
        <v>155</v>
      </c>
      <c r="F5192" s="1">
        <v>42939</v>
      </c>
      <c r="I5192" t="str">
        <f>IF(COUNTIF(Products!$A$2:$A$8,C5192)=0,C5192,"")</f>
        <v/>
      </c>
      <c r="J5192">
        <f>IF(OR(E5192="Prospecting",E5192="Engaging"),VLOOKUP(C5192,Products!$A$2:$C$8,3,FALSE),0)</f>
        <v>55</v>
      </c>
    </row>
    <row r="5193" spans="1:10" x14ac:dyDescent="0.25">
      <c r="A5193" t="s">
        <v>5360</v>
      </c>
      <c r="B5193" t="s">
        <v>169</v>
      </c>
      <c r="C5193" t="s">
        <v>123</v>
      </c>
      <c r="D5193" t="s">
        <v>104</v>
      </c>
      <c r="E5193" t="s">
        <v>159</v>
      </c>
      <c r="F5193" s="1">
        <v>42939</v>
      </c>
      <c r="G5193" s="1">
        <v>42944</v>
      </c>
      <c r="H5193">
        <v>0</v>
      </c>
      <c r="I5193" t="str">
        <f>IF(COUNTIF(Products!$A$2:$A$8,C5193)=0,C5193,"")</f>
        <v/>
      </c>
      <c r="J5193">
        <f>IF(OR(E5193="Prospecting",E5193="Engaging"),VLOOKUP(C5193,Products!$A$2:$C$8,3,FALSE),0)</f>
        <v>0</v>
      </c>
    </row>
    <row r="5194" spans="1:10" x14ac:dyDescent="0.25">
      <c r="A5194" t="s">
        <v>5361</v>
      </c>
      <c r="B5194" t="s">
        <v>169</v>
      </c>
      <c r="C5194" t="s">
        <v>125</v>
      </c>
      <c r="D5194" t="s">
        <v>116</v>
      </c>
      <c r="E5194" t="s">
        <v>159</v>
      </c>
      <c r="F5194" s="1">
        <v>42939</v>
      </c>
      <c r="G5194" s="1">
        <v>42983</v>
      </c>
      <c r="H5194">
        <v>0</v>
      </c>
      <c r="I5194" t="str">
        <f>IF(COUNTIF(Products!$A$2:$A$8,C5194)=0,C5194,"")</f>
        <v/>
      </c>
      <c r="J5194">
        <f>IF(OR(E5194="Prospecting",E5194="Engaging"),VLOOKUP(C5194,Products!$A$2:$C$8,3,FALSE),0)</f>
        <v>0</v>
      </c>
    </row>
    <row r="5195" spans="1:10" x14ac:dyDescent="0.25">
      <c r="A5195" t="s">
        <v>5362</v>
      </c>
      <c r="B5195" t="s">
        <v>177</v>
      </c>
      <c r="C5195" t="s">
        <v>123</v>
      </c>
      <c r="D5195" t="s">
        <v>63</v>
      </c>
      <c r="E5195" t="s">
        <v>138</v>
      </c>
      <c r="F5195" s="1">
        <v>42939</v>
      </c>
      <c r="G5195" s="1">
        <v>42979</v>
      </c>
      <c r="H5195">
        <v>54</v>
      </c>
      <c r="I5195" t="str">
        <f>IF(COUNTIF(Products!$A$2:$A$8,C5195)=0,C5195,"")</f>
        <v/>
      </c>
      <c r="J5195">
        <f>IF(OR(E5195="Prospecting",E5195="Engaging"),VLOOKUP(C5195,Products!$A$2:$C$8,3,FALSE),0)</f>
        <v>0</v>
      </c>
    </row>
    <row r="5196" spans="1:10" x14ac:dyDescent="0.25">
      <c r="A5196" t="s">
        <v>5363</v>
      </c>
      <c r="B5196" t="s">
        <v>177</v>
      </c>
      <c r="C5196" t="s">
        <v>123</v>
      </c>
      <c r="D5196" t="s">
        <v>67</v>
      </c>
      <c r="E5196" t="s">
        <v>138</v>
      </c>
      <c r="F5196" s="1">
        <v>42939</v>
      </c>
      <c r="G5196" s="1">
        <v>42953</v>
      </c>
      <c r="H5196">
        <v>48</v>
      </c>
      <c r="I5196" t="str">
        <f>IF(COUNTIF(Products!$A$2:$A$8,C5196)=0,C5196,"")</f>
        <v/>
      </c>
      <c r="J5196">
        <f>IF(OR(E5196="Prospecting",E5196="Engaging"),VLOOKUP(C5196,Products!$A$2:$C$8,3,FALSE),0)</f>
        <v>0</v>
      </c>
    </row>
    <row r="5197" spans="1:10" x14ac:dyDescent="0.25">
      <c r="A5197" t="s">
        <v>5364</v>
      </c>
      <c r="B5197" t="s">
        <v>177</v>
      </c>
      <c r="C5197" t="s">
        <v>125</v>
      </c>
      <c r="D5197" t="s">
        <v>37</v>
      </c>
      <c r="E5197" t="s">
        <v>138</v>
      </c>
      <c r="F5197" s="1">
        <v>42939</v>
      </c>
      <c r="G5197" s="1">
        <v>42990</v>
      </c>
      <c r="H5197">
        <v>2855</v>
      </c>
      <c r="I5197" t="str">
        <f>IF(COUNTIF(Products!$A$2:$A$8,C5197)=0,C5197,"")</f>
        <v/>
      </c>
      <c r="J5197">
        <f>IF(OR(E5197="Prospecting",E5197="Engaging"),VLOOKUP(C5197,Products!$A$2:$C$8,3,FALSE),0)</f>
        <v>0</v>
      </c>
    </row>
    <row r="5198" spans="1:10" x14ac:dyDescent="0.25">
      <c r="A5198" t="s">
        <v>5365</v>
      </c>
      <c r="B5198" t="s">
        <v>196</v>
      </c>
      <c r="C5198" t="s">
        <v>120</v>
      </c>
      <c r="D5198" t="s">
        <v>68</v>
      </c>
      <c r="E5198" t="s">
        <v>138</v>
      </c>
      <c r="F5198" s="1">
        <v>42939</v>
      </c>
      <c r="G5198" s="1">
        <v>42946</v>
      </c>
      <c r="H5198">
        <v>538</v>
      </c>
      <c r="I5198" t="str">
        <f>IF(COUNTIF(Products!$A$2:$A$8,C5198)=0,C5198,"")</f>
        <v/>
      </c>
      <c r="J5198">
        <f>IF(OR(E5198="Prospecting",E5198="Engaging"),VLOOKUP(C5198,Products!$A$2:$C$8,3,FALSE),0)</f>
        <v>0</v>
      </c>
    </row>
    <row r="5199" spans="1:10" x14ac:dyDescent="0.25">
      <c r="A5199" t="s">
        <v>5366</v>
      </c>
      <c r="B5199" t="s">
        <v>144</v>
      </c>
      <c r="C5199" t="s">
        <v>120</v>
      </c>
      <c r="E5199" t="s">
        <v>155</v>
      </c>
      <c r="F5199" s="1">
        <v>42939</v>
      </c>
      <c r="I5199" t="str">
        <f>IF(COUNTIF(Products!$A$2:$A$8,C5199)=0,C5199,"")</f>
        <v/>
      </c>
      <c r="J5199">
        <f>IF(OR(E5199="Prospecting",E5199="Engaging"),VLOOKUP(C5199,Products!$A$2:$C$8,3,FALSE),0)</f>
        <v>550</v>
      </c>
    </row>
    <row r="5200" spans="1:10" x14ac:dyDescent="0.25">
      <c r="A5200" t="s">
        <v>5367</v>
      </c>
      <c r="B5200" t="s">
        <v>144</v>
      </c>
      <c r="C5200" t="s">
        <v>126</v>
      </c>
      <c r="D5200" t="s">
        <v>66</v>
      </c>
      <c r="E5200" t="s">
        <v>159</v>
      </c>
      <c r="F5200" s="1">
        <v>42939</v>
      </c>
      <c r="G5200" s="1">
        <v>43007</v>
      </c>
      <c r="H5200">
        <v>0</v>
      </c>
      <c r="I5200" t="str">
        <f>IF(COUNTIF(Products!$A$2:$A$8,C5200)=0,C5200,"")</f>
        <v/>
      </c>
      <c r="J5200">
        <f>IF(OR(E5200="Prospecting",E5200="Engaging"),VLOOKUP(C5200,Products!$A$2:$C$8,3,FALSE),0)</f>
        <v>0</v>
      </c>
    </row>
    <row r="5201" spans="1:10" x14ac:dyDescent="0.25">
      <c r="A5201" t="s">
        <v>5368</v>
      </c>
      <c r="B5201" t="s">
        <v>146</v>
      </c>
      <c r="C5201" t="s">
        <v>126</v>
      </c>
      <c r="D5201" t="s">
        <v>90</v>
      </c>
      <c r="E5201" t="s">
        <v>155</v>
      </c>
      <c r="F5201" s="1">
        <v>42940</v>
      </c>
      <c r="I5201" t="str">
        <f>IF(COUNTIF(Products!$A$2:$A$8,C5201)=0,C5201,"")</f>
        <v/>
      </c>
      <c r="J5201">
        <f>IF(OR(E5201="Prospecting",E5201="Engaging"),VLOOKUP(C5201,Products!$A$2:$C$8,3,FALSE),0)</f>
        <v>5482</v>
      </c>
    </row>
    <row r="5202" spans="1:10" x14ac:dyDescent="0.25">
      <c r="A5202" t="s">
        <v>5369</v>
      </c>
      <c r="B5202" t="s">
        <v>146</v>
      </c>
      <c r="C5202" t="s">
        <v>126</v>
      </c>
      <c r="E5202" t="s">
        <v>155</v>
      </c>
      <c r="F5202" s="1">
        <v>42940</v>
      </c>
      <c r="I5202" t="str">
        <f>IF(COUNTIF(Products!$A$2:$A$8,C5202)=0,C5202,"")</f>
        <v/>
      </c>
      <c r="J5202">
        <f>IF(OR(E5202="Prospecting",E5202="Engaging"),VLOOKUP(C5202,Products!$A$2:$C$8,3,FALSE),0)</f>
        <v>5482</v>
      </c>
    </row>
    <row r="5203" spans="1:10" x14ac:dyDescent="0.25">
      <c r="A5203" t="s">
        <v>5370</v>
      </c>
      <c r="B5203" t="s">
        <v>146</v>
      </c>
      <c r="C5203" t="s">
        <v>126</v>
      </c>
      <c r="D5203" t="s">
        <v>46</v>
      </c>
      <c r="E5203" t="s">
        <v>159</v>
      </c>
      <c r="F5203" s="1">
        <v>42940</v>
      </c>
      <c r="G5203" s="1">
        <v>42981</v>
      </c>
      <c r="H5203">
        <v>0</v>
      </c>
      <c r="I5203" t="str">
        <f>IF(COUNTIF(Products!$A$2:$A$8,C5203)=0,C5203,"")</f>
        <v/>
      </c>
      <c r="J5203">
        <f>IF(OR(E5203="Prospecting",E5203="Engaging"),VLOOKUP(C5203,Products!$A$2:$C$8,3,FALSE),0)</f>
        <v>0</v>
      </c>
    </row>
    <row r="5204" spans="1:10" x14ac:dyDescent="0.25">
      <c r="A5204" t="s">
        <v>5371</v>
      </c>
      <c r="B5204" t="s">
        <v>207</v>
      </c>
      <c r="C5204" t="s">
        <v>125</v>
      </c>
      <c r="E5204" t="s">
        <v>155</v>
      </c>
      <c r="F5204" s="1">
        <v>42940</v>
      </c>
      <c r="I5204" t="str">
        <f>IF(COUNTIF(Products!$A$2:$A$8,C5204)=0,C5204,"")</f>
        <v/>
      </c>
      <c r="J5204">
        <f>IF(OR(E5204="Prospecting",E5204="Engaging"),VLOOKUP(C5204,Products!$A$2:$C$8,3,FALSE),0)</f>
        <v>3393</v>
      </c>
    </row>
    <row r="5205" spans="1:10" x14ac:dyDescent="0.25">
      <c r="A5205" t="s">
        <v>5372</v>
      </c>
      <c r="B5205" t="s">
        <v>239</v>
      </c>
      <c r="C5205" t="s">
        <v>120</v>
      </c>
      <c r="D5205" t="s">
        <v>115</v>
      </c>
      <c r="E5205" t="s">
        <v>138</v>
      </c>
      <c r="F5205" s="1">
        <v>42940</v>
      </c>
      <c r="G5205" s="1">
        <v>42942</v>
      </c>
      <c r="H5205">
        <v>458</v>
      </c>
      <c r="I5205" t="str">
        <f>IF(COUNTIF(Products!$A$2:$A$8,C5205)=0,C5205,"")</f>
        <v/>
      </c>
      <c r="J5205">
        <f>IF(OR(E5205="Prospecting",E5205="Engaging"),VLOOKUP(C5205,Products!$A$2:$C$8,3,FALSE),0)</f>
        <v>0</v>
      </c>
    </row>
    <row r="5206" spans="1:10" x14ac:dyDescent="0.25">
      <c r="A5206" t="s">
        <v>5373</v>
      </c>
      <c r="B5206" t="s">
        <v>140</v>
      </c>
      <c r="C5206" t="s">
        <v>122</v>
      </c>
      <c r="D5206" t="s">
        <v>36</v>
      </c>
      <c r="E5206" t="s">
        <v>155</v>
      </c>
      <c r="F5206" s="1">
        <v>42940</v>
      </c>
      <c r="I5206" t="str">
        <f>IF(COUNTIF(Products!$A$2:$A$8,C5206)=0,C5206,"")</f>
        <v/>
      </c>
      <c r="J5206">
        <f>IF(OR(E5206="Prospecting",E5206="Engaging"),VLOOKUP(C5206,Products!$A$2:$C$8,3,FALSE),0)</f>
        <v>4821</v>
      </c>
    </row>
    <row r="5207" spans="1:10" x14ac:dyDescent="0.25">
      <c r="A5207" t="s">
        <v>5374</v>
      </c>
      <c r="B5207" t="s">
        <v>140</v>
      </c>
      <c r="C5207" t="s">
        <v>122</v>
      </c>
      <c r="E5207" t="s">
        <v>155</v>
      </c>
      <c r="F5207" s="1">
        <v>42940</v>
      </c>
      <c r="I5207" t="str">
        <f>IF(COUNTIF(Products!$A$2:$A$8,C5207)=0,C5207,"")</f>
        <v/>
      </c>
      <c r="J5207">
        <f>IF(OR(E5207="Prospecting",E5207="Engaging"),VLOOKUP(C5207,Products!$A$2:$C$8,3,FALSE),0)</f>
        <v>4821</v>
      </c>
    </row>
    <row r="5208" spans="1:10" x14ac:dyDescent="0.25">
      <c r="A5208" t="s">
        <v>5375</v>
      </c>
      <c r="B5208" t="s">
        <v>140</v>
      </c>
      <c r="C5208" t="s">
        <v>122</v>
      </c>
      <c r="E5208" t="s">
        <v>155</v>
      </c>
      <c r="F5208" s="1">
        <v>42940</v>
      </c>
      <c r="I5208" t="str">
        <f>IF(COUNTIF(Products!$A$2:$A$8,C5208)=0,C5208,"")</f>
        <v/>
      </c>
      <c r="J5208">
        <f>IF(OR(E5208="Prospecting",E5208="Engaging"),VLOOKUP(C5208,Products!$A$2:$C$8,3,FALSE),0)</f>
        <v>4821</v>
      </c>
    </row>
    <row r="5209" spans="1:10" x14ac:dyDescent="0.25">
      <c r="A5209" t="s">
        <v>5376</v>
      </c>
      <c r="B5209" t="s">
        <v>140</v>
      </c>
      <c r="C5209" t="s">
        <v>123</v>
      </c>
      <c r="E5209" t="s">
        <v>155</v>
      </c>
      <c r="F5209" s="1">
        <v>42940</v>
      </c>
      <c r="I5209" t="str">
        <f>IF(COUNTIF(Products!$A$2:$A$8,C5209)=0,C5209,"")</f>
        <v/>
      </c>
      <c r="J5209">
        <f>IF(OR(E5209="Prospecting",E5209="Engaging"),VLOOKUP(C5209,Products!$A$2:$C$8,3,FALSE),0)</f>
        <v>55</v>
      </c>
    </row>
    <row r="5210" spans="1:10" x14ac:dyDescent="0.25">
      <c r="A5210" t="s">
        <v>5377</v>
      </c>
      <c r="B5210" t="s">
        <v>140</v>
      </c>
      <c r="C5210" t="s">
        <v>125</v>
      </c>
      <c r="E5210" t="s">
        <v>155</v>
      </c>
      <c r="F5210" s="1">
        <v>42940</v>
      </c>
      <c r="I5210" t="str">
        <f>IF(COUNTIF(Products!$A$2:$A$8,C5210)=0,C5210,"")</f>
        <v/>
      </c>
      <c r="J5210">
        <f>IF(OR(E5210="Prospecting",E5210="Engaging"),VLOOKUP(C5210,Products!$A$2:$C$8,3,FALSE),0)</f>
        <v>3393</v>
      </c>
    </row>
    <row r="5211" spans="1:10" x14ac:dyDescent="0.25">
      <c r="A5211" t="s">
        <v>5378</v>
      </c>
      <c r="B5211" t="s">
        <v>140</v>
      </c>
      <c r="C5211" t="s">
        <v>127</v>
      </c>
      <c r="D5211" t="s">
        <v>77</v>
      </c>
      <c r="E5211" t="s">
        <v>138</v>
      </c>
      <c r="F5211" s="1">
        <v>42940</v>
      </c>
      <c r="G5211" s="1">
        <v>42954</v>
      </c>
      <c r="H5211">
        <v>996</v>
      </c>
      <c r="I5211" t="str">
        <f>IF(COUNTIF(Products!$A$2:$A$8,C5211)=0,C5211,"")</f>
        <v/>
      </c>
      <c r="J5211">
        <f>IF(OR(E5211="Prospecting",E5211="Engaging"),VLOOKUP(C5211,Products!$A$2:$C$8,3,FALSE),0)</f>
        <v>0</v>
      </c>
    </row>
    <row r="5212" spans="1:10" x14ac:dyDescent="0.25">
      <c r="A5212" t="s">
        <v>5379</v>
      </c>
      <c r="B5212" t="s">
        <v>140</v>
      </c>
      <c r="C5212" t="s">
        <v>122</v>
      </c>
      <c r="D5212" t="s">
        <v>51</v>
      </c>
      <c r="E5212" t="s">
        <v>138</v>
      </c>
      <c r="F5212" s="1">
        <v>42940</v>
      </c>
      <c r="G5212" s="1">
        <v>42947</v>
      </c>
      <c r="H5212">
        <v>4772</v>
      </c>
      <c r="I5212" t="str">
        <f>IF(COUNTIF(Products!$A$2:$A$8,C5212)=0,C5212,"")</f>
        <v/>
      </c>
      <c r="J5212">
        <f>IF(OR(E5212="Prospecting",E5212="Engaging"),VLOOKUP(C5212,Products!$A$2:$C$8,3,FALSE),0)</f>
        <v>0</v>
      </c>
    </row>
    <row r="5213" spans="1:10" x14ac:dyDescent="0.25">
      <c r="A5213" t="s">
        <v>5380</v>
      </c>
      <c r="B5213" t="s">
        <v>224</v>
      </c>
      <c r="C5213" t="s">
        <v>122</v>
      </c>
      <c r="D5213" t="s">
        <v>63</v>
      </c>
      <c r="E5213" t="s">
        <v>138</v>
      </c>
      <c r="F5213" s="1">
        <v>42940</v>
      </c>
      <c r="G5213" s="1">
        <v>42942</v>
      </c>
      <c r="H5213">
        <v>4490</v>
      </c>
      <c r="I5213" t="str">
        <f>IF(COUNTIF(Products!$A$2:$A$8,C5213)=0,C5213,"")</f>
        <v/>
      </c>
      <c r="J5213">
        <f>IF(OR(E5213="Prospecting",E5213="Engaging"),VLOOKUP(C5213,Products!$A$2:$C$8,3,FALSE),0)</f>
        <v>0</v>
      </c>
    </row>
    <row r="5214" spans="1:10" x14ac:dyDescent="0.25">
      <c r="A5214" t="s">
        <v>5381</v>
      </c>
      <c r="B5214" t="s">
        <v>224</v>
      </c>
      <c r="C5214" t="s">
        <v>125</v>
      </c>
      <c r="D5214" t="s">
        <v>50</v>
      </c>
      <c r="E5214" t="s">
        <v>138</v>
      </c>
      <c r="F5214" s="1">
        <v>42940</v>
      </c>
      <c r="G5214" s="1">
        <v>43041</v>
      </c>
      <c r="H5214">
        <v>3260</v>
      </c>
      <c r="I5214" t="str">
        <f>IF(COUNTIF(Products!$A$2:$A$8,C5214)=0,C5214,"")</f>
        <v/>
      </c>
      <c r="J5214">
        <f>IF(OR(E5214="Prospecting",E5214="Engaging"),VLOOKUP(C5214,Products!$A$2:$C$8,3,FALSE),0)</f>
        <v>0</v>
      </c>
    </row>
    <row r="5215" spans="1:10" x14ac:dyDescent="0.25">
      <c r="A5215" t="s">
        <v>5382</v>
      </c>
      <c r="B5215" t="s">
        <v>173</v>
      </c>
      <c r="C5215" t="s">
        <v>120</v>
      </c>
      <c r="D5215" t="s">
        <v>34</v>
      </c>
      <c r="E5215" t="s">
        <v>138</v>
      </c>
      <c r="F5215" s="1">
        <v>42940</v>
      </c>
      <c r="G5215" s="1">
        <v>42953</v>
      </c>
      <c r="H5215">
        <v>584</v>
      </c>
      <c r="I5215" t="str">
        <f>IF(COUNTIF(Products!$A$2:$A$8,C5215)=0,C5215,"")</f>
        <v/>
      </c>
      <c r="J5215">
        <f>IF(OR(E5215="Prospecting",E5215="Engaging"),VLOOKUP(C5215,Products!$A$2:$C$8,3,FALSE),0)</f>
        <v>0</v>
      </c>
    </row>
    <row r="5216" spans="1:10" x14ac:dyDescent="0.25">
      <c r="A5216" t="s">
        <v>5383</v>
      </c>
      <c r="B5216" t="s">
        <v>173</v>
      </c>
      <c r="C5216" t="s">
        <v>125</v>
      </c>
      <c r="D5216" t="s">
        <v>67</v>
      </c>
      <c r="E5216" t="s">
        <v>138</v>
      </c>
      <c r="F5216" s="1">
        <v>42940</v>
      </c>
      <c r="G5216" s="1">
        <v>42946</v>
      </c>
      <c r="H5216">
        <v>3371</v>
      </c>
      <c r="I5216" t="str">
        <f>IF(COUNTIF(Products!$A$2:$A$8,C5216)=0,C5216,"")</f>
        <v/>
      </c>
      <c r="J5216">
        <f>IF(OR(E5216="Prospecting",E5216="Engaging"),VLOOKUP(C5216,Products!$A$2:$C$8,3,FALSE),0)</f>
        <v>0</v>
      </c>
    </row>
    <row r="5217" spans="1:10" x14ac:dyDescent="0.25">
      <c r="A5217" t="s">
        <v>5384</v>
      </c>
      <c r="B5217" t="s">
        <v>158</v>
      </c>
      <c r="C5217" t="s">
        <v>120</v>
      </c>
      <c r="E5217" t="s">
        <v>155</v>
      </c>
      <c r="F5217" s="1">
        <v>42940</v>
      </c>
      <c r="I5217" t="str">
        <f>IF(COUNTIF(Products!$A$2:$A$8,C5217)=0,C5217,"")</f>
        <v/>
      </c>
      <c r="J5217">
        <f>IF(OR(E5217="Prospecting",E5217="Engaging"),VLOOKUP(C5217,Products!$A$2:$C$8,3,FALSE),0)</f>
        <v>550</v>
      </c>
    </row>
    <row r="5218" spans="1:10" x14ac:dyDescent="0.25">
      <c r="A5218" t="s">
        <v>5385</v>
      </c>
      <c r="B5218" t="s">
        <v>158</v>
      </c>
      <c r="C5218" t="s">
        <v>126</v>
      </c>
      <c r="D5218" t="s">
        <v>109</v>
      </c>
      <c r="E5218" t="s">
        <v>155</v>
      </c>
      <c r="F5218" s="1">
        <v>42940</v>
      </c>
      <c r="I5218" t="str">
        <f>IF(COUNTIF(Products!$A$2:$A$8,C5218)=0,C5218,"")</f>
        <v/>
      </c>
      <c r="J5218">
        <f>IF(OR(E5218="Prospecting",E5218="Engaging"),VLOOKUP(C5218,Products!$A$2:$C$8,3,FALSE),0)</f>
        <v>5482</v>
      </c>
    </row>
    <row r="5219" spans="1:10" x14ac:dyDescent="0.25">
      <c r="A5219" t="s">
        <v>5386</v>
      </c>
      <c r="B5219" t="s">
        <v>158</v>
      </c>
      <c r="C5219" t="s">
        <v>122</v>
      </c>
      <c r="D5219" t="s">
        <v>27</v>
      </c>
      <c r="E5219" t="s">
        <v>138</v>
      </c>
      <c r="F5219" s="1">
        <v>42940</v>
      </c>
      <c r="G5219" s="1">
        <v>43005</v>
      </c>
      <c r="H5219">
        <v>4868</v>
      </c>
      <c r="I5219" t="str">
        <f>IF(COUNTIF(Products!$A$2:$A$8,C5219)=0,C5219,"")</f>
        <v/>
      </c>
      <c r="J5219">
        <f>IF(OR(E5219="Prospecting",E5219="Engaging"),VLOOKUP(C5219,Products!$A$2:$C$8,3,FALSE),0)</f>
        <v>0</v>
      </c>
    </row>
    <row r="5220" spans="1:10" x14ac:dyDescent="0.25">
      <c r="A5220" t="s">
        <v>5387</v>
      </c>
      <c r="B5220" t="s">
        <v>158</v>
      </c>
      <c r="C5220" t="s">
        <v>125</v>
      </c>
      <c r="D5220" t="s">
        <v>85</v>
      </c>
      <c r="E5220" t="s">
        <v>138</v>
      </c>
      <c r="F5220" s="1">
        <v>42940</v>
      </c>
      <c r="G5220" s="1">
        <v>42954</v>
      </c>
      <c r="H5220">
        <v>3271</v>
      </c>
      <c r="I5220" t="str">
        <f>IF(COUNTIF(Products!$A$2:$A$8,C5220)=0,C5220,"")</f>
        <v/>
      </c>
      <c r="J5220">
        <f>IF(OR(E5220="Prospecting",E5220="Engaging"),VLOOKUP(C5220,Products!$A$2:$C$8,3,FALSE),0)</f>
        <v>0</v>
      </c>
    </row>
    <row r="5221" spans="1:10" x14ac:dyDescent="0.25">
      <c r="A5221" t="s">
        <v>5388</v>
      </c>
      <c r="B5221" t="s">
        <v>303</v>
      </c>
      <c r="C5221" t="s">
        <v>120</v>
      </c>
      <c r="E5221" t="s">
        <v>155</v>
      </c>
      <c r="F5221" s="1">
        <v>42940</v>
      </c>
      <c r="I5221" t="str">
        <f>IF(COUNTIF(Products!$A$2:$A$8,C5221)=0,C5221,"")</f>
        <v/>
      </c>
      <c r="J5221">
        <f>IF(OR(E5221="Prospecting",E5221="Engaging"),VLOOKUP(C5221,Products!$A$2:$C$8,3,FALSE),0)</f>
        <v>550</v>
      </c>
    </row>
    <row r="5222" spans="1:10" x14ac:dyDescent="0.25">
      <c r="A5222" t="s">
        <v>5389</v>
      </c>
      <c r="B5222" t="s">
        <v>303</v>
      </c>
      <c r="C5222" t="s">
        <v>122</v>
      </c>
      <c r="D5222" t="s">
        <v>104</v>
      </c>
      <c r="E5222" t="s">
        <v>159</v>
      </c>
      <c r="F5222" s="1">
        <v>42940</v>
      </c>
      <c r="G5222" s="1">
        <v>42941</v>
      </c>
      <c r="H5222">
        <v>0</v>
      </c>
      <c r="I5222" t="str">
        <f>IF(COUNTIF(Products!$A$2:$A$8,C5222)=0,C5222,"")</f>
        <v/>
      </c>
      <c r="J5222">
        <f>IF(OR(E5222="Prospecting",E5222="Engaging"),VLOOKUP(C5222,Products!$A$2:$C$8,3,FALSE),0)</f>
        <v>0</v>
      </c>
    </row>
    <row r="5223" spans="1:10" x14ac:dyDescent="0.25">
      <c r="A5223" t="s">
        <v>5390</v>
      </c>
      <c r="B5223" t="s">
        <v>217</v>
      </c>
      <c r="C5223" t="s">
        <v>120</v>
      </c>
      <c r="E5223" t="s">
        <v>155</v>
      </c>
      <c r="F5223" s="1">
        <v>42940</v>
      </c>
      <c r="I5223" t="str">
        <f>IF(COUNTIF(Products!$A$2:$A$8,C5223)=0,C5223,"")</f>
        <v/>
      </c>
      <c r="J5223">
        <f>IF(OR(E5223="Prospecting",E5223="Engaging"),VLOOKUP(C5223,Products!$A$2:$C$8,3,FALSE),0)</f>
        <v>550</v>
      </c>
    </row>
    <row r="5224" spans="1:10" x14ac:dyDescent="0.25">
      <c r="A5224" t="s">
        <v>5391</v>
      </c>
      <c r="B5224" t="s">
        <v>217</v>
      </c>
      <c r="C5224" t="s">
        <v>123</v>
      </c>
      <c r="D5224" t="s">
        <v>27</v>
      </c>
      <c r="E5224" t="s">
        <v>159</v>
      </c>
      <c r="F5224" s="1">
        <v>42940</v>
      </c>
      <c r="G5224" s="1">
        <v>42975</v>
      </c>
      <c r="H5224">
        <v>0</v>
      </c>
      <c r="I5224" t="str">
        <f>IF(COUNTIF(Products!$A$2:$A$8,C5224)=0,C5224,"")</f>
        <v/>
      </c>
      <c r="J5224">
        <f>IF(OR(E5224="Prospecting",E5224="Engaging"),VLOOKUP(C5224,Products!$A$2:$C$8,3,FALSE),0)</f>
        <v>0</v>
      </c>
    </row>
    <row r="5225" spans="1:10" x14ac:dyDescent="0.25">
      <c r="A5225" t="s">
        <v>5392</v>
      </c>
      <c r="B5225" t="s">
        <v>205</v>
      </c>
      <c r="C5225" t="s">
        <v>120</v>
      </c>
      <c r="E5225" t="s">
        <v>155</v>
      </c>
      <c r="F5225" s="1">
        <v>42940</v>
      </c>
      <c r="I5225" t="str">
        <f>IF(COUNTIF(Products!$A$2:$A$8,C5225)=0,C5225,"")</f>
        <v/>
      </c>
      <c r="J5225">
        <f>IF(OR(E5225="Prospecting",E5225="Engaging"),VLOOKUP(C5225,Products!$A$2:$C$8,3,FALSE),0)</f>
        <v>550</v>
      </c>
    </row>
    <row r="5226" spans="1:10" x14ac:dyDescent="0.25">
      <c r="A5226" t="s">
        <v>5393</v>
      </c>
      <c r="B5226" t="s">
        <v>205</v>
      </c>
      <c r="C5226" t="s">
        <v>127</v>
      </c>
      <c r="E5226" t="s">
        <v>155</v>
      </c>
      <c r="F5226" s="1">
        <v>42940</v>
      </c>
      <c r="I5226" t="str">
        <f>IF(COUNTIF(Products!$A$2:$A$8,C5226)=0,C5226,"")</f>
        <v/>
      </c>
      <c r="J5226">
        <f>IF(OR(E5226="Prospecting",E5226="Engaging"),VLOOKUP(C5226,Products!$A$2:$C$8,3,FALSE),0)</f>
        <v>1096</v>
      </c>
    </row>
    <row r="5227" spans="1:10" x14ac:dyDescent="0.25">
      <c r="A5227" t="s">
        <v>5394</v>
      </c>
      <c r="B5227" t="s">
        <v>205</v>
      </c>
      <c r="C5227" t="s">
        <v>127</v>
      </c>
      <c r="D5227" t="s">
        <v>70</v>
      </c>
      <c r="E5227" t="s">
        <v>138</v>
      </c>
      <c r="F5227" s="1">
        <v>42940</v>
      </c>
      <c r="G5227" s="1">
        <v>42941</v>
      </c>
      <c r="H5227">
        <v>1171</v>
      </c>
      <c r="I5227" t="str">
        <f>IF(COUNTIF(Products!$A$2:$A$8,C5227)=0,C5227,"")</f>
        <v/>
      </c>
      <c r="J5227">
        <f>IF(OR(E5227="Prospecting",E5227="Engaging"),VLOOKUP(C5227,Products!$A$2:$C$8,3,FALSE),0)</f>
        <v>0</v>
      </c>
    </row>
    <row r="5228" spans="1:10" x14ac:dyDescent="0.25">
      <c r="A5228" t="s">
        <v>5395</v>
      </c>
      <c r="B5228" t="s">
        <v>162</v>
      </c>
      <c r="C5228" t="s">
        <v>123</v>
      </c>
      <c r="E5228" t="s">
        <v>155</v>
      </c>
      <c r="F5228" s="1">
        <v>42940</v>
      </c>
      <c r="I5228" t="str">
        <f>IF(COUNTIF(Products!$A$2:$A$8,C5228)=0,C5228,"")</f>
        <v/>
      </c>
      <c r="J5228">
        <f>IF(OR(E5228="Prospecting",E5228="Engaging"),VLOOKUP(C5228,Products!$A$2:$C$8,3,FALSE),0)</f>
        <v>55</v>
      </c>
    </row>
    <row r="5229" spans="1:10" x14ac:dyDescent="0.25">
      <c r="A5229" t="s">
        <v>5396</v>
      </c>
      <c r="B5229" t="s">
        <v>137</v>
      </c>
      <c r="C5229" t="s">
        <v>120</v>
      </c>
      <c r="D5229" t="s">
        <v>56</v>
      </c>
      <c r="E5229" t="s">
        <v>155</v>
      </c>
      <c r="F5229" s="1">
        <v>42940</v>
      </c>
      <c r="I5229" t="str">
        <f>IF(COUNTIF(Products!$A$2:$A$8,C5229)=0,C5229,"")</f>
        <v/>
      </c>
      <c r="J5229">
        <f>IF(OR(E5229="Prospecting",E5229="Engaging"),VLOOKUP(C5229,Products!$A$2:$C$8,3,FALSE),0)</f>
        <v>550</v>
      </c>
    </row>
    <row r="5230" spans="1:10" x14ac:dyDescent="0.25">
      <c r="A5230" t="s">
        <v>5397</v>
      </c>
      <c r="B5230" t="s">
        <v>137</v>
      </c>
      <c r="C5230" t="s">
        <v>123</v>
      </c>
      <c r="D5230" t="s">
        <v>25</v>
      </c>
      <c r="E5230" t="s">
        <v>155</v>
      </c>
      <c r="F5230" s="1">
        <v>42940</v>
      </c>
      <c r="I5230" t="str">
        <f>IF(COUNTIF(Products!$A$2:$A$8,C5230)=0,C5230,"")</f>
        <v/>
      </c>
      <c r="J5230">
        <f>IF(OR(E5230="Prospecting",E5230="Engaging"),VLOOKUP(C5230,Products!$A$2:$C$8,3,FALSE),0)</f>
        <v>55</v>
      </c>
    </row>
    <row r="5231" spans="1:10" x14ac:dyDescent="0.25">
      <c r="A5231" t="s">
        <v>5398</v>
      </c>
      <c r="B5231" t="s">
        <v>137</v>
      </c>
      <c r="C5231" t="s">
        <v>123</v>
      </c>
      <c r="D5231" t="s">
        <v>32</v>
      </c>
      <c r="E5231" t="s">
        <v>138</v>
      </c>
      <c r="F5231" s="1">
        <v>42940</v>
      </c>
      <c r="G5231" s="1">
        <v>42941</v>
      </c>
      <c r="H5231">
        <v>58</v>
      </c>
      <c r="I5231" t="str">
        <f>IF(COUNTIF(Products!$A$2:$A$8,C5231)=0,C5231,"")</f>
        <v/>
      </c>
      <c r="J5231">
        <f>IF(OR(E5231="Prospecting",E5231="Engaging"),VLOOKUP(C5231,Products!$A$2:$C$8,3,FALSE),0)</f>
        <v>0</v>
      </c>
    </row>
    <row r="5232" spans="1:10" x14ac:dyDescent="0.25">
      <c r="A5232" t="s">
        <v>5399</v>
      </c>
      <c r="B5232" t="s">
        <v>152</v>
      </c>
      <c r="C5232" t="s">
        <v>122</v>
      </c>
      <c r="E5232" t="s">
        <v>155</v>
      </c>
      <c r="F5232" s="1">
        <v>42940</v>
      </c>
      <c r="I5232" t="str">
        <f>IF(COUNTIF(Products!$A$2:$A$8,C5232)=0,C5232,"")</f>
        <v/>
      </c>
      <c r="J5232">
        <f>IF(OR(E5232="Prospecting",E5232="Engaging"),VLOOKUP(C5232,Products!$A$2:$C$8,3,FALSE),0)</f>
        <v>4821</v>
      </c>
    </row>
    <row r="5233" spans="1:10" x14ac:dyDescent="0.25">
      <c r="A5233" t="s">
        <v>5400</v>
      </c>
      <c r="B5233" t="s">
        <v>152</v>
      </c>
      <c r="C5233" t="s">
        <v>120</v>
      </c>
      <c r="D5233" t="s">
        <v>96</v>
      </c>
      <c r="E5233" t="s">
        <v>159</v>
      </c>
      <c r="F5233" s="1">
        <v>42940</v>
      </c>
      <c r="G5233" s="1">
        <v>43045</v>
      </c>
      <c r="H5233">
        <v>0</v>
      </c>
      <c r="I5233" t="str">
        <f>IF(COUNTIF(Products!$A$2:$A$8,C5233)=0,C5233,"")</f>
        <v/>
      </c>
      <c r="J5233">
        <f>IF(OR(E5233="Prospecting",E5233="Engaging"),VLOOKUP(C5233,Products!$A$2:$C$8,3,FALSE),0)</f>
        <v>0</v>
      </c>
    </row>
    <row r="5234" spans="1:10" x14ac:dyDescent="0.25">
      <c r="A5234" t="s">
        <v>5401</v>
      </c>
      <c r="B5234" t="s">
        <v>187</v>
      </c>
      <c r="C5234" t="s">
        <v>122</v>
      </c>
      <c r="D5234" t="s">
        <v>110</v>
      </c>
      <c r="E5234" t="s">
        <v>159</v>
      </c>
      <c r="F5234" s="1">
        <v>42940</v>
      </c>
      <c r="G5234" s="1">
        <v>42942</v>
      </c>
      <c r="H5234">
        <v>0</v>
      </c>
      <c r="I5234" t="str">
        <f>IF(COUNTIF(Products!$A$2:$A$8,C5234)=0,C5234,"")</f>
        <v/>
      </c>
      <c r="J5234">
        <f>IF(OR(E5234="Prospecting",E5234="Engaging"),VLOOKUP(C5234,Products!$A$2:$C$8,3,FALSE),0)</f>
        <v>0</v>
      </c>
    </row>
    <row r="5235" spans="1:10" x14ac:dyDescent="0.25">
      <c r="A5235" t="s">
        <v>5402</v>
      </c>
      <c r="B5235" t="s">
        <v>187</v>
      </c>
      <c r="C5235" t="s">
        <v>123</v>
      </c>
      <c r="D5235" t="s">
        <v>115</v>
      </c>
      <c r="E5235" t="s">
        <v>138</v>
      </c>
      <c r="F5235" s="1">
        <v>42940</v>
      </c>
      <c r="G5235" s="1">
        <v>42941</v>
      </c>
      <c r="H5235">
        <v>59</v>
      </c>
      <c r="I5235" t="str">
        <f>IF(COUNTIF(Products!$A$2:$A$8,C5235)=0,C5235,"")</f>
        <v/>
      </c>
      <c r="J5235">
        <f>IF(OR(E5235="Prospecting",E5235="Engaging"),VLOOKUP(C5235,Products!$A$2:$C$8,3,FALSE),0)</f>
        <v>0</v>
      </c>
    </row>
    <row r="5236" spans="1:10" x14ac:dyDescent="0.25">
      <c r="A5236" t="s">
        <v>5403</v>
      </c>
      <c r="B5236" t="s">
        <v>169</v>
      </c>
      <c r="C5236" t="s">
        <v>120</v>
      </c>
      <c r="D5236" t="s">
        <v>111</v>
      </c>
      <c r="E5236" t="s">
        <v>155</v>
      </c>
      <c r="F5236" s="1">
        <v>42940</v>
      </c>
      <c r="I5236" t="str">
        <f>IF(COUNTIF(Products!$A$2:$A$8,C5236)=0,C5236,"")</f>
        <v/>
      </c>
      <c r="J5236">
        <f>IF(OR(E5236="Prospecting",E5236="Engaging"),VLOOKUP(C5236,Products!$A$2:$C$8,3,FALSE),0)</f>
        <v>550</v>
      </c>
    </row>
    <row r="5237" spans="1:10" x14ac:dyDescent="0.25">
      <c r="A5237" t="s">
        <v>5404</v>
      </c>
      <c r="B5237" t="s">
        <v>169</v>
      </c>
      <c r="C5237" t="s">
        <v>127</v>
      </c>
      <c r="E5237" t="s">
        <v>155</v>
      </c>
      <c r="F5237" s="1">
        <v>42940</v>
      </c>
      <c r="I5237" t="str">
        <f>IF(COUNTIF(Products!$A$2:$A$8,C5237)=0,C5237,"")</f>
        <v/>
      </c>
      <c r="J5237">
        <f>IF(OR(E5237="Prospecting",E5237="Engaging"),VLOOKUP(C5237,Products!$A$2:$C$8,3,FALSE),0)</f>
        <v>1096</v>
      </c>
    </row>
    <row r="5238" spans="1:10" x14ac:dyDescent="0.25">
      <c r="A5238" t="s">
        <v>5405</v>
      </c>
      <c r="B5238" t="s">
        <v>169</v>
      </c>
      <c r="C5238" t="s">
        <v>123</v>
      </c>
      <c r="E5238" t="s">
        <v>155</v>
      </c>
      <c r="F5238" s="1">
        <v>42940</v>
      </c>
      <c r="I5238" t="str">
        <f>IF(COUNTIF(Products!$A$2:$A$8,C5238)=0,C5238,"")</f>
        <v/>
      </c>
      <c r="J5238">
        <f>IF(OR(E5238="Prospecting",E5238="Engaging"),VLOOKUP(C5238,Products!$A$2:$C$8,3,FALSE),0)</f>
        <v>55</v>
      </c>
    </row>
    <row r="5239" spans="1:10" x14ac:dyDescent="0.25">
      <c r="A5239" t="s">
        <v>5406</v>
      </c>
      <c r="B5239" t="s">
        <v>169</v>
      </c>
      <c r="C5239" t="s">
        <v>123</v>
      </c>
      <c r="E5239" t="s">
        <v>155</v>
      </c>
      <c r="F5239" s="1">
        <v>42940</v>
      </c>
      <c r="I5239" t="str">
        <f>IF(COUNTIF(Products!$A$2:$A$8,C5239)=0,C5239,"")</f>
        <v/>
      </c>
      <c r="J5239">
        <f>IF(OR(E5239="Prospecting",E5239="Engaging"),VLOOKUP(C5239,Products!$A$2:$C$8,3,FALSE),0)</f>
        <v>55</v>
      </c>
    </row>
    <row r="5240" spans="1:10" x14ac:dyDescent="0.25">
      <c r="A5240" t="s">
        <v>5407</v>
      </c>
      <c r="B5240" t="s">
        <v>169</v>
      </c>
      <c r="C5240" t="s">
        <v>123</v>
      </c>
      <c r="E5240" t="s">
        <v>155</v>
      </c>
      <c r="F5240" s="1">
        <v>42940</v>
      </c>
      <c r="I5240" t="str">
        <f>IF(COUNTIF(Products!$A$2:$A$8,C5240)=0,C5240,"")</f>
        <v/>
      </c>
      <c r="J5240">
        <f>IF(OR(E5240="Prospecting",E5240="Engaging"),VLOOKUP(C5240,Products!$A$2:$C$8,3,FALSE),0)</f>
        <v>55</v>
      </c>
    </row>
    <row r="5241" spans="1:10" x14ac:dyDescent="0.25">
      <c r="A5241" t="s">
        <v>5408</v>
      </c>
      <c r="B5241" t="s">
        <v>169</v>
      </c>
      <c r="C5241" t="s">
        <v>125</v>
      </c>
      <c r="D5241" t="s">
        <v>34</v>
      </c>
      <c r="E5241" t="s">
        <v>155</v>
      </c>
      <c r="F5241" s="1">
        <v>42940</v>
      </c>
      <c r="I5241" t="str">
        <f>IF(COUNTIF(Products!$A$2:$A$8,C5241)=0,C5241,"")</f>
        <v/>
      </c>
      <c r="J5241">
        <f>IF(OR(E5241="Prospecting",E5241="Engaging"),VLOOKUP(C5241,Products!$A$2:$C$8,3,FALSE),0)</f>
        <v>3393</v>
      </c>
    </row>
    <row r="5242" spans="1:10" x14ac:dyDescent="0.25">
      <c r="A5242" t="s">
        <v>5409</v>
      </c>
      <c r="B5242" t="s">
        <v>169</v>
      </c>
      <c r="C5242" t="s">
        <v>125</v>
      </c>
      <c r="D5242" t="s">
        <v>88</v>
      </c>
      <c r="E5242" t="s">
        <v>155</v>
      </c>
      <c r="F5242" s="1">
        <v>42940</v>
      </c>
      <c r="I5242" t="str">
        <f>IF(COUNTIF(Products!$A$2:$A$8,C5242)=0,C5242,"")</f>
        <v/>
      </c>
      <c r="J5242">
        <f>IF(OR(E5242="Prospecting",E5242="Engaging"),VLOOKUP(C5242,Products!$A$2:$C$8,3,FALSE),0)</f>
        <v>3393</v>
      </c>
    </row>
    <row r="5243" spans="1:10" x14ac:dyDescent="0.25">
      <c r="A5243" t="s">
        <v>5410</v>
      </c>
      <c r="B5243" t="s">
        <v>169</v>
      </c>
      <c r="C5243" t="s">
        <v>123</v>
      </c>
      <c r="D5243" t="s">
        <v>61</v>
      </c>
      <c r="E5243" t="s">
        <v>138</v>
      </c>
      <c r="F5243" s="1">
        <v>42940</v>
      </c>
      <c r="G5243" s="1">
        <v>42947</v>
      </c>
      <c r="H5243">
        <v>50</v>
      </c>
      <c r="I5243" t="str">
        <f>IF(COUNTIF(Products!$A$2:$A$8,C5243)=0,C5243,"")</f>
        <v/>
      </c>
      <c r="J5243">
        <f>IF(OR(E5243="Prospecting",E5243="Engaging"),VLOOKUP(C5243,Products!$A$2:$C$8,3,FALSE),0)</f>
        <v>0</v>
      </c>
    </row>
    <row r="5244" spans="1:10" x14ac:dyDescent="0.25">
      <c r="A5244" t="s">
        <v>5411</v>
      </c>
      <c r="B5244" t="s">
        <v>148</v>
      </c>
      <c r="C5244" t="s">
        <v>126</v>
      </c>
      <c r="D5244" t="s">
        <v>60</v>
      </c>
      <c r="E5244" t="s">
        <v>159</v>
      </c>
      <c r="F5244" s="1">
        <v>42940</v>
      </c>
      <c r="G5244" s="1">
        <v>43060</v>
      </c>
      <c r="H5244">
        <v>0</v>
      </c>
      <c r="I5244" t="str">
        <f>IF(COUNTIF(Products!$A$2:$A$8,C5244)=0,C5244,"")</f>
        <v/>
      </c>
      <c r="J5244">
        <f>IF(OR(E5244="Prospecting",E5244="Engaging"),VLOOKUP(C5244,Products!$A$2:$C$8,3,FALSE),0)</f>
        <v>0</v>
      </c>
    </row>
    <row r="5245" spans="1:10" x14ac:dyDescent="0.25">
      <c r="A5245" t="s">
        <v>5412</v>
      </c>
      <c r="B5245" t="s">
        <v>177</v>
      </c>
      <c r="C5245" t="s">
        <v>123</v>
      </c>
      <c r="D5245" t="s">
        <v>68</v>
      </c>
      <c r="E5245" t="s">
        <v>159</v>
      </c>
      <c r="F5245" s="1">
        <v>42940</v>
      </c>
      <c r="G5245" s="1">
        <v>42946</v>
      </c>
      <c r="H5245">
        <v>0</v>
      </c>
      <c r="I5245" t="str">
        <f>IF(COUNTIF(Products!$A$2:$A$8,C5245)=0,C5245,"")</f>
        <v/>
      </c>
      <c r="J5245">
        <f>IF(OR(E5245="Prospecting",E5245="Engaging"),VLOOKUP(C5245,Products!$A$2:$C$8,3,FALSE),0)</f>
        <v>0</v>
      </c>
    </row>
    <row r="5246" spans="1:10" x14ac:dyDescent="0.25">
      <c r="A5246" t="s">
        <v>5413</v>
      </c>
      <c r="B5246" t="s">
        <v>146</v>
      </c>
      <c r="C5246" t="s">
        <v>123</v>
      </c>
      <c r="D5246" t="s">
        <v>29</v>
      </c>
      <c r="E5246" t="s">
        <v>155</v>
      </c>
      <c r="F5246" s="1">
        <v>42941</v>
      </c>
      <c r="I5246" t="str">
        <f>IF(COUNTIF(Products!$A$2:$A$8,C5246)=0,C5246,"")</f>
        <v/>
      </c>
      <c r="J5246">
        <f>IF(OR(E5246="Prospecting",E5246="Engaging"),VLOOKUP(C5246,Products!$A$2:$C$8,3,FALSE),0)</f>
        <v>55</v>
      </c>
    </row>
    <row r="5247" spans="1:10" x14ac:dyDescent="0.25">
      <c r="A5247" t="s">
        <v>5414</v>
      </c>
      <c r="B5247" t="s">
        <v>146</v>
      </c>
      <c r="C5247" t="s">
        <v>125</v>
      </c>
      <c r="D5247" t="s">
        <v>29</v>
      </c>
      <c r="E5247" t="s">
        <v>155</v>
      </c>
      <c r="F5247" s="1">
        <v>42941</v>
      </c>
      <c r="I5247" t="str">
        <f>IF(COUNTIF(Products!$A$2:$A$8,C5247)=0,C5247,"")</f>
        <v/>
      </c>
      <c r="J5247">
        <f>IF(OR(E5247="Prospecting",E5247="Engaging"),VLOOKUP(C5247,Products!$A$2:$C$8,3,FALSE),0)</f>
        <v>3393</v>
      </c>
    </row>
    <row r="5248" spans="1:10" x14ac:dyDescent="0.25">
      <c r="A5248" t="s">
        <v>5415</v>
      </c>
      <c r="B5248" t="s">
        <v>146</v>
      </c>
      <c r="C5248" t="s">
        <v>125</v>
      </c>
      <c r="D5248" t="s">
        <v>35</v>
      </c>
      <c r="E5248" t="s">
        <v>155</v>
      </c>
      <c r="F5248" s="1">
        <v>42941</v>
      </c>
      <c r="I5248" t="str">
        <f>IF(COUNTIF(Products!$A$2:$A$8,C5248)=0,C5248,"")</f>
        <v/>
      </c>
      <c r="J5248">
        <f>IF(OR(E5248="Prospecting",E5248="Engaging"),VLOOKUP(C5248,Products!$A$2:$C$8,3,FALSE),0)</f>
        <v>3393</v>
      </c>
    </row>
    <row r="5249" spans="1:10" x14ac:dyDescent="0.25">
      <c r="A5249" t="s">
        <v>5416</v>
      </c>
      <c r="B5249" t="s">
        <v>222</v>
      </c>
      <c r="C5249" t="s">
        <v>120</v>
      </c>
      <c r="D5249" t="s">
        <v>81</v>
      </c>
      <c r="E5249" t="s">
        <v>159</v>
      </c>
      <c r="F5249" s="1">
        <v>42941</v>
      </c>
      <c r="G5249" s="1">
        <v>42950</v>
      </c>
      <c r="H5249">
        <v>0</v>
      </c>
      <c r="I5249" t="str">
        <f>IF(COUNTIF(Products!$A$2:$A$8,C5249)=0,C5249,"")</f>
        <v/>
      </c>
      <c r="J5249">
        <f>IF(OR(E5249="Prospecting",E5249="Engaging"),VLOOKUP(C5249,Products!$A$2:$C$8,3,FALSE),0)</f>
        <v>0</v>
      </c>
    </row>
    <row r="5250" spans="1:10" x14ac:dyDescent="0.25">
      <c r="A5250" t="s">
        <v>5417</v>
      </c>
      <c r="B5250" t="s">
        <v>222</v>
      </c>
      <c r="C5250" t="s">
        <v>123</v>
      </c>
      <c r="D5250" t="s">
        <v>65</v>
      </c>
      <c r="E5250" t="s">
        <v>138</v>
      </c>
      <c r="F5250" s="1">
        <v>42941</v>
      </c>
      <c r="G5250" s="1">
        <v>42948</v>
      </c>
      <c r="H5250">
        <v>48</v>
      </c>
      <c r="I5250" t="str">
        <f>IF(COUNTIF(Products!$A$2:$A$8,C5250)=0,C5250,"")</f>
        <v/>
      </c>
      <c r="J5250">
        <f>IF(OR(E5250="Prospecting",E5250="Engaging"),VLOOKUP(C5250,Products!$A$2:$C$8,3,FALSE),0)</f>
        <v>0</v>
      </c>
    </row>
    <row r="5251" spans="1:10" x14ac:dyDescent="0.25">
      <c r="A5251" t="s">
        <v>5418</v>
      </c>
      <c r="B5251" t="s">
        <v>207</v>
      </c>
      <c r="C5251" t="s">
        <v>120</v>
      </c>
      <c r="D5251" t="s">
        <v>20</v>
      </c>
      <c r="E5251" t="s">
        <v>138</v>
      </c>
      <c r="F5251" s="1">
        <v>42941</v>
      </c>
      <c r="G5251" s="1">
        <v>42968</v>
      </c>
      <c r="H5251">
        <v>511</v>
      </c>
      <c r="I5251" t="str">
        <f>IF(COUNTIF(Products!$A$2:$A$8,C5251)=0,C5251,"")</f>
        <v/>
      </c>
      <c r="J5251">
        <f>IF(OR(E5251="Prospecting",E5251="Engaging"),VLOOKUP(C5251,Products!$A$2:$C$8,3,FALSE),0)</f>
        <v>0</v>
      </c>
    </row>
    <row r="5252" spans="1:10" x14ac:dyDescent="0.25">
      <c r="A5252" t="s">
        <v>5419</v>
      </c>
      <c r="B5252" t="s">
        <v>207</v>
      </c>
      <c r="C5252" t="s">
        <v>127</v>
      </c>
      <c r="D5252" t="s">
        <v>25</v>
      </c>
      <c r="E5252" t="s">
        <v>138</v>
      </c>
      <c r="F5252" s="1">
        <v>42941</v>
      </c>
      <c r="G5252" s="1">
        <v>42945</v>
      </c>
      <c r="H5252">
        <v>1311</v>
      </c>
      <c r="I5252" t="str">
        <f>IF(COUNTIF(Products!$A$2:$A$8,C5252)=0,C5252,"")</f>
        <v/>
      </c>
      <c r="J5252">
        <f>IF(OR(E5252="Prospecting",E5252="Engaging"),VLOOKUP(C5252,Products!$A$2:$C$8,3,FALSE),0)</f>
        <v>0</v>
      </c>
    </row>
    <row r="5253" spans="1:10" x14ac:dyDescent="0.25">
      <c r="A5253" t="s">
        <v>5420</v>
      </c>
      <c r="B5253" t="s">
        <v>264</v>
      </c>
      <c r="C5253" t="s">
        <v>120</v>
      </c>
      <c r="E5253" t="s">
        <v>155</v>
      </c>
      <c r="F5253" s="1">
        <v>42941</v>
      </c>
      <c r="I5253" t="str">
        <f>IF(COUNTIF(Products!$A$2:$A$8,C5253)=0,C5253,"")</f>
        <v/>
      </c>
      <c r="J5253">
        <f>IF(OR(E5253="Prospecting",E5253="Engaging"),VLOOKUP(C5253,Products!$A$2:$C$8,3,FALSE),0)</f>
        <v>550</v>
      </c>
    </row>
    <row r="5254" spans="1:10" x14ac:dyDescent="0.25">
      <c r="A5254" t="s">
        <v>5421</v>
      </c>
      <c r="B5254" t="s">
        <v>264</v>
      </c>
      <c r="C5254" t="s">
        <v>125</v>
      </c>
      <c r="D5254" t="s">
        <v>55</v>
      </c>
      <c r="E5254" t="s">
        <v>155</v>
      </c>
      <c r="F5254" s="1">
        <v>42941</v>
      </c>
      <c r="I5254" t="str">
        <f>IF(COUNTIF(Products!$A$2:$A$8,C5254)=0,C5254,"")</f>
        <v/>
      </c>
      <c r="J5254">
        <f>IF(OR(E5254="Prospecting",E5254="Engaging"),VLOOKUP(C5254,Products!$A$2:$C$8,3,FALSE),0)</f>
        <v>3393</v>
      </c>
    </row>
    <row r="5255" spans="1:10" x14ac:dyDescent="0.25">
      <c r="A5255" t="s">
        <v>5422</v>
      </c>
      <c r="B5255" t="s">
        <v>264</v>
      </c>
      <c r="C5255" t="s">
        <v>123</v>
      </c>
      <c r="D5255" t="s">
        <v>36</v>
      </c>
      <c r="E5255" t="s">
        <v>159</v>
      </c>
      <c r="F5255" s="1">
        <v>42941</v>
      </c>
      <c r="G5255" s="1">
        <v>42943</v>
      </c>
      <c r="H5255">
        <v>0</v>
      </c>
      <c r="I5255" t="str">
        <f>IF(COUNTIF(Products!$A$2:$A$8,C5255)=0,C5255,"")</f>
        <v/>
      </c>
      <c r="J5255">
        <f>IF(OR(E5255="Prospecting",E5255="Engaging"),VLOOKUP(C5255,Products!$A$2:$C$8,3,FALSE),0)</f>
        <v>0</v>
      </c>
    </row>
    <row r="5256" spans="1:10" x14ac:dyDescent="0.25">
      <c r="A5256" t="s">
        <v>5423</v>
      </c>
      <c r="B5256" t="s">
        <v>239</v>
      </c>
      <c r="C5256" t="s">
        <v>120</v>
      </c>
      <c r="D5256" t="s">
        <v>67</v>
      </c>
      <c r="E5256" t="s">
        <v>159</v>
      </c>
      <c r="F5256" s="1">
        <v>42941</v>
      </c>
      <c r="G5256" s="1">
        <v>42949</v>
      </c>
      <c r="H5256">
        <v>0</v>
      </c>
      <c r="I5256" t="str">
        <f>IF(COUNTIF(Products!$A$2:$A$8,C5256)=0,C5256,"")</f>
        <v/>
      </c>
      <c r="J5256">
        <f>IF(OR(E5256="Prospecting",E5256="Engaging"),VLOOKUP(C5256,Products!$A$2:$C$8,3,FALSE),0)</f>
        <v>0</v>
      </c>
    </row>
    <row r="5257" spans="1:10" x14ac:dyDescent="0.25">
      <c r="A5257" t="s">
        <v>5424</v>
      </c>
      <c r="B5257" t="s">
        <v>171</v>
      </c>
      <c r="C5257" t="s">
        <v>126</v>
      </c>
      <c r="D5257" t="s">
        <v>84</v>
      </c>
      <c r="E5257" t="s">
        <v>138</v>
      </c>
      <c r="F5257" s="1">
        <v>42941</v>
      </c>
      <c r="G5257" s="1">
        <v>42943</v>
      </c>
      <c r="H5257">
        <v>6100</v>
      </c>
      <c r="I5257" t="str">
        <f>IF(COUNTIF(Products!$A$2:$A$8,C5257)=0,C5257,"")</f>
        <v/>
      </c>
      <c r="J5257">
        <f>IF(OR(E5257="Prospecting",E5257="Engaging"),VLOOKUP(C5257,Products!$A$2:$C$8,3,FALSE),0)</f>
        <v>0</v>
      </c>
    </row>
    <row r="5258" spans="1:10" x14ac:dyDescent="0.25">
      <c r="A5258" t="s">
        <v>5425</v>
      </c>
      <c r="B5258" t="s">
        <v>171</v>
      </c>
      <c r="C5258" t="s">
        <v>123</v>
      </c>
      <c r="D5258" t="s">
        <v>92</v>
      </c>
      <c r="E5258" t="s">
        <v>138</v>
      </c>
      <c r="F5258" s="1">
        <v>42941</v>
      </c>
      <c r="G5258" s="1">
        <v>42948</v>
      </c>
      <c r="H5258">
        <v>61</v>
      </c>
      <c r="I5258" t="str">
        <f>IF(COUNTIF(Products!$A$2:$A$8,C5258)=0,C5258,"")</f>
        <v/>
      </c>
      <c r="J5258">
        <f>IF(OR(E5258="Prospecting",E5258="Engaging"),VLOOKUP(C5258,Products!$A$2:$C$8,3,FALSE),0)</f>
        <v>0</v>
      </c>
    </row>
    <row r="5259" spans="1:10" x14ac:dyDescent="0.25">
      <c r="A5259" t="s">
        <v>5426</v>
      </c>
      <c r="B5259" t="s">
        <v>140</v>
      </c>
      <c r="C5259" t="s">
        <v>120</v>
      </c>
      <c r="E5259" t="s">
        <v>155</v>
      </c>
      <c r="F5259" s="1">
        <v>42941</v>
      </c>
      <c r="I5259" t="str">
        <f>IF(COUNTIF(Products!$A$2:$A$8,C5259)=0,C5259,"")</f>
        <v/>
      </c>
      <c r="J5259">
        <f>IF(OR(E5259="Prospecting",E5259="Engaging"),VLOOKUP(C5259,Products!$A$2:$C$8,3,FALSE),0)</f>
        <v>550</v>
      </c>
    </row>
    <row r="5260" spans="1:10" x14ac:dyDescent="0.25">
      <c r="A5260" t="s">
        <v>5427</v>
      </c>
      <c r="B5260" t="s">
        <v>140</v>
      </c>
      <c r="C5260" t="s">
        <v>120</v>
      </c>
      <c r="E5260" t="s">
        <v>155</v>
      </c>
      <c r="F5260" s="1">
        <v>42941</v>
      </c>
      <c r="I5260" t="str">
        <f>IF(COUNTIF(Products!$A$2:$A$8,C5260)=0,C5260,"")</f>
        <v/>
      </c>
      <c r="J5260">
        <f>IF(OR(E5260="Prospecting",E5260="Engaging"),VLOOKUP(C5260,Products!$A$2:$C$8,3,FALSE),0)</f>
        <v>550</v>
      </c>
    </row>
    <row r="5261" spans="1:10" x14ac:dyDescent="0.25">
      <c r="A5261" t="s">
        <v>5428</v>
      </c>
      <c r="B5261" t="s">
        <v>140</v>
      </c>
      <c r="C5261" t="s">
        <v>122</v>
      </c>
      <c r="D5261" t="s">
        <v>64</v>
      </c>
      <c r="E5261" t="s">
        <v>155</v>
      </c>
      <c r="F5261" s="1">
        <v>42941</v>
      </c>
      <c r="I5261" t="str">
        <f>IF(COUNTIF(Products!$A$2:$A$8,C5261)=0,C5261,"")</f>
        <v/>
      </c>
      <c r="J5261">
        <f>IF(OR(E5261="Prospecting",E5261="Engaging"),VLOOKUP(C5261,Products!$A$2:$C$8,3,FALSE),0)</f>
        <v>4821</v>
      </c>
    </row>
    <row r="5262" spans="1:10" x14ac:dyDescent="0.25">
      <c r="A5262" t="s">
        <v>5429</v>
      </c>
      <c r="B5262" t="s">
        <v>140</v>
      </c>
      <c r="C5262" t="s">
        <v>122</v>
      </c>
      <c r="D5262" t="s">
        <v>64</v>
      </c>
      <c r="E5262" t="s">
        <v>155</v>
      </c>
      <c r="F5262" s="1">
        <v>42941</v>
      </c>
      <c r="I5262" t="str">
        <f>IF(COUNTIF(Products!$A$2:$A$8,C5262)=0,C5262,"")</f>
        <v/>
      </c>
      <c r="J5262">
        <f>IF(OR(E5262="Prospecting",E5262="Engaging"),VLOOKUP(C5262,Products!$A$2:$C$8,3,FALSE),0)</f>
        <v>4821</v>
      </c>
    </row>
    <row r="5263" spans="1:10" x14ac:dyDescent="0.25">
      <c r="A5263" t="s">
        <v>5430</v>
      </c>
      <c r="B5263" t="s">
        <v>140</v>
      </c>
      <c r="C5263" t="s">
        <v>122</v>
      </c>
      <c r="E5263" t="s">
        <v>155</v>
      </c>
      <c r="F5263" s="1">
        <v>42941</v>
      </c>
      <c r="I5263" t="str">
        <f>IF(COUNTIF(Products!$A$2:$A$8,C5263)=0,C5263,"")</f>
        <v/>
      </c>
      <c r="J5263">
        <f>IF(OR(E5263="Prospecting",E5263="Engaging"),VLOOKUP(C5263,Products!$A$2:$C$8,3,FALSE),0)</f>
        <v>4821</v>
      </c>
    </row>
    <row r="5264" spans="1:10" x14ac:dyDescent="0.25">
      <c r="A5264" t="s">
        <v>5431</v>
      </c>
      <c r="B5264" t="s">
        <v>140</v>
      </c>
      <c r="C5264" t="s">
        <v>122</v>
      </c>
      <c r="E5264" t="s">
        <v>155</v>
      </c>
      <c r="F5264" s="1">
        <v>42941</v>
      </c>
      <c r="I5264" t="str">
        <f>IF(COUNTIF(Products!$A$2:$A$8,C5264)=0,C5264,"")</f>
        <v/>
      </c>
      <c r="J5264">
        <f>IF(OR(E5264="Prospecting",E5264="Engaging"),VLOOKUP(C5264,Products!$A$2:$C$8,3,FALSE),0)</f>
        <v>4821</v>
      </c>
    </row>
    <row r="5265" spans="1:10" x14ac:dyDescent="0.25">
      <c r="A5265" t="s">
        <v>5432</v>
      </c>
      <c r="B5265" t="s">
        <v>140</v>
      </c>
      <c r="C5265" t="s">
        <v>125</v>
      </c>
      <c r="E5265" t="s">
        <v>155</v>
      </c>
      <c r="F5265" s="1">
        <v>42941</v>
      </c>
      <c r="I5265" t="str">
        <f>IF(COUNTIF(Products!$A$2:$A$8,C5265)=0,C5265,"")</f>
        <v/>
      </c>
      <c r="J5265">
        <f>IF(OR(E5265="Prospecting",E5265="Engaging"),VLOOKUP(C5265,Products!$A$2:$C$8,3,FALSE),0)</f>
        <v>3393</v>
      </c>
    </row>
    <row r="5266" spans="1:10" x14ac:dyDescent="0.25">
      <c r="A5266" t="s">
        <v>5433</v>
      </c>
      <c r="B5266" t="s">
        <v>140</v>
      </c>
      <c r="C5266" t="s">
        <v>127</v>
      </c>
      <c r="D5266" t="s">
        <v>64</v>
      </c>
      <c r="E5266" t="s">
        <v>159</v>
      </c>
      <c r="F5266" s="1">
        <v>42941</v>
      </c>
      <c r="G5266" s="1">
        <v>43052</v>
      </c>
      <c r="H5266">
        <v>0</v>
      </c>
      <c r="I5266" t="str">
        <f>IF(COUNTIF(Products!$A$2:$A$8,C5266)=0,C5266,"")</f>
        <v/>
      </c>
      <c r="J5266">
        <f>IF(OR(E5266="Prospecting",E5266="Engaging"),VLOOKUP(C5266,Products!$A$2:$C$8,3,FALSE),0)</f>
        <v>0</v>
      </c>
    </row>
    <row r="5267" spans="1:10" x14ac:dyDescent="0.25">
      <c r="A5267" t="s">
        <v>5434</v>
      </c>
      <c r="B5267" t="s">
        <v>140</v>
      </c>
      <c r="C5267" t="s">
        <v>122</v>
      </c>
      <c r="D5267" t="s">
        <v>30</v>
      </c>
      <c r="E5267" t="s">
        <v>159</v>
      </c>
      <c r="F5267" s="1">
        <v>42941</v>
      </c>
      <c r="G5267" s="1">
        <v>42955</v>
      </c>
      <c r="H5267">
        <v>0</v>
      </c>
      <c r="I5267" t="str">
        <f>IF(COUNTIF(Products!$A$2:$A$8,C5267)=0,C5267,"")</f>
        <v/>
      </c>
      <c r="J5267">
        <f>IF(OR(E5267="Prospecting",E5267="Engaging"),VLOOKUP(C5267,Products!$A$2:$C$8,3,FALSE),0)</f>
        <v>0</v>
      </c>
    </row>
    <row r="5268" spans="1:10" x14ac:dyDescent="0.25">
      <c r="A5268" t="s">
        <v>5435</v>
      </c>
      <c r="B5268" t="s">
        <v>140</v>
      </c>
      <c r="C5268" t="s">
        <v>120</v>
      </c>
      <c r="D5268" t="s">
        <v>88</v>
      </c>
      <c r="E5268" t="s">
        <v>138</v>
      </c>
      <c r="F5268" s="1">
        <v>42941</v>
      </c>
      <c r="G5268" s="1">
        <v>42950</v>
      </c>
      <c r="H5268">
        <v>528</v>
      </c>
      <c r="I5268" t="str">
        <f>IF(COUNTIF(Products!$A$2:$A$8,C5268)=0,C5268,"")</f>
        <v/>
      </c>
      <c r="J5268">
        <f>IF(OR(E5268="Prospecting",E5268="Engaging"),VLOOKUP(C5268,Products!$A$2:$C$8,3,FALSE),0)</f>
        <v>0</v>
      </c>
    </row>
    <row r="5269" spans="1:10" x14ac:dyDescent="0.25">
      <c r="A5269" t="s">
        <v>5436</v>
      </c>
      <c r="B5269" t="s">
        <v>140</v>
      </c>
      <c r="C5269" t="s">
        <v>120</v>
      </c>
      <c r="D5269" t="s">
        <v>94</v>
      </c>
      <c r="E5269" t="s">
        <v>138</v>
      </c>
      <c r="F5269" s="1">
        <v>42941</v>
      </c>
      <c r="G5269" s="1">
        <v>42947</v>
      </c>
      <c r="H5269">
        <v>581</v>
      </c>
      <c r="I5269" t="str">
        <f>IF(COUNTIF(Products!$A$2:$A$8,C5269)=0,C5269,"")</f>
        <v/>
      </c>
      <c r="J5269">
        <f>IF(OR(E5269="Prospecting",E5269="Engaging"),VLOOKUP(C5269,Products!$A$2:$C$8,3,FALSE),0)</f>
        <v>0</v>
      </c>
    </row>
    <row r="5270" spans="1:10" x14ac:dyDescent="0.25">
      <c r="A5270" t="s">
        <v>5437</v>
      </c>
      <c r="B5270" t="s">
        <v>140</v>
      </c>
      <c r="C5270" t="s">
        <v>126</v>
      </c>
      <c r="D5270" t="s">
        <v>103</v>
      </c>
      <c r="E5270" t="s">
        <v>138</v>
      </c>
      <c r="F5270" s="1">
        <v>42941</v>
      </c>
      <c r="G5270" s="1">
        <v>43007</v>
      </c>
      <c r="H5270">
        <v>5947</v>
      </c>
      <c r="I5270" t="str">
        <f>IF(COUNTIF(Products!$A$2:$A$8,C5270)=0,C5270,"")</f>
        <v/>
      </c>
      <c r="J5270">
        <f>IF(OR(E5270="Prospecting",E5270="Engaging"),VLOOKUP(C5270,Products!$A$2:$C$8,3,FALSE),0)</f>
        <v>0</v>
      </c>
    </row>
    <row r="5271" spans="1:10" x14ac:dyDescent="0.25">
      <c r="A5271" t="s">
        <v>5438</v>
      </c>
      <c r="B5271" t="s">
        <v>224</v>
      </c>
      <c r="C5271" t="s">
        <v>125</v>
      </c>
      <c r="D5271" t="s">
        <v>50</v>
      </c>
      <c r="E5271" t="s">
        <v>159</v>
      </c>
      <c r="F5271" s="1">
        <v>42941</v>
      </c>
      <c r="G5271" s="1">
        <v>42949</v>
      </c>
      <c r="H5271">
        <v>0</v>
      </c>
      <c r="I5271" t="str">
        <f>IF(COUNTIF(Products!$A$2:$A$8,C5271)=0,C5271,"")</f>
        <v/>
      </c>
      <c r="J5271">
        <f>IF(OR(E5271="Prospecting",E5271="Engaging"),VLOOKUP(C5271,Products!$A$2:$C$8,3,FALSE),0)</f>
        <v>0</v>
      </c>
    </row>
    <row r="5272" spans="1:10" x14ac:dyDescent="0.25">
      <c r="A5272" t="s">
        <v>5439</v>
      </c>
      <c r="B5272" t="s">
        <v>158</v>
      </c>
      <c r="C5272" t="s">
        <v>120</v>
      </c>
      <c r="E5272" t="s">
        <v>155</v>
      </c>
      <c r="F5272" s="1">
        <v>42941</v>
      </c>
      <c r="I5272" t="str">
        <f>IF(COUNTIF(Products!$A$2:$A$8,C5272)=0,C5272,"")</f>
        <v/>
      </c>
      <c r="J5272">
        <f>IF(OR(E5272="Prospecting",E5272="Engaging"),VLOOKUP(C5272,Products!$A$2:$C$8,3,FALSE),0)</f>
        <v>550</v>
      </c>
    </row>
    <row r="5273" spans="1:10" x14ac:dyDescent="0.25">
      <c r="A5273" t="s">
        <v>5440</v>
      </c>
      <c r="B5273" t="s">
        <v>158</v>
      </c>
      <c r="C5273" t="s">
        <v>125</v>
      </c>
      <c r="E5273" t="s">
        <v>155</v>
      </c>
      <c r="F5273" s="1">
        <v>42941</v>
      </c>
      <c r="I5273" t="str">
        <f>IF(COUNTIF(Products!$A$2:$A$8,C5273)=0,C5273,"")</f>
        <v/>
      </c>
      <c r="J5273">
        <f>IF(OR(E5273="Prospecting",E5273="Engaging"),VLOOKUP(C5273,Products!$A$2:$C$8,3,FALSE),0)</f>
        <v>3393</v>
      </c>
    </row>
    <row r="5274" spans="1:10" x14ac:dyDescent="0.25">
      <c r="A5274" t="s">
        <v>5441</v>
      </c>
      <c r="B5274" t="s">
        <v>158</v>
      </c>
      <c r="C5274" t="s">
        <v>122</v>
      </c>
      <c r="D5274" t="s">
        <v>64</v>
      </c>
      <c r="E5274" t="s">
        <v>159</v>
      </c>
      <c r="F5274" s="1">
        <v>42941</v>
      </c>
      <c r="G5274" s="1">
        <v>43044</v>
      </c>
      <c r="H5274">
        <v>0</v>
      </c>
      <c r="I5274" t="str">
        <f>IF(COUNTIF(Products!$A$2:$A$8,C5274)=0,C5274,"")</f>
        <v/>
      </c>
      <c r="J5274">
        <f>IF(OR(E5274="Prospecting",E5274="Engaging"),VLOOKUP(C5274,Products!$A$2:$C$8,3,FALSE),0)</f>
        <v>0</v>
      </c>
    </row>
    <row r="5275" spans="1:10" x14ac:dyDescent="0.25">
      <c r="A5275" t="s">
        <v>5442</v>
      </c>
      <c r="B5275" t="s">
        <v>164</v>
      </c>
      <c r="C5275" t="s">
        <v>125</v>
      </c>
      <c r="E5275" t="s">
        <v>155</v>
      </c>
      <c r="F5275" s="1">
        <v>42941</v>
      </c>
      <c r="I5275" t="str">
        <f>IF(COUNTIF(Products!$A$2:$A$8,C5275)=0,C5275,"")</f>
        <v/>
      </c>
      <c r="J5275">
        <f>IF(OR(E5275="Prospecting",E5275="Engaging"),VLOOKUP(C5275,Products!$A$2:$C$8,3,FALSE),0)</f>
        <v>3393</v>
      </c>
    </row>
    <row r="5276" spans="1:10" x14ac:dyDescent="0.25">
      <c r="A5276" t="s">
        <v>5443</v>
      </c>
      <c r="B5276" t="s">
        <v>303</v>
      </c>
      <c r="C5276" t="s">
        <v>120</v>
      </c>
      <c r="E5276" t="s">
        <v>155</v>
      </c>
      <c r="F5276" s="1">
        <v>42941</v>
      </c>
      <c r="I5276" t="str">
        <f>IF(COUNTIF(Products!$A$2:$A$8,C5276)=0,C5276,"")</f>
        <v/>
      </c>
      <c r="J5276">
        <f>IF(OR(E5276="Prospecting",E5276="Engaging"),VLOOKUP(C5276,Products!$A$2:$C$8,3,FALSE),0)</f>
        <v>550</v>
      </c>
    </row>
    <row r="5277" spans="1:10" x14ac:dyDescent="0.25">
      <c r="A5277" t="s">
        <v>5444</v>
      </c>
      <c r="B5277" t="s">
        <v>180</v>
      </c>
      <c r="C5277" t="s">
        <v>120</v>
      </c>
      <c r="D5277" t="s">
        <v>57</v>
      </c>
      <c r="E5277" t="s">
        <v>138</v>
      </c>
      <c r="F5277" s="1">
        <v>42941</v>
      </c>
      <c r="G5277" s="1">
        <v>43071</v>
      </c>
      <c r="H5277">
        <v>508</v>
      </c>
      <c r="I5277" t="str">
        <f>IF(COUNTIF(Products!$A$2:$A$8,C5277)=0,C5277,"")</f>
        <v/>
      </c>
      <c r="J5277">
        <f>IF(OR(E5277="Prospecting",E5277="Engaging"),VLOOKUP(C5277,Products!$A$2:$C$8,3,FALSE),0)</f>
        <v>0</v>
      </c>
    </row>
    <row r="5278" spans="1:10" x14ac:dyDescent="0.25">
      <c r="A5278" t="s">
        <v>5445</v>
      </c>
      <c r="B5278" t="s">
        <v>191</v>
      </c>
      <c r="C5278" t="s">
        <v>123</v>
      </c>
      <c r="E5278" t="s">
        <v>155</v>
      </c>
      <c r="F5278" s="1">
        <v>42941</v>
      </c>
      <c r="I5278" t="str">
        <f>IF(COUNTIF(Products!$A$2:$A$8,C5278)=0,C5278,"")</f>
        <v/>
      </c>
      <c r="J5278">
        <f>IF(OR(E5278="Prospecting",E5278="Engaging"),VLOOKUP(C5278,Products!$A$2:$C$8,3,FALSE),0)</f>
        <v>55</v>
      </c>
    </row>
    <row r="5279" spans="1:10" x14ac:dyDescent="0.25">
      <c r="A5279" t="s">
        <v>5446</v>
      </c>
      <c r="B5279" t="s">
        <v>217</v>
      </c>
      <c r="C5279" t="s">
        <v>123</v>
      </c>
      <c r="D5279" t="s">
        <v>61</v>
      </c>
      <c r="E5279" t="s">
        <v>155</v>
      </c>
      <c r="F5279" s="1">
        <v>42941</v>
      </c>
      <c r="I5279" t="str">
        <f>IF(COUNTIF(Products!$A$2:$A$8,C5279)=0,C5279,"")</f>
        <v/>
      </c>
      <c r="J5279">
        <f>IF(OR(E5279="Prospecting",E5279="Engaging"),VLOOKUP(C5279,Products!$A$2:$C$8,3,FALSE),0)</f>
        <v>55</v>
      </c>
    </row>
    <row r="5280" spans="1:10" x14ac:dyDescent="0.25">
      <c r="A5280" t="s">
        <v>5447</v>
      </c>
      <c r="B5280" t="s">
        <v>217</v>
      </c>
      <c r="C5280" t="s">
        <v>125</v>
      </c>
      <c r="D5280" t="s">
        <v>105</v>
      </c>
      <c r="E5280" t="s">
        <v>155</v>
      </c>
      <c r="F5280" s="1">
        <v>42941</v>
      </c>
      <c r="I5280" t="str">
        <f>IF(COUNTIF(Products!$A$2:$A$8,C5280)=0,C5280,"")</f>
        <v/>
      </c>
      <c r="J5280">
        <f>IF(OR(E5280="Prospecting",E5280="Engaging"),VLOOKUP(C5280,Products!$A$2:$C$8,3,FALSE),0)</f>
        <v>3393</v>
      </c>
    </row>
    <row r="5281" spans="1:10" x14ac:dyDescent="0.25">
      <c r="A5281" t="s">
        <v>5448</v>
      </c>
      <c r="B5281" t="s">
        <v>217</v>
      </c>
      <c r="C5281" t="s">
        <v>125</v>
      </c>
      <c r="E5281" t="s">
        <v>155</v>
      </c>
      <c r="F5281" s="1">
        <v>42941</v>
      </c>
      <c r="I5281" t="str">
        <f>IF(COUNTIF(Products!$A$2:$A$8,C5281)=0,C5281,"")</f>
        <v/>
      </c>
      <c r="J5281">
        <f>IF(OR(E5281="Prospecting",E5281="Engaging"),VLOOKUP(C5281,Products!$A$2:$C$8,3,FALSE),0)</f>
        <v>3393</v>
      </c>
    </row>
    <row r="5282" spans="1:10" x14ac:dyDescent="0.25">
      <c r="A5282" t="s">
        <v>5449</v>
      </c>
      <c r="B5282" t="s">
        <v>217</v>
      </c>
      <c r="C5282" t="s">
        <v>120</v>
      </c>
      <c r="D5282" t="s">
        <v>36</v>
      </c>
      <c r="E5282" t="s">
        <v>159</v>
      </c>
      <c r="F5282" s="1">
        <v>42941</v>
      </c>
      <c r="G5282" s="1">
        <v>42947</v>
      </c>
      <c r="H5282">
        <v>0</v>
      </c>
      <c r="I5282" t="str">
        <f>IF(COUNTIF(Products!$A$2:$A$8,C5282)=0,C5282,"")</f>
        <v/>
      </c>
      <c r="J5282">
        <f>IF(OR(E5282="Prospecting",E5282="Engaging"),VLOOKUP(C5282,Products!$A$2:$C$8,3,FALSE),0)</f>
        <v>0</v>
      </c>
    </row>
    <row r="5283" spans="1:10" x14ac:dyDescent="0.25">
      <c r="A5283" t="s">
        <v>5450</v>
      </c>
      <c r="B5283" t="s">
        <v>217</v>
      </c>
      <c r="C5283" t="s">
        <v>120</v>
      </c>
      <c r="D5283" t="s">
        <v>70</v>
      </c>
      <c r="E5283" t="s">
        <v>138</v>
      </c>
      <c r="F5283" s="1">
        <v>42941</v>
      </c>
      <c r="G5283" s="1">
        <v>42946</v>
      </c>
      <c r="H5283">
        <v>537</v>
      </c>
      <c r="I5283" t="str">
        <f>IF(COUNTIF(Products!$A$2:$A$8,C5283)=0,C5283,"")</f>
        <v/>
      </c>
      <c r="J5283">
        <f>IF(OR(E5283="Prospecting",E5283="Engaging"),VLOOKUP(C5283,Products!$A$2:$C$8,3,FALSE),0)</f>
        <v>0</v>
      </c>
    </row>
    <row r="5284" spans="1:10" x14ac:dyDescent="0.25">
      <c r="A5284" t="s">
        <v>5451</v>
      </c>
      <c r="B5284" t="s">
        <v>150</v>
      </c>
      <c r="C5284" t="s">
        <v>127</v>
      </c>
      <c r="D5284" t="s">
        <v>17</v>
      </c>
      <c r="E5284" t="s">
        <v>159</v>
      </c>
      <c r="F5284" s="1">
        <v>42941</v>
      </c>
      <c r="G5284" s="1">
        <v>43066</v>
      </c>
      <c r="H5284">
        <v>0</v>
      </c>
      <c r="I5284" t="str">
        <f>IF(COUNTIF(Products!$A$2:$A$8,C5284)=0,C5284,"")</f>
        <v/>
      </c>
      <c r="J5284">
        <f>IF(OR(E5284="Prospecting",E5284="Engaging"),VLOOKUP(C5284,Products!$A$2:$C$8,3,FALSE),0)</f>
        <v>0</v>
      </c>
    </row>
    <row r="5285" spans="1:10" x14ac:dyDescent="0.25">
      <c r="A5285" t="s">
        <v>5452</v>
      </c>
      <c r="B5285" t="s">
        <v>205</v>
      </c>
      <c r="C5285" t="s">
        <v>120</v>
      </c>
      <c r="D5285" t="s">
        <v>115</v>
      </c>
      <c r="E5285" t="s">
        <v>155</v>
      </c>
      <c r="F5285" s="1">
        <v>42941</v>
      </c>
      <c r="I5285" t="str">
        <f>IF(COUNTIF(Products!$A$2:$A$8,C5285)=0,C5285,"")</f>
        <v/>
      </c>
      <c r="J5285">
        <f>IF(OR(E5285="Prospecting",E5285="Engaging"),VLOOKUP(C5285,Products!$A$2:$C$8,3,FALSE),0)</f>
        <v>550</v>
      </c>
    </row>
    <row r="5286" spans="1:10" x14ac:dyDescent="0.25">
      <c r="A5286" t="s">
        <v>5453</v>
      </c>
      <c r="B5286" t="s">
        <v>205</v>
      </c>
      <c r="C5286" t="s">
        <v>126</v>
      </c>
      <c r="E5286" t="s">
        <v>155</v>
      </c>
      <c r="F5286" s="1">
        <v>42941</v>
      </c>
      <c r="I5286" t="str">
        <f>IF(COUNTIF(Products!$A$2:$A$8,C5286)=0,C5286,"")</f>
        <v/>
      </c>
      <c r="J5286">
        <f>IF(OR(E5286="Prospecting",E5286="Engaging"),VLOOKUP(C5286,Products!$A$2:$C$8,3,FALSE),0)</f>
        <v>5482</v>
      </c>
    </row>
    <row r="5287" spans="1:10" x14ac:dyDescent="0.25">
      <c r="A5287" t="s">
        <v>5454</v>
      </c>
      <c r="B5287" t="s">
        <v>205</v>
      </c>
      <c r="C5287" t="s">
        <v>123</v>
      </c>
      <c r="D5287" t="s">
        <v>104</v>
      </c>
      <c r="E5287" t="s">
        <v>155</v>
      </c>
      <c r="F5287" s="1">
        <v>42941</v>
      </c>
      <c r="I5287" t="str">
        <f>IF(COUNTIF(Products!$A$2:$A$8,C5287)=0,C5287,"")</f>
        <v/>
      </c>
      <c r="J5287">
        <f>IF(OR(E5287="Prospecting",E5287="Engaging"),VLOOKUP(C5287,Products!$A$2:$C$8,3,FALSE),0)</f>
        <v>55</v>
      </c>
    </row>
    <row r="5288" spans="1:10" x14ac:dyDescent="0.25">
      <c r="A5288" t="s">
        <v>5455</v>
      </c>
      <c r="B5288" t="s">
        <v>205</v>
      </c>
      <c r="C5288" t="s">
        <v>127</v>
      </c>
      <c r="D5288" t="s">
        <v>22</v>
      </c>
      <c r="E5288" t="s">
        <v>138</v>
      </c>
      <c r="F5288" s="1">
        <v>42941</v>
      </c>
      <c r="G5288" s="1">
        <v>42943</v>
      </c>
      <c r="H5288">
        <v>1031</v>
      </c>
      <c r="I5288" t="str">
        <f>IF(COUNTIF(Products!$A$2:$A$8,C5288)=0,C5288,"")</f>
        <v/>
      </c>
      <c r="J5288">
        <f>IF(OR(E5288="Prospecting",E5288="Engaging"),VLOOKUP(C5288,Products!$A$2:$C$8,3,FALSE),0)</f>
        <v>0</v>
      </c>
    </row>
    <row r="5289" spans="1:10" x14ac:dyDescent="0.25">
      <c r="A5289" t="s">
        <v>5456</v>
      </c>
      <c r="B5289" t="s">
        <v>137</v>
      </c>
      <c r="C5289" t="s">
        <v>120</v>
      </c>
      <c r="E5289" t="s">
        <v>155</v>
      </c>
      <c r="F5289" s="1">
        <v>42941</v>
      </c>
      <c r="I5289" t="str">
        <f>IF(COUNTIF(Products!$A$2:$A$8,C5289)=0,C5289,"")</f>
        <v/>
      </c>
      <c r="J5289">
        <f>IF(OR(E5289="Prospecting",E5289="Engaging"),VLOOKUP(C5289,Products!$A$2:$C$8,3,FALSE),0)</f>
        <v>550</v>
      </c>
    </row>
    <row r="5290" spans="1:10" x14ac:dyDescent="0.25">
      <c r="A5290" t="s">
        <v>5457</v>
      </c>
      <c r="B5290" t="s">
        <v>137</v>
      </c>
      <c r="C5290" t="s">
        <v>125</v>
      </c>
      <c r="D5290" t="s">
        <v>107</v>
      </c>
      <c r="E5290" t="s">
        <v>155</v>
      </c>
      <c r="F5290" s="1">
        <v>42941</v>
      </c>
      <c r="I5290" t="str">
        <f>IF(COUNTIF(Products!$A$2:$A$8,C5290)=0,C5290,"")</f>
        <v/>
      </c>
      <c r="J5290">
        <f>IF(OR(E5290="Prospecting",E5290="Engaging"),VLOOKUP(C5290,Products!$A$2:$C$8,3,FALSE),0)</f>
        <v>3393</v>
      </c>
    </row>
    <row r="5291" spans="1:10" x14ac:dyDescent="0.25">
      <c r="A5291" t="s">
        <v>5458</v>
      </c>
      <c r="B5291" t="s">
        <v>152</v>
      </c>
      <c r="C5291" t="s">
        <v>127</v>
      </c>
      <c r="D5291" t="s">
        <v>69</v>
      </c>
      <c r="E5291" t="s">
        <v>155</v>
      </c>
      <c r="F5291" s="1">
        <v>42941</v>
      </c>
      <c r="I5291" t="str">
        <f>IF(COUNTIF(Products!$A$2:$A$8,C5291)=0,C5291,"")</f>
        <v/>
      </c>
      <c r="J5291">
        <f>IF(OR(E5291="Prospecting",E5291="Engaging"),VLOOKUP(C5291,Products!$A$2:$C$8,3,FALSE),0)</f>
        <v>1096</v>
      </c>
    </row>
    <row r="5292" spans="1:10" x14ac:dyDescent="0.25">
      <c r="A5292" t="s">
        <v>5459</v>
      </c>
      <c r="B5292" t="s">
        <v>152</v>
      </c>
      <c r="C5292" t="s">
        <v>127</v>
      </c>
      <c r="E5292" t="s">
        <v>155</v>
      </c>
      <c r="F5292" s="1">
        <v>42941</v>
      </c>
      <c r="I5292" t="str">
        <f>IF(COUNTIF(Products!$A$2:$A$8,C5292)=0,C5292,"")</f>
        <v/>
      </c>
      <c r="J5292">
        <f>IF(OR(E5292="Prospecting",E5292="Engaging"),VLOOKUP(C5292,Products!$A$2:$C$8,3,FALSE),0)</f>
        <v>1096</v>
      </c>
    </row>
    <row r="5293" spans="1:10" x14ac:dyDescent="0.25">
      <c r="A5293" t="s">
        <v>5460</v>
      </c>
      <c r="B5293" t="s">
        <v>152</v>
      </c>
      <c r="C5293" t="s">
        <v>125</v>
      </c>
      <c r="D5293" t="s">
        <v>39</v>
      </c>
      <c r="E5293" t="s">
        <v>155</v>
      </c>
      <c r="F5293" s="1">
        <v>42941</v>
      </c>
      <c r="I5293" t="str">
        <f>IF(COUNTIF(Products!$A$2:$A$8,C5293)=0,C5293,"")</f>
        <v/>
      </c>
      <c r="J5293">
        <f>IF(OR(E5293="Prospecting",E5293="Engaging"),VLOOKUP(C5293,Products!$A$2:$C$8,3,FALSE),0)</f>
        <v>3393</v>
      </c>
    </row>
    <row r="5294" spans="1:10" x14ac:dyDescent="0.25">
      <c r="A5294" t="s">
        <v>5461</v>
      </c>
      <c r="B5294" t="s">
        <v>152</v>
      </c>
      <c r="C5294" t="s">
        <v>127</v>
      </c>
      <c r="D5294" t="s">
        <v>30</v>
      </c>
      <c r="E5294" t="s">
        <v>138</v>
      </c>
      <c r="F5294" s="1">
        <v>42941</v>
      </c>
      <c r="G5294" s="1">
        <v>43042</v>
      </c>
      <c r="H5294">
        <v>1077</v>
      </c>
      <c r="I5294" t="str">
        <f>IF(COUNTIF(Products!$A$2:$A$8,C5294)=0,C5294,"")</f>
        <v/>
      </c>
      <c r="J5294">
        <f>IF(OR(E5294="Prospecting",E5294="Engaging"),VLOOKUP(C5294,Products!$A$2:$C$8,3,FALSE),0)</f>
        <v>0</v>
      </c>
    </row>
    <row r="5295" spans="1:10" x14ac:dyDescent="0.25">
      <c r="A5295" t="s">
        <v>5462</v>
      </c>
      <c r="B5295" t="s">
        <v>166</v>
      </c>
      <c r="C5295" t="s">
        <v>123</v>
      </c>
      <c r="E5295" t="s">
        <v>155</v>
      </c>
      <c r="F5295" s="1">
        <v>42941</v>
      </c>
      <c r="I5295" t="str">
        <f>IF(COUNTIF(Products!$A$2:$A$8,C5295)=0,C5295,"")</f>
        <v/>
      </c>
      <c r="J5295">
        <f>IF(OR(E5295="Prospecting",E5295="Engaging"),VLOOKUP(C5295,Products!$A$2:$C$8,3,FALSE),0)</f>
        <v>55</v>
      </c>
    </row>
    <row r="5296" spans="1:10" x14ac:dyDescent="0.25">
      <c r="A5296" t="s">
        <v>5463</v>
      </c>
      <c r="B5296" t="s">
        <v>169</v>
      </c>
      <c r="C5296" t="s">
        <v>120</v>
      </c>
      <c r="E5296" t="s">
        <v>155</v>
      </c>
      <c r="F5296" s="1">
        <v>42941</v>
      </c>
      <c r="I5296" t="str">
        <f>IF(COUNTIF(Products!$A$2:$A$8,C5296)=0,C5296,"")</f>
        <v/>
      </c>
      <c r="J5296">
        <f>IF(OR(E5296="Prospecting",E5296="Engaging"),VLOOKUP(C5296,Products!$A$2:$C$8,3,FALSE),0)</f>
        <v>550</v>
      </c>
    </row>
    <row r="5297" spans="1:10" x14ac:dyDescent="0.25">
      <c r="A5297" t="s">
        <v>5464</v>
      </c>
      <c r="B5297" t="s">
        <v>169</v>
      </c>
      <c r="C5297" t="s">
        <v>123</v>
      </c>
      <c r="D5297" t="s">
        <v>41</v>
      </c>
      <c r="E5297" t="s">
        <v>155</v>
      </c>
      <c r="F5297" s="1">
        <v>42941</v>
      </c>
      <c r="I5297" t="str">
        <f>IF(COUNTIF(Products!$A$2:$A$8,C5297)=0,C5297,"")</f>
        <v/>
      </c>
      <c r="J5297">
        <f>IF(OR(E5297="Prospecting",E5297="Engaging"),VLOOKUP(C5297,Products!$A$2:$C$8,3,FALSE),0)</f>
        <v>55</v>
      </c>
    </row>
    <row r="5298" spans="1:10" x14ac:dyDescent="0.25">
      <c r="A5298" t="s">
        <v>5465</v>
      </c>
      <c r="B5298" t="s">
        <v>169</v>
      </c>
      <c r="C5298" t="s">
        <v>125</v>
      </c>
      <c r="D5298" t="s">
        <v>36</v>
      </c>
      <c r="E5298" t="s">
        <v>138</v>
      </c>
      <c r="F5298" s="1">
        <v>42941</v>
      </c>
      <c r="G5298" s="1">
        <v>43043</v>
      </c>
      <c r="H5298">
        <v>3306</v>
      </c>
      <c r="I5298" t="str">
        <f>IF(COUNTIF(Products!$A$2:$A$8,C5298)=0,C5298,"")</f>
        <v/>
      </c>
      <c r="J5298">
        <f>IF(OR(E5298="Prospecting",E5298="Engaging"),VLOOKUP(C5298,Products!$A$2:$C$8,3,FALSE),0)</f>
        <v>0</v>
      </c>
    </row>
    <row r="5299" spans="1:10" x14ac:dyDescent="0.25">
      <c r="A5299" t="s">
        <v>5466</v>
      </c>
      <c r="B5299" t="s">
        <v>177</v>
      </c>
      <c r="C5299" t="s">
        <v>120</v>
      </c>
      <c r="D5299" t="s">
        <v>16</v>
      </c>
      <c r="E5299" t="s">
        <v>138</v>
      </c>
      <c r="F5299" s="1">
        <v>42941</v>
      </c>
      <c r="G5299" s="1">
        <v>42942</v>
      </c>
      <c r="H5299">
        <v>491</v>
      </c>
      <c r="I5299" t="str">
        <f>IF(COUNTIF(Products!$A$2:$A$8,C5299)=0,C5299,"")</f>
        <v/>
      </c>
      <c r="J5299">
        <f>IF(OR(E5299="Prospecting",E5299="Engaging"),VLOOKUP(C5299,Products!$A$2:$C$8,3,FALSE),0)</f>
        <v>0</v>
      </c>
    </row>
    <row r="5300" spans="1:10" x14ac:dyDescent="0.25">
      <c r="A5300" t="s">
        <v>5467</v>
      </c>
      <c r="B5300" t="s">
        <v>146</v>
      </c>
      <c r="C5300" t="s">
        <v>123</v>
      </c>
      <c r="D5300" t="s">
        <v>70</v>
      </c>
      <c r="E5300" t="s">
        <v>155</v>
      </c>
      <c r="F5300" s="1">
        <v>42942</v>
      </c>
      <c r="I5300" t="str">
        <f>IF(COUNTIF(Products!$A$2:$A$8,C5300)=0,C5300,"")</f>
        <v/>
      </c>
      <c r="J5300">
        <f>IF(OR(E5300="Prospecting",E5300="Engaging"),VLOOKUP(C5300,Products!$A$2:$C$8,3,FALSE),0)</f>
        <v>55</v>
      </c>
    </row>
    <row r="5301" spans="1:10" x14ac:dyDescent="0.25">
      <c r="A5301" t="s">
        <v>5468</v>
      </c>
      <c r="B5301" t="s">
        <v>146</v>
      </c>
      <c r="C5301" t="s">
        <v>123</v>
      </c>
      <c r="E5301" t="s">
        <v>155</v>
      </c>
      <c r="F5301" s="1">
        <v>42942</v>
      </c>
      <c r="I5301" t="str">
        <f>IF(COUNTIF(Products!$A$2:$A$8,C5301)=0,C5301,"")</f>
        <v/>
      </c>
      <c r="J5301">
        <f>IF(OR(E5301="Prospecting",E5301="Engaging"),VLOOKUP(C5301,Products!$A$2:$C$8,3,FALSE),0)</f>
        <v>55</v>
      </c>
    </row>
    <row r="5302" spans="1:10" x14ac:dyDescent="0.25">
      <c r="A5302" t="s">
        <v>5469</v>
      </c>
      <c r="B5302" t="s">
        <v>146</v>
      </c>
      <c r="C5302" t="s">
        <v>123</v>
      </c>
      <c r="D5302" t="s">
        <v>96</v>
      </c>
      <c r="E5302" t="s">
        <v>138</v>
      </c>
      <c r="F5302" s="1">
        <v>42942</v>
      </c>
      <c r="G5302" s="1">
        <v>43071</v>
      </c>
      <c r="H5302">
        <v>53</v>
      </c>
      <c r="I5302" t="str">
        <f>IF(COUNTIF(Products!$A$2:$A$8,C5302)=0,C5302,"")</f>
        <v/>
      </c>
      <c r="J5302">
        <f>IF(OR(E5302="Prospecting",E5302="Engaging"),VLOOKUP(C5302,Products!$A$2:$C$8,3,FALSE),0)</f>
        <v>0</v>
      </c>
    </row>
    <row r="5303" spans="1:10" x14ac:dyDescent="0.25">
      <c r="A5303" t="s">
        <v>5470</v>
      </c>
      <c r="B5303" t="s">
        <v>207</v>
      </c>
      <c r="C5303" t="s">
        <v>127</v>
      </c>
      <c r="D5303" t="s">
        <v>19</v>
      </c>
      <c r="E5303" t="s">
        <v>155</v>
      </c>
      <c r="F5303" s="1">
        <v>42942</v>
      </c>
      <c r="I5303" t="str">
        <f>IF(COUNTIF(Products!$A$2:$A$8,C5303)=0,C5303,"")</f>
        <v/>
      </c>
      <c r="J5303">
        <f>IF(OR(E5303="Prospecting",E5303="Engaging"),VLOOKUP(C5303,Products!$A$2:$C$8,3,FALSE),0)</f>
        <v>1096</v>
      </c>
    </row>
    <row r="5304" spans="1:10" x14ac:dyDescent="0.25">
      <c r="A5304" t="s">
        <v>5471</v>
      </c>
      <c r="B5304" t="s">
        <v>207</v>
      </c>
      <c r="C5304" t="s">
        <v>126</v>
      </c>
      <c r="D5304" t="s">
        <v>63</v>
      </c>
      <c r="E5304" t="s">
        <v>138</v>
      </c>
      <c r="F5304" s="1">
        <v>42942</v>
      </c>
      <c r="G5304" s="1">
        <v>43005</v>
      </c>
      <c r="H5304">
        <v>5228</v>
      </c>
      <c r="I5304" t="str">
        <f>IF(COUNTIF(Products!$A$2:$A$8,C5304)=0,C5304,"")</f>
        <v/>
      </c>
      <c r="J5304">
        <f>IF(OR(E5304="Prospecting",E5304="Engaging"),VLOOKUP(C5304,Products!$A$2:$C$8,3,FALSE),0)</f>
        <v>0</v>
      </c>
    </row>
    <row r="5305" spans="1:10" x14ac:dyDescent="0.25">
      <c r="A5305" t="s">
        <v>5472</v>
      </c>
      <c r="B5305" t="s">
        <v>264</v>
      </c>
      <c r="C5305" t="s">
        <v>126</v>
      </c>
      <c r="D5305" t="s">
        <v>33</v>
      </c>
      <c r="E5305" t="s">
        <v>159</v>
      </c>
      <c r="F5305" s="1">
        <v>42942</v>
      </c>
      <c r="G5305" s="1">
        <v>42947</v>
      </c>
      <c r="H5305">
        <v>0</v>
      </c>
      <c r="I5305" t="str">
        <f>IF(COUNTIF(Products!$A$2:$A$8,C5305)=0,C5305,"")</f>
        <v/>
      </c>
      <c r="J5305">
        <f>IF(OR(E5305="Prospecting",E5305="Engaging"),VLOOKUP(C5305,Products!$A$2:$C$8,3,FALSE),0)</f>
        <v>0</v>
      </c>
    </row>
    <row r="5306" spans="1:10" x14ac:dyDescent="0.25">
      <c r="A5306" t="s">
        <v>5473</v>
      </c>
      <c r="B5306" t="s">
        <v>140</v>
      </c>
      <c r="C5306" t="s">
        <v>127</v>
      </c>
      <c r="D5306" t="s">
        <v>68</v>
      </c>
      <c r="E5306" t="s">
        <v>155</v>
      </c>
      <c r="F5306" s="1">
        <v>42942</v>
      </c>
      <c r="I5306" t="str">
        <f>IF(COUNTIF(Products!$A$2:$A$8,C5306)=0,C5306,"")</f>
        <v/>
      </c>
      <c r="J5306">
        <f>IF(OR(E5306="Prospecting",E5306="Engaging"),VLOOKUP(C5306,Products!$A$2:$C$8,3,FALSE),0)</f>
        <v>1096</v>
      </c>
    </row>
    <row r="5307" spans="1:10" x14ac:dyDescent="0.25">
      <c r="A5307" t="s">
        <v>5474</v>
      </c>
      <c r="B5307" t="s">
        <v>140</v>
      </c>
      <c r="C5307" t="s">
        <v>126</v>
      </c>
      <c r="D5307" t="s">
        <v>32</v>
      </c>
      <c r="E5307" t="s">
        <v>155</v>
      </c>
      <c r="F5307" s="1">
        <v>42942</v>
      </c>
      <c r="I5307" t="str">
        <f>IF(COUNTIF(Products!$A$2:$A$8,C5307)=0,C5307,"")</f>
        <v/>
      </c>
      <c r="J5307">
        <f>IF(OR(E5307="Prospecting",E5307="Engaging"),VLOOKUP(C5307,Products!$A$2:$C$8,3,FALSE),0)</f>
        <v>5482</v>
      </c>
    </row>
    <row r="5308" spans="1:10" x14ac:dyDescent="0.25">
      <c r="A5308" t="s">
        <v>5475</v>
      </c>
      <c r="B5308" t="s">
        <v>140</v>
      </c>
      <c r="C5308" t="s">
        <v>122</v>
      </c>
      <c r="D5308" t="s">
        <v>98</v>
      </c>
      <c r="E5308" t="s">
        <v>155</v>
      </c>
      <c r="F5308" s="1">
        <v>42942</v>
      </c>
      <c r="I5308" t="str">
        <f>IF(COUNTIF(Products!$A$2:$A$8,C5308)=0,C5308,"")</f>
        <v/>
      </c>
      <c r="J5308">
        <f>IF(OR(E5308="Prospecting",E5308="Engaging"),VLOOKUP(C5308,Products!$A$2:$C$8,3,FALSE),0)</f>
        <v>4821</v>
      </c>
    </row>
    <row r="5309" spans="1:10" x14ac:dyDescent="0.25">
      <c r="A5309" t="s">
        <v>5476</v>
      </c>
      <c r="B5309" t="s">
        <v>140</v>
      </c>
      <c r="C5309" t="s">
        <v>122</v>
      </c>
      <c r="E5309" t="s">
        <v>155</v>
      </c>
      <c r="F5309" s="1">
        <v>42942</v>
      </c>
      <c r="I5309" t="str">
        <f>IF(COUNTIF(Products!$A$2:$A$8,C5309)=0,C5309,"")</f>
        <v/>
      </c>
      <c r="J5309">
        <f>IF(OR(E5309="Prospecting",E5309="Engaging"),VLOOKUP(C5309,Products!$A$2:$C$8,3,FALSE),0)</f>
        <v>4821</v>
      </c>
    </row>
    <row r="5310" spans="1:10" x14ac:dyDescent="0.25">
      <c r="A5310" t="s">
        <v>5477</v>
      </c>
      <c r="B5310" t="s">
        <v>140</v>
      </c>
      <c r="C5310" t="s">
        <v>122</v>
      </c>
      <c r="E5310" t="s">
        <v>155</v>
      </c>
      <c r="F5310" s="1">
        <v>42942</v>
      </c>
      <c r="I5310" t="str">
        <f>IF(COUNTIF(Products!$A$2:$A$8,C5310)=0,C5310,"")</f>
        <v/>
      </c>
      <c r="J5310">
        <f>IF(OR(E5310="Prospecting",E5310="Engaging"),VLOOKUP(C5310,Products!$A$2:$C$8,3,FALSE),0)</f>
        <v>4821</v>
      </c>
    </row>
    <row r="5311" spans="1:10" x14ac:dyDescent="0.25">
      <c r="A5311" t="s">
        <v>5478</v>
      </c>
      <c r="B5311" t="s">
        <v>140</v>
      </c>
      <c r="C5311" t="s">
        <v>125</v>
      </c>
      <c r="E5311" t="s">
        <v>155</v>
      </c>
      <c r="F5311" s="1">
        <v>42942</v>
      </c>
      <c r="I5311" t="str">
        <f>IF(COUNTIF(Products!$A$2:$A$8,C5311)=0,C5311,"")</f>
        <v/>
      </c>
      <c r="J5311">
        <f>IF(OR(E5311="Prospecting",E5311="Engaging"),VLOOKUP(C5311,Products!$A$2:$C$8,3,FALSE),0)</f>
        <v>3393</v>
      </c>
    </row>
    <row r="5312" spans="1:10" x14ac:dyDescent="0.25">
      <c r="A5312" t="s">
        <v>5479</v>
      </c>
      <c r="B5312" t="s">
        <v>140</v>
      </c>
      <c r="C5312" t="s">
        <v>122</v>
      </c>
      <c r="D5312" t="s">
        <v>96</v>
      </c>
      <c r="E5312" t="s">
        <v>159</v>
      </c>
      <c r="F5312" s="1">
        <v>42942</v>
      </c>
      <c r="G5312" s="1">
        <v>43056</v>
      </c>
      <c r="H5312">
        <v>0</v>
      </c>
      <c r="I5312" t="str">
        <f>IF(COUNTIF(Products!$A$2:$A$8,C5312)=0,C5312,"")</f>
        <v/>
      </c>
      <c r="J5312">
        <f>IF(OR(E5312="Prospecting",E5312="Engaging"),VLOOKUP(C5312,Products!$A$2:$C$8,3,FALSE),0)</f>
        <v>0</v>
      </c>
    </row>
    <row r="5313" spans="1:10" x14ac:dyDescent="0.25">
      <c r="A5313" t="s">
        <v>5480</v>
      </c>
      <c r="B5313" t="s">
        <v>140</v>
      </c>
      <c r="C5313" t="s">
        <v>122</v>
      </c>
      <c r="D5313" t="s">
        <v>33</v>
      </c>
      <c r="E5313" t="s">
        <v>138</v>
      </c>
      <c r="F5313" s="1">
        <v>42942</v>
      </c>
      <c r="G5313" s="1">
        <v>42943</v>
      </c>
      <c r="H5313">
        <v>4677</v>
      </c>
      <c r="I5313" t="str">
        <f>IF(COUNTIF(Products!$A$2:$A$8,C5313)=0,C5313,"")</f>
        <v/>
      </c>
      <c r="J5313">
        <f>IF(OR(E5313="Prospecting",E5313="Engaging"),VLOOKUP(C5313,Products!$A$2:$C$8,3,FALSE),0)</f>
        <v>0</v>
      </c>
    </row>
    <row r="5314" spans="1:10" x14ac:dyDescent="0.25">
      <c r="A5314" t="s">
        <v>5481</v>
      </c>
      <c r="B5314" t="s">
        <v>224</v>
      </c>
      <c r="C5314" t="s">
        <v>127</v>
      </c>
      <c r="D5314" t="s">
        <v>7</v>
      </c>
      <c r="E5314" t="s">
        <v>159</v>
      </c>
      <c r="F5314" s="1">
        <v>42942</v>
      </c>
      <c r="G5314" s="1">
        <v>43007</v>
      </c>
      <c r="H5314">
        <v>0</v>
      </c>
      <c r="I5314" t="str">
        <f>IF(COUNTIF(Products!$A$2:$A$8,C5314)=0,C5314,"")</f>
        <v/>
      </c>
      <c r="J5314">
        <f>IF(OR(E5314="Prospecting",E5314="Engaging"),VLOOKUP(C5314,Products!$A$2:$C$8,3,FALSE),0)</f>
        <v>0</v>
      </c>
    </row>
    <row r="5315" spans="1:10" x14ac:dyDescent="0.25">
      <c r="A5315" t="s">
        <v>5482</v>
      </c>
      <c r="B5315" t="s">
        <v>224</v>
      </c>
      <c r="C5315" t="s">
        <v>122</v>
      </c>
      <c r="D5315" t="s">
        <v>67</v>
      </c>
      <c r="E5315" t="s">
        <v>159</v>
      </c>
      <c r="F5315" s="1">
        <v>42942</v>
      </c>
      <c r="G5315" s="1">
        <v>43004</v>
      </c>
      <c r="H5315">
        <v>0</v>
      </c>
      <c r="I5315" t="str">
        <f>IF(COUNTIF(Products!$A$2:$A$8,C5315)=0,C5315,"")</f>
        <v/>
      </c>
      <c r="J5315">
        <f>IF(OR(E5315="Prospecting",E5315="Engaging"),VLOOKUP(C5315,Products!$A$2:$C$8,3,FALSE),0)</f>
        <v>0</v>
      </c>
    </row>
    <row r="5316" spans="1:10" x14ac:dyDescent="0.25">
      <c r="A5316" t="s">
        <v>5483</v>
      </c>
      <c r="B5316" t="s">
        <v>224</v>
      </c>
      <c r="C5316" t="s">
        <v>120</v>
      </c>
      <c r="D5316" t="s">
        <v>108</v>
      </c>
      <c r="E5316" t="s">
        <v>138</v>
      </c>
      <c r="F5316" s="1">
        <v>42942</v>
      </c>
      <c r="G5316" s="1">
        <v>42944</v>
      </c>
      <c r="H5316">
        <v>554</v>
      </c>
      <c r="I5316" t="str">
        <f>IF(COUNTIF(Products!$A$2:$A$8,C5316)=0,C5316,"")</f>
        <v/>
      </c>
      <c r="J5316">
        <f>IF(OR(E5316="Prospecting",E5316="Engaging"),VLOOKUP(C5316,Products!$A$2:$C$8,3,FALSE),0)</f>
        <v>0</v>
      </c>
    </row>
    <row r="5317" spans="1:10" x14ac:dyDescent="0.25">
      <c r="A5317" t="s">
        <v>5484</v>
      </c>
      <c r="B5317" t="s">
        <v>158</v>
      </c>
      <c r="C5317" t="s">
        <v>123</v>
      </c>
      <c r="E5317" t="s">
        <v>155</v>
      </c>
      <c r="F5317" s="1">
        <v>42942</v>
      </c>
      <c r="I5317" t="str">
        <f>IF(COUNTIF(Products!$A$2:$A$8,C5317)=0,C5317,"")</f>
        <v/>
      </c>
      <c r="J5317">
        <f>IF(OR(E5317="Prospecting",E5317="Engaging"),VLOOKUP(C5317,Products!$A$2:$C$8,3,FALSE),0)</f>
        <v>55</v>
      </c>
    </row>
    <row r="5318" spans="1:10" x14ac:dyDescent="0.25">
      <c r="A5318" t="s">
        <v>5485</v>
      </c>
      <c r="B5318" t="s">
        <v>158</v>
      </c>
      <c r="C5318" t="s">
        <v>123</v>
      </c>
      <c r="E5318" t="s">
        <v>155</v>
      </c>
      <c r="F5318" s="1">
        <v>42942</v>
      </c>
      <c r="I5318" t="str">
        <f>IF(COUNTIF(Products!$A$2:$A$8,C5318)=0,C5318,"")</f>
        <v/>
      </c>
      <c r="J5318">
        <f>IF(OR(E5318="Prospecting",E5318="Engaging"),VLOOKUP(C5318,Products!$A$2:$C$8,3,FALSE),0)</f>
        <v>55</v>
      </c>
    </row>
    <row r="5319" spans="1:10" x14ac:dyDescent="0.25">
      <c r="A5319" t="s">
        <v>5486</v>
      </c>
      <c r="B5319" t="s">
        <v>158</v>
      </c>
      <c r="C5319" t="s">
        <v>125</v>
      </c>
      <c r="D5319" t="s">
        <v>107</v>
      </c>
      <c r="E5319" t="s">
        <v>155</v>
      </c>
      <c r="F5319" s="1">
        <v>42942</v>
      </c>
      <c r="I5319" t="str">
        <f>IF(COUNTIF(Products!$A$2:$A$8,C5319)=0,C5319,"")</f>
        <v/>
      </c>
      <c r="J5319">
        <f>IF(OR(E5319="Prospecting",E5319="Engaging"),VLOOKUP(C5319,Products!$A$2:$C$8,3,FALSE),0)</f>
        <v>3393</v>
      </c>
    </row>
    <row r="5320" spans="1:10" x14ac:dyDescent="0.25">
      <c r="A5320" t="s">
        <v>5487</v>
      </c>
      <c r="B5320" t="s">
        <v>158</v>
      </c>
      <c r="C5320" t="s">
        <v>126</v>
      </c>
      <c r="D5320" t="s">
        <v>30</v>
      </c>
      <c r="E5320" t="s">
        <v>138</v>
      </c>
      <c r="F5320" s="1">
        <v>42942</v>
      </c>
      <c r="G5320" s="1">
        <v>43001</v>
      </c>
      <c r="H5320">
        <v>5548</v>
      </c>
      <c r="I5320" t="str">
        <f>IF(COUNTIF(Products!$A$2:$A$8,C5320)=0,C5320,"")</f>
        <v/>
      </c>
      <c r="J5320">
        <f>IF(OR(E5320="Prospecting",E5320="Engaging"),VLOOKUP(C5320,Products!$A$2:$C$8,3,FALSE),0)</f>
        <v>0</v>
      </c>
    </row>
    <row r="5321" spans="1:10" x14ac:dyDescent="0.25">
      <c r="A5321" t="s">
        <v>5488</v>
      </c>
      <c r="B5321" t="s">
        <v>158</v>
      </c>
      <c r="C5321" t="s">
        <v>125</v>
      </c>
      <c r="D5321" t="s">
        <v>46</v>
      </c>
      <c r="E5321" t="s">
        <v>138</v>
      </c>
      <c r="F5321" s="1">
        <v>42942</v>
      </c>
      <c r="G5321" s="1">
        <v>42944</v>
      </c>
      <c r="H5321">
        <v>3809</v>
      </c>
      <c r="I5321" t="str">
        <f>IF(COUNTIF(Products!$A$2:$A$8,C5321)=0,C5321,"")</f>
        <v/>
      </c>
      <c r="J5321">
        <f>IF(OR(E5321="Prospecting",E5321="Engaging"),VLOOKUP(C5321,Products!$A$2:$C$8,3,FALSE),0)</f>
        <v>0</v>
      </c>
    </row>
    <row r="5322" spans="1:10" x14ac:dyDescent="0.25">
      <c r="A5322" t="s">
        <v>5489</v>
      </c>
      <c r="B5322" t="s">
        <v>154</v>
      </c>
      <c r="C5322" t="s">
        <v>122</v>
      </c>
      <c r="D5322" t="s">
        <v>35</v>
      </c>
      <c r="E5322" t="s">
        <v>155</v>
      </c>
      <c r="F5322" s="1">
        <v>42942</v>
      </c>
      <c r="I5322" t="str">
        <f>IF(COUNTIF(Products!$A$2:$A$8,C5322)=0,C5322,"")</f>
        <v/>
      </c>
      <c r="J5322">
        <f>IF(OR(E5322="Prospecting",E5322="Engaging"),VLOOKUP(C5322,Products!$A$2:$C$8,3,FALSE),0)</f>
        <v>4821</v>
      </c>
    </row>
    <row r="5323" spans="1:10" x14ac:dyDescent="0.25">
      <c r="A5323" t="s">
        <v>5490</v>
      </c>
      <c r="B5323" t="s">
        <v>303</v>
      </c>
      <c r="C5323" t="s">
        <v>120</v>
      </c>
      <c r="E5323" t="s">
        <v>155</v>
      </c>
      <c r="F5323" s="1">
        <v>42942</v>
      </c>
      <c r="I5323" t="str">
        <f>IF(COUNTIF(Products!$A$2:$A$8,C5323)=0,C5323,"")</f>
        <v/>
      </c>
      <c r="J5323">
        <f>IF(OR(E5323="Prospecting",E5323="Engaging"),VLOOKUP(C5323,Products!$A$2:$C$8,3,FALSE),0)</f>
        <v>550</v>
      </c>
    </row>
    <row r="5324" spans="1:10" x14ac:dyDescent="0.25">
      <c r="A5324" t="s">
        <v>5491</v>
      </c>
      <c r="B5324" t="s">
        <v>303</v>
      </c>
      <c r="C5324" t="s">
        <v>120</v>
      </c>
      <c r="D5324" t="s">
        <v>53</v>
      </c>
      <c r="E5324" t="s">
        <v>159</v>
      </c>
      <c r="F5324" s="1">
        <v>42942</v>
      </c>
      <c r="G5324" s="1">
        <v>42946</v>
      </c>
      <c r="H5324">
        <v>0</v>
      </c>
      <c r="I5324" t="str">
        <f>IF(COUNTIF(Products!$A$2:$A$8,C5324)=0,C5324,"")</f>
        <v/>
      </c>
      <c r="J5324">
        <f>IF(OR(E5324="Prospecting",E5324="Engaging"),VLOOKUP(C5324,Products!$A$2:$C$8,3,FALSE),0)</f>
        <v>0</v>
      </c>
    </row>
    <row r="5325" spans="1:10" x14ac:dyDescent="0.25">
      <c r="A5325" t="s">
        <v>5492</v>
      </c>
      <c r="B5325" t="s">
        <v>191</v>
      </c>
      <c r="C5325" t="s">
        <v>126</v>
      </c>
      <c r="E5325" t="s">
        <v>155</v>
      </c>
      <c r="F5325" s="1">
        <v>42942</v>
      </c>
      <c r="I5325" t="str">
        <f>IF(COUNTIF(Products!$A$2:$A$8,C5325)=0,C5325,"")</f>
        <v/>
      </c>
      <c r="J5325">
        <f>IF(OR(E5325="Prospecting",E5325="Engaging"),VLOOKUP(C5325,Products!$A$2:$C$8,3,FALSE),0)</f>
        <v>5482</v>
      </c>
    </row>
    <row r="5326" spans="1:10" x14ac:dyDescent="0.25">
      <c r="A5326" t="s">
        <v>5493</v>
      </c>
      <c r="B5326" t="s">
        <v>191</v>
      </c>
      <c r="C5326" t="s">
        <v>123</v>
      </c>
      <c r="D5326" t="s">
        <v>90</v>
      </c>
      <c r="E5326" t="s">
        <v>138</v>
      </c>
      <c r="F5326" s="1">
        <v>42942</v>
      </c>
      <c r="G5326" s="1">
        <v>42957</v>
      </c>
      <c r="H5326">
        <v>53</v>
      </c>
      <c r="I5326" t="str">
        <f>IF(COUNTIF(Products!$A$2:$A$8,C5326)=0,C5326,"")</f>
        <v/>
      </c>
      <c r="J5326">
        <f>IF(OR(E5326="Prospecting",E5326="Engaging"),VLOOKUP(C5326,Products!$A$2:$C$8,3,FALSE),0)</f>
        <v>0</v>
      </c>
    </row>
    <row r="5327" spans="1:10" x14ac:dyDescent="0.25">
      <c r="A5327" t="s">
        <v>5494</v>
      </c>
      <c r="B5327" t="s">
        <v>217</v>
      </c>
      <c r="C5327" t="s">
        <v>126</v>
      </c>
      <c r="E5327" t="s">
        <v>155</v>
      </c>
      <c r="F5327" s="1">
        <v>42942</v>
      </c>
      <c r="I5327" t="str">
        <f>IF(COUNTIF(Products!$A$2:$A$8,C5327)=0,C5327,"")</f>
        <v/>
      </c>
      <c r="J5327">
        <f>IF(OR(E5327="Prospecting",E5327="Engaging"),VLOOKUP(C5327,Products!$A$2:$C$8,3,FALSE),0)</f>
        <v>5482</v>
      </c>
    </row>
    <row r="5328" spans="1:10" x14ac:dyDescent="0.25">
      <c r="A5328" t="s">
        <v>5495</v>
      </c>
      <c r="B5328" t="s">
        <v>217</v>
      </c>
      <c r="C5328" t="s">
        <v>125</v>
      </c>
      <c r="D5328" t="s">
        <v>102</v>
      </c>
      <c r="E5328" t="s">
        <v>155</v>
      </c>
      <c r="F5328" s="1">
        <v>42942</v>
      </c>
      <c r="I5328" t="str">
        <f>IF(COUNTIF(Products!$A$2:$A$8,C5328)=0,C5328,"")</f>
        <v/>
      </c>
      <c r="J5328">
        <f>IF(OR(E5328="Prospecting",E5328="Engaging"),VLOOKUP(C5328,Products!$A$2:$C$8,3,FALSE),0)</f>
        <v>3393</v>
      </c>
    </row>
    <row r="5329" spans="1:10" x14ac:dyDescent="0.25">
      <c r="A5329" t="s">
        <v>5496</v>
      </c>
      <c r="B5329" t="s">
        <v>217</v>
      </c>
      <c r="C5329" t="s">
        <v>125</v>
      </c>
      <c r="E5329" t="s">
        <v>155</v>
      </c>
      <c r="F5329" s="1">
        <v>42942</v>
      </c>
      <c r="I5329" t="str">
        <f>IF(COUNTIF(Products!$A$2:$A$8,C5329)=0,C5329,"")</f>
        <v/>
      </c>
      <c r="J5329">
        <f>IF(OR(E5329="Prospecting",E5329="Engaging"),VLOOKUP(C5329,Products!$A$2:$C$8,3,FALSE),0)</f>
        <v>3393</v>
      </c>
    </row>
    <row r="5330" spans="1:10" x14ac:dyDescent="0.25">
      <c r="A5330" t="s">
        <v>5497</v>
      </c>
      <c r="B5330" t="s">
        <v>217</v>
      </c>
      <c r="C5330" t="s">
        <v>125</v>
      </c>
      <c r="D5330" t="s">
        <v>12</v>
      </c>
      <c r="E5330" t="s">
        <v>159</v>
      </c>
      <c r="F5330" s="1">
        <v>42942</v>
      </c>
      <c r="G5330" s="1">
        <v>42946</v>
      </c>
      <c r="H5330">
        <v>0</v>
      </c>
      <c r="I5330" t="str">
        <f>IF(COUNTIF(Products!$A$2:$A$8,C5330)=0,C5330,"")</f>
        <v/>
      </c>
      <c r="J5330">
        <f>IF(OR(E5330="Prospecting",E5330="Engaging"),VLOOKUP(C5330,Products!$A$2:$C$8,3,FALSE),0)</f>
        <v>0</v>
      </c>
    </row>
    <row r="5331" spans="1:10" x14ac:dyDescent="0.25">
      <c r="A5331" t="s">
        <v>5498</v>
      </c>
      <c r="B5331" t="s">
        <v>205</v>
      </c>
      <c r="C5331" t="s">
        <v>127</v>
      </c>
      <c r="D5331" t="s">
        <v>88</v>
      </c>
      <c r="E5331" t="s">
        <v>138</v>
      </c>
      <c r="F5331" s="1">
        <v>42942</v>
      </c>
      <c r="G5331" s="1">
        <v>42944</v>
      </c>
      <c r="H5331">
        <v>1044</v>
      </c>
      <c r="I5331" t="str">
        <f>IF(COUNTIF(Products!$A$2:$A$8,C5331)=0,C5331,"")</f>
        <v/>
      </c>
      <c r="J5331">
        <f>IF(OR(E5331="Prospecting",E5331="Engaging"),VLOOKUP(C5331,Products!$A$2:$C$8,3,FALSE),0)</f>
        <v>0</v>
      </c>
    </row>
    <row r="5332" spans="1:10" x14ac:dyDescent="0.25">
      <c r="A5332" t="s">
        <v>5499</v>
      </c>
      <c r="B5332" t="s">
        <v>162</v>
      </c>
      <c r="C5332" t="s">
        <v>122</v>
      </c>
      <c r="D5332" t="s">
        <v>67</v>
      </c>
      <c r="E5332" t="s">
        <v>159</v>
      </c>
      <c r="F5332" s="1">
        <v>42942</v>
      </c>
      <c r="G5332" s="1">
        <v>42946</v>
      </c>
      <c r="H5332">
        <v>0</v>
      </c>
      <c r="I5332" t="str">
        <f>IF(COUNTIF(Products!$A$2:$A$8,C5332)=0,C5332,"")</f>
        <v/>
      </c>
      <c r="J5332">
        <f>IF(OR(E5332="Prospecting",E5332="Engaging"),VLOOKUP(C5332,Products!$A$2:$C$8,3,FALSE),0)</f>
        <v>0</v>
      </c>
    </row>
    <row r="5333" spans="1:10" x14ac:dyDescent="0.25">
      <c r="A5333" t="s">
        <v>5500</v>
      </c>
      <c r="B5333" t="s">
        <v>137</v>
      </c>
      <c r="C5333" t="s">
        <v>123</v>
      </c>
      <c r="E5333" t="s">
        <v>155</v>
      </c>
      <c r="F5333" s="1">
        <v>42942</v>
      </c>
      <c r="I5333" t="str">
        <f>IF(COUNTIF(Products!$A$2:$A$8,C5333)=0,C5333,"")</f>
        <v/>
      </c>
      <c r="J5333">
        <f>IF(OR(E5333="Prospecting",E5333="Engaging"),VLOOKUP(C5333,Products!$A$2:$C$8,3,FALSE),0)</f>
        <v>55</v>
      </c>
    </row>
    <row r="5334" spans="1:10" x14ac:dyDescent="0.25">
      <c r="A5334" t="s">
        <v>5501</v>
      </c>
      <c r="B5334" t="s">
        <v>137</v>
      </c>
      <c r="C5334" t="s">
        <v>125</v>
      </c>
      <c r="E5334" t="s">
        <v>155</v>
      </c>
      <c r="F5334" s="1">
        <v>42942</v>
      </c>
      <c r="I5334" t="str">
        <f>IF(COUNTIF(Products!$A$2:$A$8,C5334)=0,C5334,"")</f>
        <v/>
      </c>
      <c r="J5334">
        <f>IF(OR(E5334="Prospecting",E5334="Engaging"),VLOOKUP(C5334,Products!$A$2:$C$8,3,FALSE),0)</f>
        <v>3393</v>
      </c>
    </row>
    <row r="5335" spans="1:10" x14ac:dyDescent="0.25">
      <c r="A5335" t="s">
        <v>5502</v>
      </c>
      <c r="B5335" t="s">
        <v>137</v>
      </c>
      <c r="C5335" t="s">
        <v>125</v>
      </c>
      <c r="E5335" t="s">
        <v>155</v>
      </c>
      <c r="F5335" s="1">
        <v>42942</v>
      </c>
      <c r="I5335" t="str">
        <f>IF(COUNTIF(Products!$A$2:$A$8,C5335)=0,C5335,"")</f>
        <v/>
      </c>
      <c r="J5335">
        <f>IF(OR(E5335="Prospecting",E5335="Engaging"),VLOOKUP(C5335,Products!$A$2:$C$8,3,FALSE),0)</f>
        <v>3393</v>
      </c>
    </row>
    <row r="5336" spans="1:10" x14ac:dyDescent="0.25">
      <c r="A5336" t="s">
        <v>5503</v>
      </c>
      <c r="B5336" t="s">
        <v>152</v>
      </c>
      <c r="C5336" t="s">
        <v>127</v>
      </c>
      <c r="D5336" t="s">
        <v>105</v>
      </c>
      <c r="E5336" t="s">
        <v>155</v>
      </c>
      <c r="F5336" s="1">
        <v>42942</v>
      </c>
      <c r="I5336" t="str">
        <f>IF(COUNTIF(Products!$A$2:$A$8,C5336)=0,C5336,"")</f>
        <v/>
      </c>
      <c r="J5336">
        <f>IF(OR(E5336="Prospecting",E5336="Engaging"),VLOOKUP(C5336,Products!$A$2:$C$8,3,FALSE),0)</f>
        <v>1096</v>
      </c>
    </row>
    <row r="5337" spans="1:10" x14ac:dyDescent="0.25">
      <c r="A5337" t="s">
        <v>5504</v>
      </c>
      <c r="B5337" t="s">
        <v>148</v>
      </c>
      <c r="C5337" t="s">
        <v>122</v>
      </c>
      <c r="E5337" t="s">
        <v>155</v>
      </c>
      <c r="F5337" s="1">
        <v>42942</v>
      </c>
      <c r="I5337" t="str">
        <f>IF(COUNTIF(Products!$A$2:$A$8,C5337)=0,C5337,"")</f>
        <v/>
      </c>
      <c r="J5337">
        <f>IF(OR(E5337="Prospecting",E5337="Engaging"),VLOOKUP(C5337,Products!$A$2:$C$8,3,FALSE),0)</f>
        <v>4821</v>
      </c>
    </row>
    <row r="5338" spans="1:10" x14ac:dyDescent="0.25">
      <c r="A5338" t="s">
        <v>5505</v>
      </c>
      <c r="B5338" t="s">
        <v>148</v>
      </c>
      <c r="C5338" t="s">
        <v>122</v>
      </c>
      <c r="D5338" t="s">
        <v>39</v>
      </c>
      <c r="E5338" t="s">
        <v>159</v>
      </c>
      <c r="F5338" s="1">
        <v>42942</v>
      </c>
      <c r="G5338" s="1">
        <v>42953</v>
      </c>
      <c r="H5338">
        <v>0</v>
      </c>
      <c r="I5338" t="str">
        <f>IF(COUNTIF(Products!$A$2:$A$8,C5338)=0,C5338,"")</f>
        <v/>
      </c>
      <c r="J5338">
        <f>IF(OR(E5338="Prospecting",E5338="Engaging"),VLOOKUP(C5338,Products!$A$2:$C$8,3,FALSE),0)</f>
        <v>0</v>
      </c>
    </row>
    <row r="5339" spans="1:10" x14ac:dyDescent="0.25">
      <c r="A5339" t="s">
        <v>5506</v>
      </c>
      <c r="B5339" t="s">
        <v>196</v>
      </c>
      <c r="C5339" t="s">
        <v>125</v>
      </c>
      <c r="D5339" t="s">
        <v>108</v>
      </c>
      <c r="E5339" t="s">
        <v>138</v>
      </c>
      <c r="F5339" s="1">
        <v>42942</v>
      </c>
      <c r="G5339" s="1">
        <v>42944</v>
      </c>
      <c r="H5339">
        <v>3596</v>
      </c>
      <c r="I5339" t="str">
        <f>IF(COUNTIF(Products!$A$2:$A$8,C5339)=0,C5339,"")</f>
        <v/>
      </c>
      <c r="J5339">
        <f>IF(OR(E5339="Prospecting",E5339="Engaging"),VLOOKUP(C5339,Products!$A$2:$C$8,3,FALSE),0)</f>
        <v>0</v>
      </c>
    </row>
    <row r="5340" spans="1:10" x14ac:dyDescent="0.25">
      <c r="A5340" t="s">
        <v>5507</v>
      </c>
      <c r="B5340" t="s">
        <v>144</v>
      </c>
      <c r="C5340" t="s">
        <v>120</v>
      </c>
      <c r="E5340" t="s">
        <v>155</v>
      </c>
      <c r="F5340" s="1">
        <v>42942</v>
      </c>
      <c r="I5340" t="str">
        <f>IF(COUNTIF(Products!$A$2:$A$8,C5340)=0,C5340,"")</f>
        <v/>
      </c>
      <c r="J5340">
        <f>IF(OR(E5340="Prospecting",E5340="Engaging"),VLOOKUP(C5340,Products!$A$2:$C$8,3,FALSE),0)</f>
        <v>550</v>
      </c>
    </row>
    <row r="5341" spans="1:10" x14ac:dyDescent="0.25">
      <c r="A5341" t="s">
        <v>5508</v>
      </c>
      <c r="B5341" t="s">
        <v>144</v>
      </c>
      <c r="C5341" t="s">
        <v>127</v>
      </c>
      <c r="D5341" t="s">
        <v>61</v>
      </c>
      <c r="E5341" t="s">
        <v>159</v>
      </c>
      <c r="F5341" s="1">
        <v>42942</v>
      </c>
      <c r="G5341" s="1">
        <v>42943</v>
      </c>
      <c r="H5341">
        <v>0</v>
      </c>
      <c r="I5341" t="str">
        <f>IF(COUNTIF(Products!$A$2:$A$8,C5341)=0,C5341,"")</f>
        <v/>
      </c>
      <c r="J5341">
        <f>IF(OR(E5341="Prospecting",E5341="Engaging"),VLOOKUP(C5341,Products!$A$2:$C$8,3,FALSE),0)</f>
        <v>0</v>
      </c>
    </row>
    <row r="5342" spans="1:10" x14ac:dyDescent="0.25">
      <c r="A5342" t="s">
        <v>5509</v>
      </c>
      <c r="B5342" t="s">
        <v>144</v>
      </c>
      <c r="C5342" t="s">
        <v>127</v>
      </c>
      <c r="D5342" t="s">
        <v>93</v>
      </c>
      <c r="E5342" t="s">
        <v>138</v>
      </c>
      <c r="F5342" s="1">
        <v>42942</v>
      </c>
      <c r="G5342" s="1">
        <v>43070</v>
      </c>
      <c r="H5342">
        <v>1091</v>
      </c>
      <c r="I5342" t="str">
        <f>IF(COUNTIF(Products!$A$2:$A$8,C5342)=0,C5342,"")</f>
        <v/>
      </c>
      <c r="J5342">
        <f>IF(OR(E5342="Prospecting",E5342="Engaging"),VLOOKUP(C5342,Products!$A$2:$C$8,3,FALSE),0)</f>
        <v>0</v>
      </c>
    </row>
    <row r="5343" spans="1:10" x14ac:dyDescent="0.25">
      <c r="A5343" t="s">
        <v>5510</v>
      </c>
      <c r="B5343" t="s">
        <v>144</v>
      </c>
      <c r="C5343" t="s">
        <v>122</v>
      </c>
      <c r="D5343" t="s">
        <v>82</v>
      </c>
      <c r="E5343" t="s">
        <v>138</v>
      </c>
      <c r="F5343" s="1">
        <v>42942</v>
      </c>
      <c r="G5343" s="1">
        <v>43004</v>
      </c>
      <c r="H5343">
        <v>6000</v>
      </c>
      <c r="I5343" t="str">
        <f>IF(COUNTIF(Products!$A$2:$A$8,C5343)=0,C5343,"")</f>
        <v/>
      </c>
      <c r="J5343">
        <f>IF(OR(E5343="Prospecting",E5343="Engaging"),VLOOKUP(C5343,Products!$A$2:$C$8,3,FALSE),0)</f>
        <v>0</v>
      </c>
    </row>
    <row r="5344" spans="1:10" x14ac:dyDescent="0.25">
      <c r="A5344" t="s">
        <v>5511</v>
      </c>
      <c r="B5344" t="s">
        <v>146</v>
      </c>
      <c r="C5344" t="s">
        <v>126</v>
      </c>
      <c r="E5344" t="s">
        <v>155</v>
      </c>
      <c r="F5344" s="1">
        <v>42943</v>
      </c>
      <c r="I5344" t="str">
        <f>IF(COUNTIF(Products!$A$2:$A$8,C5344)=0,C5344,"")</f>
        <v/>
      </c>
      <c r="J5344">
        <f>IF(OR(E5344="Prospecting",E5344="Engaging"),VLOOKUP(C5344,Products!$A$2:$C$8,3,FALSE),0)</f>
        <v>5482</v>
      </c>
    </row>
    <row r="5345" spans="1:10" x14ac:dyDescent="0.25">
      <c r="A5345" t="s">
        <v>5512</v>
      </c>
      <c r="B5345" t="s">
        <v>146</v>
      </c>
      <c r="C5345" t="s">
        <v>126</v>
      </c>
      <c r="E5345" t="s">
        <v>155</v>
      </c>
      <c r="F5345" s="1">
        <v>42943</v>
      </c>
      <c r="I5345" t="str">
        <f>IF(COUNTIF(Products!$A$2:$A$8,C5345)=0,C5345,"")</f>
        <v/>
      </c>
      <c r="J5345">
        <f>IF(OR(E5345="Prospecting",E5345="Engaging"),VLOOKUP(C5345,Products!$A$2:$C$8,3,FALSE),0)</f>
        <v>5482</v>
      </c>
    </row>
    <row r="5346" spans="1:10" x14ac:dyDescent="0.25">
      <c r="A5346" t="s">
        <v>5513</v>
      </c>
      <c r="B5346" t="s">
        <v>146</v>
      </c>
      <c r="C5346" t="s">
        <v>123</v>
      </c>
      <c r="D5346" t="s">
        <v>47</v>
      </c>
      <c r="E5346" t="s">
        <v>155</v>
      </c>
      <c r="F5346" s="1">
        <v>42943</v>
      </c>
      <c r="I5346" t="str">
        <f>IF(COUNTIF(Products!$A$2:$A$8,C5346)=0,C5346,"")</f>
        <v/>
      </c>
      <c r="J5346">
        <f>IF(OR(E5346="Prospecting",E5346="Engaging"),VLOOKUP(C5346,Products!$A$2:$C$8,3,FALSE),0)</f>
        <v>55</v>
      </c>
    </row>
    <row r="5347" spans="1:10" x14ac:dyDescent="0.25">
      <c r="A5347" t="s">
        <v>5514</v>
      </c>
      <c r="B5347" t="s">
        <v>146</v>
      </c>
      <c r="C5347" t="s">
        <v>123</v>
      </c>
      <c r="E5347" t="s">
        <v>155</v>
      </c>
      <c r="F5347" s="1">
        <v>42943</v>
      </c>
      <c r="I5347" t="str">
        <f>IF(COUNTIF(Products!$A$2:$A$8,C5347)=0,C5347,"")</f>
        <v/>
      </c>
      <c r="J5347">
        <f>IF(OR(E5347="Prospecting",E5347="Engaging"),VLOOKUP(C5347,Products!$A$2:$C$8,3,FALSE),0)</f>
        <v>55</v>
      </c>
    </row>
    <row r="5348" spans="1:10" x14ac:dyDescent="0.25">
      <c r="A5348" t="s">
        <v>5515</v>
      </c>
      <c r="B5348" t="s">
        <v>146</v>
      </c>
      <c r="C5348" t="s">
        <v>126</v>
      </c>
      <c r="D5348" t="s">
        <v>14</v>
      </c>
      <c r="E5348" t="s">
        <v>138</v>
      </c>
      <c r="F5348" s="1">
        <v>42943</v>
      </c>
      <c r="G5348" s="1">
        <v>42945</v>
      </c>
      <c r="H5348">
        <v>5068</v>
      </c>
      <c r="I5348" t="str">
        <f>IF(COUNTIF(Products!$A$2:$A$8,C5348)=0,C5348,"")</f>
        <v/>
      </c>
      <c r="J5348">
        <f>IF(OR(E5348="Prospecting",E5348="Engaging"),VLOOKUP(C5348,Products!$A$2:$C$8,3,FALSE),0)</f>
        <v>0</v>
      </c>
    </row>
    <row r="5349" spans="1:10" x14ac:dyDescent="0.25">
      <c r="A5349" t="s">
        <v>5516</v>
      </c>
      <c r="B5349" t="s">
        <v>146</v>
      </c>
      <c r="C5349" t="s">
        <v>123</v>
      </c>
      <c r="D5349" t="s">
        <v>53</v>
      </c>
      <c r="E5349" t="s">
        <v>138</v>
      </c>
      <c r="F5349" s="1">
        <v>42943</v>
      </c>
      <c r="G5349" s="1">
        <v>42945</v>
      </c>
      <c r="H5349">
        <v>46</v>
      </c>
      <c r="I5349" t="str">
        <f>IF(COUNTIF(Products!$A$2:$A$8,C5349)=0,C5349,"")</f>
        <v/>
      </c>
      <c r="J5349">
        <f>IF(OR(E5349="Prospecting",E5349="Engaging"),VLOOKUP(C5349,Products!$A$2:$C$8,3,FALSE),0)</f>
        <v>0</v>
      </c>
    </row>
    <row r="5350" spans="1:10" x14ac:dyDescent="0.25">
      <c r="A5350" t="s">
        <v>5517</v>
      </c>
      <c r="B5350" t="s">
        <v>207</v>
      </c>
      <c r="C5350" t="s">
        <v>125</v>
      </c>
      <c r="D5350" t="s">
        <v>106</v>
      </c>
      <c r="E5350" t="s">
        <v>159</v>
      </c>
      <c r="F5350" s="1">
        <v>42943</v>
      </c>
      <c r="G5350" s="1">
        <v>43081</v>
      </c>
      <c r="H5350">
        <v>0</v>
      </c>
      <c r="I5350" t="str">
        <f>IF(COUNTIF(Products!$A$2:$A$8,C5350)=0,C5350,"")</f>
        <v/>
      </c>
      <c r="J5350">
        <f>IF(OR(E5350="Prospecting",E5350="Engaging"),VLOOKUP(C5350,Products!$A$2:$C$8,3,FALSE),0)</f>
        <v>0</v>
      </c>
    </row>
    <row r="5351" spans="1:10" x14ac:dyDescent="0.25">
      <c r="A5351" t="s">
        <v>5518</v>
      </c>
      <c r="B5351" t="s">
        <v>264</v>
      </c>
      <c r="C5351" t="s">
        <v>127</v>
      </c>
      <c r="E5351" t="s">
        <v>155</v>
      </c>
      <c r="F5351" s="1">
        <v>42943</v>
      </c>
      <c r="I5351" t="str">
        <f>IF(COUNTIF(Products!$A$2:$A$8,C5351)=0,C5351,"")</f>
        <v/>
      </c>
      <c r="J5351">
        <f>IF(OR(E5351="Prospecting",E5351="Engaging"),VLOOKUP(C5351,Products!$A$2:$C$8,3,FALSE),0)</f>
        <v>1096</v>
      </c>
    </row>
    <row r="5352" spans="1:10" x14ac:dyDescent="0.25">
      <c r="A5352" t="s">
        <v>5519</v>
      </c>
      <c r="B5352" t="s">
        <v>264</v>
      </c>
      <c r="C5352" t="s">
        <v>125</v>
      </c>
      <c r="D5352" t="s">
        <v>91</v>
      </c>
      <c r="E5352" t="s">
        <v>138</v>
      </c>
      <c r="F5352" s="1">
        <v>42943</v>
      </c>
      <c r="G5352" s="1">
        <v>42949</v>
      </c>
      <c r="H5352">
        <v>3025</v>
      </c>
      <c r="I5352" t="str">
        <f>IF(COUNTIF(Products!$A$2:$A$8,C5352)=0,C5352,"")</f>
        <v/>
      </c>
      <c r="J5352">
        <f>IF(OR(E5352="Prospecting",E5352="Engaging"),VLOOKUP(C5352,Products!$A$2:$C$8,3,FALSE),0)</f>
        <v>0</v>
      </c>
    </row>
    <row r="5353" spans="1:10" x14ac:dyDescent="0.25">
      <c r="A5353" t="s">
        <v>5520</v>
      </c>
      <c r="B5353" t="s">
        <v>239</v>
      </c>
      <c r="C5353" t="s">
        <v>127</v>
      </c>
      <c r="D5353" t="s">
        <v>37</v>
      </c>
      <c r="E5353" t="s">
        <v>159</v>
      </c>
      <c r="F5353" s="1">
        <v>42943</v>
      </c>
      <c r="G5353" s="1">
        <v>42945</v>
      </c>
      <c r="H5353">
        <v>0</v>
      </c>
      <c r="I5353" t="str">
        <f>IF(COUNTIF(Products!$A$2:$A$8,C5353)=0,C5353,"")</f>
        <v/>
      </c>
      <c r="J5353">
        <f>IF(OR(E5353="Prospecting",E5353="Engaging"),VLOOKUP(C5353,Products!$A$2:$C$8,3,FALSE),0)</f>
        <v>0</v>
      </c>
    </row>
    <row r="5354" spans="1:10" x14ac:dyDescent="0.25">
      <c r="A5354" t="s">
        <v>5521</v>
      </c>
      <c r="B5354" t="s">
        <v>140</v>
      </c>
      <c r="C5354" t="s">
        <v>127</v>
      </c>
      <c r="E5354" t="s">
        <v>155</v>
      </c>
      <c r="F5354" s="1">
        <v>42943</v>
      </c>
      <c r="I5354" t="str">
        <f>IF(COUNTIF(Products!$A$2:$A$8,C5354)=0,C5354,"")</f>
        <v/>
      </c>
      <c r="J5354">
        <f>IF(OR(E5354="Prospecting",E5354="Engaging"),VLOOKUP(C5354,Products!$A$2:$C$8,3,FALSE),0)</f>
        <v>1096</v>
      </c>
    </row>
    <row r="5355" spans="1:10" x14ac:dyDescent="0.25">
      <c r="A5355" t="s">
        <v>5522</v>
      </c>
      <c r="B5355" t="s">
        <v>140</v>
      </c>
      <c r="C5355" t="s">
        <v>122</v>
      </c>
      <c r="D5355" t="s">
        <v>44</v>
      </c>
      <c r="E5355" t="s">
        <v>155</v>
      </c>
      <c r="F5355" s="1">
        <v>42943</v>
      </c>
      <c r="I5355" t="str">
        <f>IF(COUNTIF(Products!$A$2:$A$8,C5355)=0,C5355,"")</f>
        <v/>
      </c>
      <c r="J5355">
        <f>IF(OR(E5355="Prospecting",E5355="Engaging"),VLOOKUP(C5355,Products!$A$2:$C$8,3,FALSE),0)</f>
        <v>4821</v>
      </c>
    </row>
    <row r="5356" spans="1:10" x14ac:dyDescent="0.25">
      <c r="A5356" t="s">
        <v>5523</v>
      </c>
      <c r="B5356" t="s">
        <v>140</v>
      </c>
      <c r="C5356" t="s">
        <v>122</v>
      </c>
      <c r="D5356" t="s">
        <v>46</v>
      </c>
      <c r="E5356" t="s">
        <v>155</v>
      </c>
      <c r="F5356" s="1">
        <v>42943</v>
      </c>
      <c r="I5356" t="str">
        <f>IF(COUNTIF(Products!$A$2:$A$8,C5356)=0,C5356,"")</f>
        <v/>
      </c>
      <c r="J5356">
        <f>IF(OR(E5356="Prospecting",E5356="Engaging"),VLOOKUP(C5356,Products!$A$2:$C$8,3,FALSE),0)</f>
        <v>4821</v>
      </c>
    </row>
    <row r="5357" spans="1:10" x14ac:dyDescent="0.25">
      <c r="A5357" t="s">
        <v>5524</v>
      </c>
      <c r="B5357" t="s">
        <v>140</v>
      </c>
      <c r="C5357" t="s">
        <v>122</v>
      </c>
      <c r="D5357" t="s">
        <v>69</v>
      </c>
      <c r="E5357" t="s">
        <v>155</v>
      </c>
      <c r="F5357" s="1">
        <v>42943</v>
      </c>
      <c r="I5357" t="str">
        <f>IF(COUNTIF(Products!$A$2:$A$8,C5357)=0,C5357,"")</f>
        <v/>
      </c>
      <c r="J5357">
        <f>IF(OR(E5357="Prospecting",E5357="Engaging"),VLOOKUP(C5357,Products!$A$2:$C$8,3,FALSE),0)</f>
        <v>4821</v>
      </c>
    </row>
    <row r="5358" spans="1:10" x14ac:dyDescent="0.25">
      <c r="A5358" t="s">
        <v>5525</v>
      </c>
      <c r="B5358" t="s">
        <v>140</v>
      </c>
      <c r="C5358" t="s">
        <v>122</v>
      </c>
      <c r="E5358" t="s">
        <v>155</v>
      </c>
      <c r="F5358" s="1">
        <v>42943</v>
      </c>
      <c r="I5358" t="str">
        <f>IF(COUNTIF(Products!$A$2:$A$8,C5358)=0,C5358,"")</f>
        <v/>
      </c>
      <c r="J5358">
        <f>IF(OR(E5358="Prospecting",E5358="Engaging"),VLOOKUP(C5358,Products!$A$2:$C$8,3,FALSE),0)</f>
        <v>4821</v>
      </c>
    </row>
    <row r="5359" spans="1:10" x14ac:dyDescent="0.25">
      <c r="A5359" t="s">
        <v>5526</v>
      </c>
      <c r="B5359" t="s">
        <v>140</v>
      </c>
      <c r="C5359" t="s">
        <v>122</v>
      </c>
      <c r="E5359" t="s">
        <v>155</v>
      </c>
      <c r="F5359" s="1">
        <v>42943</v>
      </c>
      <c r="I5359" t="str">
        <f>IF(COUNTIF(Products!$A$2:$A$8,C5359)=0,C5359,"")</f>
        <v/>
      </c>
      <c r="J5359">
        <f>IF(OR(E5359="Prospecting",E5359="Engaging"),VLOOKUP(C5359,Products!$A$2:$C$8,3,FALSE),0)</f>
        <v>4821</v>
      </c>
    </row>
    <row r="5360" spans="1:10" x14ac:dyDescent="0.25">
      <c r="A5360" t="s">
        <v>5527</v>
      </c>
      <c r="B5360" t="s">
        <v>140</v>
      </c>
      <c r="C5360" t="s">
        <v>122</v>
      </c>
      <c r="E5360" t="s">
        <v>155</v>
      </c>
      <c r="F5360" s="1">
        <v>42943</v>
      </c>
      <c r="I5360" t="str">
        <f>IF(COUNTIF(Products!$A$2:$A$8,C5360)=0,C5360,"")</f>
        <v/>
      </c>
      <c r="J5360">
        <f>IF(OR(E5360="Prospecting",E5360="Engaging"),VLOOKUP(C5360,Products!$A$2:$C$8,3,FALSE),0)</f>
        <v>4821</v>
      </c>
    </row>
    <row r="5361" spans="1:10" x14ac:dyDescent="0.25">
      <c r="A5361" t="s">
        <v>5528</v>
      </c>
      <c r="B5361" t="s">
        <v>140</v>
      </c>
      <c r="C5361" t="s">
        <v>122</v>
      </c>
      <c r="E5361" t="s">
        <v>155</v>
      </c>
      <c r="F5361" s="1">
        <v>42943</v>
      </c>
      <c r="I5361" t="str">
        <f>IF(COUNTIF(Products!$A$2:$A$8,C5361)=0,C5361,"")</f>
        <v/>
      </c>
      <c r="J5361">
        <f>IF(OR(E5361="Prospecting",E5361="Engaging"),VLOOKUP(C5361,Products!$A$2:$C$8,3,FALSE),0)</f>
        <v>4821</v>
      </c>
    </row>
    <row r="5362" spans="1:10" x14ac:dyDescent="0.25">
      <c r="A5362" t="s">
        <v>5529</v>
      </c>
      <c r="B5362" t="s">
        <v>140</v>
      </c>
      <c r="C5362" t="s">
        <v>125</v>
      </c>
      <c r="E5362" t="s">
        <v>155</v>
      </c>
      <c r="F5362" s="1">
        <v>42943</v>
      </c>
      <c r="I5362" t="str">
        <f>IF(COUNTIF(Products!$A$2:$A$8,C5362)=0,C5362,"")</f>
        <v/>
      </c>
      <c r="J5362">
        <f>IF(OR(E5362="Prospecting",E5362="Engaging"),VLOOKUP(C5362,Products!$A$2:$C$8,3,FALSE),0)</f>
        <v>3393</v>
      </c>
    </row>
    <row r="5363" spans="1:10" x14ac:dyDescent="0.25">
      <c r="A5363" t="s">
        <v>5530</v>
      </c>
      <c r="B5363" t="s">
        <v>140</v>
      </c>
      <c r="C5363" t="s">
        <v>125</v>
      </c>
      <c r="E5363" t="s">
        <v>155</v>
      </c>
      <c r="F5363" s="1">
        <v>42943</v>
      </c>
      <c r="I5363" t="str">
        <f>IF(COUNTIF(Products!$A$2:$A$8,C5363)=0,C5363,"")</f>
        <v/>
      </c>
      <c r="J5363">
        <f>IF(OR(E5363="Prospecting",E5363="Engaging"),VLOOKUP(C5363,Products!$A$2:$C$8,3,FALSE),0)</f>
        <v>3393</v>
      </c>
    </row>
    <row r="5364" spans="1:10" x14ac:dyDescent="0.25">
      <c r="A5364" t="s">
        <v>5531</v>
      </c>
      <c r="B5364" t="s">
        <v>140</v>
      </c>
      <c r="C5364" t="s">
        <v>122</v>
      </c>
      <c r="D5364" t="s">
        <v>30</v>
      </c>
      <c r="E5364" t="s">
        <v>138</v>
      </c>
      <c r="F5364" s="1">
        <v>42943</v>
      </c>
      <c r="G5364" s="1">
        <v>42956</v>
      </c>
      <c r="H5364">
        <v>4790</v>
      </c>
      <c r="I5364" t="str">
        <f>IF(COUNTIF(Products!$A$2:$A$8,C5364)=0,C5364,"")</f>
        <v/>
      </c>
      <c r="J5364">
        <f>IF(OR(E5364="Prospecting",E5364="Engaging"),VLOOKUP(C5364,Products!$A$2:$C$8,3,FALSE),0)</f>
        <v>0</v>
      </c>
    </row>
    <row r="5365" spans="1:10" x14ac:dyDescent="0.25">
      <c r="A5365" t="s">
        <v>5532</v>
      </c>
      <c r="B5365" t="s">
        <v>140</v>
      </c>
      <c r="C5365" t="s">
        <v>122</v>
      </c>
      <c r="D5365" t="s">
        <v>116</v>
      </c>
      <c r="E5365" t="s">
        <v>138</v>
      </c>
      <c r="F5365" s="1">
        <v>42943</v>
      </c>
      <c r="G5365" s="1">
        <v>42970</v>
      </c>
      <c r="H5365">
        <v>4861</v>
      </c>
      <c r="I5365" t="str">
        <f>IF(COUNTIF(Products!$A$2:$A$8,C5365)=0,C5365,"")</f>
        <v/>
      </c>
      <c r="J5365">
        <f>IF(OR(E5365="Prospecting",E5365="Engaging"),VLOOKUP(C5365,Products!$A$2:$C$8,3,FALSE),0)</f>
        <v>0</v>
      </c>
    </row>
    <row r="5366" spans="1:10" x14ac:dyDescent="0.25">
      <c r="A5366" t="s">
        <v>5533</v>
      </c>
      <c r="B5366" t="s">
        <v>158</v>
      </c>
      <c r="C5366" t="s">
        <v>126</v>
      </c>
      <c r="E5366" t="s">
        <v>155</v>
      </c>
      <c r="F5366" s="1">
        <v>42943</v>
      </c>
      <c r="I5366" t="str">
        <f>IF(COUNTIF(Products!$A$2:$A$8,C5366)=0,C5366,"")</f>
        <v/>
      </c>
      <c r="J5366">
        <f>IF(OR(E5366="Prospecting",E5366="Engaging"),VLOOKUP(C5366,Products!$A$2:$C$8,3,FALSE),0)</f>
        <v>5482</v>
      </c>
    </row>
    <row r="5367" spans="1:10" x14ac:dyDescent="0.25">
      <c r="A5367" t="s">
        <v>5534</v>
      </c>
      <c r="B5367" t="s">
        <v>158</v>
      </c>
      <c r="C5367" t="s">
        <v>125</v>
      </c>
      <c r="E5367" t="s">
        <v>155</v>
      </c>
      <c r="F5367" s="1">
        <v>42943</v>
      </c>
      <c r="I5367" t="str">
        <f>IF(COUNTIF(Products!$A$2:$A$8,C5367)=0,C5367,"")</f>
        <v/>
      </c>
      <c r="J5367">
        <f>IF(OR(E5367="Prospecting",E5367="Engaging"),VLOOKUP(C5367,Products!$A$2:$C$8,3,FALSE),0)</f>
        <v>3393</v>
      </c>
    </row>
    <row r="5368" spans="1:10" x14ac:dyDescent="0.25">
      <c r="A5368" t="s">
        <v>5535</v>
      </c>
      <c r="B5368" t="s">
        <v>158</v>
      </c>
      <c r="C5368" t="s">
        <v>120</v>
      </c>
      <c r="D5368" t="s">
        <v>22</v>
      </c>
      <c r="E5368" t="s">
        <v>159</v>
      </c>
      <c r="F5368" s="1">
        <v>42943</v>
      </c>
      <c r="G5368" s="1">
        <v>42993</v>
      </c>
      <c r="H5368">
        <v>0</v>
      </c>
      <c r="I5368" t="str">
        <f>IF(COUNTIF(Products!$A$2:$A$8,C5368)=0,C5368,"")</f>
        <v/>
      </c>
      <c r="J5368">
        <f>IF(OR(E5368="Prospecting",E5368="Engaging"),VLOOKUP(C5368,Products!$A$2:$C$8,3,FALSE),0)</f>
        <v>0</v>
      </c>
    </row>
    <row r="5369" spans="1:10" x14ac:dyDescent="0.25">
      <c r="A5369" t="s">
        <v>5536</v>
      </c>
      <c r="B5369" t="s">
        <v>164</v>
      </c>
      <c r="C5369" t="s">
        <v>127</v>
      </c>
      <c r="E5369" t="s">
        <v>155</v>
      </c>
      <c r="F5369" s="1">
        <v>42943</v>
      </c>
      <c r="I5369" t="str">
        <f>IF(COUNTIF(Products!$A$2:$A$8,C5369)=0,C5369,"")</f>
        <v/>
      </c>
      <c r="J5369">
        <f>IF(OR(E5369="Prospecting",E5369="Engaging"),VLOOKUP(C5369,Products!$A$2:$C$8,3,FALSE),0)</f>
        <v>1096</v>
      </c>
    </row>
    <row r="5370" spans="1:10" x14ac:dyDescent="0.25">
      <c r="A5370" t="s">
        <v>5537</v>
      </c>
      <c r="B5370" t="s">
        <v>154</v>
      </c>
      <c r="C5370" t="s">
        <v>120</v>
      </c>
      <c r="D5370" t="s">
        <v>61</v>
      </c>
      <c r="E5370" t="s">
        <v>138</v>
      </c>
      <c r="F5370" s="1">
        <v>42943</v>
      </c>
      <c r="G5370" s="1">
        <v>42993</v>
      </c>
      <c r="H5370">
        <v>586</v>
      </c>
      <c r="I5370" t="str">
        <f>IF(COUNTIF(Products!$A$2:$A$8,C5370)=0,C5370,"")</f>
        <v/>
      </c>
      <c r="J5370">
        <f>IF(OR(E5370="Prospecting",E5370="Engaging"),VLOOKUP(C5370,Products!$A$2:$C$8,3,FALSE),0)</f>
        <v>0</v>
      </c>
    </row>
    <row r="5371" spans="1:10" x14ac:dyDescent="0.25">
      <c r="A5371" t="s">
        <v>5538</v>
      </c>
      <c r="B5371" t="s">
        <v>303</v>
      </c>
      <c r="C5371" t="s">
        <v>120</v>
      </c>
      <c r="E5371" t="s">
        <v>155</v>
      </c>
      <c r="F5371" s="1">
        <v>42943</v>
      </c>
      <c r="I5371" t="str">
        <f>IF(COUNTIF(Products!$A$2:$A$8,C5371)=0,C5371,"")</f>
        <v/>
      </c>
      <c r="J5371">
        <f>IF(OR(E5371="Prospecting",E5371="Engaging"),VLOOKUP(C5371,Products!$A$2:$C$8,3,FALSE),0)</f>
        <v>550</v>
      </c>
    </row>
    <row r="5372" spans="1:10" x14ac:dyDescent="0.25">
      <c r="A5372" t="s">
        <v>5539</v>
      </c>
      <c r="B5372" t="s">
        <v>303</v>
      </c>
      <c r="C5372" t="s">
        <v>120</v>
      </c>
      <c r="E5372" t="s">
        <v>155</v>
      </c>
      <c r="F5372" s="1">
        <v>42943</v>
      </c>
      <c r="I5372" t="str">
        <f>IF(COUNTIF(Products!$A$2:$A$8,C5372)=0,C5372,"")</f>
        <v/>
      </c>
      <c r="J5372">
        <f>IF(OR(E5372="Prospecting",E5372="Engaging"),VLOOKUP(C5372,Products!$A$2:$C$8,3,FALSE),0)</f>
        <v>550</v>
      </c>
    </row>
    <row r="5373" spans="1:10" x14ac:dyDescent="0.25">
      <c r="A5373" t="s">
        <v>5540</v>
      </c>
      <c r="B5373" t="s">
        <v>303</v>
      </c>
      <c r="C5373" t="s">
        <v>127</v>
      </c>
      <c r="D5373" t="s">
        <v>93</v>
      </c>
      <c r="E5373" t="s">
        <v>155</v>
      </c>
      <c r="F5373" s="1">
        <v>42943</v>
      </c>
      <c r="I5373" t="str">
        <f>IF(COUNTIF(Products!$A$2:$A$8,C5373)=0,C5373,"")</f>
        <v/>
      </c>
      <c r="J5373">
        <f>IF(OR(E5373="Prospecting",E5373="Engaging"),VLOOKUP(C5373,Products!$A$2:$C$8,3,FALSE),0)</f>
        <v>1096</v>
      </c>
    </row>
    <row r="5374" spans="1:10" x14ac:dyDescent="0.25">
      <c r="A5374" t="s">
        <v>5541</v>
      </c>
      <c r="B5374" t="s">
        <v>303</v>
      </c>
      <c r="C5374" t="s">
        <v>127</v>
      </c>
      <c r="E5374" t="s">
        <v>155</v>
      </c>
      <c r="F5374" s="1">
        <v>42943</v>
      </c>
      <c r="I5374" t="str">
        <f>IF(COUNTIF(Products!$A$2:$A$8,C5374)=0,C5374,"")</f>
        <v/>
      </c>
      <c r="J5374">
        <f>IF(OR(E5374="Prospecting",E5374="Engaging"),VLOOKUP(C5374,Products!$A$2:$C$8,3,FALSE),0)</f>
        <v>1096</v>
      </c>
    </row>
    <row r="5375" spans="1:10" x14ac:dyDescent="0.25">
      <c r="A5375" t="s">
        <v>5542</v>
      </c>
      <c r="B5375" t="s">
        <v>180</v>
      </c>
      <c r="C5375" t="s">
        <v>120</v>
      </c>
      <c r="D5375" t="s">
        <v>90</v>
      </c>
      <c r="E5375" t="s">
        <v>138</v>
      </c>
      <c r="F5375" s="1">
        <v>42943</v>
      </c>
      <c r="G5375" s="1">
        <v>42957</v>
      </c>
      <c r="H5375">
        <v>514</v>
      </c>
      <c r="I5375" t="str">
        <f>IF(COUNTIF(Products!$A$2:$A$8,C5375)=0,C5375,"")</f>
        <v/>
      </c>
      <c r="J5375">
        <f>IF(OR(E5375="Prospecting",E5375="Engaging"),VLOOKUP(C5375,Products!$A$2:$C$8,3,FALSE),0)</f>
        <v>0</v>
      </c>
    </row>
    <row r="5376" spans="1:10" x14ac:dyDescent="0.25">
      <c r="A5376" t="s">
        <v>5543</v>
      </c>
      <c r="B5376" t="s">
        <v>150</v>
      </c>
      <c r="C5376" t="s">
        <v>122</v>
      </c>
      <c r="D5376" t="s">
        <v>69</v>
      </c>
      <c r="E5376" t="s">
        <v>138</v>
      </c>
      <c r="F5376" s="1">
        <v>42943</v>
      </c>
      <c r="G5376" s="1">
        <v>42944</v>
      </c>
      <c r="H5376">
        <v>4209</v>
      </c>
      <c r="I5376" t="str">
        <f>IF(COUNTIF(Products!$A$2:$A$8,C5376)=0,C5376,"")</f>
        <v/>
      </c>
      <c r="J5376">
        <f>IF(OR(E5376="Prospecting",E5376="Engaging"),VLOOKUP(C5376,Products!$A$2:$C$8,3,FALSE),0)</f>
        <v>0</v>
      </c>
    </row>
    <row r="5377" spans="1:10" x14ac:dyDescent="0.25">
      <c r="A5377" t="s">
        <v>5544</v>
      </c>
      <c r="B5377" t="s">
        <v>205</v>
      </c>
      <c r="C5377" t="s">
        <v>120</v>
      </c>
      <c r="E5377" t="s">
        <v>155</v>
      </c>
      <c r="F5377" s="1">
        <v>42943</v>
      </c>
      <c r="I5377" t="str">
        <f>IF(COUNTIF(Products!$A$2:$A$8,C5377)=0,C5377,"")</f>
        <v/>
      </c>
      <c r="J5377">
        <f>IF(OR(E5377="Prospecting",E5377="Engaging"),VLOOKUP(C5377,Products!$A$2:$C$8,3,FALSE),0)</f>
        <v>550</v>
      </c>
    </row>
    <row r="5378" spans="1:10" x14ac:dyDescent="0.25">
      <c r="A5378" t="s">
        <v>5545</v>
      </c>
      <c r="B5378" t="s">
        <v>205</v>
      </c>
      <c r="C5378" t="s">
        <v>127</v>
      </c>
      <c r="D5378" t="s">
        <v>93</v>
      </c>
      <c r="E5378" t="s">
        <v>155</v>
      </c>
      <c r="F5378" s="1">
        <v>42943</v>
      </c>
      <c r="I5378" t="str">
        <f>IF(COUNTIF(Products!$A$2:$A$8,C5378)=0,C5378,"")</f>
        <v/>
      </c>
      <c r="J5378">
        <f>IF(OR(E5378="Prospecting",E5378="Engaging"),VLOOKUP(C5378,Products!$A$2:$C$8,3,FALSE),0)</f>
        <v>1096</v>
      </c>
    </row>
    <row r="5379" spans="1:10" x14ac:dyDescent="0.25">
      <c r="A5379" t="s">
        <v>5546</v>
      </c>
      <c r="B5379" t="s">
        <v>205</v>
      </c>
      <c r="C5379" t="s">
        <v>127</v>
      </c>
      <c r="D5379" t="s">
        <v>109</v>
      </c>
      <c r="E5379" t="s">
        <v>155</v>
      </c>
      <c r="F5379" s="1">
        <v>42943</v>
      </c>
      <c r="I5379" t="str">
        <f>IF(COUNTIF(Products!$A$2:$A$8,C5379)=0,C5379,"")</f>
        <v/>
      </c>
      <c r="J5379">
        <f>IF(OR(E5379="Prospecting",E5379="Engaging"),VLOOKUP(C5379,Products!$A$2:$C$8,3,FALSE),0)</f>
        <v>1096</v>
      </c>
    </row>
    <row r="5380" spans="1:10" x14ac:dyDescent="0.25">
      <c r="A5380" t="s">
        <v>5547</v>
      </c>
      <c r="B5380" t="s">
        <v>205</v>
      </c>
      <c r="C5380" t="s">
        <v>123</v>
      </c>
      <c r="D5380" t="s">
        <v>51</v>
      </c>
      <c r="E5380" t="s">
        <v>159</v>
      </c>
      <c r="F5380" s="1">
        <v>42943</v>
      </c>
      <c r="G5380" s="1">
        <v>42948</v>
      </c>
      <c r="H5380">
        <v>0</v>
      </c>
      <c r="I5380" t="str">
        <f>IF(COUNTIF(Products!$A$2:$A$8,C5380)=0,C5380,"")</f>
        <v/>
      </c>
      <c r="J5380">
        <f>IF(OR(E5380="Prospecting",E5380="Engaging"),VLOOKUP(C5380,Products!$A$2:$C$8,3,FALSE),0)</f>
        <v>0</v>
      </c>
    </row>
    <row r="5381" spans="1:10" x14ac:dyDescent="0.25">
      <c r="A5381" t="s">
        <v>5548</v>
      </c>
      <c r="B5381" t="s">
        <v>205</v>
      </c>
      <c r="C5381" t="s">
        <v>127</v>
      </c>
      <c r="D5381" t="s">
        <v>33</v>
      </c>
      <c r="E5381" t="s">
        <v>138</v>
      </c>
      <c r="F5381" s="1">
        <v>42943</v>
      </c>
      <c r="G5381" s="1">
        <v>42954</v>
      </c>
      <c r="H5381">
        <v>965</v>
      </c>
      <c r="I5381" t="str">
        <f>IF(COUNTIF(Products!$A$2:$A$8,C5381)=0,C5381,"")</f>
        <v/>
      </c>
      <c r="J5381">
        <f>IF(OR(E5381="Prospecting",E5381="Engaging"),VLOOKUP(C5381,Products!$A$2:$C$8,3,FALSE),0)</f>
        <v>0</v>
      </c>
    </row>
    <row r="5382" spans="1:10" x14ac:dyDescent="0.25">
      <c r="A5382" t="s">
        <v>5549</v>
      </c>
      <c r="B5382" t="s">
        <v>137</v>
      </c>
      <c r="C5382" t="s">
        <v>120</v>
      </c>
      <c r="E5382" t="s">
        <v>155</v>
      </c>
      <c r="F5382" s="1">
        <v>42943</v>
      </c>
      <c r="I5382" t="str">
        <f>IF(COUNTIF(Products!$A$2:$A$8,C5382)=0,C5382,"")</f>
        <v/>
      </c>
      <c r="J5382">
        <f>IF(OR(E5382="Prospecting",E5382="Engaging"),VLOOKUP(C5382,Products!$A$2:$C$8,3,FALSE),0)</f>
        <v>550</v>
      </c>
    </row>
    <row r="5383" spans="1:10" x14ac:dyDescent="0.25">
      <c r="A5383" t="s">
        <v>5550</v>
      </c>
      <c r="B5383" t="s">
        <v>152</v>
      </c>
      <c r="C5383" t="s">
        <v>120</v>
      </c>
      <c r="E5383" t="s">
        <v>155</v>
      </c>
      <c r="F5383" s="1">
        <v>42943</v>
      </c>
      <c r="I5383" t="str">
        <f>IF(COUNTIF(Products!$A$2:$A$8,C5383)=0,C5383,"")</f>
        <v/>
      </c>
      <c r="J5383">
        <f>IF(OR(E5383="Prospecting",E5383="Engaging"),VLOOKUP(C5383,Products!$A$2:$C$8,3,FALSE),0)</f>
        <v>550</v>
      </c>
    </row>
    <row r="5384" spans="1:10" x14ac:dyDescent="0.25">
      <c r="A5384" t="s">
        <v>5551</v>
      </c>
      <c r="B5384" t="s">
        <v>152</v>
      </c>
      <c r="C5384" t="s">
        <v>123</v>
      </c>
      <c r="E5384" t="s">
        <v>155</v>
      </c>
      <c r="F5384" s="1">
        <v>42943</v>
      </c>
      <c r="I5384" t="str">
        <f>IF(COUNTIF(Products!$A$2:$A$8,C5384)=0,C5384,"")</f>
        <v/>
      </c>
      <c r="J5384">
        <f>IF(OR(E5384="Prospecting",E5384="Engaging"),VLOOKUP(C5384,Products!$A$2:$C$8,3,FALSE),0)</f>
        <v>55</v>
      </c>
    </row>
    <row r="5385" spans="1:10" x14ac:dyDescent="0.25">
      <c r="A5385" t="s">
        <v>5552</v>
      </c>
      <c r="B5385" t="s">
        <v>166</v>
      </c>
      <c r="C5385" t="s">
        <v>128</v>
      </c>
      <c r="E5385" t="s">
        <v>155</v>
      </c>
      <c r="F5385" s="1">
        <v>42943</v>
      </c>
      <c r="I5385" t="str">
        <f>IF(COUNTIF(Products!$A$2:$A$8,C5385)=0,C5385,"")</f>
        <v/>
      </c>
      <c r="J5385">
        <f>IF(OR(E5385="Prospecting",E5385="Engaging"),VLOOKUP(C5385,Products!$A$2:$C$8,3,FALSE),0)</f>
        <v>26768</v>
      </c>
    </row>
    <row r="5386" spans="1:10" x14ac:dyDescent="0.25">
      <c r="A5386" t="s">
        <v>5553</v>
      </c>
      <c r="B5386" t="s">
        <v>166</v>
      </c>
      <c r="C5386" t="s">
        <v>126</v>
      </c>
      <c r="D5386" t="s">
        <v>78</v>
      </c>
      <c r="E5386" t="s">
        <v>159</v>
      </c>
      <c r="F5386" s="1">
        <v>42943</v>
      </c>
      <c r="G5386" s="1">
        <v>42944</v>
      </c>
      <c r="H5386">
        <v>0</v>
      </c>
      <c r="I5386" t="str">
        <f>IF(COUNTIF(Products!$A$2:$A$8,C5386)=0,C5386,"")</f>
        <v/>
      </c>
      <c r="J5386">
        <f>IF(OR(E5386="Prospecting",E5386="Engaging"),VLOOKUP(C5386,Products!$A$2:$C$8,3,FALSE),0)</f>
        <v>0</v>
      </c>
    </row>
    <row r="5387" spans="1:10" x14ac:dyDescent="0.25">
      <c r="A5387" t="s">
        <v>5554</v>
      </c>
      <c r="B5387" t="s">
        <v>169</v>
      </c>
      <c r="C5387" t="s">
        <v>126</v>
      </c>
      <c r="D5387" t="s">
        <v>108</v>
      </c>
      <c r="E5387" t="s">
        <v>155</v>
      </c>
      <c r="F5387" s="1">
        <v>42943</v>
      </c>
      <c r="I5387" t="str">
        <f>IF(COUNTIF(Products!$A$2:$A$8,C5387)=0,C5387,"")</f>
        <v/>
      </c>
      <c r="J5387">
        <f>IF(OR(E5387="Prospecting",E5387="Engaging"),VLOOKUP(C5387,Products!$A$2:$C$8,3,FALSE),0)</f>
        <v>5482</v>
      </c>
    </row>
    <row r="5388" spans="1:10" x14ac:dyDescent="0.25">
      <c r="A5388" t="s">
        <v>5555</v>
      </c>
      <c r="B5388" t="s">
        <v>169</v>
      </c>
      <c r="C5388" t="s">
        <v>123</v>
      </c>
      <c r="E5388" t="s">
        <v>155</v>
      </c>
      <c r="F5388" s="1">
        <v>42943</v>
      </c>
      <c r="I5388" t="str">
        <f>IF(COUNTIF(Products!$A$2:$A$8,C5388)=0,C5388,"")</f>
        <v/>
      </c>
      <c r="J5388">
        <f>IF(OR(E5388="Prospecting",E5388="Engaging"),VLOOKUP(C5388,Products!$A$2:$C$8,3,FALSE),0)</f>
        <v>55</v>
      </c>
    </row>
    <row r="5389" spans="1:10" x14ac:dyDescent="0.25">
      <c r="A5389" t="s">
        <v>5556</v>
      </c>
      <c r="B5389" t="s">
        <v>148</v>
      </c>
      <c r="C5389" t="s">
        <v>120</v>
      </c>
      <c r="D5389" t="s">
        <v>59</v>
      </c>
      <c r="E5389" t="s">
        <v>138</v>
      </c>
      <c r="F5389" s="1">
        <v>42943</v>
      </c>
      <c r="G5389" s="1">
        <v>42953</v>
      </c>
      <c r="H5389">
        <v>651</v>
      </c>
      <c r="I5389" t="str">
        <f>IF(COUNTIF(Products!$A$2:$A$8,C5389)=0,C5389,"")</f>
        <v/>
      </c>
      <c r="J5389">
        <f>IF(OR(E5389="Prospecting",E5389="Engaging"),VLOOKUP(C5389,Products!$A$2:$C$8,3,FALSE),0)</f>
        <v>0</v>
      </c>
    </row>
    <row r="5390" spans="1:10" x14ac:dyDescent="0.25">
      <c r="A5390" t="s">
        <v>5557</v>
      </c>
      <c r="B5390" t="s">
        <v>144</v>
      </c>
      <c r="C5390" t="s">
        <v>122</v>
      </c>
      <c r="D5390" t="s">
        <v>103</v>
      </c>
      <c r="E5390" t="s">
        <v>155</v>
      </c>
      <c r="F5390" s="1">
        <v>42943</v>
      </c>
      <c r="I5390" t="str">
        <f>IF(COUNTIF(Products!$A$2:$A$8,C5390)=0,C5390,"")</f>
        <v/>
      </c>
      <c r="J5390">
        <f>IF(OR(E5390="Prospecting",E5390="Engaging"),VLOOKUP(C5390,Products!$A$2:$C$8,3,FALSE),0)</f>
        <v>4821</v>
      </c>
    </row>
    <row r="5391" spans="1:10" x14ac:dyDescent="0.25">
      <c r="A5391" t="s">
        <v>5558</v>
      </c>
      <c r="B5391" t="s">
        <v>146</v>
      </c>
      <c r="C5391" t="s">
        <v>120</v>
      </c>
      <c r="D5391" t="s">
        <v>110</v>
      </c>
      <c r="E5391" t="s">
        <v>155</v>
      </c>
      <c r="F5391" s="1">
        <v>42944</v>
      </c>
      <c r="I5391" t="str">
        <f>IF(COUNTIF(Products!$A$2:$A$8,C5391)=0,C5391,"")</f>
        <v/>
      </c>
      <c r="J5391">
        <f>IF(OR(E5391="Prospecting",E5391="Engaging"),VLOOKUP(C5391,Products!$A$2:$C$8,3,FALSE),0)</f>
        <v>550</v>
      </c>
    </row>
    <row r="5392" spans="1:10" x14ac:dyDescent="0.25">
      <c r="A5392" t="s">
        <v>5559</v>
      </c>
      <c r="B5392" t="s">
        <v>146</v>
      </c>
      <c r="C5392" t="s">
        <v>123</v>
      </c>
      <c r="E5392" t="s">
        <v>155</v>
      </c>
      <c r="F5392" s="1">
        <v>42944</v>
      </c>
      <c r="I5392" t="str">
        <f>IF(COUNTIF(Products!$A$2:$A$8,C5392)=0,C5392,"")</f>
        <v/>
      </c>
      <c r="J5392">
        <f>IF(OR(E5392="Prospecting",E5392="Engaging"),VLOOKUP(C5392,Products!$A$2:$C$8,3,FALSE),0)</f>
        <v>55</v>
      </c>
    </row>
    <row r="5393" spans="1:10" x14ac:dyDescent="0.25">
      <c r="A5393" t="s">
        <v>5560</v>
      </c>
      <c r="B5393" t="s">
        <v>146</v>
      </c>
      <c r="C5393" t="s">
        <v>125</v>
      </c>
      <c r="D5393" t="s">
        <v>28</v>
      </c>
      <c r="E5393" t="s">
        <v>159</v>
      </c>
      <c r="F5393" s="1">
        <v>42944</v>
      </c>
      <c r="G5393" s="1">
        <v>42950</v>
      </c>
      <c r="H5393">
        <v>0</v>
      </c>
      <c r="I5393" t="str">
        <f>IF(COUNTIF(Products!$A$2:$A$8,C5393)=0,C5393,"")</f>
        <v/>
      </c>
      <c r="J5393">
        <f>IF(OR(E5393="Prospecting",E5393="Engaging"),VLOOKUP(C5393,Products!$A$2:$C$8,3,FALSE),0)</f>
        <v>0</v>
      </c>
    </row>
    <row r="5394" spans="1:10" x14ac:dyDescent="0.25">
      <c r="A5394" t="s">
        <v>5561</v>
      </c>
      <c r="B5394" t="s">
        <v>222</v>
      </c>
      <c r="C5394" t="s">
        <v>120</v>
      </c>
      <c r="E5394" t="s">
        <v>155</v>
      </c>
      <c r="F5394" s="1">
        <v>42944</v>
      </c>
      <c r="I5394" t="str">
        <f>IF(COUNTIF(Products!$A$2:$A$8,C5394)=0,C5394,"")</f>
        <v/>
      </c>
      <c r="J5394">
        <f>IF(OR(E5394="Prospecting",E5394="Engaging"),VLOOKUP(C5394,Products!$A$2:$C$8,3,FALSE),0)</f>
        <v>550</v>
      </c>
    </row>
    <row r="5395" spans="1:10" x14ac:dyDescent="0.25">
      <c r="A5395" t="s">
        <v>5562</v>
      </c>
      <c r="B5395" t="s">
        <v>207</v>
      </c>
      <c r="C5395" t="s">
        <v>127</v>
      </c>
      <c r="D5395" t="s">
        <v>105</v>
      </c>
      <c r="E5395" t="s">
        <v>159</v>
      </c>
      <c r="F5395" s="1">
        <v>42944</v>
      </c>
      <c r="G5395" s="1">
        <v>43046</v>
      </c>
      <c r="H5395">
        <v>0</v>
      </c>
      <c r="I5395" t="str">
        <f>IF(COUNTIF(Products!$A$2:$A$8,C5395)=0,C5395,"")</f>
        <v/>
      </c>
      <c r="J5395">
        <f>IF(OR(E5395="Prospecting",E5395="Engaging"),VLOOKUP(C5395,Products!$A$2:$C$8,3,FALSE),0)</f>
        <v>0</v>
      </c>
    </row>
    <row r="5396" spans="1:10" x14ac:dyDescent="0.25">
      <c r="A5396" t="s">
        <v>5563</v>
      </c>
      <c r="B5396" t="s">
        <v>239</v>
      </c>
      <c r="C5396" t="s">
        <v>120</v>
      </c>
      <c r="D5396" t="s">
        <v>48</v>
      </c>
      <c r="E5396" t="s">
        <v>138</v>
      </c>
      <c r="F5396" s="1">
        <v>42944</v>
      </c>
      <c r="G5396" s="1">
        <v>43050</v>
      </c>
      <c r="H5396">
        <v>550</v>
      </c>
      <c r="I5396" t="str">
        <f>IF(COUNTIF(Products!$A$2:$A$8,C5396)=0,C5396,"")</f>
        <v/>
      </c>
      <c r="J5396">
        <f>IF(OR(E5396="Prospecting",E5396="Engaging"),VLOOKUP(C5396,Products!$A$2:$C$8,3,FALSE),0)</f>
        <v>0</v>
      </c>
    </row>
    <row r="5397" spans="1:10" x14ac:dyDescent="0.25">
      <c r="A5397" t="s">
        <v>5564</v>
      </c>
      <c r="B5397" t="s">
        <v>171</v>
      </c>
      <c r="C5397" t="s">
        <v>127</v>
      </c>
      <c r="E5397" t="s">
        <v>155</v>
      </c>
      <c r="F5397" s="1">
        <v>42944</v>
      </c>
      <c r="I5397" t="str">
        <f>IF(COUNTIF(Products!$A$2:$A$8,C5397)=0,C5397,"")</f>
        <v/>
      </c>
      <c r="J5397">
        <f>IF(OR(E5397="Prospecting",E5397="Engaging"),VLOOKUP(C5397,Products!$A$2:$C$8,3,FALSE),0)</f>
        <v>1096</v>
      </c>
    </row>
    <row r="5398" spans="1:10" x14ac:dyDescent="0.25">
      <c r="A5398" t="s">
        <v>5565</v>
      </c>
      <c r="B5398" t="s">
        <v>140</v>
      </c>
      <c r="C5398" t="s">
        <v>127</v>
      </c>
      <c r="D5398" t="s">
        <v>95</v>
      </c>
      <c r="E5398" t="s">
        <v>155</v>
      </c>
      <c r="F5398" s="1">
        <v>42944</v>
      </c>
      <c r="I5398" t="str">
        <f>IF(COUNTIF(Products!$A$2:$A$8,C5398)=0,C5398,"")</f>
        <v/>
      </c>
      <c r="J5398">
        <f>IF(OR(E5398="Prospecting",E5398="Engaging"),VLOOKUP(C5398,Products!$A$2:$C$8,3,FALSE),0)</f>
        <v>1096</v>
      </c>
    </row>
    <row r="5399" spans="1:10" x14ac:dyDescent="0.25">
      <c r="A5399" t="s">
        <v>5566</v>
      </c>
      <c r="B5399" t="s">
        <v>140</v>
      </c>
      <c r="C5399" t="s">
        <v>122</v>
      </c>
      <c r="D5399" t="s">
        <v>108</v>
      </c>
      <c r="E5399" t="s">
        <v>155</v>
      </c>
      <c r="F5399" s="1">
        <v>42944</v>
      </c>
      <c r="I5399" t="str">
        <f>IF(COUNTIF(Products!$A$2:$A$8,C5399)=0,C5399,"")</f>
        <v/>
      </c>
      <c r="J5399">
        <f>IF(OR(E5399="Prospecting",E5399="Engaging"),VLOOKUP(C5399,Products!$A$2:$C$8,3,FALSE),0)</f>
        <v>4821</v>
      </c>
    </row>
    <row r="5400" spans="1:10" x14ac:dyDescent="0.25">
      <c r="A5400" t="s">
        <v>5567</v>
      </c>
      <c r="B5400" t="s">
        <v>140</v>
      </c>
      <c r="C5400" t="s">
        <v>122</v>
      </c>
      <c r="E5400" t="s">
        <v>155</v>
      </c>
      <c r="F5400" s="1">
        <v>42944</v>
      </c>
      <c r="I5400" t="str">
        <f>IF(COUNTIF(Products!$A$2:$A$8,C5400)=0,C5400,"")</f>
        <v/>
      </c>
      <c r="J5400">
        <f>IF(OR(E5400="Prospecting",E5400="Engaging"),VLOOKUP(C5400,Products!$A$2:$C$8,3,FALSE),0)</f>
        <v>4821</v>
      </c>
    </row>
    <row r="5401" spans="1:10" x14ac:dyDescent="0.25">
      <c r="A5401" t="s">
        <v>5568</v>
      </c>
      <c r="B5401" t="s">
        <v>140</v>
      </c>
      <c r="C5401" t="s">
        <v>123</v>
      </c>
      <c r="E5401" t="s">
        <v>155</v>
      </c>
      <c r="F5401" s="1">
        <v>42944</v>
      </c>
      <c r="I5401" t="str">
        <f>IF(COUNTIF(Products!$A$2:$A$8,C5401)=0,C5401,"")</f>
        <v/>
      </c>
      <c r="J5401">
        <f>IF(OR(E5401="Prospecting",E5401="Engaging"),VLOOKUP(C5401,Products!$A$2:$C$8,3,FALSE),0)</f>
        <v>55</v>
      </c>
    </row>
    <row r="5402" spans="1:10" x14ac:dyDescent="0.25">
      <c r="A5402" t="s">
        <v>5569</v>
      </c>
      <c r="B5402" t="s">
        <v>140</v>
      </c>
      <c r="C5402" t="s">
        <v>122</v>
      </c>
      <c r="D5402" t="s">
        <v>88</v>
      </c>
      <c r="E5402" t="s">
        <v>159</v>
      </c>
      <c r="F5402" s="1">
        <v>42944</v>
      </c>
      <c r="G5402" s="1">
        <v>42945</v>
      </c>
      <c r="H5402">
        <v>0</v>
      </c>
      <c r="I5402" t="str">
        <f>IF(COUNTIF(Products!$A$2:$A$8,C5402)=0,C5402,"")</f>
        <v/>
      </c>
      <c r="J5402">
        <f>IF(OR(E5402="Prospecting",E5402="Engaging"),VLOOKUP(C5402,Products!$A$2:$C$8,3,FALSE),0)</f>
        <v>0</v>
      </c>
    </row>
    <row r="5403" spans="1:10" x14ac:dyDescent="0.25">
      <c r="A5403" t="s">
        <v>5570</v>
      </c>
      <c r="B5403" t="s">
        <v>140</v>
      </c>
      <c r="C5403" t="s">
        <v>120</v>
      </c>
      <c r="D5403" t="s">
        <v>28</v>
      </c>
      <c r="E5403" t="s">
        <v>138</v>
      </c>
      <c r="F5403" s="1">
        <v>42944</v>
      </c>
      <c r="G5403" s="1">
        <v>42970</v>
      </c>
      <c r="H5403">
        <v>589</v>
      </c>
      <c r="I5403" t="str">
        <f>IF(COUNTIF(Products!$A$2:$A$8,C5403)=0,C5403,"")</f>
        <v/>
      </c>
      <c r="J5403">
        <f>IF(OR(E5403="Prospecting",E5403="Engaging"),VLOOKUP(C5403,Products!$A$2:$C$8,3,FALSE),0)</f>
        <v>0</v>
      </c>
    </row>
    <row r="5404" spans="1:10" x14ac:dyDescent="0.25">
      <c r="A5404" t="s">
        <v>5571</v>
      </c>
      <c r="B5404" t="s">
        <v>140</v>
      </c>
      <c r="C5404" t="s">
        <v>122</v>
      </c>
      <c r="D5404" t="s">
        <v>32</v>
      </c>
      <c r="E5404" t="s">
        <v>138</v>
      </c>
      <c r="F5404" s="1">
        <v>42944</v>
      </c>
      <c r="G5404" s="1">
        <v>42946</v>
      </c>
      <c r="H5404">
        <v>4387</v>
      </c>
      <c r="I5404" t="str">
        <f>IF(COUNTIF(Products!$A$2:$A$8,C5404)=0,C5404,"")</f>
        <v/>
      </c>
      <c r="J5404">
        <f>IF(OR(E5404="Prospecting",E5404="Engaging"),VLOOKUP(C5404,Products!$A$2:$C$8,3,FALSE),0)</f>
        <v>0</v>
      </c>
    </row>
    <row r="5405" spans="1:10" x14ac:dyDescent="0.25">
      <c r="A5405" t="s">
        <v>5572</v>
      </c>
      <c r="B5405" t="s">
        <v>140</v>
      </c>
      <c r="C5405" t="s">
        <v>122</v>
      </c>
      <c r="D5405" t="s">
        <v>96</v>
      </c>
      <c r="E5405" t="s">
        <v>138</v>
      </c>
      <c r="F5405" s="1">
        <v>42944</v>
      </c>
      <c r="G5405" s="1">
        <v>42946</v>
      </c>
      <c r="H5405">
        <v>4555</v>
      </c>
      <c r="I5405" t="str">
        <f>IF(COUNTIF(Products!$A$2:$A$8,C5405)=0,C5405,"")</f>
        <v/>
      </c>
      <c r="J5405">
        <f>IF(OR(E5405="Prospecting",E5405="Engaging"),VLOOKUP(C5405,Products!$A$2:$C$8,3,FALSE),0)</f>
        <v>0</v>
      </c>
    </row>
    <row r="5406" spans="1:10" x14ac:dyDescent="0.25">
      <c r="A5406" t="s">
        <v>5573</v>
      </c>
      <c r="B5406" t="s">
        <v>224</v>
      </c>
      <c r="C5406" t="s">
        <v>122</v>
      </c>
      <c r="D5406" t="s">
        <v>25</v>
      </c>
      <c r="E5406" t="s">
        <v>159</v>
      </c>
      <c r="F5406" s="1">
        <v>42944</v>
      </c>
      <c r="G5406" s="1">
        <v>42953</v>
      </c>
      <c r="H5406">
        <v>0</v>
      </c>
      <c r="I5406" t="str">
        <f>IF(COUNTIF(Products!$A$2:$A$8,C5406)=0,C5406,"")</f>
        <v/>
      </c>
      <c r="J5406">
        <f>IF(OR(E5406="Prospecting",E5406="Engaging"),VLOOKUP(C5406,Products!$A$2:$C$8,3,FALSE),0)</f>
        <v>0</v>
      </c>
    </row>
    <row r="5407" spans="1:10" x14ac:dyDescent="0.25">
      <c r="A5407" t="s">
        <v>5574</v>
      </c>
      <c r="B5407" t="s">
        <v>173</v>
      </c>
      <c r="C5407" t="s">
        <v>120</v>
      </c>
      <c r="D5407" t="s">
        <v>57</v>
      </c>
      <c r="E5407" t="s">
        <v>138</v>
      </c>
      <c r="F5407" s="1">
        <v>42944</v>
      </c>
      <c r="G5407" s="1">
        <v>42945</v>
      </c>
      <c r="H5407">
        <v>514</v>
      </c>
      <c r="I5407" t="str">
        <f>IF(COUNTIF(Products!$A$2:$A$8,C5407)=0,C5407,"")</f>
        <v/>
      </c>
      <c r="J5407">
        <f>IF(OR(E5407="Prospecting",E5407="Engaging"),VLOOKUP(C5407,Products!$A$2:$C$8,3,FALSE),0)</f>
        <v>0</v>
      </c>
    </row>
    <row r="5408" spans="1:10" x14ac:dyDescent="0.25">
      <c r="A5408" t="s">
        <v>5575</v>
      </c>
      <c r="B5408" t="s">
        <v>158</v>
      </c>
      <c r="C5408" t="s">
        <v>122</v>
      </c>
      <c r="D5408" t="s">
        <v>78</v>
      </c>
      <c r="E5408" t="s">
        <v>155</v>
      </c>
      <c r="F5408" s="1">
        <v>42944</v>
      </c>
      <c r="I5408" t="str">
        <f>IF(COUNTIF(Products!$A$2:$A$8,C5408)=0,C5408,"")</f>
        <v/>
      </c>
      <c r="J5408">
        <f>IF(OR(E5408="Prospecting",E5408="Engaging"),VLOOKUP(C5408,Products!$A$2:$C$8,3,FALSE),0)</f>
        <v>4821</v>
      </c>
    </row>
    <row r="5409" spans="1:10" x14ac:dyDescent="0.25">
      <c r="A5409" t="s">
        <v>5576</v>
      </c>
      <c r="B5409" t="s">
        <v>164</v>
      </c>
      <c r="C5409" t="s">
        <v>127</v>
      </c>
      <c r="D5409" t="s">
        <v>75</v>
      </c>
      <c r="E5409" t="s">
        <v>159</v>
      </c>
      <c r="F5409" s="1">
        <v>42944</v>
      </c>
      <c r="G5409" s="1">
        <v>42945</v>
      </c>
      <c r="H5409">
        <v>0</v>
      </c>
      <c r="I5409" t="str">
        <f>IF(COUNTIF(Products!$A$2:$A$8,C5409)=0,C5409,"")</f>
        <v/>
      </c>
      <c r="J5409">
        <f>IF(OR(E5409="Prospecting",E5409="Engaging"),VLOOKUP(C5409,Products!$A$2:$C$8,3,FALSE),0)</f>
        <v>0</v>
      </c>
    </row>
    <row r="5410" spans="1:10" x14ac:dyDescent="0.25">
      <c r="A5410" t="s">
        <v>5577</v>
      </c>
      <c r="B5410" t="s">
        <v>303</v>
      </c>
      <c r="C5410" t="s">
        <v>120</v>
      </c>
      <c r="E5410" t="s">
        <v>155</v>
      </c>
      <c r="F5410" s="1">
        <v>42944</v>
      </c>
      <c r="I5410" t="str">
        <f>IF(COUNTIF(Products!$A$2:$A$8,C5410)=0,C5410,"")</f>
        <v/>
      </c>
      <c r="J5410">
        <f>IF(OR(E5410="Prospecting",E5410="Engaging"),VLOOKUP(C5410,Products!$A$2:$C$8,3,FALSE),0)</f>
        <v>550</v>
      </c>
    </row>
    <row r="5411" spans="1:10" x14ac:dyDescent="0.25">
      <c r="A5411" t="s">
        <v>5578</v>
      </c>
      <c r="B5411" t="s">
        <v>303</v>
      </c>
      <c r="C5411" t="s">
        <v>122</v>
      </c>
      <c r="E5411" t="s">
        <v>155</v>
      </c>
      <c r="F5411" s="1">
        <v>42944</v>
      </c>
      <c r="I5411" t="str">
        <f>IF(COUNTIF(Products!$A$2:$A$8,C5411)=0,C5411,"")</f>
        <v/>
      </c>
      <c r="J5411">
        <f>IF(OR(E5411="Prospecting",E5411="Engaging"),VLOOKUP(C5411,Products!$A$2:$C$8,3,FALSE),0)</f>
        <v>4821</v>
      </c>
    </row>
    <row r="5412" spans="1:10" x14ac:dyDescent="0.25">
      <c r="A5412" t="s">
        <v>5579</v>
      </c>
      <c r="B5412" t="s">
        <v>303</v>
      </c>
      <c r="C5412" t="s">
        <v>122</v>
      </c>
      <c r="D5412" t="s">
        <v>22</v>
      </c>
      <c r="E5412" t="s">
        <v>138</v>
      </c>
      <c r="F5412" s="1">
        <v>42944</v>
      </c>
      <c r="G5412" s="1">
        <v>42945</v>
      </c>
      <c r="H5412">
        <v>4671</v>
      </c>
      <c r="I5412" t="str">
        <f>IF(COUNTIF(Products!$A$2:$A$8,C5412)=0,C5412,"")</f>
        <v/>
      </c>
      <c r="J5412">
        <f>IF(OR(E5412="Prospecting",E5412="Engaging"),VLOOKUP(C5412,Products!$A$2:$C$8,3,FALSE),0)</f>
        <v>0</v>
      </c>
    </row>
    <row r="5413" spans="1:10" x14ac:dyDescent="0.25">
      <c r="A5413" t="s">
        <v>5580</v>
      </c>
      <c r="B5413" t="s">
        <v>180</v>
      </c>
      <c r="C5413" t="s">
        <v>123</v>
      </c>
      <c r="D5413" t="s">
        <v>71</v>
      </c>
      <c r="E5413" t="s">
        <v>159</v>
      </c>
      <c r="F5413" s="1">
        <v>42944</v>
      </c>
      <c r="G5413" s="1">
        <v>42945</v>
      </c>
      <c r="H5413">
        <v>0</v>
      </c>
      <c r="I5413" t="str">
        <f>IF(COUNTIF(Products!$A$2:$A$8,C5413)=0,C5413,"")</f>
        <v/>
      </c>
      <c r="J5413">
        <f>IF(OR(E5413="Prospecting",E5413="Engaging"),VLOOKUP(C5413,Products!$A$2:$C$8,3,FALSE),0)</f>
        <v>0</v>
      </c>
    </row>
    <row r="5414" spans="1:10" x14ac:dyDescent="0.25">
      <c r="A5414" t="s">
        <v>5581</v>
      </c>
      <c r="B5414" t="s">
        <v>180</v>
      </c>
      <c r="C5414" t="s">
        <v>120</v>
      </c>
      <c r="D5414" t="s">
        <v>93</v>
      </c>
      <c r="E5414" t="s">
        <v>138</v>
      </c>
      <c r="F5414" s="1">
        <v>42944</v>
      </c>
      <c r="G5414" s="1">
        <v>43054</v>
      </c>
      <c r="H5414">
        <v>518</v>
      </c>
      <c r="I5414" t="str">
        <f>IF(COUNTIF(Products!$A$2:$A$8,C5414)=0,C5414,"")</f>
        <v/>
      </c>
      <c r="J5414">
        <f>IF(OR(E5414="Prospecting",E5414="Engaging"),VLOOKUP(C5414,Products!$A$2:$C$8,3,FALSE),0)</f>
        <v>0</v>
      </c>
    </row>
    <row r="5415" spans="1:10" x14ac:dyDescent="0.25">
      <c r="A5415" t="s">
        <v>5582</v>
      </c>
      <c r="B5415" t="s">
        <v>217</v>
      </c>
      <c r="C5415" t="s">
        <v>120</v>
      </c>
      <c r="D5415" t="s">
        <v>75</v>
      </c>
      <c r="E5415" t="s">
        <v>155</v>
      </c>
      <c r="F5415" s="1">
        <v>42944</v>
      </c>
      <c r="I5415" t="str">
        <f>IF(COUNTIF(Products!$A$2:$A$8,C5415)=0,C5415,"")</f>
        <v/>
      </c>
      <c r="J5415">
        <f>IF(OR(E5415="Prospecting",E5415="Engaging"),VLOOKUP(C5415,Products!$A$2:$C$8,3,FALSE),0)</f>
        <v>550</v>
      </c>
    </row>
    <row r="5416" spans="1:10" x14ac:dyDescent="0.25">
      <c r="A5416" t="s">
        <v>5583</v>
      </c>
      <c r="B5416" t="s">
        <v>217</v>
      </c>
      <c r="C5416" t="s">
        <v>120</v>
      </c>
      <c r="E5416" t="s">
        <v>155</v>
      </c>
      <c r="F5416" s="1">
        <v>42944</v>
      </c>
      <c r="I5416" t="str">
        <f>IF(COUNTIF(Products!$A$2:$A$8,C5416)=0,C5416,"")</f>
        <v/>
      </c>
      <c r="J5416">
        <f>IF(OR(E5416="Prospecting",E5416="Engaging"),VLOOKUP(C5416,Products!$A$2:$C$8,3,FALSE),0)</f>
        <v>550</v>
      </c>
    </row>
    <row r="5417" spans="1:10" x14ac:dyDescent="0.25">
      <c r="A5417" t="s">
        <v>5584</v>
      </c>
      <c r="B5417" t="s">
        <v>217</v>
      </c>
      <c r="C5417" t="s">
        <v>120</v>
      </c>
      <c r="E5417" t="s">
        <v>155</v>
      </c>
      <c r="F5417" s="1">
        <v>42944</v>
      </c>
      <c r="I5417" t="str">
        <f>IF(COUNTIF(Products!$A$2:$A$8,C5417)=0,C5417,"")</f>
        <v/>
      </c>
      <c r="J5417">
        <f>IF(OR(E5417="Prospecting",E5417="Engaging"),VLOOKUP(C5417,Products!$A$2:$C$8,3,FALSE),0)</f>
        <v>550</v>
      </c>
    </row>
    <row r="5418" spans="1:10" x14ac:dyDescent="0.25">
      <c r="A5418" t="s">
        <v>5585</v>
      </c>
      <c r="B5418" t="s">
        <v>217</v>
      </c>
      <c r="C5418" t="s">
        <v>123</v>
      </c>
      <c r="D5418" t="s">
        <v>29</v>
      </c>
      <c r="E5418" t="s">
        <v>155</v>
      </c>
      <c r="F5418" s="1">
        <v>42944</v>
      </c>
      <c r="I5418" t="str">
        <f>IF(COUNTIF(Products!$A$2:$A$8,C5418)=0,C5418,"")</f>
        <v/>
      </c>
      <c r="J5418">
        <f>IF(OR(E5418="Prospecting",E5418="Engaging"),VLOOKUP(C5418,Products!$A$2:$C$8,3,FALSE),0)</f>
        <v>55</v>
      </c>
    </row>
    <row r="5419" spans="1:10" x14ac:dyDescent="0.25">
      <c r="A5419" t="s">
        <v>5586</v>
      </c>
      <c r="B5419" t="s">
        <v>205</v>
      </c>
      <c r="C5419" t="s">
        <v>120</v>
      </c>
      <c r="E5419" t="s">
        <v>155</v>
      </c>
      <c r="F5419" s="1">
        <v>42944</v>
      </c>
      <c r="I5419" t="str">
        <f>IF(COUNTIF(Products!$A$2:$A$8,C5419)=0,C5419,"")</f>
        <v/>
      </c>
      <c r="J5419">
        <f>IF(OR(E5419="Prospecting",E5419="Engaging"),VLOOKUP(C5419,Products!$A$2:$C$8,3,FALSE),0)</f>
        <v>550</v>
      </c>
    </row>
    <row r="5420" spans="1:10" x14ac:dyDescent="0.25">
      <c r="A5420" t="s">
        <v>5587</v>
      </c>
      <c r="B5420" t="s">
        <v>205</v>
      </c>
      <c r="C5420" t="s">
        <v>127</v>
      </c>
      <c r="E5420" t="s">
        <v>155</v>
      </c>
      <c r="F5420" s="1">
        <v>42944</v>
      </c>
      <c r="I5420" t="str">
        <f>IF(COUNTIF(Products!$A$2:$A$8,C5420)=0,C5420,"")</f>
        <v/>
      </c>
      <c r="J5420">
        <f>IF(OR(E5420="Prospecting",E5420="Engaging"),VLOOKUP(C5420,Products!$A$2:$C$8,3,FALSE),0)</f>
        <v>1096</v>
      </c>
    </row>
    <row r="5421" spans="1:10" x14ac:dyDescent="0.25">
      <c r="A5421" t="s">
        <v>5588</v>
      </c>
      <c r="B5421" t="s">
        <v>205</v>
      </c>
      <c r="C5421" t="s">
        <v>122</v>
      </c>
      <c r="D5421" t="s">
        <v>22</v>
      </c>
      <c r="E5421" t="s">
        <v>138</v>
      </c>
      <c r="F5421" s="1">
        <v>42944</v>
      </c>
      <c r="G5421" s="1">
        <v>42945</v>
      </c>
      <c r="H5421">
        <v>4172</v>
      </c>
      <c r="I5421" t="str">
        <f>IF(COUNTIF(Products!$A$2:$A$8,C5421)=0,C5421,"")</f>
        <v/>
      </c>
      <c r="J5421">
        <f>IF(OR(E5421="Prospecting",E5421="Engaging"),VLOOKUP(C5421,Products!$A$2:$C$8,3,FALSE),0)</f>
        <v>0</v>
      </c>
    </row>
    <row r="5422" spans="1:10" x14ac:dyDescent="0.25">
      <c r="A5422" t="s">
        <v>5589</v>
      </c>
      <c r="B5422" t="s">
        <v>137</v>
      </c>
      <c r="C5422" t="s">
        <v>123</v>
      </c>
      <c r="E5422" t="s">
        <v>155</v>
      </c>
      <c r="F5422" s="1">
        <v>42944</v>
      </c>
      <c r="I5422" t="str">
        <f>IF(COUNTIF(Products!$A$2:$A$8,C5422)=0,C5422,"")</f>
        <v/>
      </c>
      <c r="J5422">
        <f>IF(OR(E5422="Prospecting",E5422="Engaging"),VLOOKUP(C5422,Products!$A$2:$C$8,3,FALSE),0)</f>
        <v>55</v>
      </c>
    </row>
    <row r="5423" spans="1:10" x14ac:dyDescent="0.25">
      <c r="A5423" t="s">
        <v>5590</v>
      </c>
      <c r="B5423" t="s">
        <v>137</v>
      </c>
      <c r="C5423" t="s">
        <v>126</v>
      </c>
      <c r="D5423" t="s">
        <v>30</v>
      </c>
      <c r="E5423" t="s">
        <v>159</v>
      </c>
      <c r="F5423" s="1">
        <v>42944</v>
      </c>
      <c r="G5423" s="1">
        <v>42957</v>
      </c>
      <c r="H5423">
        <v>0</v>
      </c>
      <c r="I5423" t="str">
        <f>IF(COUNTIF(Products!$A$2:$A$8,C5423)=0,C5423,"")</f>
        <v/>
      </c>
      <c r="J5423">
        <f>IF(OR(E5423="Prospecting",E5423="Engaging"),VLOOKUP(C5423,Products!$A$2:$C$8,3,FALSE),0)</f>
        <v>0</v>
      </c>
    </row>
    <row r="5424" spans="1:10" x14ac:dyDescent="0.25">
      <c r="A5424" t="s">
        <v>5591</v>
      </c>
      <c r="B5424" t="s">
        <v>152</v>
      </c>
      <c r="C5424" t="s">
        <v>125</v>
      </c>
      <c r="D5424" t="s">
        <v>104</v>
      </c>
      <c r="E5424" t="s">
        <v>155</v>
      </c>
      <c r="F5424" s="1">
        <v>42944</v>
      </c>
      <c r="I5424" t="str">
        <f>IF(COUNTIF(Products!$A$2:$A$8,C5424)=0,C5424,"")</f>
        <v/>
      </c>
      <c r="J5424">
        <f>IF(OR(E5424="Prospecting",E5424="Engaging"),VLOOKUP(C5424,Products!$A$2:$C$8,3,FALSE),0)</f>
        <v>3393</v>
      </c>
    </row>
    <row r="5425" spans="1:10" x14ac:dyDescent="0.25">
      <c r="A5425" t="s">
        <v>5592</v>
      </c>
      <c r="B5425" t="s">
        <v>193</v>
      </c>
      <c r="C5425" t="s">
        <v>123</v>
      </c>
      <c r="D5425" t="s">
        <v>25</v>
      </c>
      <c r="E5425" t="s">
        <v>138</v>
      </c>
      <c r="F5425" s="1">
        <v>42944</v>
      </c>
      <c r="G5425" s="1">
        <v>42957</v>
      </c>
      <c r="H5425">
        <v>53</v>
      </c>
      <c r="I5425" t="str">
        <f>IF(COUNTIF(Products!$A$2:$A$8,C5425)=0,C5425,"")</f>
        <v/>
      </c>
      <c r="J5425">
        <f>IF(OR(E5425="Prospecting",E5425="Engaging"),VLOOKUP(C5425,Products!$A$2:$C$8,3,FALSE),0)</f>
        <v>0</v>
      </c>
    </row>
    <row r="5426" spans="1:10" x14ac:dyDescent="0.25">
      <c r="A5426" t="s">
        <v>5593</v>
      </c>
      <c r="B5426" t="s">
        <v>166</v>
      </c>
      <c r="C5426" t="s">
        <v>120</v>
      </c>
      <c r="E5426" t="s">
        <v>155</v>
      </c>
      <c r="F5426" s="1">
        <v>42944</v>
      </c>
      <c r="I5426" t="str">
        <f>IF(COUNTIF(Products!$A$2:$A$8,C5426)=0,C5426,"")</f>
        <v/>
      </c>
      <c r="J5426">
        <f>IF(OR(E5426="Prospecting",E5426="Engaging"),VLOOKUP(C5426,Products!$A$2:$C$8,3,FALSE),0)</f>
        <v>550</v>
      </c>
    </row>
    <row r="5427" spans="1:10" x14ac:dyDescent="0.25">
      <c r="A5427" t="s">
        <v>5594</v>
      </c>
      <c r="B5427" t="s">
        <v>187</v>
      </c>
      <c r="C5427" t="s">
        <v>125</v>
      </c>
      <c r="D5427" t="s">
        <v>50</v>
      </c>
      <c r="E5427" t="s">
        <v>159</v>
      </c>
      <c r="F5427" s="1">
        <v>42944</v>
      </c>
      <c r="G5427" s="1">
        <v>43066</v>
      </c>
      <c r="H5427">
        <v>0</v>
      </c>
      <c r="I5427" t="str">
        <f>IF(COUNTIF(Products!$A$2:$A$8,C5427)=0,C5427,"")</f>
        <v/>
      </c>
      <c r="J5427">
        <f>IF(OR(E5427="Prospecting",E5427="Engaging"),VLOOKUP(C5427,Products!$A$2:$C$8,3,FALSE),0)</f>
        <v>0</v>
      </c>
    </row>
    <row r="5428" spans="1:10" x14ac:dyDescent="0.25">
      <c r="A5428" t="s">
        <v>5595</v>
      </c>
      <c r="B5428" t="s">
        <v>169</v>
      </c>
      <c r="C5428" t="s">
        <v>120</v>
      </c>
      <c r="D5428" t="s">
        <v>67</v>
      </c>
      <c r="E5428" t="s">
        <v>155</v>
      </c>
      <c r="F5428" s="1">
        <v>42944</v>
      </c>
      <c r="I5428" t="str">
        <f>IF(COUNTIF(Products!$A$2:$A$8,C5428)=0,C5428,"")</f>
        <v/>
      </c>
      <c r="J5428">
        <f>IF(OR(E5428="Prospecting",E5428="Engaging"),VLOOKUP(C5428,Products!$A$2:$C$8,3,FALSE),0)</f>
        <v>550</v>
      </c>
    </row>
    <row r="5429" spans="1:10" x14ac:dyDescent="0.25">
      <c r="A5429" t="s">
        <v>5596</v>
      </c>
      <c r="B5429" t="s">
        <v>169</v>
      </c>
      <c r="C5429" t="s">
        <v>123</v>
      </c>
      <c r="D5429" t="s">
        <v>14</v>
      </c>
      <c r="E5429" t="s">
        <v>138</v>
      </c>
      <c r="F5429" s="1">
        <v>42944</v>
      </c>
      <c r="G5429" s="1">
        <v>42966</v>
      </c>
      <c r="H5429">
        <v>53</v>
      </c>
      <c r="I5429" t="str">
        <f>IF(COUNTIF(Products!$A$2:$A$8,C5429)=0,C5429,"")</f>
        <v/>
      </c>
      <c r="J5429">
        <f>IF(OR(E5429="Prospecting",E5429="Engaging"),VLOOKUP(C5429,Products!$A$2:$C$8,3,FALSE),0)</f>
        <v>0</v>
      </c>
    </row>
    <row r="5430" spans="1:10" x14ac:dyDescent="0.25">
      <c r="A5430" t="s">
        <v>5597</v>
      </c>
      <c r="B5430" t="s">
        <v>169</v>
      </c>
      <c r="C5430" t="s">
        <v>123</v>
      </c>
      <c r="D5430" t="s">
        <v>27</v>
      </c>
      <c r="E5430" t="s">
        <v>138</v>
      </c>
      <c r="F5430" s="1">
        <v>42944</v>
      </c>
      <c r="G5430" s="1">
        <v>42950</v>
      </c>
      <c r="H5430">
        <v>60</v>
      </c>
      <c r="I5430" t="str">
        <f>IF(COUNTIF(Products!$A$2:$A$8,C5430)=0,C5430,"")</f>
        <v/>
      </c>
      <c r="J5430">
        <f>IF(OR(E5430="Prospecting",E5430="Engaging"),VLOOKUP(C5430,Products!$A$2:$C$8,3,FALSE),0)</f>
        <v>0</v>
      </c>
    </row>
    <row r="5431" spans="1:10" x14ac:dyDescent="0.25">
      <c r="A5431" t="s">
        <v>5598</v>
      </c>
      <c r="B5431" t="s">
        <v>169</v>
      </c>
      <c r="C5431" t="s">
        <v>123</v>
      </c>
      <c r="D5431" t="s">
        <v>32</v>
      </c>
      <c r="E5431" t="s">
        <v>138</v>
      </c>
      <c r="F5431" s="1">
        <v>42944</v>
      </c>
      <c r="G5431" s="1">
        <v>43040</v>
      </c>
      <c r="H5431">
        <v>53</v>
      </c>
      <c r="I5431" t="str">
        <f>IF(COUNTIF(Products!$A$2:$A$8,C5431)=0,C5431,"")</f>
        <v/>
      </c>
      <c r="J5431">
        <f>IF(OR(E5431="Prospecting",E5431="Engaging"),VLOOKUP(C5431,Products!$A$2:$C$8,3,FALSE),0)</f>
        <v>0</v>
      </c>
    </row>
    <row r="5432" spans="1:10" x14ac:dyDescent="0.25">
      <c r="A5432" t="s">
        <v>5599</v>
      </c>
      <c r="B5432" t="s">
        <v>177</v>
      </c>
      <c r="C5432" t="s">
        <v>122</v>
      </c>
      <c r="D5432" t="s">
        <v>7</v>
      </c>
      <c r="E5432" t="s">
        <v>159</v>
      </c>
      <c r="F5432" s="1">
        <v>42944</v>
      </c>
      <c r="G5432" s="1">
        <v>42945</v>
      </c>
      <c r="H5432">
        <v>0</v>
      </c>
      <c r="I5432" t="str">
        <f>IF(COUNTIF(Products!$A$2:$A$8,C5432)=0,C5432,"")</f>
        <v/>
      </c>
      <c r="J5432">
        <f>IF(OR(E5432="Prospecting",E5432="Engaging"),VLOOKUP(C5432,Products!$A$2:$C$8,3,FALSE),0)</f>
        <v>0</v>
      </c>
    </row>
    <row r="5433" spans="1:10" x14ac:dyDescent="0.25">
      <c r="A5433" t="s">
        <v>5600</v>
      </c>
      <c r="B5433" t="s">
        <v>196</v>
      </c>
      <c r="C5433" t="s">
        <v>123</v>
      </c>
      <c r="D5433" t="s">
        <v>111</v>
      </c>
      <c r="E5433" t="s">
        <v>159</v>
      </c>
      <c r="F5433" s="1">
        <v>42944</v>
      </c>
      <c r="G5433" s="1">
        <v>43071</v>
      </c>
      <c r="H5433">
        <v>0</v>
      </c>
      <c r="I5433" t="str">
        <f>IF(COUNTIF(Products!$A$2:$A$8,C5433)=0,C5433,"")</f>
        <v/>
      </c>
      <c r="J5433">
        <f>IF(OR(E5433="Prospecting",E5433="Engaging"),VLOOKUP(C5433,Products!$A$2:$C$8,3,FALSE),0)</f>
        <v>0</v>
      </c>
    </row>
    <row r="5434" spans="1:10" x14ac:dyDescent="0.25">
      <c r="A5434" t="s">
        <v>5601</v>
      </c>
      <c r="B5434" t="s">
        <v>144</v>
      </c>
      <c r="C5434" t="s">
        <v>120</v>
      </c>
      <c r="D5434" t="s">
        <v>57</v>
      </c>
      <c r="E5434" t="s">
        <v>159</v>
      </c>
      <c r="F5434" s="1">
        <v>42944</v>
      </c>
      <c r="G5434" s="1">
        <v>42946</v>
      </c>
      <c r="H5434">
        <v>0</v>
      </c>
      <c r="I5434" t="str">
        <f>IF(COUNTIF(Products!$A$2:$A$8,C5434)=0,C5434,"")</f>
        <v/>
      </c>
      <c r="J5434">
        <f>IF(OR(E5434="Prospecting",E5434="Engaging"),VLOOKUP(C5434,Products!$A$2:$C$8,3,FALSE),0)</f>
        <v>0</v>
      </c>
    </row>
    <row r="5435" spans="1:10" x14ac:dyDescent="0.25">
      <c r="A5435" t="s">
        <v>5602</v>
      </c>
      <c r="B5435" t="s">
        <v>146</v>
      </c>
      <c r="C5435" t="s">
        <v>126</v>
      </c>
      <c r="E5435" t="s">
        <v>155</v>
      </c>
      <c r="F5435" s="1">
        <v>42945</v>
      </c>
      <c r="I5435" t="str">
        <f>IF(COUNTIF(Products!$A$2:$A$8,C5435)=0,C5435,"")</f>
        <v/>
      </c>
      <c r="J5435">
        <f>IF(OR(E5435="Prospecting",E5435="Engaging"),VLOOKUP(C5435,Products!$A$2:$C$8,3,FALSE),0)</f>
        <v>5482</v>
      </c>
    </row>
    <row r="5436" spans="1:10" x14ac:dyDescent="0.25">
      <c r="A5436" t="s">
        <v>5603</v>
      </c>
      <c r="B5436" t="s">
        <v>146</v>
      </c>
      <c r="C5436" t="s">
        <v>125</v>
      </c>
      <c r="E5436" t="s">
        <v>155</v>
      </c>
      <c r="F5436" s="1">
        <v>42945</v>
      </c>
      <c r="I5436" t="str">
        <f>IF(COUNTIF(Products!$A$2:$A$8,C5436)=0,C5436,"")</f>
        <v/>
      </c>
      <c r="J5436">
        <f>IF(OR(E5436="Prospecting",E5436="Engaging"),VLOOKUP(C5436,Products!$A$2:$C$8,3,FALSE),0)</f>
        <v>3393</v>
      </c>
    </row>
    <row r="5437" spans="1:10" x14ac:dyDescent="0.25">
      <c r="A5437" t="s">
        <v>5604</v>
      </c>
      <c r="B5437" t="s">
        <v>146</v>
      </c>
      <c r="C5437" t="s">
        <v>126</v>
      </c>
      <c r="D5437" t="s">
        <v>64</v>
      </c>
      <c r="E5437" t="s">
        <v>138</v>
      </c>
      <c r="F5437" s="1">
        <v>42945</v>
      </c>
      <c r="G5437" s="1">
        <v>42952</v>
      </c>
      <c r="H5437">
        <v>4603</v>
      </c>
      <c r="I5437" t="str">
        <f>IF(COUNTIF(Products!$A$2:$A$8,C5437)=0,C5437,"")</f>
        <v/>
      </c>
      <c r="J5437">
        <f>IF(OR(E5437="Prospecting",E5437="Engaging"),VLOOKUP(C5437,Products!$A$2:$C$8,3,FALSE),0)</f>
        <v>0</v>
      </c>
    </row>
    <row r="5438" spans="1:10" x14ac:dyDescent="0.25">
      <c r="A5438" t="s">
        <v>5605</v>
      </c>
      <c r="B5438" t="s">
        <v>264</v>
      </c>
      <c r="C5438" t="s">
        <v>123</v>
      </c>
      <c r="E5438" t="s">
        <v>155</v>
      </c>
      <c r="F5438" s="1">
        <v>42945</v>
      </c>
      <c r="I5438" t="str">
        <f>IF(COUNTIF(Products!$A$2:$A$8,C5438)=0,C5438,"")</f>
        <v/>
      </c>
      <c r="J5438">
        <f>IF(OR(E5438="Prospecting",E5438="Engaging"),VLOOKUP(C5438,Products!$A$2:$C$8,3,FALSE),0)</f>
        <v>55</v>
      </c>
    </row>
    <row r="5439" spans="1:10" x14ac:dyDescent="0.25">
      <c r="A5439" t="s">
        <v>5606</v>
      </c>
      <c r="B5439" t="s">
        <v>264</v>
      </c>
      <c r="C5439" t="s">
        <v>120</v>
      </c>
      <c r="D5439" t="s">
        <v>42</v>
      </c>
      <c r="E5439" t="s">
        <v>138</v>
      </c>
      <c r="F5439" s="1">
        <v>42945</v>
      </c>
      <c r="G5439" s="1">
        <v>42983</v>
      </c>
      <c r="H5439">
        <v>610</v>
      </c>
      <c r="I5439" t="str">
        <f>IF(COUNTIF(Products!$A$2:$A$8,C5439)=0,C5439,"")</f>
        <v/>
      </c>
      <c r="J5439">
        <f>IF(OR(E5439="Prospecting",E5439="Engaging"),VLOOKUP(C5439,Products!$A$2:$C$8,3,FALSE),0)</f>
        <v>0</v>
      </c>
    </row>
    <row r="5440" spans="1:10" x14ac:dyDescent="0.25">
      <c r="A5440" t="s">
        <v>5607</v>
      </c>
      <c r="B5440" t="s">
        <v>239</v>
      </c>
      <c r="C5440" t="s">
        <v>125</v>
      </c>
      <c r="E5440" t="s">
        <v>155</v>
      </c>
      <c r="F5440" s="1">
        <v>42945</v>
      </c>
      <c r="I5440" t="str">
        <f>IF(COUNTIF(Products!$A$2:$A$8,C5440)=0,C5440,"")</f>
        <v/>
      </c>
      <c r="J5440">
        <f>IF(OR(E5440="Prospecting",E5440="Engaging"),VLOOKUP(C5440,Products!$A$2:$C$8,3,FALSE),0)</f>
        <v>3393</v>
      </c>
    </row>
    <row r="5441" spans="1:10" x14ac:dyDescent="0.25">
      <c r="A5441" t="s">
        <v>5608</v>
      </c>
      <c r="B5441" t="s">
        <v>171</v>
      </c>
      <c r="C5441" t="s">
        <v>127</v>
      </c>
      <c r="D5441" t="s">
        <v>69</v>
      </c>
      <c r="E5441" t="s">
        <v>138</v>
      </c>
      <c r="F5441" s="1">
        <v>42945</v>
      </c>
      <c r="G5441" s="1">
        <v>42953</v>
      </c>
      <c r="H5441">
        <v>1189</v>
      </c>
      <c r="I5441" t="str">
        <f>IF(COUNTIF(Products!$A$2:$A$8,C5441)=0,C5441,"")</f>
        <v/>
      </c>
      <c r="J5441">
        <f>IF(OR(E5441="Prospecting",E5441="Engaging"),VLOOKUP(C5441,Products!$A$2:$C$8,3,FALSE),0)</f>
        <v>0</v>
      </c>
    </row>
    <row r="5442" spans="1:10" x14ac:dyDescent="0.25">
      <c r="A5442" t="s">
        <v>5609</v>
      </c>
      <c r="B5442" t="s">
        <v>140</v>
      </c>
      <c r="C5442" t="s">
        <v>120</v>
      </c>
      <c r="D5442" t="s">
        <v>26</v>
      </c>
      <c r="E5442" t="s">
        <v>155</v>
      </c>
      <c r="F5442" s="1">
        <v>42945</v>
      </c>
      <c r="I5442" t="str">
        <f>IF(COUNTIF(Products!$A$2:$A$8,C5442)=0,C5442,"")</f>
        <v/>
      </c>
      <c r="J5442">
        <f>IF(OR(E5442="Prospecting",E5442="Engaging"),VLOOKUP(C5442,Products!$A$2:$C$8,3,FALSE),0)</f>
        <v>550</v>
      </c>
    </row>
    <row r="5443" spans="1:10" x14ac:dyDescent="0.25">
      <c r="A5443" t="s">
        <v>5610</v>
      </c>
      <c r="B5443" t="s">
        <v>140</v>
      </c>
      <c r="C5443" t="s">
        <v>127</v>
      </c>
      <c r="E5443" t="s">
        <v>155</v>
      </c>
      <c r="F5443" s="1">
        <v>42945</v>
      </c>
      <c r="I5443" t="str">
        <f>IF(COUNTIF(Products!$A$2:$A$8,C5443)=0,C5443,"")</f>
        <v/>
      </c>
      <c r="J5443">
        <f>IF(OR(E5443="Prospecting",E5443="Engaging"),VLOOKUP(C5443,Products!$A$2:$C$8,3,FALSE),0)</f>
        <v>1096</v>
      </c>
    </row>
    <row r="5444" spans="1:10" x14ac:dyDescent="0.25">
      <c r="A5444" t="s">
        <v>5611</v>
      </c>
      <c r="B5444" t="s">
        <v>140</v>
      </c>
      <c r="C5444" t="s">
        <v>122</v>
      </c>
      <c r="D5444" t="s">
        <v>102</v>
      </c>
      <c r="E5444" t="s">
        <v>155</v>
      </c>
      <c r="F5444" s="1">
        <v>42945</v>
      </c>
      <c r="I5444" t="str">
        <f>IF(COUNTIF(Products!$A$2:$A$8,C5444)=0,C5444,"")</f>
        <v/>
      </c>
      <c r="J5444">
        <f>IF(OR(E5444="Prospecting",E5444="Engaging"),VLOOKUP(C5444,Products!$A$2:$C$8,3,FALSE),0)</f>
        <v>4821</v>
      </c>
    </row>
    <row r="5445" spans="1:10" x14ac:dyDescent="0.25">
      <c r="A5445" t="s">
        <v>5612</v>
      </c>
      <c r="B5445" t="s">
        <v>140</v>
      </c>
      <c r="C5445" t="s">
        <v>122</v>
      </c>
      <c r="E5445" t="s">
        <v>155</v>
      </c>
      <c r="F5445" s="1">
        <v>42945</v>
      </c>
      <c r="I5445" t="str">
        <f>IF(COUNTIF(Products!$A$2:$A$8,C5445)=0,C5445,"")</f>
        <v/>
      </c>
      <c r="J5445">
        <f>IF(OR(E5445="Prospecting",E5445="Engaging"),VLOOKUP(C5445,Products!$A$2:$C$8,3,FALSE),0)</f>
        <v>4821</v>
      </c>
    </row>
    <row r="5446" spans="1:10" x14ac:dyDescent="0.25">
      <c r="A5446" t="s">
        <v>5613</v>
      </c>
      <c r="B5446" t="s">
        <v>140</v>
      </c>
      <c r="C5446" t="s">
        <v>122</v>
      </c>
      <c r="E5446" t="s">
        <v>155</v>
      </c>
      <c r="F5446" s="1">
        <v>42945</v>
      </c>
      <c r="I5446" t="str">
        <f>IF(COUNTIF(Products!$A$2:$A$8,C5446)=0,C5446,"")</f>
        <v/>
      </c>
      <c r="J5446">
        <f>IF(OR(E5446="Prospecting",E5446="Engaging"),VLOOKUP(C5446,Products!$A$2:$C$8,3,FALSE),0)</f>
        <v>4821</v>
      </c>
    </row>
    <row r="5447" spans="1:10" x14ac:dyDescent="0.25">
      <c r="A5447" t="s">
        <v>5614</v>
      </c>
      <c r="B5447" t="s">
        <v>140</v>
      </c>
      <c r="C5447" t="s">
        <v>123</v>
      </c>
      <c r="D5447" t="s">
        <v>93</v>
      </c>
      <c r="E5447" t="s">
        <v>155</v>
      </c>
      <c r="F5447" s="1">
        <v>42945</v>
      </c>
      <c r="I5447" t="str">
        <f>IF(COUNTIF(Products!$A$2:$A$8,C5447)=0,C5447,"")</f>
        <v/>
      </c>
      <c r="J5447">
        <f>IF(OR(E5447="Prospecting",E5447="Engaging"),VLOOKUP(C5447,Products!$A$2:$C$8,3,FALSE),0)</f>
        <v>55</v>
      </c>
    </row>
    <row r="5448" spans="1:10" x14ac:dyDescent="0.25">
      <c r="A5448" t="s">
        <v>5615</v>
      </c>
      <c r="B5448" t="s">
        <v>224</v>
      </c>
      <c r="C5448" t="s">
        <v>122</v>
      </c>
      <c r="D5448" t="s">
        <v>25</v>
      </c>
      <c r="E5448" t="s">
        <v>159</v>
      </c>
      <c r="F5448" s="1">
        <v>42945</v>
      </c>
      <c r="G5448" s="1">
        <v>42946</v>
      </c>
      <c r="H5448">
        <v>0</v>
      </c>
      <c r="I5448" t="str">
        <f>IF(COUNTIF(Products!$A$2:$A$8,C5448)=0,C5448,"")</f>
        <v/>
      </c>
      <c r="J5448">
        <f>IF(OR(E5448="Prospecting",E5448="Engaging"),VLOOKUP(C5448,Products!$A$2:$C$8,3,FALSE),0)</f>
        <v>0</v>
      </c>
    </row>
    <row r="5449" spans="1:10" x14ac:dyDescent="0.25">
      <c r="A5449" t="s">
        <v>5616</v>
      </c>
      <c r="B5449" t="s">
        <v>224</v>
      </c>
      <c r="C5449" t="s">
        <v>126</v>
      </c>
      <c r="D5449" t="s">
        <v>98</v>
      </c>
      <c r="E5449" t="s">
        <v>138</v>
      </c>
      <c r="F5449" s="1">
        <v>42945</v>
      </c>
      <c r="G5449" s="1">
        <v>42947</v>
      </c>
      <c r="H5449">
        <v>5480</v>
      </c>
      <c r="I5449" t="str">
        <f>IF(COUNTIF(Products!$A$2:$A$8,C5449)=0,C5449,"")</f>
        <v/>
      </c>
      <c r="J5449">
        <f>IF(OR(E5449="Prospecting",E5449="Engaging"),VLOOKUP(C5449,Products!$A$2:$C$8,3,FALSE),0)</f>
        <v>0</v>
      </c>
    </row>
    <row r="5450" spans="1:10" x14ac:dyDescent="0.25">
      <c r="A5450" t="s">
        <v>5617</v>
      </c>
      <c r="B5450" t="s">
        <v>173</v>
      </c>
      <c r="C5450" t="s">
        <v>123</v>
      </c>
      <c r="D5450" t="s">
        <v>41</v>
      </c>
      <c r="E5450" t="s">
        <v>138</v>
      </c>
      <c r="F5450" s="1">
        <v>42945</v>
      </c>
      <c r="G5450" s="1">
        <v>43041</v>
      </c>
      <c r="H5450">
        <v>56</v>
      </c>
      <c r="I5450" t="str">
        <f>IF(COUNTIF(Products!$A$2:$A$8,C5450)=0,C5450,"")</f>
        <v/>
      </c>
      <c r="J5450">
        <f>IF(OR(E5450="Prospecting",E5450="Engaging"),VLOOKUP(C5450,Products!$A$2:$C$8,3,FALSE),0)</f>
        <v>0</v>
      </c>
    </row>
    <row r="5451" spans="1:10" x14ac:dyDescent="0.25">
      <c r="A5451" t="s">
        <v>5618</v>
      </c>
      <c r="B5451" t="s">
        <v>198</v>
      </c>
      <c r="C5451" t="s">
        <v>127</v>
      </c>
      <c r="D5451" t="s">
        <v>80</v>
      </c>
      <c r="E5451" t="s">
        <v>159</v>
      </c>
      <c r="F5451" s="1">
        <v>42945</v>
      </c>
      <c r="G5451" s="1">
        <v>42949</v>
      </c>
      <c r="H5451">
        <v>0</v>
      </c>
      <c r="I5451" t="str">
        <f>IF(COUNTIF(Products!$A$2:$A$8,C5451)=0,C5451,"")</f>
        <v/>
      </c>
      <c r="J5451">
        <f>IF(OR(E5451="Prospecting",E5451="Engaging"),VLOOKUP(C5451,Products!$A$2:$C$8,3,FALSE),0)</f>
        <v>0</v>
      </c>
    </row>
    <row r="5452" spans="1:10" x14ac:dyDescent="0.25">
      <c r="A5452" t="s">
        <v>5619</v>
      </c>
      <c r="B5452" t="s">
        <v>198</v>
      </c>
      <c r="C5452" t="s">
        <v>127</v>
      </c>
      <c r="D5452" t="s">
        <v>115</v>
      </c>
      <c r="E5452" t="s">
        <v>138</v>
      </c>
      <c r="F5452" s="1">
        <v>42945</v>
      </c>
      <c r="G5452" s="1">
        <v>42994</v>
      </c>
      <c r="H5452">
        <v>983</v>
      </c>
      <c r="I5452" t="str">
        <f>IF(COUNTIF(Products!$A$2:$A$8,C5452)=0,C5452,"")</f>
        <v/>
      </c>
      <c r="J5452">
        <f>IF(OR(E5452="Prospecting",E5452="Engaging"),VLOOKUP(C5452,Products!$A$2:$C$8,3,FALSE),0)</f>
        <v>0</v>
      </c>
    </row>
    <row r="5453" spans="1:10" x14ac:dyDescent="0.25">
      <c r="A5453" t="s">
        <v>5620</v>
      </c>
      <c r="B5453" t="s">
        <v>198</v>
      </c>
      <c r="C5453" t="s">
        <v>122</v>
      </c>
      <c r="D5453" t="s">
        <v>25</v>
      </c>
      <c r="E5453" t="s">
        <v>138</v>
      </c>
      <c r="F5453" s="1">
        <v>42945</v>
      </c>
      <c r="G5453" s="1">
        <v>42963</v>
      </c>
      <c r="H5453">
        <v>5319</v>
      </c>
      <c r="I5453" t="str">
        <f>IF(COUNTIF(Products!$A$2:$A$8,C5453)=0,C5453,"")</f>
        <v/>
      </c>
      <c r="J5453">
        <f>IF(OR(E5453="Prospecting",E5453="Engaging"),VLOOKUP(C5453,Products!$A$2:$C$8,3,FALSE),0)</f>
        <v>0</v>
      </c>
    </row>
    <row r="5454" spans="1:10" x14ac:dyDescent="0.25">
      <c r="A5454" t="s">
        <v>5621</v>
      </c>
      <c r="B5454" t="s">
        <v>158</v>
      </c>
      <c r="C5454" t="s">
        <v>123</v>
      </c>
      <c r="E5454" t="s">
        <v>155</v>
      </c>
      <c r="F5454" s="1">
        <v>42945</v>
      </c>
      <c r="I5454" t="str">
        <f>IF(COUNTIF(Products!$A$2:$A$8,C5454)=0,C5454,"")</f>
        <v/>
      </c>
      <c r="J5454">
        <f>IF(OR(E5454="Prospecting",E5454="Engaging"),VLOOKUP(C5454,Products!$A$2:$C$8,3,FALSE),0)</f>
        <v>55</v>
      </c>
    </row>
    <row r="5455" spans="1:10" x14ac:dyDescent="0.25">
      <c r="A5455" t="s">
        <v>5622</v>
      </c>
      <c r="B5455" t="s">
        <v>154</v>
      </c>
      <c r="C5455" t="s">
        <v>122</v>
      </c>
      <c r="D5455" t="s">
        <v>69</v>
      </c>
      <c r="E5455" t="s">
        <v>138</v>
      </c>
      <c r="F5455" s="1">
        <v>42945</v>
      </c>
      <c r="G5455" s="1">
        <v>42955</v>
      </c>
      <c r="H5455">
        <v>4941</v>
      </c>
      <c r="I5455" t="str">
        <f>IF(COUNTIF(Products!$A$2:$A$8,C5455)=0,C5455,"")</f>
        <v/>
      </c>
      <c r="J5455">
        <f>IF(OR(E5455="Prospecting",E5455="Engaging"),VLOOKUP(C5455,Products!$A$2:$C$8,3,FALSE),0)</f>
        <v>0</v>
      </c>
    </row>
    <row r="5456" spans="1:10" x14ac:dyDescent="0.25">
      <c r="A5456" t="s">
        <v>5623</v>
      </c>
      <c r="B5456" t="s">
        <v>154</v>
      </c>
      <c r="C5456" t="s">
        <v>125</v>
      </c>
      <c r="D5456" t="s">
        <v>100</v>
      </c>
      <c r="E5456" t="s">
        <v>138</v>
      </c>
      <c r="F5456" s="1">
        <v>42945</v>
      </c>
      <c r="G5456" s="1">
        <v>42949</v>
      </c>
      <c r="H5456">
        <v>3260</v>
      </c>
      <c r="I5456" t="str">
        <f>IF(COUNTIF(Products!$A$2:$A$8,C5456)=0,C5456,"")</f>
        <v/>
      </c>
      <c r="J5456">
        <f>IF(OR(E5456="Prospecting",E5456="Engaging"),VLOOKUP(C5456,Products!$A$2:$C$8,3,FALSE),0)</f>
        <v>0</v>
      </c>
    </row>
    <row r="5457" spans="1:10" x14ac:dyDescent="0.25">
      <c r="A5457" t="s">
        <v>5624</v>
      </c>
      <c r="B5457" t="s">
        <v>303</v>
      </c>
      <c r="C5457" t="s">
        <v>127</v>
      </c>
      <c r="E5457" t="s">
        <v>155</v>
      </c>
      <c r="F5457" s="1">
        <v>42945</v>
      </c>
      <c r="I5457" t="str">
        <f>IF(COUNTIF(Products!$A$2:$A$8,C5457)=0,C5457,"")</f>
        <v/>
      </c>
      <c r="J5457">
        <f>IF(OR(E5457="Prospecting",E5457="Engaging"),VLOOKUP(C5457,Products!$A$2:$C$8,3,FALSE),0)</f>
        <v>1096</v>
      </c>
    </row>
    <row r="5458" spans="1:10" x14ac:dyDescent="0.25">
      <c r="A5458" t="s">
        <v>5625</v>
      </c>
      <c r="B5458" t="s">
        <v>303</v>
      </c>
      <c r="C5458" t="s">
        <v>123</v>
      </c>
      <c r="E5458" t="s">
        <v>155</v>
      </c>
      <c r="F5458" s="1">
        <v>42945</v>
      </c>
      <c r="I5458" t="str">
        <f>IF(COUNTIF(Products!$A$2:$A$8,C5458)=0,C5458,"")</f>
        <v/>
      </c>
      <c r="J5458">
        <f>IF(OR(E5458="Prospecting",E5458="Engaging"),VLOOKUP(C5458,Products!$A$2:$C$8,3,FALSE),0)</f>
        <v>55</v>
      </c>
    </row>
    <row r="5459" spans="1:10" x14ac:dyDescent="0.25">
      <c r="A5459" t="s">
        <v>5626</v>
      </c>
      <c r="B5459" t="s">
        <v>180</v>
      </c>
      <c r="C5459" t="s">
        <v>127</v>
      </c>
      <c r="D5459" t="s">
        <v>19</v>
      </c>
      <c r="E5459" t="s">
        <v>155</v>
      </c>
      <c r="F5459" s="1">
        <v>42945</v>
      </c>
      <c r="I5459" t="str">
        <f>IF(COUNTIF(Products!$A$2:$A$8,C5459)=0,C5459,"")</f>
        <v/>
      </c>
      <c r="J5459">
        <f>IF(OR(E5459="Prospecting",E5459="Engaging"),VLOOKUP(C5459,Products!$A$2:$C$8,3,FALSE),0)</f>
        <v>1096</v>
      </c>
    </row>
    <row r="5460" spans="1:10" x14ac:dyDescent="0.25">
      <c r="A5460" t="s">
        <v>5627</v>
      </c>
      <c r="B5460" t="s">
        <v>180</v>
      </c>
      <c r="C5460" t="s">
        <v>125</v>
      </c>
      <c r="E5460" t="s">
        <v>155</v>
      </c>
      <c r="F5460" s="1">
        <v>42945</v>
      </c>
      <c r="I5460" t="str">
        <f>IF(COUNTIF(Products!$A$2:$A$8,C5460)=0,C5460,"")</f>
        <v/>
      </c>
      <c r="J5460">
        <f>IF(OR(E5460="Prospecting",E5460="Engaging"),VLOOKUP(C5460,Products!$A$2:$C$8,3,FALSE),0)</f>
        <v>3393</v>
      </c>
    </row>
    <row r="5461" spans="1:10" x14ac:dyDescent="0.25">
      <c r="A5461" t="s">
        <v>5628</v>
      </c>
      <c r="B5461" t="s">
        <v>180</v>
      </c>
      <c r="C5461" t="s">
        <v>127</v>
      </c>
      <c r="D5461" t="s">
        <v>61</v>
      </c>
      <c r="E5461" t="s">
        <v>159</v>
      </c>
      <c r="F5461" s="1">
        <v>42945</v>
      </c>
      <c r="G5461" s="1">
        <v>42950</v>
      </c>
      <c r="H5461">
        <v>0</v>
      </c>
      <c r="I5461" t="str">
        <f>IF(COUNTIF(Products!$A$2:$A$8,C5461)=0,C5461,"")</f>
        <v/>
      </c>
      <c r="J5461">
        <f>IF(OR(E5461="Prospecting",E5461="Engaging"),VLOOKUP(C5461,Products!$A$2:$C$8,3,FALSE),0)</f>
        <v>0</v>
      </c>
    </row>
    <row r="5462" spans="1:10" x14ac:dyDescent="0.25">
      <c r="A5462" t="s">
        <v>5629</v>
      </c>
      <c r="B5462" t="s">
        <v>180</v>
      </c>
      <c r="C5462" t="s">
        <v>126</v>
      </c>
      <c r="D5462" t="s">
        <v>56</v>
      </c>
      <c r="E5462" t="s">
        <v>138</v>
      </c>
      <c r="F5462" s="1">
        <v>42945</v>
      </c>
      <c r="G5462" s="1">
        <v>42947</v>
      </c>
      <c r="H5462">
        <v>4842</v>
      </c>
      <c r="I5462" t="str">
        <f>IF(COUNTIF(Products!$A$2:$A$8,C5462)=0,C5462,"")</f>
        <v/>
      </c>
      <c r="J5462">
        <f>IF(OR(E5462="Prospecting",E5462="Engaging"),VLOOKUP(C5462,Products!$A$2:$C$8,3,FALSE),0)</f>
        <v>0</v>
      </c>
    </row>
    <row r="5463" spans="1:10" x14ac:dyDescent="0.25">
      <c r="A5463" t="s">
        <v>5630</v>
      </c>
      <c r="B5463" t="s">
        <v>180</v>
      </c>
      <c r="C5463" t="s">
        <v>125</v>
      </c>
      <c r="D5463" t="s">
        <v>17</v>
      </c>
      <c r="E5463" t="s">
        <v>138</v>
      </c>
      <c r="F5463" s="1">
        <v>42945</v>
      </c>
      <c r="G5463" s="1">
        <v>43007</v>
      </c>
      <c r="H5463">
        <v>3463</v>
      </c>
      <c r="I5463" t="str">
        <f>IF(COUNTIF(Products!$A$2:$A$8,C5463)=0,C5463,"")</f>
        <v/>
      </c>
      <c r="J5463">
        <f>IF(OR(E5463="Prospecting",E5463="Engaging"),VLOOKUP(C5463,Products!$A$2:$C$8,3,FALSE),0)</f>
        <v>0</v>
      </c>
    </row>
    <row r="5464" spans="1:10" x14ac:dyDescent="0.25">
      <c r="A5464" t="s">
        <v>5631</v>
      </c>
      <c r="B5464" t="s">
        <v>217</v>
      </c>
      <c r="C5464" t="s">
        <v>120</v>
      </c>
      <c r="E5464" t="s">
        <v>155</v>
      </c>
      <c r="F5464" s="1">
        <v>42945</v>
      </c>
      <c r="I5464" t="str">
        <f>IF(COUNTIF(Products!$A$2:$A$8,C5464)=0,C5464,"")</f>
        <v/>
      </c>
      <c r="J5464">
        <f>IF(OR(E5464="Prospecting",E5464="Engaging"),VLOOKUP(C5464,Products!$A$2:$C$8,3,FALSE),0)</f>
        <v>550</v>
      </c>
    </row>
    <row r="5465" spans="1:10" x14ac:dyDescent="0.25">
      <c r="A5465" t="s">
        <v>5632</v>
      </c>
      <c r="B5465" t="s">
        <v>217</v>
      </c>
      <c r="C5465" t="s">
        <v>123</v>
      </c>
      <c r="D5465" t="s">
        <v>116</v>
      </c>
      <c r="E5465" t="s">
        <v>155</v>
      </c>
      <c r="F5465" s="1">
        <v>42945</v>
      </c>
      <c r="I5465" t="str">
        <f>IF(COUNTIF(Products!$A$2:$A$8,C5465)=0,C5465,"")</f>
        <v/>
      </c>
      <c r="J5465">
        <f>IF(OR(E5465="Prospecting",E5465="Engaging"),VLOOKUP(C5465,Products!$A$2:$C$8,3,FALSE),0)</f>
        <v>55</v>
      </c>
    </row>
    <row r="5466" spans="1:10" x14ac:dyDescent="0.25">
      <c r="A5466" t="s">
        <v>5633</v>
      </c>
      <c r="B5466" t="s">
        <v>217</v>
      </c>
      <c r="C5466" t="s">
        <v>120</v>
      </c>
      <c r="D5466" t="s">
        <v>70</v>
      </c>
      <c r="E5466" t="s">
        <v>159</v>
      </c>
      <c r="F5466" s="1">
        <v>42945</v>
      </c>
      <c r="G5466" s="1">
        <v>42948</v>
      </c>
      <c r="H5466">
        <v>0</v>
      </c>
      <c r="I5466" t="str">
        <f>IF(COUNTIF(Products!$A$2:$A$8,C5466)=0,C5466,"")</f>
        <v/>
      </c>
      <c r="J5466">
        <f>IF(OR(E5466="Prospecting",E5466="Engaging"),VLOOKUP(C5466,Products!$A$2:$C$8,3,FALSE),0)</f>
        <v>0</v>
      </c>
    </row>
    <row r="5467" spans="1:10" x14ac:dyDescent="0.25">
      <c r="A5467" t="s">
        <v>5634</v>
      </c>
      <c r="B5467" t="s">
        <v>205</v>
      </c>
      <c r="C5467" t="s">
        <v>120</v>
      </c>
      <c r="E5467" t="s">
        <v>155</v>
      </c>
      <c r="F5467" s="1">
        <v>42945</v>
      </c>
      <c r="I5467" t="str">
        <f>IF(COUNTIF(Products!$A$2:$A$8,C5467)=0,C5467,"")</f>
        <v/>
      </c>
      <c r="J5467">
        <f>IF(OR(E5467="Prospecting",E5467="Engaging"),VLOOKUP(C5467,Products!$A$2:$C$8,3,FALSE),0)</f>
        <v>550</v>
      </c>
    </row>
    <row r="5468" spans="1:10" x14ac:dyDescent="0.25">
      <c r="A5468" t="s">
        <v>5635</v>
      </c>
      <c r="B5468" t="s">
        <v>162</v>
      </c>
      <c r="C5468" t="s">
        <v>120</v>
      </c>
      <c r="D5468" t="s">
        <v>78</v>
      </c>
      <c r="E5468" t="s">
        <v>159</v>
      </c>
      <c r="F5468" s="1">
        <v>42945</v>
      </c>
      <c r="G5468" s="1">
        <v>42946</v>
      </c>
      <c r="H5468">
        <v>0</v>
      </c>
      <c r="I5468" t="str">
        <f>IF(COUNTIF(Products!$A$2:$A$8,C5468)=0,C5468,"")</f>
        <v/>
      </c>
      <c r="J5468">
        <f>IF(OR(E5468="Prospecting",E5468="Engaging"),VLOOKUP(C5468,Products!$A$2:$C$8,3,FALSE),0)</f>
        <v>0</v>
      </c>
    </row>
    <row r="5469" spans="1:10" x14ac:dyDescent="0.25">
      <c r="A5469" t="s">
        <v>5636</v>
      </c>
      <c r="B5469" t="s">
        <v>193</v>
      </c>
      <c r="C5469" t="s">
        <v>122</v>
      </c>
      <c r="D5469" t="s">
        <v>73</v>
      </c>
      <c r="E5469" t="s">
        <v>138</v>
      </c>
      <c r="F5469" s="1">
        <v>42945</v>
      </c>
      <c r="G5469" s="1">
        <v>42955</v>
      </c>
      <c r="H5469">
        <v>4252</v>
      </c>
      <c r="I5469" t="str">
        <f>IF(COUNTIF(Products!$A$2:$A$8,C5469)=0,C5469,"")</f>
        <v/>
      </c>
      <c r="J5469">
        <f>IF(OR(E5469="Prospecting",E5469="Engaging"),VLOOKUP(C5469,Products!$A$2:$C$8,3,FALSE),0)</f>
        <v>0</v>
      </c>
    </row>
    <row r="5470" spans="1:10" x14ac:dyDescent="0.25">
      <c r="A5470" t="s">
        <v>5637</v>
      </c>
      <c r="B5470" t="s">
        <v>187</v>
      </c>
      <c r="C5470" t="s">
        <v>122</v>
      </c>
      <c r="D5470" t="s">
        <v>115</v>
      </c>
      <c r="E5470" t="s">
        <v>138</v>
      </c>
      <c r="F5470" s="1">
        <v>42945</v>
      </c>
      <c r="G5470" s="1">
        <v>42982</v>
      </c>
      <c r="H5470">
        <v>4906</v>
      </c>
      <c r="I5470" t="str">
        <f>IF(COUNTIF(Products!$A$2:$A$8,C5470)=0,C5470,"")</f>
        <v/>
      </c>
      <c r="J5470">
        <f>IF(OR(E5470="Prospecting",E5470="Engaging"),VLOOKUP(C5470,Products!$A$2:$C$8,3,FALSE),0)</f>
        <v>0</v>
      </c>
    </row>
    <row r="5471" spans="1:10" x14ac:dyDescent="0.25">
      <c r="A5471" t="s">
        <v>5638</v>
      </c>
      <c r="B5471" t="s">
        <v>169</v>
      </c>
      <c r="C5471" t="s">
        <v>126</v>
      </c>
      <c r="E5471" t="s">
        <v>155</v>
      </c>
      <c r="F5471" s="1">
        <v>42945</v>
      </c>
      <c r="I5471" t="str">
        <f>IF(COUNTIF(Products!$A$2:$A$8,C5471)=0,C5471,"")</f>
        <v/>
      </c>
      <c r="J5471">
        <f>IF(OR(E5471="Prospecting",E5471="Engaging"),VLOOKUP(C5471,Products!$A$2:$C$8,3,FALSE),0)</f>
        <v>5482</v>
      </c>
    </row>
    <row r="5472" spans="1:10" x14ac:dyDescent="0.25">
      <c r="A5472" t="s">
        <v>5639</v>
      </c>
      <c r="B5472" t="s">
        <v>169</v>
      </c>
      <c r="C5472" t="s">
        <v>123</v>
      </c>
      <c r="D5472" t="s">
        <v>110</v>
      </c>
      <c r="E5472" t="s">
        <v>155</v>
      </c>
      <c r="F5472" s="1">
        <v>42945</v>
      </c>
      <c r="I5472" t="str">
        <f>IF(COUNTIF(Products!$A$2:$A$8,C5472)=0,C5472,"")</f>
        <v/>
      </c>
      <c r="J5472">
        <f>IF(OR(E5472="Prospecting",E5472="Engaging"),VLOOKUP(C5472,Products!$A$2:$C$8,3,FALSE),0)</f>
        <v>55</v>
      </c>
    </row>
    <row r="5473" spans="1:10" x14ac:dyDescent="0.25">
      <c r="A5473" t="s">
        <v>5640</v>
      </c>
      <c r="B5473" t="s">
        <v>169</v>
      </c>
      <c r="C5473" t="s">
        <v>123</v>
      </c>
      <c r="E5473" t="s">
        <v>155</v>
      </c>
      <c r="F5473" s="1">
        <v>42945</v>
      </c>
      <c r="I5473" t="str">
        <f>IF(COUNTIF(Products!$A$2:$A$8,C5473)=0,C5473,"")</f>
        <v/>
      </c>
      <c r="J5473">
        <f>IF(OR(E5473="Prospecting",E5473="Engaging"),VLOOKUP(C5473,Products!$A$2:$C$8,3,FALSE),0)</f>
        <v>55</v>
      </c>
    </row>
    <row r="5474" spans="1:10" x14ac:dyDescent="0.25">
      <c r="A5474" t="s">
        <v>5641</v>
      </c>
      <c r="B5474" t="s">
        <v>169</v>
      </c>
      <c r="C5474" t="s">
        <v>123</v>
      </c>
      <c r="D5474" t="s">
        <v>32</v>
      </c>
      <c r="E5474" t="s">
        <v>159</v>
      </c>
      <c r="F5474" s="1">
        <v>42945</v>
      </c>
      <c r="G5474" s="1">
        <v>42957</v>
      </c>
      <c r="H5474">
        <v>0</v>
      </c>
      <c r="I5474" t="str">
        <f>IF(COUNTIF(Products!$A$2:$A$8,C5474)=0,C5474,"")</f>
        <v/>
      </c>
      <c r="J5474">
        <f>IF(OR(E5474="Prospecting",E5474="Engaging"),VLOOKUP(C5474,Products!$A$2:$C$8,3,FALSE),0)</f>
        <v>0</v>
      </c>
    </row>
    <row r="5475" spans="1:10" x14ac:dyDescent="0.25">
      <c r="A5475" t="s">
        <v>5642</v>
      </c>
      <c r="B5475" t="s">
        <v>196</v>
      </c>
      <c r="C5475" t="s">
        <v>125</v>
      </c>
      <c r="E5475" t="s">
        <v>155</v>
      </c>
      <c r="F5475" s="1">
        <v>42945</v>
      </c>
      <c r="I5475" t="str">
        <f>IF(COUNTIF(Products!$A$2:$A$8,C5475)=0,C5475,"")</f>
        <v/>
      </c>
      <c r="J5475">
        <f>IF(OR(E5475="Prospecting",E5475="Engaging"),VLOOKUP(C5475,Products!$A$2:$C$8,3,FALSE),0)</f>
        <v>3393</v>
      </c>
    </row>
    <row r="5476" spans="1:10" x14ac:dyDescent="0.25">
      <c r="A5476" t="s">
        <v>5643</v>
      </c>
      <c r="B5476" t="s">
        <v>146</v>
      </c>
      <c r="C5476" t="s">
        <v>120</v>
      </c>
      <c r="E5476" t="s">
        <v>155</v>
      </c>
      <c r="F5476" s="1">
        <v>42946</v>
      </c>
      <c r="I5476" t="str">
        <f>IF(COUNTIF(Products!$A$2:$A$8,C5476)=0,C5476,"")</f>
        <v/>
      </c>
      <c r="J5476">
        <f>IF(OR(E5476="Prospecting",E5476="Engaging"),VLOOKUP(C5476,Products!$A$2:$C$8,3,FALSE),0)</f>
        <v>550</v>
      </c>
    </row>
    <row r="5477" spans="1:10" x14ac:dyDescent="0.25">
      <c r="A5477" t="s">
        <v>5644</v>
      </c>
      <c r="B5477" t="s">
        <v>146</v>
      </c>
      <c r="C5477" t="s">
        <v>120</v>
      </c>
      <c r="E5477" t="s">
        <v>155</v>
      </c>
      <c r="F5477" s="1">
        <v>42946</v>
      </c>
      <c r="I5477" t="str">
        <f>IF(COUNTIF(Products!$A$2:$A$8,C5477)=0,C5477,"")</f>
        <v/>
      </c>
      <c r="J5477">
        <f>IF(OR(E5477="Prospecting",E5477="Engaging"),VLOOKUP(C5477,Products!$A$2:$C$8,3,FALSE),0)</f>
        <v>550</v>
      </c>
    </row>
    <row r="5478" spans="1:10" x14ac:dyDescent="0.25">
      <c r="A5478" t="s">
        <v>5645</v>
      </c>
      <c r="B5478" t="s">
        <v>146</v>
      </c>
      <c r="C5478" t="s">
        <v>123</v>
      </c>
      <c r="E5478" t="s">
        <v>155</v>
      </c>
      <c r="F5478" s="1">
        <v>42946</v>
      </c>
      <c r="I5478" t="str">
        <f>IF(COUNTIF(Products!$A$2:$A$8,C5478)=0,C5478,"")</f>
        <v/>
      </c>
      <c r="J5478">
        <f>IF(OR(E5478="Prospecting",E5478="Engaging"),VLOOKUP(C5478,Products!$A$2:$C$8,3,FALSE),0)</f>
        <v>55</v>
      </c>
    </row>
    <row r="5479" spans="1:10" x14ac:dyDescent="0.25">
      <c r="A5479" t="s">
        <v>5646</v>
      </c>
      <c r="B5479" t="s">
        <v>146</v>
      </c>
      <c r="C5479" t="s">
        <v>123</v>
      </c>
      <c r="E5479" t="s">
        <v>155</v>
      </c>
      <c r="F5479" s="1">
        <v>42946</v>
      </c>
      <c r="I5479" t="str">
        <f>IF(COUNTIF(Products!$A$2:$A$8,C5479)=0,C5479,"")</f>
        <v/>
      </c>
      <c r="J5479">
        <f>IF(OR(E5479="Prospecting",E5479="Engaging"),VLOOKUP(C5479,Products!$A$2:$C$8,3,FALSE),0)</f>
        <v>55</v>
      </c>
    </row>
    <row r="5480" spans="1:10" x14ac:dyDescent="0.25">
      <c r="A5480" t="s">
        <v>5647</v>
      </c>
      <c r="B5480" t="s">
        <v>146</v>
      </c>
      <c r="C5480" t="s">
        <v>126</v>
      </c>
      <c r="D5480" t="s">
        <v>42</v>
      </c>
      <c r="E5480" t="s">
        <v>159</v>
      </c>
      <c r="F5480" s="1">
        <v>42946</v>
      </c>
      <c r="G5480" s="1">
        <v>42954</v>
      </c>
      <c r="H5480">
        <v>0</v>
      </c>
      <c r="I5480" t="str">
        <f>IF(COUNTIF(Products!$A$2:$A$8,C5480)=0,C5480,"")</f>
        <v/>
      </c>
      <c r="J5480">
        <f>IF(OR(E5480="Prospecting",E5480="Engaging"),VLOOKUP(C5480,Products!$A$2:$C$8,3,FALSE),0)</f>
        <v>0</v>
      </c>
    </row>
    <row r="5481" spans="1:10" x14ac:dyDescent="0.25">
      <c r="A5481" t="s">
        <v>5648</v>
      </c>
      <c r="B5481" t="s">
        <v>222</v>
      </c>
      <c r="C5481" t="s">
        <v>123</v>
      </c>
      <c r="D5481" t="s">
        <v>7</v>
      </c>
      <c r="E5481" t="s">
        <v>155</v>
      </c>
      <c r="F5481" s="1">
        <v>42946</v>
      </c>
      <c r="I5481" t="str">
        <f>IF(COUNTIF(Products!$A$2:$A$8,C5481)=0,C5481,"")</f>
        <v/>
      </c>
      <c r="J5481">
        <f>IF(OR(E5481="Prospecting",E5481="Engaging"),VLOOKUP(C5481,Products!$A$2:$C$8,3,FALSE),0)</f>
        <v>55</v>
      </c>
    </row>
    <row r="5482" spans="1:10" x14ac:dyDescent="0.25">
      <c r="A5482" t="s">
        <v>5649</v>
      </c>
      <c r="B5482" t="s">
        <v>207</v>
      </c>
      <c r="C5482" t="s">
        <v>127</v>
      </c>
      <c r="E5482" t="s">
        <v>155</v>
      </c>
      <c r="F5482" s="1">
        <v>42946</v>
      </c>
      <c r="I5482" t="str">
        <f>IF(COUNTIF(Products!$A$2:$A$8,C5482)=0,C5482,"")</f>
        <v/>
      </c>
      <c r="J5482">
        <f>IF(OR(E5482="Prospecting",E5482="Engaging"),VLOOKUP(C5482,Products!$A$2:$C$8,3,FALSE),0)</f>
        <v>1096</v>
      </c>
    </row>
    <row r="5483" spans="1:10" x14ac:dyDescent="0.25">
      <c r="A5483" t="s">
        <v>5650</v>
      </c>
      <c r="B5483" t="s">
        <v>264</v>
      </c>
      <c r="C5483" t="s">
        <v>125</v>
      </c>
      <c r="E5483" t="s">
        <v>155</v>
      </c>
      <c r="F5483" s="1">
        <v>42946</v>
      </c>
      <c r="I5483" t="str">
        <f>IF(COUNTIF(Products!$A$2:$A$8,C5483)=0,C5483,"")</f>
        <v/>
      </c>
      <c r="J5483">
        <f>IF(OR(E5483="Prospecting",E5483="Engaging"),VLOOKUP(C5483,Products!$A$2:$C$8,3,FALSE),0)</f>
        <v>3393</v>
      </c>
    </row>
    <row r="5484" spans="1:10" x14ac:dyDescent="0.25">
      <c r="A5484" t="s">
        <v>5651</v>
      </c>
      <c r="B5484" t="s">
        <v>239</v>
      </c>
      <c r="C5484" t="s">
        <v>125</v>
      </c>
      <c r="D5484" t="s">
        <v>105</v>
      </c>
      <c r="E5484" t="s">
        <v>138</v>
      </c>
      <c r="F5484" s="1">
        <v>42946</v>
      </c>
      <c r="G5484" s="1">
        <v>43057</v>
      </c>
      <c r="H5484">
        <v>3113</v>
      </c>
      <c r="I5484" t="str">
        <f>IF(COUNTIF(Products!$A$2:$A$8,C5484)=0,C5484,"")</f>
        <v/>
      </c>
      <c r="J5484">
        <f>IF(OR(E5484="Prospecting",E5484="Engaging"),VLOOKUP(C5484,Products!$A$2:$C$8,3,FALSE),0)</f>
        <v>0</v>
      </c>
    </row>
    <row r="5485" spans="1:10" x14ac:dyDescent="0.25">
      <c r="A5485" t="s">
        <v>5652</v>
      </c>
      <c r="B5485" t="s">
        <v>171</v>
      </c>
      <c r="C5485" t="s">
        <v>127</v>
      </c>
      <c r="D5485" t="s">
        <v>19</v>
      </c>
      <c r="E5485" t="s">
        <v>138</v>
      </c>
      <c r="F5485" s="1">
        <v>42946</v>
      </c>
      <c r="G5485" s="1">
        <v>42957</v>
      </c>
      <c r="H5485">
        <v>1097</v>
      </c>
      <c r="I5485" t="str">
        <f>IF(COUNTIF(Products!$A$2:$A$8,C5485)=0,C5485,"")</f>
        <v/>
      </c>
      <c r="J5485">
        <f>IF(OR(E5485="Prospecting",E5485="Engaging"),VLOOKUP(C5485,Products!$A$2:$C$8,3,FALSE),0)</f>
        <v>0</v>
      </c>
    </row>
    <row r="5486" spans="1:10" x14ac:dyDescent="0.25">
      <c r="A5486" t="s">
        <v>5653</v>
      </c>
      <c r="B5486" t="s">
        <v>140</v>
      </c>
      <c r="C5486" t="s">
        <v>120</v>
      </c>
      <c r="E5486" t="s">
        <v>155</v>
      </c>
      <c r="F5486" s="1">
        <v>42946</v>
      </c>
      <c r="I5486" t="str">
        <f>IF(COUNTIF(Products!$A$2:$A$8,C5486)=0,C5486,"")</f>
        <v/>
      </c>
      <c r="J5486">
        <f>IF(OR(E5486="Prospecting",E5486="Engaging"),VLOOKUP(C5486,Products!$A$2:$C$8,3,FALSE),0)</f>
        <v>550</v>
      </c>
    </row>
    <row r="5487" spans="1:10" x14ac:dyDescent="0.25">
      <c r="A5487" t="s">
        <v>5654</v>
      </c>
      <c r="B5487" t="s">
        <v>140</v>
      </c>
      <c r="C5487" t="s">
        <v>127</v>
      </c>
      <c r="E5487" t="s">
        <v>155</v>
      </c>
      <c r="F5487" s="1">
        <v>42946</v>
      </c>
      <c r="I5487" t="str">
        <f>IF(COUNTIF(Products!$A$2:$A$8,C5487)=0,C5487,"")</f>
        <v/>
      </c>
      <c r="J5487">
        <f>IF(OR(E5487="Prospecting",E5487="Engaging"),VLOOKUP(C5487,Products!$A$2:$C$8,3,FALSE),0)</f>
        <v>1096</v>
      </c>
    </row>
    <row r="5488" spans="1:10" x14ac:dyDescent="0.25">
      <c r="A5488" t="s">
        <v>5655</v>
      </c>
      <c r="B5488" t="s">
        <v>140</v>
      </c>
      <c r="C5488" t="s">
        <v>126</v>
      </c>
      <c r="D5488" t="s">
        <v>91</v>
      </c>
      <c r="E5488" t="s">
        <v>155</v>
      </c>
      <c r="F5488" s="1">
        <v>42946</v>
      </c>
      <c r="I5488" t="str">
        <f>IF(COUNTIF(Products!$A$2:$A$8,C5488)=0,C5488,"")</f>
        <v/>
      </c>
      <c r="J5488">
        <f>IF(OR(E5488="Prospecting",E5488="Engaging"),VLOOKUP(C5488,Products!$A$2:$C$8,3,FALSE),0)</f>
        <v>5482</v>
      </c>
    </row>
    <row r="5489" spans="1:10" x14ac:dyDescent="0.25">
      <c r="A5489" t="s">
        <v>5656</v>
      </c>
      <c r="B5489" t="s">
        <v>140</v>
      </c>
      <c r="C5489" t="s">
        <v>122</v>
      </c>
      <c r="D5489" t="s">
        <v>66</v>
      </c>
      <c r="E5489" t="s">
        <v>155</v>
      </c>
      <c r="F5489" s="1">
        <v>42946</v>
      </c>
      <c r="I5489" t="str">
        <f>IF(COUNTIF(Products!$A$2:$A$8,C5489)=0,C5489,"")</f>
        <v/>
      </c>
      <c r="J5489">
        <f>IF(OR(E5489="Prospecting",E5489="Engaging"),VLOOKUP(C5489,Products!$A$2:$C$8,3,FALSE),0)</f>
        <v>4821</v>
      </c>
    </row>
    <row r="5490" spans="1:10" x14ac:dyDescent="0.25">
      <c r="A5490" t="s">
        <v>5657</v>
      </c>
      <c r="B5490" t="s">
        <v>140</v>
      </c>
      <c r="C5490" t="s">
        <v>125</v>
      </c>
      <c r="E5490" t="s">
        <v>155</v>
      </c>
      <c r="F5490" s="1">
        <v>42946</v>
      </c>
      <c r="I5490" t="str">
        <f>IF(COUNTIF(Products!$A$2:$A$8,C5490)=0,C5490,"")</f>
        <v/>
      </c>
      <c r="J5490">
        <f>IF(OR(E5490="Prospecting",E5490="Engaging"),VLOOKUP(C5490,Products!$A$2:$C$8,3,FALSE),0)</f>
        <v>3393</v>
      </c>
    </row>
    <row r="5491" spans="1:10" x14ac:dyDescent="0.25">
      <c r="A5491" t="s">
        <v>5658</v>
      </c>
      <c r="B5491" t="s">
        <v>140</v>
      </c>
      <c r="C5491" t="s">
        <v>125</v>
      </c>
      <c r="E5491" t="s">
        <v>155</v>
      </c>
      <c r="F5491" s="1">
        <v>42946</v>
      </c>
      <c r="I5491" t="str">
        <f>IF(COUNTIF(Products!$A$2:$A$8,C5491)=0,C5491,"")</f>
        <v/>
      </c>
      <c r="J5491">
        <f>IF(OR(E5491="Prospecting",E5491="Engaging"),VLOOKUP(C5491,Products!$A$2:$C$8,3,FALSE),0)</f>
        <v>3393</v>
      </c>
    </row>
    <row r="5492" spans="1:10" x14ac:dyDescent="0.25">
      <c r="A5492" t="s">
        <v>5659</v>
      </c>
      <c r="B5492" t="s">
        <v>140</v>
      </c>
      <c r="C5492" t="s">
        <v>125</v>
      </c>
      <c r="D5492" t="s">
        <v>61</v>
      </c>
      <c r="E5492" t="s">
        <v>159</v>
      </c>
      <c r="F5492" s="1">
        <v>42946</v>
      </c>
      <c r="G5492" s="1">
        <v>42952</v>
      </c>
      <c r="H5492">
        <v>0</v>
      </c>
      <c r="I5492" t="str">
        <f>IF(COUNTIF(Products!$A$2:$A$8,C5492)=0,C5492,"")</f>
        <v/>
      </c>
      <c r="J5492">
        <f>IF(OR(E5492="Prospecting",E5492="Engaging"),VLOOKUP(C5492,Products!$A$2:$C$8,3,FALSE),0)</f>
        <v>0</v>
      </c>
    </row>
    <row r="5493" spans="1:10" x14ac:dyDescent="0.25">
      <c r="A5493" t="s">
        <v>5660</v>
      </c>
      <c r="B5493" t="s">
        <v>140</v>
      </c>
      <c r="C5493" t="s">
        <v>127</v>
      </c>
      <c r="D5493" t="s">
        <v>27</v>
      </c>
      <c r="E5493" t="s">
        <v>138</v>
      </c>
      <c r="F5493" s="1">
        <v>42946</v>
      </c>
      <c r="G5493" s="1">
        <v>43073</v>
      </c>
      <c r="H5493">
        <v>1245</v>
      </c>
      <c r="I5493" t="str">
        <f>IF(COUNTIF(Products!$A$2:$A$8,C5493)=0,C5493,"")</f>
        <v/>
      </c>
      <c r="J5493">
        <f>IF(OR(E5493="Prospecting",E5493="Engaging"),VLOOKUP(C5493,Products!$A$2:$C$8,3,FALSE),0)</f>
        <v>0</v>
      </c>
    </row>
    <row r="5494" spans="1:10" x14ac:dyDescent="0.25">
      <c r="A5494" t="s">
        <v>5661</v>
      </c>
      <c r="B5494" t="s">
        <v>140</v>
      </c>
      <c r="C5494" t="s">
        <v>127</v>
      </c>
      <c r="D5494" t="s">
        <v>91</v>
      </c>
      <c r="E5494" t="s">
        <v>138</v>
      </c>
      <c r="F5494" s="1">
        <v>42946</v>
      </c>
      <c r="G5494" s="1">
        <v>42951</v>
      </c>
      <c r="H5494">
        <v>1160</v>
      </c>
      <c r="I5494" t="str">
        <f>IF(COUNTIF(Products!$A$2:$A$8,C5494)=0,C5494,"")</f>
        <v/>
      </c>
      <c r="J5494">
        <f>IF(OR(E5494="Prospecting",E5494="Engaging"),VLOOKUP(C5494,Products!$A$2:$C$8,3,FALSE),0)</f>
        <v>0</v>
      </c>
    </row>
    <row r="5495" spans="1:10" x14ac:dyDescent="0.25">
      <c r="A5495" t="s">
        <v>5662</v>
      </c>
      <c r="B5495" t="s">
        <v>140</v>
      </c>
      <c r="C5495" t="s">
        <v>123</v>
      </c>
      <c r="D5495" t="s">
        <v>14</v>
      </c>
      <c r="E5495" t="s">
        <v>138</v>
      </c>
      <c r="F5495" s="1">
        <v>42946</v>
      </c>
      <c r="G5495" s="1">
        <v>42947</v>
      </c>
      <c r="H5495">
        <v>53</v>
      </c>
      <c r="I5495" t="str">
        <f>IF(COUNTIF(Products!$A$2:$A$8,C5495)=0,C5495,"")</f>
        <v/>
      </c>
      <c r="J5495">
        <f>IF(OR(E5495="Prospecting",E5495="Engaging"),VLOOKUP(C5495,Products!$A$2:$C$8,3,FALSE),0)</f>
        <v>0</v>
      </c>
    </row>
    <row r="5496" spans="1:10" x14ac:dyDescent="0.25">
      <c r="A5496" t="s">
        <v>5663</v>
      </c>
      <c r="B5496" t="s">
        <v>224</v>
      </c>
      <c r="C5496" t="s">
        <v>122</v>
      </c>
      <c r="D5496" t="s">
        <v>63</v>
      </c>
      <c r="E5496" t="s">
        <v>159</v>
      </c>
      <c r="F5496" s="1">
        <v>42946</v>
      </c>
      <c r="G5496" s="1">
        <v>42958</v>
      </c>
      <c r="H5496">
        <v>0</v>
      </c>
      <c r="I5496" t="str">
        <f>IF(COUNTIF(Products!$A$2:$A$8,C5496)=0,C5496,"")</f>
        <v/>
      </c>
      <c r="J5496">
        <f>IF(OR(E5496="Prospecting",E5496="Engaging"),VLOOKUP(C5496,Products!$A$2:$C$8,3,FALSE),0)</f>
        <v>0</v>
      </c>
    </row>
    <row r="5497" spans="1:10" x14ac:dyDescent="0.25">
      <c r="A5497" t="s">
        <v>5664</v>
      </c>
      <c r="B5497" t="s">
        <v>158</v>
      </c>
      <c r="C5497" t="s">
        <v>127</v>
      </c>
      <c r="E5497" t="s">
        <v>155</v>
      </c>
      <c r="F5497" s="1">
        <v>42946</v>
      </c>
      <c r="I5497" t="str">
        <f>IF(COUNTIF(Products!$A$2:$A$8,C5497)=0,C5497,"")</f>
        <v/>
      </c>
      <c r="J5497">
        <f>IF(OR(E5497="Prospecting",E5497="Engaging"),VLOOKUP(C5497,Products!$A$2:$C$8,3,FALSE),0)</f>
        <v>1096</v>
      </c>
    </row>
    <row r="5498" spans="1:10" x14ac:dyDescent="0.25">
      <c r="A5498" t="s">
        <v>5665</v>
      </c>
      <c r="B5498" t="s">
        <v>158</v>
      </c>
      <c r="C5498" t="s">
        <v>122</v>
      </c>
      <c r="E5498" t="s">
        <v>155</v>
      </c>
      <c r="F5498" s="1">
        <v>42946</v>
      </c>
      <c r="I5498" t="str">
        <f>IF(COUNTIF(Products!$A$2:$A$8,C5498)=0,C5498,"")</f>
        <v/>
      </c>
      <c r="J5498">
        <f>IF(OR(E5498="Prospecting",E5498="Engaging"),VLOOKUP(C5498,Products!$A$2:$C$8,3,FALSE),0)</f>
        <v>4821</v>
      </c>
    </row>
    <row r="5499" spans="1:10" x14ac:dyDescent="0.25">
      <c r="A5499" t="s">
        <v>5666</v>
      </c>
      <c r="B5499" t="s">
        <v>158</v>
      </c>
      <c r="C5499" t="s">
        <v>123</v>
      </c>
      <c r="E5499" t="s">
        <v>155</v>
      </c>
      <c r="F5499" s="1">
        <v>42946</v>
      </c>
      <c r="I5499" t="str">
        <f>IF(COUNTIF(Products!$A$2:$A$8,C5499)=0,C5499,"")</f>
        <v/>
      </c>
      <c r="J5499">
        <f>IF(OR(E5499="Prospecting",E5499="Engaging"),VLOOKUP(C5499,Products!$A$2:$C$8,3,FALSE),0)</f>
        <v>55</v>
      </c>
    </row>
    <row r="5500" spans="1:10" x14ac:dyDescent="0.25">
      <c r="A5500" t="s">
        <v>5667</v>
      </c>
      <c r="B5500" t="s">
        <v>158</v>
      </c>
      <c r="C5500" t="s">
        <v>125</v>
      </c>
      <c r="D5500" t="s">
        <v>46</v>
      </c>
      <c r="E5500" t="s">
        <v>159</v>
      </c>
      <c r="F5500" s="1">
        <v>42946</v>
      </c>
      <c r="G5500" s="1">
        <v>42953</v>
      </c>
      <c r="H5500">
        <v>0</v>
      </c>
      <c r="I5500" t="str">
        <f>IF(COUNTIF(Products!$A$2:$A$8,C5500)=0,C5500,"")</f>
        <v/>
      </c>
      <c r="J5500">
        <f>IF(OR(E5500="Prospecting",E5500="Engaging"),VLOOKUP(C5500,Products!$A$2:$C$8,3,FALSE),0)</f>
        <v>0</v>
      </c>
    </row>
    <row r="5501" spans="1:10" x14ac:dyDescent="0.25">
      <c r="A5501" t="s">
        <v>5668</v>
      </c>
      <c r="B5501" t="s">
        <v>164</v>
      </c>
      <c r="C5501" t="s">
        <v>125</v>
      </c>
      <c r="D5501" t="s">
        <v>78</v>
      </c>
      <c r="E5501" t="s">
        <v>159</v>
      </c>
      <c r="F5501" s="1">
        <v>42946</v>
      </c>
      <c r="G5501" s="1">
        <v>42947</v>
      </c>
      <c r="H5501">
        <v>0</v>
      </c>
      <c r="I5501" t="str">
        <f>IF(COUNTIF(Products!$A$2:$A$8,C5501)=0,C5501,"")</f>
        <v/>
      </c>
      <c r="J5501">
        <f>IF(OR(E5501="Prospecting",E5501="Engaging"),VLOOKUP(C5501,Products!$A$2:$C$8,3,FALSE),0)</f>
        <v>0</v>
      </c>
    </row>
    <row r="5502" spans="1:10" x14ac:dyDescent="0.25">
      <c r="A5502" t="s">
        <v>5669</v>
      </c>
      <c r="B5502" t="s">
        <v>154</v>
      </c>
      <c r="C5502" t="s">
        <v>122</v>
      </c>
      <c r="D5502" t="s">
        <v>23</v>
      </c>
      <c r="E5502" t="s">
        <v>138</v>
      </c>
      <c r="F5502" s="1">
        <v>42946</v>
      </c>
      <c r="G5502" s="1">
        <v>42988</v>
      </c>
      <c r="H5502">
        <v>5031</v>
      </c>
      <c r="I5502" t="str">
        <f>IF(COUNTIF(Products!$A$2:$A$8,C5502)=0,C5502,"")</f>
        <v/>
      </c>
      <c r="J5502">
        <f>IF(OR(E5502="Prospecting",E5502="Engaging"),VLOOKUP(C5502,Products!$A$2:$C$8,3,FALSE),0)</f>
        <v>0</v>
      </c>
    </row>
    <row r="5503" spans="1:10" x14ac:dyDescent="0.25">
      <c r="A5503" t="s">
        <v>5670</v>
      </c>
      <c r="B5503" t="s">
        <v>303</v>
      </c>
      <c r="C5503" t="s">
        <v>122</v>
      </c>
      <c r="D5503" t="s">
        <v>85</v>
      </c>
      <c r="E5503" t="s">
        <v>138</v>
      </c>
      <c r="F5503" s="1">
        <v>42946</v>
      </c>
      <c r="G5503" s="1">
        <v>42947</v>
      </c>
      <c r="H5503">
        <v>5741</v>
      </c>
      <c r="I5503" t="str">
        <f>IF(COUNTIF(Products!$A$2:$A$8,C5503)=0,C5503,"")</f>
        <v/>
      </c>
      <c r="J5503">
        <f>IF(OR(E5503="Prospecting",E5503="Engaging"),VLOOKUP(C5503,Products!$A$2:$C$8,3,FALSE),0)</f>
        <v>0</v>
      </c>
    </row>
    <row r="5504" spans="1:10" x14ac:dyDescent="0.25">
      <c r="A5504" t="s">
        <v>5671</v>
      </c>
      <c r="B5504" t="s">
        <v>180</v>
      </c>
      <c r="C5504" t="s">
        <v>123</v>
      </c>
      <c r="E5504" t="s">
        <v>155</v>
      </c>
      <c r="F5504" s="1">
        <v>42946</v>
      </c>
      <c r="I5504" t="str">
        <f>IF(COUNTIF(Products!$A$2:$A$8,C5504)=0,C5504,"")</f>
        <v/>
      </c>
      <c r="J5504">
        <f>IF(OR(E5504="Prospecting",E5504="Engaging"),VLOOKUP(C5504,Products!$A$2:$C$8,3,FALSE),0)</f>
        <v>55</v>
      </c>
    </row>
    <row r="5505" spans="1:10" x14ac:dyDescent="0.25">
      <c r="A5505" t="s">
        <v>5672</v>
      </c>
      <c r="B5505" t="s">
        <v>180</v>
      </c>
      <c r="C5505" t="s">
        <v>127</v>
      </c>
      <c r="D5505" t="s">
        <v>83</v>
      </c>
      <c r="E5505" t="s">
        <v>138</v>
      </c>
      <c r="F5505" s="1">
        <v>42946</v>
      </c>
      <c r="G5505" s="1">
        <v>42956</v>
      </c>
      <c r="H5505">
        <v>1038</v>
      </c>
      <c r="I5505" t="str">
        <f>IF(COUNTIF(Products!$A$2:$A$8,C5505)=0,C5505,"")</f>
        <v/>
      </c>
      <c r="J5505">
        <f>IF(OR(E5505="Prospecting",E5505="Engaging"),VLOOKUP(C5505,Products!$A$2:$C$8,3,FALSE),0)</f>
        <v>0</v>
      </c>
    </row>
    <row r="5506" spans="1:10" x14ac:dyDescent="0.25">
      <c r="A5506" t="s">
        <v>5673</v>
      </c>
      <c r="B5506" t="s">
        <v>191</v>
      </c>
      <c r="C5506" t="s">
        <v>120</v>
      </c>
      <c r="E5506" t="s">
        <v>155</v>
      </c>
      <c r="F5506" s="1">
        <v>42946</v>
      </c>
      <c r="I5506" t="str">
        <f>IF(COUNTIF(Products!$A$2:$A$8,C5506)=0,C5506,"")</f>
        <v/>
      </c>
      <c r="J5506">
        <f>IF(OR(E5506="Prospecting",E5506="Engaging"),VLOOKUP(C5506,Products!$A$2:$C$8,3,FALSE),0)</f>
        <v>550</v>
      </c>
    </row>
    <row r="5507" spans="1:10" x14ac:dyDescent="0.25">
      <c r="A5507" t="s">
        <v>5674</v>
      </c>
      <c r="B5507" t="s">
        <v>191</v>
      </c>
      <c r="C5507" t="s">
        <v>120</v>
      </c>
      <c r="D5507" t="s">
        <v>27</v>
      </c>
      <c r="E5507" t="s">
        <v>159</v>
      </c>
      <c r="F5507" s="1">
        <v>42946</v>
      </c>
      <c r="G5507" s="1">
        <v>42952</v>
      </c>
      <c r="H5507">
        <v>0</v>
      </c>
      <c r="I5507" t="str">
        <f>IF(COUNTIF(Products!$A$2:$A$8,C5507)=0,C5507,"")</f>
        <v/>
      </c>
      <c r="J5507">
        <f>IF(OR(E5507="Prospecting",E5507="Engaging"),VLOOKUP(C5507,Products!$A$2:$C$8,3,FALSE),0)</f>
        <v>0</v>
      </c>
    </row>
    <row r="5508" spans="1:10" x14ac:dyDescent="0.25">
      <c r="A5508" t="s">
        <v>5675</v>
      </c>
      <c r="B5508" t="s">
        <v>191</v>
      </c>
      <c r="C5508" t="s">
        <v>120</v>
      </c>
      <c r="D5508" t="s">
        <v>66</v>
      </c>
      <c r="E5508" t="s">
        <v>159</v>
      </c>
      <c r="F5508" s="1">
        <v>42946</v>
      </c>
      <c r="G5508" s="1">
        <v>43059</v>
      </c>
      <c r="H5508">
        <v>0</v>
      </c>
      <c r="I5508" t="str">
        <f>IF(COUNTIF(Products!$A$2:$A$8,C5508)=0,C5508,"")</f>
        <v/>
      </c>
      <c r="J5508">
        <f>IF(OR(E5508="Prospecting",E5508="Engaging"),VLOOKUP(C5508,Products!$A$2:$C$8,3,FALSE),0)</f>
        <v>0</v>
      </c>
    </row>
    <row r="5509" spans="1:10" x14ac:dyDescent="0.25">
      <c r="A5509" t="s">
        <v>5676</v>
      </c>
      <c r="B5509" t="s">
        <v>217</v>
      </c>
      <c r="C5509" t="s">
        <v>120</v>
      </c>
      <c r="E5509" t="s">
        <v>155</v>
      </c>
      <c r="F5509" s="1">
        <v>42946</v>
      </c>
      <c r="I5509" t="str">
        <f>IF(COUNTIF(Products!$A$2:$A$8,C5509)=0,C5509,"")</f>
        <v/>
      </c>
      <c r="J5509">
        <f>IF(OR(E5509="Prospecting",E5509="Engaging"),VLOOKUP(C5509,Products!$A$2:$C$8,3,FALSE),0)</f>
        <v>550</v>
      </c>
    </row>
    <row r="5510" spans="1:10" x14ac:dyDescent="0.25">
      <c r="A5510" t="s">
        <v>5677</v>
      </c>
      <c r="B5510" t="s">
        <v>217</v>
      </c>
      <c r="C5510" t="s">
        <v>123</v>
      </c>
      <c r="D5510" t="s">
        <v>14</v>
      </c>
      <c r="E5510" t="s">
        <v>155</v>
      </c>
      <c r="F5510" s="1">
        <v>42946</v>
      </c>
      <c r="I5510" t="str">
        <f>IF(COUNTIF(Products!$A$2:$A$8,C5510)=0,C5510,"")</f>
        <v/>
      </c>
      <c r="J5510">
        <f>IF(OR(E5510="Prospecting",E5510="Engaging"),VLOOKUP(C5510,Products!$A$2:$C$8,3,FALSE),0)</f>
        <v>55</v>
      </c>
    </row>
    <row r="5511" spans="1:10" x14ac:dyDescent="0.25">
      <c r="A5511" t="s">
        <v>5678</v>
      </c>
      <c r="B5511" t="s">
        <v>217</v>
      </c>
      <c r="C5511" t="s">
        <v>120</v>
      </c>
      <c r="D5511" t="s">
        <v>46</v>
      </c>
      <c r="E5511" t="s">
        <v>138</v>
      </c>
      <c r="F5511" s="1">
        <v>42946</v>
      </c>
      <c r="G5511" s="1">
        <v>42956</v>
      </c>
      <c r="H5511">
        <v>502</v>
      </c>
      <c r="I5511" t="str">
        <f>IF(COUNTIF(Products!$A$2:$A$8,C5511)=0,C5511,"")</f>
        <v/>
      </c>
      <c r="J5511">
        <f>IF(OR(E5511="Prospecting",E5511="Engaging"),VLOOKUP(C5511,Products!$A$2:$C$8,3,FALSE),0)</f>
        <v>0</v>
      </c>
    </row>
    <row r="5512" spans="1:10" x14ac:dyDescent="0.25">
      <c r="A5512" t="s">
        <v>5679</v>
      </c>
      <c r="B5512" t="s">
        <v>205</v>
      </c>
      <c r="C5512" t="s">
        <v>127</v>
      </c>
      <c r="E5512" t="s">
        <v>155</v>
      </c>
      <c r="F5512" s="1">
        <v>42946</v>
      </c>
      <c r="I5512" t="str">
        <f>IF(COUNTIF(Products!$A$2:$A$8,C5512)=0,C5512,"")</f>
        <v/>
      </c>
      <c r="J5512">
        <f>IF(OR(E5512="Prospecting",E5512="Engaging"),VLOOKUP(C5512,Products!$A$2:$C$8,3,FALSE),0)</f>
        <v>1096</v>
      </c>
    </row>
    <row r="5513" spans="1:10" x14ac:dyDescent="0.25">
      <c r="A5513" t="s">
        <v>5680</v>
      </c>
      <c r="B5513" t="s">
        <v>205</v>
      </c>
      <c r="C5513" t="s">
        <v>123</v>
      </c>
      <c r="E5513" t="s">
        <v>155</v>
      </c>
      <c r="F5513" s="1">
        <v>42946</v>
      </c>
      <c r="I5513" t="str">
        <f>IF(COUNTIF(Products!$A$2:$A$8,C5513)=0,C5513,"")</f>
        <v/>
      </c>
      <c r="J5513">
        <f>IF(OR(E5513="Prospecting",E5513="Engaging"),VLOOKUP(C5513,Products!$A$2:$C$8,3,FALSE),0)</f>
        <v>55</v>
      </c>
    </row>
    <row r="5514" spans="1:10" x14ac:dyDescent="0.25">
      <c r="A5514" t="s">
        <v>5681</v>
      </c>
      <c r="B5514" t="s">
        <v>162</v>
      </c>
      <c r="C5514" t="s">
        <v>127</v>
      </c>
      <c r="E5514" t="s">
        <v>155</v>
      </c>
      <c r="F5514" s="1">
        <v>42946</v>
      </c>
      <c r="I5514" t="str">
        <f>IF(COUNTIF(Products!$A$2:$A$8,C5514)=0,C5514,"")</f>
        <v/>
      </c>
      <c r="J5514">
        <f>IF(OR(E5514="Prospecting",E5514="Engaging"),VLOOKUP(C5514,Products!$A$2:$C$8,3,FALSE),0)</f>
        <v>1096</v>
      </c>
    </row>
    <row r="5515" spans="1:10" x14ac:dyDescent="0.25">
      <c r="A5515" t="s">
        <v>5682</v>
      </c>
      <c r="B5515" t="s">
        <v>162</v>
      </c>
      <c r="C5515" t="s">
        <v>122</v>
      </c>
      <c r="D5515" t="s">
        <v>75</v>
      </c>
      <c r="E5515" t="s">
        <v>138</v>
      </c>
      <c r="F5515" s="1">
        <v>42946</v>
      </c>
      <c r="G5515" s="1">
        <v>42947</v>
      </c>
      <c r="H5515">
        <v>4913</v>
      </c>
      <c r="I5515" t="str">
        <f>IF(COUNTIF(Products!$A$2:$A$8,C5515)=0,C5515,"")</f>
        <v/>
      </c>
      <c r="J5515">
        <f>IF(OR(E5515="Prospecting",E5515="Engaging"),VLOOKUP(C5515,Products!$A$2:$C$8,3,FALSE),0)</f>
        <v>0</v>
      </c>
    </row>
    <row r="5516" spans="1:10" x14ac:dyDescent="0.25">
      <c r="A5516" t="s">
        <v>5683</v>
      </c>
      <c r="B5516" t="s">
        <v>137</v>
      </c>
      <c r="C5516" t="s">
        <v>120</v>
      </c>
      <c r="E5516" t="s">
        <v>155</v>
      </c>
      <c r="F5516" s="1">
        <v>42946</v>
      </c>
      <c r="I5516" t="str">
        <f>IF(COUNTIF(Products!$A$2:$A$8,C5516)=0,C5516,"")</f>
        <v/>
      </c>
      <c r="J5516">
        <f>IF(OR(E5516="Prospecting",E5516="Engaging"),VLOOKUP(C5516,Products!$A$2:$C$8,3,FALSE),0)</f>
        <v>550</v>
      </c>
    </row>
    <row r="5517" spans="1:10" x14ac:dyDescent="0.25">
      <c r="A5517" t="s">
        <v>5684</v>
      </c>
      <c r="B5517" t="s">
        <v>137</v>
      </c>
      <c r="C5517" t="s">
        <v>123</v>
      </c>
      <c r="D5517" t="s">
        <v>83</v>
      </c>
      <c r="E5517" t="s">
        <v>155</v>
      </c>
      <c r="F5517" s="1">
        <v>42946</v>
      </c>
      <c r="I5517" t="str">
        <f>IF(COUNTIF(Products!$A$2:$A$8,C5517)=0,C5517,"")</f>
        <v/>
      </c>
      <c r="J5517">
        <f>IF(OR(E5517="Prospecting",E5517="Engaging"),VLOOKUP(C5517,Products!$A$2:$C$8,3,FALSE),0)</f>
        <v>55</v>
      </c>
    </row>
    <row r="5518" spans="1:10" x14ac:dyDescent="0.25">
      <c r="A5518" t="s">
        <v>5685</v>
      </c>
      <c r="B5518" t="s">
        <v>137</v>
      </c>
      <c r="C5518" t="s">
        <v>125</v>
      </c>
      <c r="D5518" t="s">
        <v>89</v>
      </c>
      <c r="E5518" t="s">
        <v>138</v>
      </c>
      <c r="F5518" s="1">
        <v>42946</v>
      </c>
      <c r="G5518" s="1">
        <v>42997</v>
      </c>
      <c r="H5518">
        <v>3457</v>
      </c>
      <c r="I5518" t="str">
        <f>IF(COUNTIF(Products!$A$2:$A$8,C5518)=0,C5518,"")</f>
        <v/>
      </c>
      <c r="J5518">
        <f>IF(OR(E5518="Prospecting",E5518="Engaging"),VLOOKUP(C5518,Products!$A$2:$C$8,3,FALSE),0)</f>
        <v>0</v>
      </c>
    </row>
    <row r="5519" spans="1:10" x14ac:dyDescent="0.25">
      <c r="A5519" t="s">
        <v>5686</v>
      </c>
      <c r="B5519" t="s">
        <v>152</v>
      </c>
      <c r="C5519" t="s">
        <v>120</v>
      </c>
      <c r="D5519" t="s">
        <v>35</v>
      </c>
      <c r="E5519" t="s">
        <v>155</v>
      </c>
      <c r="F5519" s="1">
        <v>42946</v>
      </c>
      <c r="I5519" t="str">
        <f>IF(COUNTIF(Products!$A$2:$A$8,C5519)=0,C5519,"")</f>
        <v/>
      </c>
      <c r="J5519">
        <f>IF(OR(E5519="Prospecting",E5519="Engaging"),VLOOKUP(C5519,Products!$A$2:$C$8,3,FALSE),0)</f>
        <v>550</v>
      </c>
    </row>
    <row r="5520" spans="1:10" x14ac:dyDescent="0.25">
      <c r="A5520" t="s">
        <v>5687</v>
      </c>
      <c r="B5520" t="s">
        <v>152</v>
      </c>
      <c r="C5520" t="s">
        <v>120</v>
      </c>
      <c r="E5520" t="s">
        <v>155</v>
      </c>
      <c r="F5520" s="1">
        <v>42946</v>
      </c>
      <c r="I5520" t="str">
        <f>IF(COUNTIF(Products!$A$2:$A$8,C5520)=0,C5520,"")</f>
        <v/>
      </c>
      <c r="J5520">
        <f>IF(OR(E5520="Prospecting",E5520="Engaging"),VLOOKUP(C5520,Products!$A$2:$C$8,3,FALSE),0)</f>
        <v>550</v>
      </c>
    </row>
    <row r="5521" spans="1:10" x14ac:dyDescent="0.25">
      <c r="A5521" t="s">
        <v>5688</v>
      </c>
      <c r="B5521" t="s">
        <v>152</v>
      </c>
      <c r="C5521" t="s">
        <v>127</v>
      </c>
      <c r="D5521" t="s">
        <v>36</v>
      </c>
      <c r="E5521" t="s">
        <v>155</v>
      </c>
      <c r="F5521" s="1">
        <v>42946</v>
      </c>
      <c r="I5521" t="str">
        <f>IF(COUNTIF(Products!$A$2:$A$8,C5521)=0,C5521,"")</f>
        <v/>
      </c>
      <c r="J5521">
        <f>IF(OR(E5521="Prospecting",E5521="Engaging"),VLOOKUP(C5521,Products!$A$2:$C$8,3,FALSE),0)</f>
        <v>1096</v>
      </c>
    </row>
    <row r="5522" spans="1:10" x14ac:dyDescent="0.25">
      <c r="A5522" t="s">
        <v>5689</v>
      </c>
      <c r="B5522" t="s">
        <v>152</v>
      </c>
      <c r="C5522" t="s">
        <v>123</v>
      </c>
      <c r="E5522" t="s">
        <v>155</v>
      </c>
      <c r="F5522" s="1">
        <v>42946</v>
      </c>
      <c r="I5522" t="str">
        <f>IF(COUNTIF(Products!$A$2:$A$8,C5522)=0,C5522,"")</f>
        <v/>
      </c>
      <c r="J5522">
        <f>IF(OR(E5522="Prospecting",E5522="Engaging"),VLOOKUP(C5522,Products!$A$2:$C$8,3,FALSE),0)</f>
        <v>55</v>
      </c>
    </row>
    <row r="5523" spans="1:10" x14ac:dyDescent="0.25">
      <c r="A5523" t="s">
        <v>5690</v>
      </c>
      <c r="B5523" t="s">
        <v>193</v>
      </c>
      <c r="C5523" t="s">
        <v>126</v>
      </c>
      <c r="D5523" t="s">
        <v>81</v>
      </c>
      <c r="E5523" t="s">
        <v>138</v>
      </c>
      <c r="F5523" s="1">
        <v>42946</v>
      </c>
      <c r="G5523" s="1">
        <v>42955</v>
      </c>
      <c r="H5523">
        <v>5204</v>
      </c>
      <c r="I5523" t="str">
        <f>IF(COUNTIF(Products!$A$2:$A$8,C5523)=0,C5523,"")</f>
        <v/>
      </c>
      <c r="J5523">
        <f>IF(OR(E5523="Prospecting",E5523="Engaging"),VLOOKUP(C5523,Products!$A$2:$C$8,3,FALSE),0)</f>
        <v>0</v>
      </c>
    </row>
    <row r="5524" spans="1:10" x14ac:dyDescent="0.25">
      <c r="A5524" t="s">
        <v>5691</v>
      </c>
      <c r="B5524" t="s">
        <v>187</v>
      </c>
      <c r="C5524" t="s">
        <v>125</v>
      </c>
      <c r="D5524" t="s">
        <v>84</v>
      </c>
      <c r="E5524" t="s">
        <v>138</v>
      </c>
      <c r="F5524" s="1">
        <v>42946</v>
      </c>
      <c r="G5524" s="1">
        <v>42954</v>
      </c>
      <c r="H5524">
        <v>3019</v>
      </c>
      <c r="I5524" t="str">
        <f>IF(COUNTIF(Products!$A$2:$A$8,C5524)=0,C5524,"")</f>
        <v/>
      </c>
      <c r="J5524">
        <f>IF(OR(E5524="Prospecting",E5524="Engaging"),VLOOKUP(C5524,Products!$A$2:$C$8,3,FALSE),0)</f>
        <v>0</v>
      </c>
    </row>
    <row r="5525" spans="1:10" x14ac:dyDescent="0.25">
      <c r="A5525" t="s">
        <v>5692</v>
      </c>
      <c r="B5525" t="s">
        <v>187</v>
      </c>
      <c r="C5525" t="s">
        <v>125</v>
      </c>
      <c r="D5525" t="s">
        <v>98</v>
      </c>
      <c r="E5525" t="s">
        <v>138</v>
      </c>
      <c r="F5525" s="1">
        <v>42946</v>
      </c>
      <c r="G5525" s="1">
        <v>42965</v>
      </c>
      <c r="H5525">
        <v>3453</v>
      </c>
      <c r="I5525" t="str">
        <f>IF(COUNTIF(Products!$A$2:$A$8,C5525)=0,C5525,"")</f>
        <v/>
      </c>
      <c r="J5525">
        <f>IF(OR(E5525="Prospecting",E5525="Engaging"),VLOOKUP(C5525,Products!$A$2:$C$8,3,FALSE),0)</f>
        <v>0</v>
      </c>
    </row>
    <row r="5526" spans="1:10" x14ac:dyDescent="0.25">
      <c r="A5526" t="s">
        <v>5693</v>
      </c>
      <c r="B5526" t="s">
        <v>169</v>
      </c>
      <c r="C5526" t="s">
        <v>123</v>
      </c>
      <c r="E5526" t="s">
        <v>155</v>
      </c>
      <c r="F5526" s="1">
        <v>42946</v>
      </c>
      <c r="I5526" t="str">
        <f>IF(COUNTIF(Products!$A$2:$A$8,C5526)=0,C5526,"")</f>
        <v/>
      </c>
      <c r="J5526">
        <f>IF(OR(E5526="Prospecting",E5526="Engaging"),VLOOKUP(C5526,Products!$A$2:$C$8,3,FALSE),0)</f>
        <v>55</v>
      </c>
    </row>
    <row r="5527" spans="1:10" x14ac:dyDescent="0.25">
      <c r="A5527" t="s">
        <v>5694</v>
      </c>
      <c r="B5527" t="s">
        <v>169</v>
      </c>
      <c r="C5527" t="s">
        <v>125</v>
      </c>
      <c r="E5527" t="s">
        <v>155</v>
      </c>
      <c r="F5527" s="1">
        <v>42946</v>
      </c>
      <c r="I5527" t="str">
        <f>IF(COUNTIF(Products!$A$2:$A$8,C5527)=0,C5527,"")</f>
        <v/>
      </c>
      <c r="J5527">
        <f>IF(OR(E5527="Prospecting",E5527="Engaging"),VLOOKUP(C5527,Products!$A$2:$C$8,3,FALSE),0)</f>
        <v>3393</v>
      </c>
    </row>
    <row r="5528" spans="1:10" x14ac:dyDescent="0.25">
      <c r="A5528" t="s">
        <v>5695</v>
      </c>
      <c r="B5528" t="s">
        <v>148</v>
      </c>
      <c r="C5528" t="s">
        <v>125</v>
      </c>
      <c r="D5528" t="s">
        <v>71</v>
      </c>
      <c r="E5528" t="s">
        <v>138</v>
      </c>
      <c r="F5528" s="1">
        <v>42946</v>
      </c>
      <c r="G5528" s="1">
        <v>43052</v>
      </c>
      <c r="H5528">
        <v>3464</v>
      </c>
      <c r="I5528" t="str">
        <f>IF(COUNTIF(Products!$A$2:$A$8,C5528)=0,C5528,"")</f>
        <v/>
      </c>
      <c r="J5528">
        <f>IF(OR(E5528="Prospecting",E5528="Engaging"),VLOOKUP(C5528,Products!$A$2:$C$8,3,FALSE),0)</f>
        <v>0</v>
      </c>
    </row>
    <row r="5529" spans="1:10" x14ac:dyDescent="0.25">
      <c r="A5529" t="s">
        <v>5696</v>
      </c>
      <c r="B5529" t="s">
        <v>177</v>
      </c>
      <c r="C5529" t="s">
        <v>123</v>
      </c>
      <c r="E5529" t="s">
        <v>155</v>
      </c>
      <c r="F5529" s="1">
        <v>42946</v>
      </c>
      <c r="I5529" t="str">
        <f>IF(COUNTIF(Products!$A$2:$A$8,C5529)=0,C5529,"")</f>
        <v/>
      </c>
      <c r="J5529">
        <f>IF(OR(E5529="Prospecting",E5529="Engaging"),VLOOKUP(C5529,Products!$A$2:$C$8,3,FALSE),0)</f>
        <v>55</v>
      </c>
    </row>
    <row r="5530" spans="1:10" x14ac:dyDescent="0.25">
      <c r="A5530" t="s">
        <v>5697</v>
      </c>
      <c r="B5530" t="s">
        <v>177</v>
      </c>
      <c r="C5530" t="s">
        <v>125</v>
      </c>
      <c r="D5530" t="s">
        <v>111</v>
      </c>
      <c r="E5530" t="s">
        <v>138</v>
      </c>
      <c r="F5530" s="1">
        <v>42946</v>
      </c>
      <c r="G5530" s="1">
        <v>42966</v>
      </c>
      <c r="H5530">
        <v>2937</v>
      </c>
      <c r="I5530" t="str">
        <f>IF(COUNTIF(Products!$A$2:$A$8,C5530)=0,C5530,"")</f>
        <v/>
      </c>
      <c r="J5530">
        <f>IF(OR(E5530="Prospecting",E5530="Engaging"),VLOOKUP(C5530,Products!$A$2:$C$8,3,FALSE),0)</f>
        <v>0</v>
      </c>
    </row>
    <row r="5531" spans="1:10" x14ac:dyDescent="0.25">
      <c r="A5531" t="s">
        <v>5698</v>
      </c>
      <c r="B5531" t="s">
        <v>196</v>
      </c>
      <c r="C5531" t="s">
        <v>120</v>
      </c>
      <c r="D5531" t="s">
        <v>67</v>
      </c>
      <c r="E5531" t="s">
        <v>138</v>
      </c>
      <c r="F5531" s="1">
        <v>42946</v>
      </c>
      <c r="G5531" s="1">
        <v>42962</v>
      </c>
      <c r="H5531">
        <v>463</v>
      </c>
      <c r="I5531" t="str">
        <f>IF(COUNTIF(Products!$A$2:$A$8,C5531)=0,C5531,"")</f>
        <v/>
      </c>
      <c r="J5531">
        <f>IF(OR(E5531="Prospecting",E5531="Engaging"),VLOOKUP(C5531,Products!$A$2:$C$8,3,FALSE),0)</f>
        <v>0</v>
      </c>
    </row>
    <row r="5532" spans="1:10" x14ac:dyDescent="0.25">
      <c r="A5532" t="s">
        <v>5699</v>
      </c>
      <c r="B5532" t="s">
        <v>146</v>
      </c>
      <c r="C5532" t="s">
        <v>123</v>
      </c>
      <c r="D5532" t="s">
        <v>85</v>
      </c>
      <c r="E5532" t="s">
        <v>155</v>
      </c>
      <c r="F5532" s="1">
        <v>42947</v>
      </c>
      <c r="I5532" t="str">
        <f>IF(COUNTIF(Products!$A$2:$A$8,C5532)=0,C5532,"")</f>
        <v/>
      </c>
      <c r="J5532">
        <f>IF(OR(E5532="Prospecting",E5532="Engaging"),VLOOKUP(C5532,Products!$A$2:$C$8,3,FALSE),0)</f>
        <v>55</v>
      </c>
    </row>
    <row r="5533" spans="1:10" x14ac:dyDescent="0.25">
      <c r="A5533" t="s">
        <v>5700</v>
      </c>
      <c r="B5533" t="s">
        <v>222</v>
      </c>
      <c r="C5533" t="s">
        <v>122</v>
      </c>
      <c r="D5533" t="s">
        <v>19</v>
      </c>
      <c r="E5533" t="s">
        <v>138</v>
      </c>
      <c r="F5533" s="1">
        <v>42947</v>
      </c>
      <c r="G5533" s="1">
        <v>42989</v>
      </c>
      <c r="H5533">
        <v>4096</v>
      </c>
      <c r="I5533" t="str">
        <f>IF(COUNTIF(Products!$A$2:$A$8,C5533)=0,C5533,"")</f>
        <v/>
      </c>
      <c r="J5533">
        <f>IF(OR(E5533="Prospecting",E5533="Engaging"),VLOOKUP(C5533,Products!$A$2:$C$8,3,FALSE),0)</f>
        <v>0</v>
      </c>
    </row>
    <row r="5534" spans="1:10" x14ac:dyDescent="0.25">
      <c r="A5534" t="s">
        <v>5701</v>
      </c>
      <c r="B5534" t="s">
        <v>264</v>
      </c>
      <c r="C5534" t="s">
        <v>125</v>
      </c>
      <c r="E5534" t="s">
        <v>155</v>
      </c>
      <c r="F5534" s="1">
        <v>42947</v>
      </c>
      <c r="I5534" t="str">
        <f>IF(COUNTIF(Products!$A$2:$A$8,C5534)=0,C5534,"")</f>
        <v/>
      </c>
      <c r="J5534">
        <f>IF(OR(E5534="Prospecting",E5534="Engaging"),VLOOKUP(C5534,Products!$A$2:$C$8,3,FALSE),0)</f>
        <v>3393</v>
      </c>
    </row>
    <row r="5535" spans="1:10" x14ac:dyDescent="0.25">
      <c r="A5535" t="s">
        <v>5702</v>
      </c>
      <c r="B5535" t="s">
        <v>140</v>
      </c>
      <c r="C5535" t="s">
        <v>122</v>
      </c>
      <c r="E5535" t="s">
        <v>155</v>
      </c>
      <c r="F5535" s="1">
        <v>42947</v>
      </c>
      <c r="I5535" t="str">
        <f>IF(COUNTIF(Products!$A$2:$A$8,C5535)=0,C5535,"")</f>
        <v/>
      </c>
      <c r="J5535">
        <f>IF(OR(E5535="Prospecting",E5535="Engaging"),VLOOKUP(C5535,Products!$A$2:$C$8,3,FALSE),0)</f>
        <v>4821</v>
      </c>
    </row>
    <row r="5536" spans="1:10" x14ac:dyDescent="0.25">
      <c r="A5536" t="s">
        <v>5703</v>
      </c>
      <c r="B5536" t="s">
        <v>140</v>
      </c>
      <c r="C5536" t="s">
        <v>122</v>
      </c>
      <c r="E5536" t="s">
        <v>155</v>
      </c>
      <c r="F5536" s="1">
        <v>42947</v>
      </c>
      <c r="I5536" t="str">
        <f>IF(COUNTIF(Products!$A$2:$A$8,C5536)=0,C5536,"")</f>
        <v/>
      </c>
      <c r="J5536">
        <f>IF(OR(E5536="Prospecting",E5536="Engaging"),VLOOKUP(C5536,Products!$A$2:$C$8,3,FALSE),0)</f>
        <v>4821</v>
      </c>
    </row>
    <row r="5537" spans="1:10" x14ac:dyDescent="0.25">
      <c r="A5537" t="s">
        <v>5704</v>
      </c>
      <c r="B5537" t="s">
        <v>140</v>
      </c>
      <c r="C5537" t="s">
        <v>123</v>
      </c>
      <c r="E5537" t="s">
        <v>155</v>
      </c>
      <c r="F5537" s="1">
        <v>42947</v>
      </c>
      <c r="I5537" t="str">
        <f>IF(COUNTIF(Products!$A$2:$A$8,C5537)=0,C5537,"")</f>
        <v/>
      </c>
      <c r="J5537">
        <f>IF(OR(E5537="Prospecting",E5537="Engaging"),VLOOKUP(C5537,Products!$A$2:$C$8,3,FALSE),0)</f>
        <v>55</v>
      </c>
    </row>
    <row r="5538" spans="1:10" x14ac:dyDescent="0.25">
      <c r="A5538" t="s">
        <v>5705</v>
      </c>
      <c r="B5538" t="s">
        <v>158</v>
      </c>
      <c r="C5538" t="s">
        <v>120</v>
      </c>
      <c r="D5538" t="s">
        <v>98</v>
      </c>
      <c r="E5538" t="s">
        <v>155</v>
      </c>
      <c r="F5538" s="1">
        <v>42947</v>
      </c>
      <c r="I5538" t="str">
        <f>IF(COUNTIF(Products!$A$2:$A$8,C5538)=0,C5538,"")</f>
        <v/>
      </c>
      <c r="J5538">
        <f>IF(OR(E5538="Prospecting",E5538="Engaging"),VLOOKUP(C5538,Products!$A$2:$C$8,3,FALSE),0)</f>
        <v>550</v>
      </c>
    </row>
    <row r="5539" spans="1:10" x14ac:dyDescent="0.25">
      <c r="A5539" t="s">
        <v>5706</v>
      </c>
      <c r="B5539" t="s">
        <v>158</v>
      </c>
      <c r="C5539" t="s">
        <v>125</v>
      </c>
      <c r="D5539" t="s">
        <v>98</v>
      </c>
      <c r="E5539" t="s">
        <v>155</v>
      </c>
      <c r="F5539" s="1">
        <v>42947</v>
      </c>
      <c r="I5539" t="str">
        <f>IF(COUNTIF(Products!$A$2:$A$8,C5539)=0,C5539,"")</f>
        <v/>
      </c>
      <c r="J5539">
        <f>IF(OR(E5539="Prospecting",E5539="Engaging"),VLOOKUP(C5539,Products!$A$2:$C$8,3,FALSE),0)</f>
        <v>3393</v>
      </c>
    </row>
    <row r="5540" spans="1:10" x14ac:dyDescent="0.25">
      <c r="A5540" t="s">
        <v>5707</v>
      </c>
      <c r="B5540" t="s">
        <v>164</v>
      </c>
      <c r="C5540" t="s">
        <v>125</v>
      </c>
      <c r="E5540" t="s">
        <v>155</v>
      </c>
      <c r="F5540" s="1">
        <v>42947</v>
      </c>
      <c r="I5540" t="str">
        <f>IF(COUNTIF(Products!$A$2:$A$8,C5540)=0,C5540,"")</f>
        <v/>
      </c>
      <c r="J5540">
        <f>IF(OR(E5540="Prospecting",E5540="Engaging"),VLOOKUP(C5540,Products!$A$2:$C$8,3,FALSE),0)</f>
        <v>3393</v>
      </c>
    </row>
    <row r="5541" spans="1:10" x14ac:dyDescent="0.25">
      <c r="A5541" t="s">
        <v>5708</v>
      </c>
      <c r="B5541" t="s">
        <v>154</v>
      </c>
      <c r="C5541" t="s">
        <v>126</v>
      </c>
      <c r="E5541" t="s">
        <v>155</v>
      </c>
      <c r="F5541" s="1">
        <v>42947</v>
      </c>
      <c r="I5541" t="str">
        <f>IF(COUNTIF(Products!$A$2:$A$8,C5541)=0,C5541,"")</f>
        <v/>
      </c>
      <c r="J5541">
        <f>IF(OR(E5541="Prospecting",E5541="Engaging"),VLOOKUP(C5541,Products!$A$2:$C$8,3,FALSE),0)</f>
        <v>5482</v>
      </c>
    </row>
    <row r="5542" spans="1:10" x14ac:dyDescent="0.25">
      <c r="A5542" t="s">
        <v>5709</v>
      </c>
      <c r="B5542" t="s">
        <v>303</v>
      </c>
      <c r="C5542" t="s">
        <v>120</v>
      </c>
      <c r="E5542" t="s">
        <v>155</v>
      </c>
      <c r="F5542" s="1">
        <v>42947</v>
      </c>
      <c r="I5542" t="str">
        <f>IF(COUNTIF(Products!$A$2:$A$8,C5542)=0,C5542,"")</f>
        <v/>
      </c>
      <c r="J5542">
        <f>IF(OR(E5542="Prospecting",E5542="Engaging"),VLOOKUP(C5542,Products!$A$2:$C$8,3,FALSE),0)</f>
        <v>550</v>
      </c>
    </row>
    <row r="5543" spans="1:10" x14ac:dyDescent="0.25">
      <c r="A5543" t="s">
        <v>5710</v>
      </c>
      <c r="B5543" t="s">
        <v>217</v>
      </c>
      <c r="C5543" t="s">
        <v>120</v>
      </c>
      <c r="E5543" t="s">
        <v>155</v>
      </c>
      <c r="F5543" s="1">
        <v>42947</v>
      </c>
      <c r="I5543" t="str">
        <f>IF(COUNTIF(Products!$A$2:$A$8,C5543)=0,C5543,"")</f>
        <v/>
      </c>
      <c r="J5543">
        <f>IF(OR(E5543="Prospecting",E5543="Engaging"),VLOOKUP(C5543,Products!$A$2:$C$8,3,FALSE),0)</f>
        <v>550</v>
      </c>
    </row>
    <row r="5544" spans="1:10" x14ac:dyDescent="0.25">
      <c r="A5544" t="s">
        <v>5711</v>
      </c>
      <c r="B5544" t="s">
        <v>217</v>
      </c>
      <c r="C5544" t="s">
        <v>127</v>
      </c>
      <c r="E5544" t="s">
        <v>155</v>
      </c>
      <c r="F5544" s="1">
        <v>42947</v>
      </c>
      <c r="I5544" t="str">
        <f>IF(COUNTIF(Products!$A$2:$A$8,C5544)=0,C5544,"")</f>
        <v/>
      </c>
      <c r="J5544">
        <f>IF(OR(E5544="Prospecting",E5544="Engaging"),VLOOKUP(C5544,Products!$A$2:$C$8,3,FALSE),0)</f>
        <v>1096</v>
      </c>
    </row>
    <row r="5545" spans="1:10" x14ac:dyDescent="0.25">
      <c r="A5545" t="s">
        <v>5712</v>
      </c>
      <c r="B5545" t="s">
        <v>217</v>
      </c>
      <c r="C5545" t="s">
        <v>125</v>
      </c>
      <c r="D5545" t="s">
        <v>7</v>
      </c>
      <c r="E5545" t="s">
        <v>155</v>
      </c>
      <c r="F5545" s="1">
        <v>42947</v>
      </c>
      <c r="I5545" t="str">
        <f>IF(COUNTIF(Products!$A$2:$A$8,C5545)=0,C5545,"")</f>
        <v/>
      </c>
      <c r="J5545">
        <f>IF(OR(E5545="Prospecting",E5545="Engaging"),VLOOKUP(C5545,Products!$A$2:$C$8,3,FALSE),0)</f>
        <v>3393</v>
      </c>
    </row>
    <row r="5546" spans="1:10" x14ac:dyDescent="0.25">
      <c r="A5546" t="s">
        <v>5713</v>
      </c>
      <c r="B5546" t="s">
        <v>217</v>
      </c>
      <c r="C5546" t="s">
        <v>125</v>
      </c>
      <c r="E5546" t="s">
        <v>155</v>
      </c>
      <c r="F5546" s="1">
        <v>42947</v>
      </c>
      <c r="I5546" t="str">
        <f>IF(COUNTIF(Products!$A$2:$A$8,C5546)=0,C5546,"")</f>
        <v/>
      </c>
      <c r="J5546">
        <f>IF(OR(E5546="Prospecting",E5546="Engaging"),VLOOKUP(C5546,Products!$A$2:$C$8,3,FALSE),0)</f>
        <v>3393</v>
      </c>
    </row>
    <row r="5547" spans="1:10" x14ac:dyDescent="0.25">
      <c r="A5547" t="s">
        <v>5714</v>
      </c>
      <c r="B5547" t="s">
        <v>150</v>
      </c>
      <c r="C5547" t="s">
        <v>126</v>
      </c>
      <c r="E5547" t="s">
        <v>155</v>
      </c>
      <c r="F5547" s="1">
        <v>42947</v>
      </c>
      <c r="I5547" t="str">
        <f>IF(COUNTIF(Products!$A$2:$A$8,C5547)=0,C5547,"")</f>
        <v/>
      </c>
      <c r="J5547">
        <f>IF(OR(E5547="Prospecting",E5547="Engaging"),VLOOKUP(C5547,Products!$A$2:$C$8,3,FALSE),0)</f>
        <v>5482</v>
      </c>
    </row>
    <row r="5548" spans="1:10" x14ac:dyDescent="0.25">
      <c r="A5548" t="s">
        <v>5715</v>
      </c>
      <c r="B5548" t="s">
        <v>150</v>
      </c>
      <c r="C5548" t="s">
        <v>127</v>
      </c>
      <c r="D5548" t="s">
        <v>82</v>
      </c>
      <c r="E5548" t="s">
        <v>159</v>
      </c>
      <c r="F5548" s="1">
        <v>42947</v>
      </c>
      <c r="G5548" s="1">
        <v>42951</v>
      </c>
      <c r="H5548">
        <v>0</v>
      </c>
      <c r="I5548" t="str">
        <f>IF(COUNTIF(Products!$A$2:$A$8,C5548)=0,C5548,"")</f>
        <v/>
      </c>
      <c r="J5548">
        <f>IF(OR(E5548="Prospecting",E5548="Engaging"),VLOOKUP(C5548,Products!$A$2:$C$8,3,FALSE),0)</f>
        <v>0</v>
      </c>
    </row>
    <row r="5549" spans="1:10" x14ac:dyDescent="0.25">
      <c r="A5549" t="s">
        <v>5716</v>
      </c>
      <c r="B5549" t="s">
        <v>150</v>
      </c>
      <c r="C5549" t="s">
        <v>122</v>
      </c>
      <c r="D5549" t="s">
        <v>109</v>
      </c>
      <c r="E5549" t="s">
        <v>159</v>
      </c>
      <c r="F5549" s="1">
        <v>42947</v>
      </c>
      <c r="G5549" s="1">
        <v>43062</v>
      </c>
      <c r="H5549">
        <v>0</v>
      </c>
      <c r="I5549" t="str">
        <f>IF(COUNTIF(Products!$A$2:$A$8,C5549)=0,C5549,"")</f>
        <v/>
      </c>
      <c r="J5549">
        <f>IF(OR(E5549="Prospecting",E5549="Engaging"),VLOOKUP(C5549,Products!$A$2:$C$8,3,FALSE),0)</f>
        <v>0</v>
      </c>
    </row>
    <row r="5550" spans="1:10" x14ac:dyDescent="0.25">
      <c r="A5550" t="s">
        <v>5717</v>
      </c>
      <c r="B5550" t="s">
        <v>150</v>
      </c>
      <c r="C5550" t="s">
        <v>125</v>
      </c>
      <c r="D5550" t="s">
        <v>100</v>
      </c>
      <c r="E5550" t="s">
        <v>138</v>
      </c>
      <c r="F5550" s="1">
        <v>42947</v>
      </c>
      <c r="G5550" s="1">
        <v>42957</v>
      </c>
      <c r="H5550">
        <v>3187</v>
      </c>
      <c r="I5550" t="str">
        <f>IF(COUNTIF(Products!$A$2:$A$8,C5550)=0,C5550,"")</f>
        <v/>
      </c>
      <c r="J5550">
        <f>IF(OR(E5550="Prospecting",E5550="Engaging"),VLOOKUP(C5550,Products!$A$2:$C$8,3,FALSE),0)</f>
        <v>0</v>
      </c>
    </row>
    <row r="5551" spans="1:10" x14ac:dyDescent="0.25">
      <c r="A5551" t="s">
        <v>5718</v>
      </c>
      <c r="B5551" t="s">
        <v>205</v>
      </c>
      <c r="C5551" t="s">
        <v>127</v>
      </c>
      <c r="E5551" t="s">
        <v>155</v>
      </c>
      <c r="F5551" s="1">
        <v>42947</v>
      </c>
      <c r="I5551" t="str">
        <f>IF(COUNTIF(Products!$A$2:$A$8,C5551)=0,C5551,"")</f>
        <v/>
      </c>
      <c r="J5551">
        <f>IF(OR(E5551="Prospecting",E5551="Engaging"),VLOOKUP(C5551,Products!$A$2:$C$8,3,FALSE),0)</f>
        <v>1096</v>
      </c>
    </row>
    <row r="5552" spans="1:10" x14ac:dyDescent="0.25">
      <c r="A5552" t="s">
        <v>5719</v>
      </c>
      <c r="B5552" t="s">
        <v>137</v>
      </c>
      <c r="C5552" t="s">
        <v>127</v>
      </c>
      <c r="E5552" t="s">
        <v>155</v>
      </c>
      <c r="F5552" s="1">
        <v>42947</v>
      </c>
      <c r="I5552" t="str">
        <f>IF(COUNTIF(Products!$A$2:$A$8,C5552)=0,C5552,"")</f>
        <v/>
      </c>
      <c r="J5552">
        <f>IF(OR(E5552="Prospecting",E5552="Engaging"),VLOOKUP(C5552,Products!$A$2:$C$8,3,FALSE),0)</f>
        <v>1096</v>
      </c>
    </row>
    <row r="5553" spans="1:10" x14ac:dyDescent="0.25">
      <c r="A5553" t="s">
        <v>5720</v>
      </c>
      <c r="B5553" t="s">
        <v>137</v>
      </c>
      <c r="C5553" t="s">
        <v>125</v>
      </c>
      <c r="E5553" t="s">
        <v>155</v>
      </c>
      <c r="F5553" s="1">
        <v>42947</v>
      </c>
      <c r="I5553" t="str">
        <f>IF(COUNTIF(Products!$A$2:$A$8,C5553)=0,C5553,"")</f>
        <v/>
      </c>
      <c r="J5553">
        <f>IF(OR(E5553="Prospecting",E5553="Engaging"),VLOOKUP(C5553,Products!$A$2:$C$8,3,FALSE),0)</f>
        <v>3393</v>
      </c>
    </row>
    <row r="5554" spans="1:10" x14ac:dyDescent="0.25">
      <c r="A5554" t="s">
        <v>5721</v>
      </c>
      <c r="B5554" t="s">
        <v>137</v>
      </c>
      <c r="C5554" t="s">
        <v>123</v>
      </c>
      <c r="D5554" t="s">
        <v>22</v>
      </c>
      <c r="E5554" t="s">
        <v>159</v>
      </c>
      <c r="F5554" s="1">
        <v>42947</v>
      </c>
      <c r="G5554" s="1">
        <v>43041</v>
      </c>
      <c r="H5554">
        <v>0</v>
      </c>
      <c r="I5554" t="str">
        <f>IF(COUNTIF(Products!$A$2:$A$8,C5554)=0,C5554,"")</f>
        <v/>
      </c>
      <c r="J5554">
        <f>IF(OR(E5554="Prospecting",E5554="Engaging"),VLOOKUP(C5554,Products!$A$2:$C$8,3,FALSE),0)</f>
        <v>0</v>
      </c>
    </row>
    <row r="5555" spans="1:10" x14ac:dyDescent="0.25">
      <c r="A5555" t="s">
        <v>5722</v>
      </c>
      <c r="B5555" t="s">
        <v>137</v>
      </c>
      <c r="C5555" t="s">
        <v>126</v>
      </c>
      <c r="D5555" t="s">
        <v>85</v>
      </c>
      <c r="E5555" t="s">
        <v>138</v>
      </c>
      <c r="F5555" s="1">
        <v>42947</v>
      </c>
      <c r="G5555" s="1">
        <v>43049</v>
      </c>
      <c r="H5555">
        <v>5234</v>
      </c>
      <c r="I5555" t="str">
        <f>IF(COUNTIF(Products!$A$2:$A$8,C5555)=0,C5555,"")</f>
        <v/>
      </c>
      <c r="J5555">
        <f>IF(OR(E5555="Prospecting",E5555="Engaging"),VLOOKUP(C5555,Products!$A$2:$C$8,3,FALSE),0)</f>
        <v>0</v>
      </c>
    </row>
    <row r="5556" spans="1:10" x14ac:dyDescent="0.25">
      <c r="A5556" t="s">
        <v>5723</v>
      </c>
      <c r="B5556" t="s">
        <v>152</v>
      </c>
      <c r="C5556" t="s">
        <v>120</v>
      </c>
      <c r="D5556" t="s">
        <v>67</v>
      </c>
      <c r="E5556" t="s">
        <v>155</v>
      </c>
      <c r="F5556" s="1">
        <v>42947</v>
      </c>
      <c r="I5556" t="str">
        <f>IF(COUNTIF(Products!$A$2:$A$8,C5556)=0,C5556,"")</f>
        <v/>
      </c>
      <c r="J5556">
        <f>IF(OR(E5556="Prospecting",E5556="Engaging"),VLOOKUP(C5556,Products!$A$2:$C$8,3,FALSE),0)</f>
        <v>550</v>
      </c>
    </row>
    <row r="5557" spans="1:10" x14ac:dyDescent="0.25">
      <c r="A5557" t="s">
        <v>5724</v>
      </c>
      <c r="B5557" t="s">
        <v>152</v>
      </c>
      <c r="C5557" t="s">
        <v>127</v>
      </c>
      <c r="E5557" t="s">
        <v>155</v>
      </c>
      <c r="F5557" s="1">
        <v>42947</v>
      </c>
      <c r="I5557" t="str">
        <f>IF(COUNTIF(Products!$A$2:$A$8,C5557)=0,C5557,"")</f>
        <v/>
      </c>
      <c r="J5557">
        <f>IF(OR(E5557="Prospecting",E5557="Engaging"),VLOOKUP(C5557,Products!$A$2:$C$8,3,FALSE),0)</f>
        <v>1096</v>
      </c>
    </row>
    <row r="5558" spans="1:10" x14ac:dyDescent="0.25">
      <c r="A5558" t="s">
        <v>5725</v>
      </c>
      <c r="B5558" t="s">
        <v>193</v>
      </c>
      <c r="C5558" t="s">
        <v>126</v>
      </c>
      <c r="D5558" t="s">
        <v>115</v>
      </c>
      <c r="E5558" t="s">
        <v>138</v>
      </c>
      <c r="F5558" s="1">
        <v>42947</v>
      </c>
      <c r="G5558" s="1">
        <v>43006</v>
      </c>
      <c r="H5558">
        <v>6180</v>
      </c>
      <c r="I5558" t="str">
        <f>IF(COUNTIF(Products!$A$2:$A$8,C5558)=0,C5558,"")</f>
        <v/>
      </c>
      <c r="J5558">
        <f>IF(OR(E5558="Prospecting",E5558="Engaging"),VLOOKUP(C5558,Products!$A$2:$C$8,3,FALSE),0)</f>
        <v>0</v>
      </c>
    </row>
    <row r="5559" spans="1:10" x14ac:dyDescent="0.25">
      <c r="A5559" t="s">
        <v>5726</v>
      </c>
      <c r="B5559" t="s">
        <v>169</v>
      </c>
      <c r="C5559" t="s">
        <v>123</v>
      </c>
      <c r="E5559" t="s">
        <v>155</v>
      </c>
      <c r="F5559" s="1">
        <v>42947</v>
      </c>
      <c r="I5559" t="str">
        <f>IF(COUNTIF(Products!$A$2:$A$8,C5559)=0,C5559,"")</f>
        <v/>
      </c>
      <c r="J5559">
        <f>IF(OR(E5559="Prospecting",E5559="Engaging"),VLOOKUP(C5559,Products!$A$2:$C$8,3,FALSE),0)</f>
        <v>55</v>
      </c>
    </row>
    <row r="5560" spans="1:10" x14ac:dyDescent="0.25">
      <c r="A5560" t="s">
        <v>5727</v>
      </c>
      <c r="B5560" t="s">
        <v>169</v>
      </c>
      <c r="C5560" t="s">
        <v>123</v>
      </c>
      <c r="D5560" t="s">
        <v>32</v>
      </c>
      <c r="E5560" t="s">
        <v>138</v>
      </c>
      <c r="F5560" s="1">
        <v>42947</v>
      </c>
      <c r="G5560" s="1">
        <v>42957</v>
      </c>
      <c r="H5560">
        <v>53</v>
      </c>
      <c r="I5560" t="str">
        <f>IF(COUNTIF(Products!$A$2:$A$8,C5560)=0,C5560,"")</f>
        <v/>
      </c>
      <c r="J5560">
        <f>IF(OR(E5560="Prospecting",E5560="Engaging"),VLOOKUP(C5560,Products!$A$2:$C$8,3,FALSE),0)</f>
        <v>0</v>
      </c>
    </row>
    <row r="5561" spans="1:10" x14ac:dyDescent="0.25">
      <c r="A5561" t="s">
        <v>5728</v>
      </c>
      <c r="B5561" t="s">
        <v>148</v>
      </c>
      <c r="C5561" t="s">
        <v>123</v>
      </c>
      <c r="D5561" t="s">
        <v>69</v>
      </c>
      <c r="E5561" t="s">
        <v>159</v>
      </c>
      <c r="F5561" s="1">
        <v>42947</v>
      </c>
      <c r="G5561" s="1">
        <v>42952</v>
      </c>
      <c r="H5561">
        <v>0</v>
      </c>
      <c r="I5561" t="str">
        <f>IF(COUNTIF(Products!$A$2:$A$8,C5561)=0,C5561,"")</f>
        <v/>
      </c>
      <c r="J5561">
        <f>IF(OR(E5561="Prospecting",E5561="Engaging"),VLOOKUP(C5561,Products!$A$2:$C$8,3,FALSE),0)</f>
        <v>0</v>
      </c>
    </row>
    <row r="5562" spans="1:10" x14ac:dyDescent="0.25">
      <c r="A5562" t="s">
        <v>5729</v>
      </c>
      <c r="B5562" t="s">
        <v>148</v>
      </c>
      <c r="C5562" t="s">
        <v>125</v>
      </c>
      <c r="D5562" t="s">
        <v>23</v>
      </c>
      <c r="E5562" t="s">
        <v>138</v>
      </c>
      <c r="F5562" s="1">
        <v>42947</v>
      </c>
      <c r="G5562" s="1">
        <v>42959</v>
      </c>
      <c r="H5562">
        <v>3687</v>
      </c>
      <c r="I5562" t="str">
        <f>IF(COUNTIF(Products!$A$2:$A$8,C5562)=0,C5562,"")</f>
        <v/>
      </c>
      <c r="J5562">
        <f>IF(OR(E5562="Prospecting",E5562="Engaging"),VLOOKUP(C5562,Products!$A$2:$C$8,3,FALSE),0)</f>
        <v>0</v>
      </c>
    </row>
    <row r="5563" spans="1:10" x14ac:dyDescent="0.25">
      <c r="A5563" t="s">
        <v>5730</v>
      </c>
      <c r="B5563" t="s">
        <v>177</v>
      </c>
      <c r="C5563" t="s">
        <v>123</v>
      </c>
      <c r="E5563" t="s">
        <v>155</v>
      </c>
      <c r="F5563" s="1">
        <v>42947</v>
      </c>
      <c r="I5563" t="str">
        <f>IF(COUNTIF(Products!$A$2:$A$8,C5563)=0,C5563,"")</f>
        <v/>
      </c>
      <c r="J5563">
        <f>IF(OR(E5563="Prospecting",E5563="Engaging"),VLOOKUP(C5563,Products!$A$2:$C$8,3,FALSE),0)</f>
        <v>55</v>
      </c>
    </row>
    <row r="5564" spans="1:10" x14ac:dyDescent="0.25">
      <c r="A5564" t="s">
        <v>5731</v>
      </c>
      <c r="B5564" t="s">
        <v>144</v>
      </c>
      <c r="C5564" t="s">
        <v>122</v>
      </c>
      <c r="D5564" t="s">
        <v>69</v>
      </c>
      <c r="E5564" t="s">
        <v>138</v>
      </c>
      <c r="F5564" s="1">
        <v>42947</v>
      </c>
      <c r="G5564" s="1">
        <v>42967</v>
      </c>
      <c r="H5564">
        <v>6069</v>
      </c>
      <c r="I5564" t="str">
        <f>IF(COUNTIF(Products!$A$2:$A$8,C5564)=0,C5564,"")</f>
        <v/>
      </c>
      <c r="J5564">
        <f>IF(OR(E5564="Prospecting",E5564="Engaging"),VLOOKUP(C5564,Products!$A$2:$C$8,3,FALSE),0)</f>
        <v>0</v>
      </c>
    </row>
    <row r="5565" spans="1:10" x14ac:dyDescent="0.25">
      <c r="A5565" t="s">
        <v>5732</v>
      </c>
      <c r="B5565" t="s">
        <v>146</v>
      </c>
      <c r="C5565" t="s">
        <v>127</v>
      </c>
      <c r="E5565" t="s">
        <v>155</v>
      </c>
      <c r="F5565" s="1">
        <v>42948</v>
      </c>
      <c r="I5565" t="str">
        <f>IF(COUNTIF(Products!$A$2:$A$8,C5565)=0,C5565,"")</f>
        <v/>
      </c>
      <c r="J5565">
        <f>IF(OR(E5565="Prospecting",E5565="Engaging"),VLOOKUP(C5565,Products!$A$2:$C$8,3,FALSE),0)</f>
        <v>1096</v>
      </c>
    </row>
    <row r="5566" spans="1:10" x14ac:dyDescent="0.25">
      <c r="A5566" t="s">
        <v>5733</v>
      </c>
      <c r="B5566" t="s">
        <v>146</v>
      </c>
      <c r="C5566" t="s">
        <v>127</v>
      </c>
      <c r="E5566" t="s">
        <v>155</v>
      </c>
      <c r="F5566" s="1">
        <v>42948</v>
      </c>
      <c r="I5566" t="str">
        <f>IF(COUNTIF(Products!$A$2:$A$8,C5566)=0,C5566,"")</f>
        <v/>
      </c>
      <c r="J5566">
        <f>IF(OR(E5566="Prospecting",E5566="Engaging"),VLOOKUP(C5566,Products!$A$2:$C$8,3,FALSE),0)</f>
        <v>1096</v>
      </c>
    </row>
    <row r="5567" spans="1:10" x14ac:dyDescent="0.25">
      <c r="A5567" t="s">
        <v>5734</v>
      </c>
      <c r="B5567" t="s">
        <v>146</v>
      </c>
      <c r="C5567" t="s">
        <v>123</v>
      </c>
      <c r="D5567" t="s">
        <v>83</v>
      </c>
      <c r="E5567" t="s">
        <v>155</v>
      </c>
      <c r="F5567" s="1">
        <v>42948</v>
      </c>
      <c r="I5567" t="str">
        <f>IF(COUNTIF(Products!$A$2:$A$8,C5567)=0,C5567,"")</f>
        <v/>
      </c>
      <c r="J5567">
        <f>IF(OR(E5567="Prospecting",E5567="Engaging"),VLOOKUP(C5567,Products!$A$2:$C$8,3,FALSE),0)</f>
        <v>55</v>
      </c>
    </row>
    <row r="5568" spans="1:10" x14ac:dyDescent="0.25">
      <c r="A5568" t="s">
        <v>5735</v>
      </c>
      <c r="B5568" t="s">
        <v>146</v>
      </c>
      <c r="C5568" t="s">
        <v>123</v>
      </c>
      <c r="E5568" t="s">
        <v>155</v>
      </c>
      <c r="F5568" s="1">
        <v>42948</v>
      </c>
      <c r="I5568" t="str">
        <f>IF(COUNTIF(Products!$A$2:$A$8,C5568)=0,C5568,"")</f>
        <v/>
      </c>
      <c r="J5568">
        <f>IF(OR(E5568="Prospecting",E5568="Engaging"),VLOOKUP(C5568,Products!$A$2:$C$8,3,FALSE),0)</f>
        <v>55</v>
      </c>
    </row>
    <row r="5569" spans="1:10" x14ac:dyDescent="0.25">
      <c r="A5569" t="s">
        <v>5736</v>
      </c>
      <c r="B5569" t="s">
        <v>146</v>
      </c>
      <c r="C5569" t="s">
        <v>127</v>
      </c>
      <c r="D5569" t="s">
        <v>51</v>
      </c>
      <c r="E5569" t="s">
        <v>159</v>
      </c>
      <c r="F5569" s="1">
        <v>42948</v>
      </c>
      <c r="G5569" s="1">
        <v>42958</v>
      </c>
      <c r="H5569">
        <v>0</v>
      </c>
      <c r="I5569" t="str">
        <f>IF(COUNTIF(Products!$A$2:$A$8,C5569)=0,C5569,"")</f>
        <v/>
      </c>
      <c r="J5569">
        <f>IF(OR(E5569="Prospecting",E5569="Engaging"),VLOOKUP(C5569,Products!$A$2:$C$8,3,FALSE),0)</f>
        <v>0</v>
      </c>
    </row>
    <row r="5570" spans="1:10" x14ac:dyDescent="0.25">
      <c r="A5570" t="s">
        <v>5737</v>
      </c>
      <c r="B5570" t="s">
        <v>146</v>
      </c>
      <c r="C5570" t="s">
        <v>125</v>
      </c>
      <c r="D5570" t="s">
        <v>70</v>
      </c>
      <c r="E5570" t="s">
        <v>138</v>
      </c>
      <c r="F5570" s="1">
        <v>42948</v>
      </c>
      <c r="G5570" s="1">
        <v>42963</v>
      </c>
      <c r="H5570">
        <v>3452</v>
      </c>
      <c r="I5570" t="str">
        <f>IF(COUNTIF(Products!$A$2:$A$8,C5570)=0,C5570,"")</f>
        <v/>
      </c>
      <c r="J5570">
        <f>IF(OR(E5570="Prospecting",E5570="Engaging"),VLOOKUP(C5570,Products!$A$2:$C$8,3,FALSE),0)</f>
        <v>0</v>
      </c>
    </row>
    <row r="5571" spans="1:10" x14ac:dyDescent="0.25">
      <c r="A5571" t="s">
        <v>5738</v>
      </c>
      <c r="B5571" t="s">
        <v>207</v>
      </c>
      <c r="C5571" t="s">
        <v>125</v>
      </c>
      <c r="E5571" t="s">
        <v>155</v>
      </c>
      <c r="F5571" s="1">
        <v>42948</v>
      </c>
      <c r="I5571" t="str">
        <f>IF(COUNTIF(Products!$A$2:$A$8,C5571)=0,C5571,"")</f>
        <v/>
      </c>
      <c r="J5571">
        <f>IF(OR(E5571="Prospecting",E5571="Engaging"),VLOOKUP(C5571,Products!$A$2:$C$8,3,FALSE),0)</f>
        <v>3393</v>
      </c>
    </row>
    <row r="5572" spans="1:10" x14ac:dyDescent="0.25">
      <c r="A5572" t="s">
        <v>5739</v>
      </c>
      <c r="B5572" t="s">
        <v>207</v>
      </c>
      <c r="C5572" t="s">
        <v>125</v>
      </c>
      <c r="D5572" t="s">
        <v>68</v>
      </c>
      <c r="E5572" t="s">
        <v>138</v>
      </c>
      <c r="F5572" s="1">
        <v>42948</v>
      </c>
      <c r="G5572" s="1">
        <v>42956</v>
      </c>
      <c r="H5572">
        <v>3156</v>
      </c>
      <c r="I5572" t="str">
        <f>IF(COUNTIF(Products!$A$2:$A$8,C5572)=0,C5572,"")</f>
        <v/>
      </c>
      <c r="J5572">
        <f>IF(OR(E5572="Prospecting",E5572="Engaging"),VLOOKUP(C5572,Products!$A$2:$C$8,3,FALSE),0)</f>
        <v>0</v>
      </c>
    </row>
    <row r="5573" spans="1:10" x14ac:dyDescent="0.25">
      <c r="A5573" t="s">
        <v>5740</v>
      </c>
      <c r="B5573" t="s">
        <v>171</v>
      </c>
      <c r="C5573" t="s">
        <v>120</v>
      </c>
      <c r="D5573" t="s">
        <v>50</v>
      </c>
      <c r="E5573" t="s">
        <v>159</v>
      </c>
      <c r="F5573" s="1">
        <v>42948</v>
      </c>
      <c r="G5573" s="1">
        <v>42961</v>
      </c>
      <c r="H5573">
        <v>0</v>
      </c>
      <c r="I5573" t="str">
        <f>IF(COUNTIF(Products!$A$2:$A$8,C5573)=0,C5573,"")</f>
        <v/>
      </c>
      <c r="J5573">
        <f>IF(OR(E5573="Prospecting",E5573="Engaging"),VLOOKUP(C5573,Products!$A$2:$C$8,3,FALSE),0)</f>
        <v>0</v>
      </c>
    </row>
    <row r="5574" spans="1:10" x14ac:dyDescent="0.25">
      <c r="A5574" t="s">
        <v>5741</v>
      </c>
      <c r="B5574" t="s">
        <v>140</v>
      </c>
      <c r="C5574" t="s">
        <v>122</v>
      </c>
      <c r="E5574" t="s">
        <v>155</v>
      </c>
      <c r="F5574" s="1">
        <v>42948</v>
      </c>
      <c r="I5574" t="str">
        <f>IF(COUNTIF(Products!$A$2:$A$8,C5574)=0,C5574,"")</f>
        <v/>
      </c>
      <c r="J5574">
        <f>IF(OR(E5574="Prospecting",E5574="Engaging"),VLOOKUP(C5574,Products!$A$2:$C$8,3,FALSE),0)</f>
        <v>4821</v>
      </c>
    </row>
    <row r="5575" spans="1:10" x14ac:dyDescent="0.25">
      <c r="A5575" t="s">
        <v>5742</v>
      </c>
      <c r="B5575" t="s">
        <v>140</v>
      </c>
      <c r="C5575" t="s">
        <v>122</v>
      </c>
      <c r="E5575" t="s">
        <v>155</v>
      </c>
      <c r="F5575" s="1">
        <v>42948</v>
      </c>
      <c r="I5575" t="str">
        <f>IF(COUNTIF(Products!$A$2:$A$8,C5575)=0,C5575,"")</f>
        <v/>
      </c>
      <c r="J5575">
        <f>IF(OR(E5575="Prospecting",E5575="Engaging"),VLOOKUP(C5575,Products!$A$2:$C$8,3,FALSE),0)</f>
        <v>4821</v>
      </c>
    </row>
    <row r="5576" spans="1:10" x14ac:dyDescent="0.25">
      <c r="A5576" t="s">
        <v>5743</v>
      </c>
      <c r="B5576" t="s">
        <v>140</v>
      </c>
      <c r="C5576" t="s">
        <v>123</v>
      </c>
      <c r="D5576" t="s">
        <v>89</v>
      </c>
      <c r="E5576" t="s">
        <v>155</v>
      </c>
      <c r="F5576" s="1">
        <v>42948</v>
      </c>
      <c r="I5576" t="str">
        <f>IF(COUNTIF(Products!$A$2:$A$8,C5576)=0,C5576,"")</f>
        <v/>
      </c>
      <c r="J5576">
        <f>IF(OR(E5576="Prospecting",E5576="Engaging"),VLOOKUP(C5576,Products!$A$2:$C$8,3,FALSE),0)</f>
        <v>55</v>
      </c>
    </row>
    <row r="5577" spans="1:10" x14ac:dyDescent="0.25">
      <c r="A5577" t="s">
        <v>5744</v>
      </c>
      <c r="B5577" t="s">
        <v>140</v>
      </c>
      <c r="C5577" t="s">
        <v>123</v>
      </c>
      <c r="E5577" t="s">
        <v>155</v>
      </c>
      <c r="F5577" s="1">
        <v>42948</v>
      </c>
      <c r="I5577" t="str">
        <f>IF(COUNTIF(Products!$A$2:$A$8,C5577)=0,C5577,"")</f>
        <v/>
      </c>
      <c r="J5577">
        <f>IF(OR(E5577="Prospecting",E5577="Engaging"),VLOOKUP(C5577,Products!$A$2:$C$8,3,FALSE),0)</f>
        <v>55</v>
      </c>
    </row>
    <row r="5578" spans="1:10" x14ac:dyDescent="0.25">
      <c r="A5578" t="s">
        <v>5745</v>
      </c>
      <c r="B5578" t="s">
        <v>140</v>
      </c>
      <c r="C5578" t="s">
        <v>125</v>
      </c>
      <c r="D5578" t="s">
        <v>95</v>
      </c>
      <c r="E5578" t="s">
        <v>159</v>
      </c>
      <c r="F5578" s="1">
        <v>42948</v>
      </c>
      <c r="G5578" s="1">
        <v>43062</v>
      </c>
      <c r="H5578">
        <v>0</v>
      </c>
      <c r="I5578" t="str">
        <f>IF(COUNTIF(Products!$A$2:$A$8,C5578)=0,C5578,"")</f>
        <v/>
      </c>
      <c r="J5578">
        <f>IF(OR(E5578="Prospecting",E5578="Engaging"),VLOOKUP(C5578,Products!$A$2:$C$8,3,FALSE),0)</f>
        <v>0</v>
      </c>
    </row>
    <row r="5579" spans="1:10" x14ac:dyDescent="0.25">
      <c r="A5579" t="s">
        <v>5746</v>
      </c>
      <c r="B5579" t="s">
        <v>158</v>
      </c>
      <c r="C5579" t="s">
        <v>120</v>
      </c>
      <c r="E5579" t="s">
        <v>155</v>
      </c>
      <c r="F5579" s="1">
        <v>42948</v>
      </c>
      <c r="I5579" t="str">
        <f>IF(COUNTIF(Products!$A$2:$A$8,C5579)=0,C5579,"")</f>
        <v/>
      </c>
      <c r="J5579">
        <f>IF(OR(E5579="Prospecting",E5579="Engaging"),VLOOKUP(C5579,Products!$A$2:$C$8,3,FALSE),0)</f>
        <v>550</v>
      </c>
    </row>
    <row r="5580" spans="1:10" x14ac:dyDescent="0.25">
      <c r="A5580" t="s">
        <v>5747</v>
      </c>
      <c r="B5580" t="s">
        <v>158</v>
      </c>
      <c r="C5580" t="s">
        <v>127</v>
      </c>
      <c r="E5580" t="s">
        <v>155</v>
      </c>
      <c r="F5580" s="1">
        <v>42948</v>
      </c>
      <c r="I5580" t="str">
        <f>IF(COUNTIF(Products!$A$2:$A$8,C5580)=0,C5580,"")</f>
        <v/>
      </c>
      <c r="J5580">
        <f>IF(OR(E5580="Prospecting",E5580="Engaging"),VLOOKUP(C5580,Products!$A$2:$C$8,3,FALSE),0)</f>
        <v>1096</v>
      </c>
    </row>
    <row r="5581" spans="1:10" x14ac:dyDescent="0.25">
      <c r="A5581" t="s">
        <v>5748</v>
      </c>
      <c r="B5581" t="s">
        <v>158</v>
      </c>
      <c r="C5581" t="s">
        <v>123</v>
      </c>
      <c r="E5581" t="s">
        <v>155</v>
      </c>
      <c r="F5581" s="1">
        <v>42948</v>
      </c>
      <c r="I5581" t="str">
        <f>IF(COUNTIF(Products!$A$2:$A$8,C5581)=0,C5581,"")</f>
        <v/>
      </c>
      <c r="J5581">
        <f>IF(OR(E5581="Prospecting",E5581="Engaging"),VLOOKUP(C5581,Products!$A$2:$C$8,3,FALSE),0)</f>
        <v>55</v>
      </c>
    </row>
    <row r="5582" spans="1:10" x14ac:dyDescent="0.25">
      <c r="A5582" t="s">
        <v>5749</v>
      </c>
      <c r="B5582" t="s">
        <v>158</v>
      </c>
      <c r="C5582" t="s">
        <v>125</v>
      </c>
      <c r="E5582" t="s">
        <v>155</v>
      </c>
      <c r="F5582" s="1">
        <v>42948</v>
      </c>
      <c r="I5582" t="str">
        <f>IF(COUNTIF(Products!$A$2:$A$8,C5582)=0,C5582,"")</f>
        <v/>
      </c>
      <c r="J5582">
        <f>IF(OR(E5582="Prospecting",E5582="Engaging"),VLOOKUP(C5582,Products!$A$2:$C$8,3,FALSE),0)</f>
        <v>3393</v>
      </c>
    </row>
    <row r="5583" spans="1:10" x14ac:dyDescent="0.25">
      <c r="A5583" t="s">
        <v>5750</v>
      </c>
      <c r="B5583" t="s">
        <v>164</v>
      </c>
      <c r="C5583" t="s">
        <v>127</v>
      </c>
      <c r="E5583" t="s">
        <v>155</v>
      </c>
      <c r="F5583" s="1">
        <v>42948</v>
      </c>
      <c r="I5583" t="str">
        <f>IF(COUNTIF(Products!$A$2:$A$8,C5583)=0,C5583,"")</f>
        <v/>
      </c>
      <c r="J5583">
        <f>IF(OR(E5583="Prospecting",E5583="Engaging"),VLOOKUP(C5583,Products!$A$2:$C$8,3,FALSE),0)</f>
        <v>1096</v>
      </c>
    </row>
    <row r="5584" spans="1:10" x14ac:dyDescent="0.25">
      <c r="A5584" t="s">
        <v>5751</v>
      </c>
      <c r="B5584" t="s">
        <v>164</v>
      </c>
      <c r="C5584" t="s">
        <v>127</v>
      </c>
      <c r="D5584" t="s">
        <v>87</v>
      </c>
      <c r="E5584" t="s">
        <v>138</v>
      </c>
      <c r="F5584" s="1">
        <v>42948</v>
      </c>
      <c r="G5584" s="1">
        <v>42953</v>
      </c>
      <c r="H5584">
        <v>1157</v>
      </c>
      <c r="I5584" t="str">
        <f>IF(COUNTIF(Products!$A$2:$A$8,C5584)=0,C5584,"")</f>
        <v/>
      </c>
      <c r="J5584">
        <f>IF(OR(E5584="Prospecting",E5584="Engaging"),VLOOKUP(C5584,Products!$A$2:$C$8,3,FALSE),0)</f>
        <v>0</v>
      </c>
    </row>
    <row r="5585" spans="1:10" x14ac:dyDescent="0.25">
      <c r="A5585" t="s">
        <v>5752</v>
      </c>
      <c r="B5585" t="s">
        <v>154</v>
      </c>
      <c r="C5585" t="s">
        <v>127</v>
      </c>
      <c r="D5585" t="s">
        <v>82</v>
      </c>
      <c r="E5585" t="s">
        <v>138</v>
      </c>
      <c r="F5585" s="1">
        <v>42948</v>
      </c>
      <c r="G5585" s="1">
        <v>43061</v>
      </c>
      <c r="H5585">
        <v>1040</v>
      </c>
      <c r="I5585" t="str">
        <f>IF(COUNTIF(Products!$A$2:$A$8,C5585)=0,C5585,"")</f>
        <v/>
      </c>
      <c r="J5585">
        <f>IF(OR(E5585="Prospecting",E5585="Engaging"),VLOOKUP(C5585,Products!$A$2:$C$8,3,FALSE),0)</f>
        <v>0</v>
      </c>
    </row>
    <row r="5586" spans="1:10" x14ac:dyDescent="0.25">
      <c r="A5586" t="s">
        <v>5753</v>
      </c>
      <c r="B5586" t="s">
        <v>303</v>
      </c>
      <c r="C5586" t="s">
        <v>123</v>
      </c>
      <c r="D5586" t="s">
        <v>96</v>
      </c>
      <c r="E5586" t="s">
        <v>138</v>
      </c>
      <c r="F5586" s="1">
        <v>42948</v>
      </c>
      <c r="G5586" s="1">
        <v>43085</v>
      </c>
      <c r="H5586">
        <v>49</v>
      </c>
      <c r="I5586" t="str">
        <f>IF(COUNTIF(Products!$A$2:$A$8,C5586)=0,C5586,"")</f>
        <v/>
      </c>
      <c r="J5586">
        <f>IF(OR(E5586="Prospecting",E5586="Engaging"),VLOOKUP(C5586,Products!$A$2:$C$8,3,FALSE),0)</f>
        <v>0</v>
      </c>
    </row>
    <row r="5587" spans="1:10" x14ac:dyDescent="0.25">
      <c r="A5587" t="s">
        <v>5754</v>
      </c>
      <c r="B5587" t="s">
        <v>217</v>
      </c>
      <c r="C5587" t="s">
        <v>120</v>
      </c>
      <c r="E5587" t="s">
        <v>155</v>
      </c>
      <c r="F5587" s="1">
        <v>42948</v>
      </c>
      <c r="I5587" t="str">
        <f>IF(COUNTIF(Products!$A$2:$A$8,C5587)=0,C5587,"")</f>
        <v/>
      </c>
      <c r="J5587">
        <f>IF(OR(E5587="Prospecting",E5587="Engaging"),VLOOKUP(C5587,Products!$A$2:$C$8,3,FALSE),0)</f>
        <v>550</v>
      </c>
    </row>
    <row r="5588" spans="1:10" x14ac:dyDescent="0.25">
      <c r="A5588" t="s">
        <v>5755</v>
      </c>
      <c r="B5588" t="s">
        <v>217</v>
      </c>
      <c r="C5588" t="s">
        <v>120</v>
      </c>
      <c r="D5588" t="s">
        <v>32</v>
      </c>
      <c r="E5588" t="s">
        <v>138</v>
      </c>
      <c r="F5588" s="1">
        <v>42948</v>
      </c>
      <c r="G5588" s="1">
        <v>42997</v>
      </c>
      <c r="H5588">
        <v>454</v>
      </c>
      <c r="I5588" t="str">
        <f>IF(COUNTIF(Products!$A$2:$A$8,C5588)=0,C5588,"")</f>
        <v/>
      </c>
      <c r="J5588">
        <f>IF(OR(E5588="Prospecting",E5588="Engaging"),VLOOKUP(C5588,Products!$A$2:$C$8,3,FALSE),0)</f>
        <v>0</v>
      </c>
    </row>
    <row r="5589" spans="1:10" x14ac:dyDescent="0.25">
      <c r="A5589" t="s">
        <v>5756</v>
      </c>
      <c r="B5589" t="s">
        <v>150</v>
      </c>
      <c r="C5589" t="s">
        <v>127</v>
      </c>
      <c r="D5589" t="s">
        <v>114</v>
      </c>
      <c r="E5589" t="s">
        <v>138</v>
      </c>
      <c r="F5589" s="1">
        <v>42948</v>
      </c>
      <c r="G5589" s="1">
        <v>43057</v>
      </c>
      <c r="H5589">
        <v>1106</v>
      </c>
      <c r="I5589" t="str">
        <f>IF(COUNTIF(Products!$A$2:$A$8,C5589)=0,C5589,"")</f>
        <v/>
      </c>
      <c r="J5589">
        <f>IF(OR(E5589="Prospecting",E5589="Engaging"),VLOOKUP(C5589,Products!$A$2:$C$8,3,FALSE),0)</f>
        <v>0</v>
      </c>
    </row>
    <row r="5590" spans="1:10" x14ac:dyDescent="0.25">
      <c r="A5590" t="s">
        <v>5757</v>
      </c>
      <c r="B5590" t="s">
        <v>205</v>
      </c>
      <c r="C5590" t="s">
        <v>128</v>
      </c>
      <c r="E5590" t="s">
        <v>155</v>
      </c>
      <c r="F5590" s="1">
        <v>42948</v>
      </c>
      <c r="I5590" t="str">
        <f>IF(COUNTIF(Products!$A$2:$A$8,C5590)=0,C5590,"")</f>
        <v/>
      </c>
      <c r="J5590">
        <f>IF(OR(E5590="Prospecting",E5590="Engaging"),VLOOKUP(C5590,Products!$A$2:$C$8,3,FALSE),0)</f>
        <v>26768</v>
      </c>
    </row>
    <row r="5591" spans="1:10" x14ac:dyDescent="0.25">
      <c r="A5591" t="s">
        <v>5758</v>
      </c>
      <c r="B5591" t="s">
        <v>205</v>
      </c>
      <c r="C5591" t="s">
        <v>126</v>
      </c>
      <c r="E5591" t="s">
        <v>155</v>
      </c>
      <c r="F5591" s="1">
        <v>42948</v>
      </c>
      <c r="I5591" t="str">
        <f>IF(COUNTIF(Products!$A$2:$A$8,C5591)=0,C5591,"")</f>
        <v/>
      </c>
      <c r="J5591">
        <f>IF(OR(E5591="Prospecting",E5591="Engaging"),VLOOKUP(C5591,Products!$A$2:$C$8,3,FALSE),0)</f>
        <v>5482</v>
      </c>
    </row>
    <row r="5592" spans="1:10" x14ac:dyDescent="0.25">
      <c r="A5592" t="s">
        <v>5759</v>
      </c>
      <c r="B5592" t="s">
        <v>205</v>
      </c>
      <c r="C5592" t="s">
        <v>122</v>
      </c>
      <c r="E5592" t="s">
        <v>155</v>
      </c>
      <c r="F5592" s="1">
        <v>42948</v>
      </c>
      <c r="I5592" t="str">
        <f>IF(COUNTIF(Products!$A$2:$A$8,C5592)=0,C5592,"")</f>
        <v/>
      </c>
      <c r="J5592">
        <f>IF(OR(E5592="Prospecting",E5592="Engaging"),VLOOKUP(C5592,Products!$A$2:$C$8,3,FALSE),0)</f>
        <v>4821</v>
      </c>
    </row>
    <row r="5593" spans="1:10" x14ac:dyDescent="0.25">
      <c r="A5593" t="s">
        <v>5760</v>
      </c>
      <c r="B5593" t="s">
        <v>162</v>
      </c>
      <c r="C5593" t="s">
        <v>127</v>
      </c>
      <c r="D5593" t="s">
        <v>56</v>
      </c>
      <c r="E5593" t="s">
        <v>138</v>
      </c>
      <c r="F5593" s="1">
        <v>42948</v>
      </c>
      <c r="G5593" s="1">
        <v>42955</v>
      </c>
      <c r="H5593">
        <v>1143</v>
      </c>
      <c r="I5593" t="str">
        <f>IF(COUNTIF(Products!$A$2:$A$8,C5593)=0,C5593,"")</f>
        <v/>
      </c>
      <c r="J5593">
        <f>IF(OR(E5593="Prospecting",E5593="Engaging"),VLOOKUP(C5593,Products!$A$2:$C$8,3,FALSE),0)</f>
        <v>0</v>
      </c>
    </row>
    <row r="5594" spans="1:10" x14ac:dyDescent="0.25">
      <c r="A5594" t="s">
        <v>5761</v>
      </c>
      <c r="B5594" t="s">
        <v>162</v>
      </c>
      <c r="C5594" t="s">
        <v>126</v>
      </c>
      <c r="D5594" t="s">
        <v>66</v>
      </c>
      <c r="E5594" t="s">
        <v>138</v>
      </c>
      <c r="F5594" s="1">
        <v>42948</v>
      </c>
      <c r="G5594" s="1">
        <v>43045</v>
      </c>
      <c r="H5594">
        <v>4434</v>
      </c>
      <c r="I5594" t="str">
        <f>IF(COUNTIF(Products!$A$2:$A$8,C5594)=0,C5594,"")</f>
        <v/>
      </c>
      <c r="J5594">
        <f>IF(OR(E5594="Prospecting",E5594="Engaging"),VLOOKUP(C5594,Products!$A$2:$C$8,3,FALSE),0)</f>
        <v>0</v>
      </c>
    </row>
    <row r="5595" spans="1:10" x14ac:dyDescent="0.25">
      <c r="A5595" t="s">
        <v>5762</v>
      </c>
      <c r="B5595" t="s">
        <v>137</v>
      </c>
      <c r="C5595" t="s">
        <v>123</v>
      </c>
      <c r="D5595" t="s">
        <v>84</v>
      </c>
      <c r="E5595" t="s">
        <v>155</v>
      </c>
      <c r="F5595" s="1">
        <v>42948</v>
      </c>
      <c r="I5595" t="str">
        <f>IF(COUNTIF(Products!$A$2:$A$8,C5595)=0,C5595,"")</f>
        <v/>
      </c>
      <c r="J5595">
        <f>IF(OR(E5595="Prospecting",E5595="Engaging"),VLOOKUP(C5595,Products!$A$2:$C$8,3,FALSE),0)</f>
        <v>55</v>
      </c>
    </row>
    <row r="5596" spans="1:10" x14ac:dyDescent="0.25">
      <c r="A5596" t="s">
        <v>5763</v>
      </c>
      <c r="B5596" t="s">
        <v>152</v>
      </c>
      <c r="C5596" t="s">
        <v>127</v>
      </c>
      <c r="D5596" t="s">
        <v>85</v>
      </c>
      <c r="E5596" t="s">
        <v>155</v>
      </c>
      <c r="F5596" s="1">
        <v>42948</v>
      </c>
      <c r="I5596" t="str">
        <f>IF(COUNTIF(Products!$A$2:$A$8,C5596)=0,C5596,"")</f>
        <v/>
      </c>
      <c r="J5596">
        <f>IF(OR(E5596="Prospecting",E5596="Engaging"),VLOOKUP(C5596,Products!$A$2:$C$8,3,FALSE),0)</f>
        <v>1096</v>
      </c>
    </row>
    <row r="5597" spans="1:10" x14ac:dyDescent="0.25">
      <c r="A5597" t="s">
        <v>5764</v>
      </c>
      <c r="B5597" t="s">
        <v>152</v>
      </c>
      <c r="C5597" t="s">
        <v>122</v>
      </c>
      <c r="D5597" t="s">
        <v>115</v>
      </c>
      <c r="E5597" t="s">
        <v>155</v>
      </c>
      <c r="F5597" s="1">
        <v>42948</v>
      </c>
      <c r="I5597" t="str">
        <f>IF(COUNTIF(Products!$A$2:$A$8,C5597)=0,C5597,"")</f>
        <v/>
      </c>
      <c r="J5597">
        <f>IF(OR(E5597="Prospecting",E5597="Engaging"),VLOOKUP(C5597,Products!$A$2:$C$8,3,FALSE),0)</f>
        <v>4821</v>
      </c>
    </row>
    <row r="5598" spans="1:10" x14ac:dyDescent="0.25">
      <c r="A5598" t="s">
        <v>5765</v>
      </c>
      <c r="B5598" t="s">
        <v>169</v>
      </c>
      <c r="C5598" t="s">
        <v>126</v>
      </c>
      <c r="D5598" t="s">
        <v>60</v>
      </c>
      <c r="E5598" t="s">
        <v>155</v>
      </c>
      <c r="F5598" s="1">
        <v>42948</v>
      </c>
      <c r="I5598" t="str">
        <f>IF(COUNTIF(Products!$A$2:$A$8,C5598)=0,C5598,"")</f>
        <v/>
      </c>
      <c r="J5598">
        <f>IF(OR(E5598="Prospecting",E5598="Engaging"),VLOOKUP(C5598,Products!$A$2:$C$8,3,FALSE),0)</f>
        <v>5482</v>
      </c>
    </row>
    <row r="5599" spans="1:10" x14ac:dyDescent="0.25">
      <c r="A5599" t="s">
        <v>5766</v>
      </c>
      <c r="B5599" t="s">
        <v>169</v>
      </c>
      <c r="C5599" t="s">
        <v>123</v>
      </c>
      <c r="D5599" t="s">
        <v>22</v>
      </c>
      <c r="E5599" t="s">
        <v>155</v>
      </c>
      <c r="F5599" s="1">
        <v>42948</v>
      </c>
      <c r="I5599" t="str">
        <f>IF(COUNTIF(Products!$A$2:$A$8,C5599)=0,C5599,"")</f>
        <v/>
      </c>
      <c r="J5599">
        <f>IF(OR(E5599="Prospecting",E5599="Engaging"),VLOOKUP(C5599,Products!$A$2:$C$8,3,FALSE),0)</f>
        <v>55</v>
      </c>
    </row>
    <row r="5600" spans="1:10" x14ac:dyDescent="0.25">
      <c r="A5600" t="s">
        <v>5767</v>
      </c>
      <c r="B5600" t="s">
        <v>169</v>
      </c>
      <c r="C5600" t="s">
        <v>123</v>
      </c>
      <c r="D5600" t="s">
        <v>60</v>
      </c>
      <c r="E5600" t="s">
        <v>155</v>
      </c>
      <c r="F5600" s="1">
        <v>42948</v>
      </c>
      <c r="I5600" t="str">
        <f>IF(COUNTIF(Products!$A$2:$A$8,C5600)=0,C5600,"")</f>
        <v/>
      </c>
      <c r="J5600">
        <f>IF(OR(E5600="Prospecting",E5600="Engaging"),VLOOKUP(C5600,Products!$A$2:$C$8,3,FALSE),0)</f>
        <v>55</v>
      </c>
    </row>
    <row r="5601" spans="1:10" x14ac:dyDescent="0.25">
      <c r="A5601" t="s">
        <v>5768</v>
      </c>
      <c r="B5601" t="s">
        <v>169</v>
      </c>
      <c r="C5601" t="s">
        <v>123</v>
      </c>
      <c r="D5601" t="s">
        <v>73</v>
      </c>
      <c r="E5601" t="s">
        <v>155</v>
      </c>
      <c r="F5601" s="1">
        <v>42948</v>
      </c>
      <c r="I5601" t="str">
        <f>IF(COUNTIF(Products!$A$2:$A$8,C5601)=0,C5601,"")</f>
        <v/>
      </c>
      <c r="J5601">
        <f>IF(OR(E5601="Prospecting",E5601="Engaging"),VLOOKUP(C5601,Products!$A$2:$C$8,3,FALSE),0)</f>
        <v>55</v>
      </c>
    </row>
    <row r="5602" spans="1:10" x14ac:dyDescent="0.25">
      <c r="A5602" t="s">
        <v>5769</v>
      </c>
      <c r="B5602" t="s">
        <v>169</v>
      </c>
      <c r="C5602" t="s">
        <v>123</v>
      </c>
      <c r="E5602" t="s">
        <v>155</v>
      </c>
      <c r="F5602" s="1">
        <v>42948</v>
      </c>
      <c r="I5602" t="str">
        <f>IF(COUNTIF(Products!$A$2:$A$8,C5602)=0,C5602,"")</f>
        <v/>
      </c>
      <c r="J5602">
        <f>IF(OR(E5602="Prospecting",E5602="Engaging"),VLOOKUP(C5602,Products!$A$2:$C$8,3,FALSE),0)</f>
        <v>55</v>
      </c>
    </row>
    <row r="5603" spans="1:10" x14ac:dyDescent="0.25">
      <c r="A5603" t="s">
        <v>5770</v>
      </c>
      <c r="B5603" t="s">
        <v>169</v>
      </c>
      <c r="C5603" t="s">
        <v>123</v>
      </c>
      <c r="E5603" t="s">
        <v>155</v>
      </c>
      <c r="F5603" s="1">
        <v>42948</v>
      </c>
      <c r="I5603" t="str">
        <f>IF(COUNTIF(Products!$A$2:$A$8,C5603)=0,C5603,"")</f>
        <v/>
      </c>
      <c r="J5603">
        <f>IF(OR(E5603="Prospecting",E5603="Engaging"),VLOOKUP(C5603,Products!$A$2:$C$8,3,FALSE),0)</f>
        <v>55</v>
      </c>
    </row>
    <row r="5604" spans="1:10" x14ac:dyDescent="0.25">
      <c r="A5604" t="s">
        <v>5771</v>
      </c>
      <c r="B5604" t="s">
        <v>148</v>
      </c>
      <c r="C5604" t="s">
        <v>127</v>
      </c>
      <c r="D5604" t="s">
        <v>87</v>
      </c>
      <c r="E5604" t="s">
        <v>138</v>
      </c>
      <c r="F5604" s="1">
        <v>42948</v>
      </c>
      <c r="G5604" s="1">
        <v>43004</v>
      </c>
      <c r="H5604">
        <v>1193</v>
      </c>
      <c r="I5604" t="str">
        <f>IF(COUNTIF(Products!$A$2:$A$8,C5604)=0,C5604,"")</f>
        <v/>
      </c>
      <c r="J5604">
        <f>IF(OR(E5604="Prospecting",E5604="Engaging"),VLOOKUP(C5604,Products!$A$2:$C$8,3,FALSE),0)</f>
        <v>0</v>
      </c>
    </row>
    <row r="5605" spans="1:10" x14ac:dyDescent="0.25">
      <c r="A5605" t="s">
        <v>5772</v>
      </c>
      <c r="B5605" t="s">
        <v>148</v>
      </c>
      <c r="C5605" t="s">
        <v>122</v>
      </c>
      <c r="D5605" t="s">
        <v>56</v>
      </c>
      <c r="E5605" t="s">
        <v>138</v>
      </c>
      <c r="F5605" s="1">
        <v>42948</v>
      </c>
      <c r="G5605" s="1">
        <v>42968</v>
      </c>
      <c r="H5605">
        <v>5049</v>
      </c>
      <c r="I5605" t="str">
        <f>IF(COUNTIF(Products!$A$2:$A$8,C5605)=0,C5605,"")</f>
        <v/>
      </c>
      <c r="J5605">
        <f>IF(OR(E5605="Prospecting",E5605="Engaging"),VLOOKUP(C5605,Products!$A$2:$C$8,3,FALSE),0)</f>
        <v>0</v>
      </c>
    </row>
    <row r="5606" spans="1:10" x14ac:dyDescent="0.25">
      <c r="A5606" t="s">
        <v>5773</v>
      </c>
      <c r="B5606" t="s">
        <v>148</v>
      </c>
      <c r="C5606" t="s">
        <v>122</v>
      </c>
      <c r="D5606" t="s">
        <v>69</v>
      </c>
      <c r="E5606" t="s">
        <v>138</v>
      </c>
      <c r="F5606" s="1">
        <v>42948</v>
      </c>
      <c r="G5606" s="1">
        <v>42966</v>
      </c>
      <c r="H5606">
        <v>5300</v>
      </c>
      <c r="I5606" t="str">
        <f>IF(COUNTIF(Products!$A$2:$A$8,C5606)=0,C5606,"")</f>
        <v/>
      </c>
      <c r="J5606">
        <f>IF(OR(E5606="Prospecting",E5606="Engaging"),VLOOKUP(C5606,Products!$A$2:$C$8,3,FALSE),0)</f>
        <v>0</v>
      </c>
    </row>
    <row r="5607" spans="1:10" x14ac:dyDescent="0.25">
      <c r="A5607" t="s">
        <v>5774</v>
      </c>
      <c r="B5607" t="s">
        <v>148</v>
      </c>
      <c r="C5607" t="s">
        <v>125</v>
      </c>
      <c r="D5607" t="s">
        <v>93</v>
      </c>
      <c r="E5607" t="s">
        <v>138</v>
      </c>
      <c r="F5607" s="1">
        <v>42948</v>
      </c>
      <c r="G5607" s="1">
        <v>43059</v>
      </c>
      <c r="H5607">
        <v>3597</v>
      </c>
      <c r="I5607" t="str">
        <f>IF(COUNTIF(Products!$A$2:$A$8,C5607)=0,C5607,"")</f>
        <v/>
      </c>
      <c r="J5607">
        <f>IF(OR(E5607="Prospecting",E5607="Engaging"),VLOOKUP(C5607,Products!$A$2:$C$8,3,FALSE),0)</f>
        <v>0</v>
      </c>
    </row>
    <row r="5608" spans="1:10" x14ac:dyDescent="0.25">
      <c r="A5608" t="s">
        <v>5775</v>
      </c>
      <c r="B5608" t="s">
        <v>177</v>
      </c>
      <c r="C5608" t="s">
        <v>122</v>
      </c>
      <c r="D5608" t="s">
        <v>108</v>
      </c>
      <c r="E5608" t="s">
        <v>159</v>
      </c>
      <c r="F5608" s="1">
        <v>42948</v>
      </c>
      <c r="G5608" s="1">
        <v>43050</v>
      </c>
      <c r="H5608">
        <v>0</v>
      </c>
      <c r="I5608" t="str">
        <f>IF(COUNTIF(Products!$A$2:$A$8,C5608)=0,C5608,"")</f>
        <v/>
      </c>
      <c r="J5608">
        <f>IF(OR(E5608="Prospecting",E5608="Engaging"),VLOOKUP(C5608,Products!$A$2:$C$8,3,FALSE),0)</f>
        <v>0</v>
      </c>
    </row>
    <row r="5609" spans="1:10" x14ac:dyDescent="0.25">
      <c r="A5609" t="s">
        <v>5776</v>
      </c>
      <c r="B5609" t="s">
        <v>144</v>
      </c>
      <c r="C5609" t="s">
        <v>125</v>
      </c>
      <c r="E5609" t="s">
        <v>155</v>
      </c>
      <c r="F5609" s="1">
        <v>42948</v>
      </c>
      <c r="I5609" t="str">
        <f>IF(COUNTIF(Products!$A$2:$A$8,C5609)=0,C5609,"")</f>
        <v/>
      </c>
      <c r="J5609">
        <f>IF(OR(E5609="Prospecting",E5609="Engaging"),VLOOKUP(C5609,Products!$A$2:$C$8,3,FALSE),0)</f>
        <v>3393</v>
      </c>
    </row>
    <row r="5610" spans="1:10" x14ac:dyDescent="0.25">
      <c r="A5610" t="s">
        <v>5777</v>
      </c>
      <c r="B5610" t="s">
        <v>144</v>
      </c>
      <c r="C5610" t="s">
        <v>120</v>
      </c>
      <c r="D5610" t="s">
        <v>41</v>
      </c>
      <c r="E5610" t="s">
        <v>138</v>
      </c>
      <c r="F5610" s="1">
        <v>42948</v>
      </c>
      <c r="G5610" s="1">
        <v>42953</v>
      </c>
      <c r="H5610">
        <v>606</v>
      </c>
      <c r="I5610" t="str">
        <f>IF(COUNTIF(Products!$A$2:$A$8,C5610)=0,C5610,"")</f>
        <v/>
      </c>
      <c r="J5610">
        <f>IF(OR(E5610="Prospecting",E5610="Engaging"),VLOOKUP(C5610,Products!$A$2:$C$8,3,FALSE),0)</f>
        <v>0</v>
      </c>
    </row>
    <row r="5611" spans="1:10" x14ac:dyDescent="0.25">
      <c r="A5611" t="s">
        <v>5778</v>
      </c>
      <c r="B5611" t="s">
        <v>239</v>
      </c>
      <c r="C5611" t="s">
        <v>127</v>
      </c>
      <c r="D5611" t="s">
        <v>27</v>
      </c>
      <c r="E5611" t="s">
        <v>138</v>
      </c>
      <c r="F5611" s="1">
        <v>42949</v>
      </c>
      <c r="G5611" s="1">
        <v>43048</v>
      </c>
      <c r="H5611">
        <v>1123</v>
      </c>
      <c r="I5611" t="str">
        <f>IF(COUNTIF(Products!$A$2:$A$8,C5611)=0,C5611,"")</f>
        <v/>
      </c>
      <c r="J5611">
        <f>IF(OR(E5611="Prospecting",E5611="Engaging"),VLOOKUP(C5611,Products!$A$2:$C$8,3,FALSE),0)</f>
        <v>0</v>
      </c>
    </row>
    <row r="5612" spans="1:10" x14ac:dyDescent="0.25">
      <c r="A5612" t="s">
        <v>5779</v>
      </c>
      <c r="B5612" t="s">
        <v>239</v>
      </c>
      <c r="C5612" t="s">
        <v>122</v>
      </c>
      <c r="D5612" t="s">
        <v>63</v>
      </c>
      <c r="E5612" t="s">
        <v>138</v>
      </c>
      <c r="F5612" s="1">
        <v>42949</v>
      </c>
      <c r="G5612" s="1">
        <v>42959</v>
      </c>
      <c r="H5612">
        <v>5205</v>
      </c>
      <c r="I5612" t="str">
        <f>IF(COUNTIF(Products!$A$2:$A$8,C5612)=0,C5612,"")</f>
        <v/>
      </c>
      <c r="J5612">
        <f>IF(OR(E5612="Prospecting",E5612="Engaging"),VLOOKUP(C5612,Products!$A$2:$C$8,3,FALSE),0)</f>
        <v>0</v>
      </c>
    </row>
    <row r="5613" spans="1:10" x14ac:dyDescent="0.25">
      <c r="A5613" t="s">
        <v>5780</v>
      </c>
      <c r="B5613" t="s">
        <v>171</v>
      </c>
      <c r="C5613" t="s">
        <v>120</v>
      </c>
      <c r="D5613" t="s">
        <v>110</v>
      </c>
      <c r="E5613" t="s">
        <v>138</v>
      </c>
      <c r="F5613" s="1">
        <v>42949</v>
      </c>
      <c r="G5613" s="1">
        <v>43040</v>
      </c>
      <c r="H5613">
        <v>592</v>
      </c>
      <c r="I5613" t="str">
        <f>IF(COUNTIF(Products!$A$2:$A$8,C5613)=0,C5613,"")</f>
        <v/>
      </c>
      <c r="J5613">
        <f>IF(OR(E5613="Prospecting",E5613="Engaging"),VLOOKUP(C5613,Products!$A$2:$C$8,3,FALSE),0)</f>
        <v>0</v>
      </c>
    </row>
    <row r="5614" spans="1:10" x14ac:dyDescent="0.25">
      <c r="A5614" t="s">
        <v>5781</v>
      </c>
      <c r="B5614" t="s">
        <v>171</v>
      </c>
      <c r="C5614" t="s">
        <v>126</v>
      </c>
      <c r="D5614" t="s">
        <v>105</v>
      </c>
      <c r="E5614" t="s">
        <v>138</v>
      </c>
      <c r="F5614" s="1">
        <v>42949</v>
      </c>
      <c r="G5614" s="1">
        <v>42961</v>
      </c>
      <c r="H5614">
        <v>6284</v>
      </c>
      <c r="I5614" t="str">
        <f>IF(COUNTIF(Products!$A$2:$A$8,C5614)=0,C5614,"")</f>
        <v/>
      </c>
      <c r="J5614">
        <f>IF(OR(E5614="Prospecting",E5614="Engaging"),VLOOKUP(C5614,Products!$A$2:$C$8,3,FALSE),0)</f>
        <v>0</v>
      </c>
    </row>
    <row r="5615" spans="1:10" x14ac:dyDescent="0.25">
      <c r="A5615" t="s">
        <v>5782</v>
      </c>
      <c r="B5615" t="s">
        <v>158</v>
      </c>
      <c r="C5615" t="s">
        <v>123</v>
      </c>
      <c r="D5615" t="s">
        <v>77</v>
      </c>
      <c r="E5615" t="s">
        <v>159</v>
      </c>
      <c r="F5615" s="1">
        <v>42949</v>
      </c>
      <c r="G5615" s="1">
        <v>43046</v>
      </c>
      <c r="H5615">
        <v>0</v>
      </c>
      <c r="I5615" t="str">
        <f>IF(COUNTIF(Products!$A$2:$A$8,C5615)=0,C5615,"")</f>
        <v/>
      </c>
      <c r="J5615">
        <f>IF(OR(E5615="Prospecting",E5615="Engaging"),VLOOKUP(C5615,Products!$A$2:$C$8,3,FALSE),0)</f>
        <v>0</v>
      </c>
    </row>
    <row r="5616" spans="1:10" x14ac:dyDescent="0.25">
      <c r="A5616" t="s">
        <v>5783</v>
      </c>
      <c r="B5616" t="s">
        <v>164</v>
      </c>
      <c r="C5616" t="s">
        <v>125</v>
      </c>
      <c r="D5616" t="s">
        <v>71</v>
      </c>
      <c r="E5616" t="s">
        <v>159</v>
      </c>
      <c r="F5616" s="1">
        <v>42949</v>
      </c>
      <c r="G5616" s="1">
        <v>42957</v>
      </c>
      <c r="H5616">
        <v>0</v>
      </c>
      <c r="I5616" t="str">
        <f>IF(COUNTIF(Products!$A$2:$A$8,C5616)=0,C5616,"")</f>
        <v/>
      </c>
      <c r="J5616">
        <f>IF(OR(E5616="Prospecting",E5616="Engaging"),VLOOKUP(C5616,Products!$A$2:$C$8,3,FALSE),0)</f>
        <v>0</v>
      </c>
    </row>
    <row r="5617" spans="1:10" x14ac:dyDescent="0.25">
      <c r="A5617" t="s">
        <v>5784</v>
      </c>
      <c r="B5617" t="s">
        <v>154</v>
      </c>
      <c r="C5617" t="s">
        <v>122</v>
      </c>
      <c r="D5617" t="s">
        <v>72</v>
      </c>
      <c r="E5617" t="s">
        <v>159</v>
      </c>
      <c r="F5617" s="1">
        <v>42949</v>
      </c>
      <c r="G5617" s="1">
        <v>43041</v>
      </c>
      <c r="H5617">
        <v>0</v>
      </c>
      <c r="I5617" t="str">
        <f>IF(COUNTIF(Products!$A$2:$A$8,C5617)=0,C5617,"")</f>
        <v/>
      </c>
      <c r="J5617">
        <f>IF(OR(E5617="Prospecting",E5617="Engaging"),VLOOKUP(C5617,Products!$A$2:$C$8,3,FALSE),0)</f>
        <v>0</v>
      </c>
    </row>
    <row r="5618" spans="1:10" x14ac:dyDescent="0.25">
      <c r="A5618" t="s">
        <v>5785</v>
      </c>
      <c r="B5618" t="s">
        <v>154</v>
      </c>
      <c r="C5618" t="s">
        <v>126</v>
      </c>
      <c r="D5618" t="s">
        <v>67</v>
      </c>
      <c r="E5618" t="s">
        <v>138</v>
      </c>
      <c r="F5618" s="1">
        <v>42949</v>
      </c>
      <c r="G5618" s="1">
        <v>42952</v>
      </c>
      <c r="H5618">
        <v>4231</v>
      </c>
      <c r="I5618" t="str">
        <f>IF(COUNTIF(Products!$A$2:$A$8,C5618)=0,C5618,"")</f>
        <v/>
      </c>
      <c r="J5618">
        <f>IF(OR(E5618="Prospecting",E5618="Engaging"),VLOOKUP(C5618,Products!$A$2:$C$8,3,FALSE),0)</f>
        <v>0</v>
      </c>
    </row>
    <row r="5619" spans="1:10" x14ac:dyDescent="0.25">
      <c r="A5619" t="s">
        <v>5786</v>
      </c>
      <c r="B5619" t="s">
        <v>303</v>
      </c>
      <c r="C5619" t="s">
        <v>120</v>
      </c>
      <c r="E5619" t="s">
        <v>155</v>
      </c>
      <c r="F5619" s="1">
        <v>42949</v>
      </c>
      <c r="I5619" t="str">
        <f>IF(COUNTIF(Products!$A$2:$A$8,C5619)=0,C5619,"")</f>
        <v/>
      </c>
      <c r="J5619">
        <f>IF(OR(E5619="Prospecting",E5619="Engaging"),VLOOKUP(C5619,Products!$A$2:$C$8,3,FALSE),0)</f>
        <v>550</v>
      </c>
    </row>
    <row r="5620" spans="1:10" x14ac:dyDescent="0.25">
      <c r="A5620" t="s">
        <v>5787</v>
      </c>
      <c r="B5620" t="s">
        <v>217</v>
      </c>
      <c r="C5620" t="s">
        <v>126</v>
      </c>
      <c r="D5620" t="s">
        <v>77</v>
      </c>
      <c r="E5620" t="s">
        <v>159</v>
      </c>
      <c r="F5620" s="1">
        <v>42949</v>
      </c>
      <c r="G5620" s="1">
        <v>42960</v>
      </c>
      <c r="H5620">
        <v>0</v>
      </c>
      <c r="I5620" t="str">
        <f>IF(COUNTIF(Products!$A$2:$A$8,C5620)=0,C5620,"")</f>
        <v/>
      </c>
      <c r="J5620">
        <f>IF(OR(E5620="Prospecting",E5620="Engaging"),VLOOKUP(C5620,Products!$A$2:$C$8,3,FALSE),0)</f>
        <v>0</v>
      </c>
    </row>
    <row r="5621" spans="1:10" x14ac:dyDescent="0.25">
      <c r="A5621" t="s">
        <v>5788</v>
      </c>
      <c r="B5621" t="s">
        <v>217</v>
      </c>
      <c r="C5621" t="s">
        <v>125</v>
      </c>
      <c r="D5621" t="s">
        <v>116</v>
      </c>
      <c r="E5621" t="s">
        <v>159</v>
      </c>
      <c r="F5621" s="1">
        <v>42949</v>
      </c>
      <c r="G5621" s="1">
        <v>42960</v>
      </c>
      <c r="H5621">
        <v>0</v>
      </c>
      <c r="I5621" t="str">
        <f>IF(COUNTIF(Products!$A$2:$A$8,C5621)=0,C5621,"")</f>
        <v/>
      </c>
      <c r="J5621">
        <f>IF(OR(E5621="Prospecting",E5621="Engaging"),VLOOKUP(C5621,Products!$A$2:$C$8,3,FALSE),0)</f>
        <v>0</v>
      </c>
    </row>
    <row r="5622" spans="1:10" x14ac:dyDescent="0.25">
      <c r="A5622" t="s">
        <v>5789</v>
      </c>
      <c r="B5622" t="s">
        <v>137</v>
      </c>
      <c r="C5622" t="s">
        <v>125</v>
      </c>
      <c r="D5622" t="s">
        <v>33</v>
      </c>
      <c r="E5622" t="s">
        <v>155</v>
      </c>
      <c r="F5622" s="1">
        <v>42949</v>
      </c>
      <c r="I5622" t="str">
        <f>IF(COUNTIF(Products!$A$2:$A$8,C5622)=0,C5622,"")</f>
        <v/>
      </c>
      <c r="J5622">
        <f>IF(OR(E5622="Prospecting",E5622="Engaging"),VLOOKUP(C5622,Products!$A$2:$C$8,3,FALSE),0)</f>
        <v>3393</v>
      </c>
    </row>
    <row r="5623" spans="1:10" x14ac:dyDescent="0.25">
      <c r="A5623" t="s">
        <v>5790</v>
      </c>
      <c r="B5623" t="s">
        <v>152</v>
      </c>
      <c r="C5623" t="s">
        <v>122</v>
      </c>
      <c r="E5623" t="s">
        <v>155</v>
      </c>
      <c r="F5623" s="1">
        <v>42949</v>
      </c>
      <c r="I5623" t="str">
        <f>IF(COUNTIF(Products!$A$2:$A$8,C5623)=0,C5623,"")</f>
        <v/>
      </c>
      <c r="J5623">
        <f>IF(OR(E5623="Prospecting",E5623="Engaging"),VLOOKUP(C5623,Products!$A$2:$C$8,3,FALSE),0)</f>
        <v>4821</v>
      </c>
    </row>
    <row r="5624" spans="1:10" x14ac:dyDescent="0.25">
      <c r="A5624" t="s">
        <v>5791</v>
      </c>
      <c r="B5624" t="s">
        <v>193</v>
      </c>
      <c r="C5624" t="s">
        <v>125</v>
      </c>
      <c r="D5624" t="s">
        <v>68</v>
      </c>
      <c r="E5624" t="s">
        <v>159</v>
      </c>
      <c r="F5624" s="1">
        <v>42949</v>
      </c>
      <c r="G5624" s="1">
        <v>43062</v>
      </c>
      <c r="H5624">
        <v>0</v>
      </c>
      <c r="I5624" t="str">
        <f>IF(COUNTIF(Products!$A$2:$A$8,C5624)=0,C5624,"")</f>
        <v/>
      </c>
      <c r="J5624">
        <f>IF(OR(E5624="Prospecting",E5624="Engaging"),VLOOKUP(C5624,Products!$A$2:$C$8,3,FALSE),0)</f>
        <v>0</v>
      </c>
    </row>
    <row r="5625" spans="1:10" x14ac:dyDescent="0.25">
      <c r="A5625" t="s">
        <v>5792</v>
      </c>
      <c r="B5625" t="s">
        <v>169</v>
      </c>
      <c r="C5625" t="s">
        <v>123</v>
      </c>
      <c r="E5625" t="s">
        <v>155</v>
      </c>
      <c r="F5625" s="1">
        <v>42949</v>
      </c>
      <c r="I5625" t="str">
        <f>IF(COUNTIF(Products!$A$2:$A$8,C5625)=0,C5625,"")</f>
        <v/>
      </c>
      <c r="J5625">
        <f>IF(OR(E5625="Prospecting",E5625="Engaging"),VLOOKUP(C5625,Products!$A$2:$C$8,3,FALSE),0)</f>
        <v>55</v>
      </c>
    </row>
    <row r="5626" spans="1:10" x14ac:dyDescent="0.25">
      <c r="A5626" t="s">
        <v>5793</v>
      </c>
      <c r="B5626" t="s">
        <v>169</v>
      </c>
      <c r="C5626" t="s">
        <v>123</v>
      </c>
      <c r="E5626" t="s">
        <v>155</v>
      </c>
      <c r="F5626" s="1">
        <v>42949</v>
      </c>
      <c r="I5626" t="str">
        <f>IF(COUNTIF(Products!$A$2:$A$8,C5626)=0,C5626,"")</f>
        <v/>
      </c>
      <c r="J5626">
        <f>IF(OR(E5626="Prospecting",E5626="Engaging"),VLOOKUP(C5626,Products!$A$2:$C$8,3,FALSE),0)</f>
        <v>55</v>
      </c>
    </row>
    <row r="5627" spans="1:10" x14ac:dyDescent="0.25">
      <c r="A5627" t="s">
        <v>5794</v>
      </c>
      <c r="B5627" t="s">
        <v>148</v>
      </c>
      <c r="C5627" t="s">
        <v>125</v>
      </c>
      <c r="E5627" t="s">
        <v>155</v>
      </c>
      <c r="F5627" s="1">
        <v>42949</v>
      </c>
      <c r="I5627" t="str">
        <f>IF(COUNTIF(Products!$A$2:$A$8,C5627)=0,C5627,"")</f>
        <v/>
      </c>
      <c r="J5627">
        <f>IF(OR(E5627="Prospecting",E5627="Engaging"),VLOOKUP(C5627,Products!$A$2:$C$8,3,FALSE),0)</f>
        <v>3393</v>
      </c>
    </row>
    <row r="5628" spans="1:10" x14ac:dyDescent="0.25">
      <c r="A5628" t="s">
        <v>5795</v>
      </c>
      <c r="B5628" t="s">
        <v>177</v>
      </c>
      <c r="C5628" t="s">
        <v>123</v>
      </c>
      <c r="D5628" t="s">
        <v>19</v>
      </c>
      <c r="E5628" t="s">
        <v>138</v>
      </c>
      <c r="F5628" s="1">
        <v>42949</v>
      </c>
      <c r="G5628" s="1">
        <v>42957</v>
      </c>
      <c r="H5628">
        <v>53</v>
      </c>
      <c r="I5628" t="str">
        <f>IF(COUNTIF(Products!$A$2:$A$8,C5628)=0,C5628,"")</f>
        <v/>
      </c>
      <c r="J5628">
        <f>IF(OR(E5628="Prospecting",E5628="Engaging"),VLOOKUP(C5628,Products!$A$2:$C$8,3,FALSE),0)</f>
        <v>0</v>
      </c>
    </row>
    <row r="5629" spans="1:10" x14ac:dyDescent="0.25">
      <c r="A5629" t="s">
        <v>5796</v>
      </c>
      <c r="B5629" t="s">
        <v>146</v>
      </c>
      <c r="C5629" t="s">
        <v>123</v>
      </c>
      <c r="E5629" t="s">
        <v>155</v>
      </c>
      <c r="F5629" s="1">
        <v>42950</v>
      </c>
      <c r="I5629" t="str">
        <f>IF(COUNTIF(Products!$A$2:$A$8,C5629)=0,C5629,"")</f>
        <v/>
      </c>
      <c r="J5629">
        <f>IF(OR(E5629="Prospecting",E5629="Engaging"),VLOOKUP(C5629,Products!$A$2:$C$8,3,FALSE),0)</f>
        <v>55</v>
      </c>
    </row>
    <row r="5630" spans="1:10" x14ac:dyDescent="0.25">
      <c r="A5630" t="s">
        <v>5797</v>
      </c>
      <c r="B5630" t="s">
        <v>146</v>
      </c>
      <c r="C5630" t="s">
        <v>125</v>
      </c>
      <c r="D5630" t="s">
        <v>48</v>
      </c>
      <c r="E5630" t="s">
        <v>155</v>
      </c>
      <c r="F5630" s="1">
        <v>42950</v>
      </c>
      <c r="I5630" t="str">
        <f>IF(COUNTIF(Products!$A$2:$A$8,C5630)=0,C5630,"")</f>
        <v/>
      </c>
      <c r="J5630">
        <f>IF(OR(E5630="Prospecting",E5630="Engaging"),VLOOKUP(C5630,Products!$A$2:$C$8,3,FALSE),0)</f>
        <v>3393</v>
      </c>
    </row>
    <row r="5631" spans="1:10" x14ac:dyDescent="0.25">
      <c r="A5631" t="s">
        <v>5798</v>
      </c>
      <c r="B5631" t="s">
        <v>146</v>
      </c>
      <c r="C5631" t="s">
        <v>123</v>
      </c>
      <c r="D5631" t="s">
        <v>22</v>
      </c>
      <c r="E5631" t="s">
        <v>138</v>
      </c>
      <c r="F5631" s="1">
        <v>42950</v>
      </c>
      <c r="G5631" s="1">
        <v>42963</v>
      </c>
      <c r="H5631">
        <v>52</v>
      </c>
      <c r="I5631" t="str">
        <f>IF(COUNTIF(Products!$A$2:$A$8,C5631)=0,C5631,"")</f>
        <v/>
      </c>
      <c r="J5631">
        <f>IF(OR(E5631="Prospecting",E5631="Engaging"),VLOOKUP(C5631,Products!$A$2:$C$8,3,FALSE),0)</f>
        <v>0</v>
      </c>
    </row>
    <row r="5632" spans="1:10" x14ac:dyDescent="0.25">
      <c r="A5632" t="s">
        <v>5799</v>
      </c>
      <c r="B5632" t="s">
        <v>222</v>
      </c>
      <c r="C5632" t="s">
        <v>127</v>
      </c>
      <c r="D5632" t="s">
        <v>50</v>
      </c>
      <c r="E5632" t="s">
        <v>138</v>
      </c>
      <c r="F5632" s="1">
        <v>42950</v>
      </c>
      <c r="G5632" s="1">
        <v>42969</v>
      </c>
      <c r="H5632">
        <v>938</v>
      </c>
      <c r="I5632" t="str">
        <f>IF(COUNTIF(Products!$A$2:$A$8,C5632)=0,C5632,"")</f>
        <v/>
      </c>
      <c r="J5632">
        <f>IF(OR(E5632="Prospecting",E5632="Engaging"),VLOOKUP(C5632,Products!$A$2:$C$8,3,FALSE),0)</f>
        <v>0</v>
      </c>
    </row>
    <row r="5633" spans="1:10" x14ac:dyDescent="0.25">
      <c r="A5633" t="s">
        <v>5800</v>
      </c>
      <c r="B5633" t="s">
        <v>207</v>
      </c>
      <c r="C5633" t="s">
        <v>126</v>
      </c>
      <c r="E5633" t="s">
        <v>155</v>
      </c>
      <c r="F5633" s="1">
        <v>42950</v>
      </c>
      <c r="I5633" t="str">
        <f>IF(COUNTIF(Products!$A$2:$A$8,C5633)=0,C5633,"")</f>
        <v/>
      </c>
      <c r="J5633">
        <f>IF(OR(E5633="Prospecting",E5633="Engaging"),VLOOKUP(C5633,Products!$A$2:$C$8,3,FALSE),0)</f>
        <v>5482</v>
      </c>
    </row>
    <row r="5634" spans="1:10" x14ac:dyDescent="0.25">
      <c r="A5634" t="s">
        <v>5801</v>
      </c>
      <c r="B5634" t="s">
        <v>264</v>
      </c>
      <c r="C5634" t="s">
        <v>125</v>
      </c>
      <c r="E5634" t="s">
        <v>155</v>
      </c>
      <c r="F5634" s="1">
        <v>42950</v>
      </c>
      <c r="I5634" t="str">
        <f>IF(COUNTIF(Products!$A$2:$A$8,C5634)=0,C5634,"")</f>
        <v/>
      </c>
      <c r="J5634">
        <f>IF(OR(E5634="Prospecting",E5634="Engaging"),VLOOKUP(C5634,Products!$A$2:$C$8,3,FALSE),0)</f>
        <v>3393</v>
      </c>
    </row>
    <row r="5635" spans="1:10" x14ac:dyDescent="0.25">
      <c r="A5635" t="s">
        <v>5802</v>
      </c>
      <c r="B5635" t="s">
        <v>140</v>
      </c>
      <c r="C5635" t="s">
        <v>125</v>
      </c>
      <c r="D5635" t="s">
        <v>32</v>
      </c>
      <c r="E5635" t="s">
        <v>159</v>
      </c>
      <c r="F5635" s="1">
        <v>42950</v>
      </c>
      <c r="G5635" s="1">
        <v>42955</v>
      </c>
      <c r="H5635">
        <v>0</v>
      </c>
      <c r="I5635" t="str">
        <f>IF(COUNTIF(Products!$A$2:$A$8,C5635)=0,C5635,"")</f>
        <v/>
      </c>
      <c r="J5635">
        <f>IF(OR(E5635="Prospecting",E5635="Engaging"),VLOOKUP(C5635,Products!$A$2:$C$8,3,FALSE),0)</f>
        <v>0</v>
      </c>
    </row>
    <row r="5636" spans="1:10" x14ac:dyDescent="0.25">
      <c r="A5636" t="s">
        <v>5803</v>
      </c>
      <c r="B5636" t="s">
        <v>224</v>
      </c>
      <c r="C5636" t="s">
        <v>127</v>
      </c>
      <c r="D5636" t="s">
        <v>16</v>
      </c>
      <c r="E5636" t="s">
        <v>138</v>
      </c>
      <c r="F5636" s="1">
        <v>42950</v>
      </c>
      <c r="G5636" s="1">
        <v>42991</v>
      </c>
      <c r="H5636">
        <v>1050</v>
      </c>
      <c r="I5636" t="str">
        <f>IF(COUNTIF(Products!$A$2:$A$8,C5636)=0,C5636,"")</f>
        <v/>
      </c>
      <c r="J5636">
        <f>IF(OR(E5636="Prospecting",E5636="Engaging"),VLOOKUP(C5636,Products!$A$2:$C$8,3,FALSE),0)</f>
        <v>0</v>
      </c>
    </row>
    <row r="5637" spans="1:10" x14ac:dyDescent="0.25">
      <c r="A5637" t="s">
        <v>5804</v>
      </c>
      <c r="B5637" t="s">
        <v>224</v>
      </c>
      <c r="C5637" t="s">
        <v>125</v>
      </c>
      <c r="D5637" t="s">
        <v>106</v>
      </c>
      <c r="E5637" t="s">
        <v>138</v>
      </c>
      <c r="F5637" s="1">
        <v>42950</v>
      </c>
      <c r="G5637" s="1">
        <v>42958</v>
      </c>
      <c r="H5637">
        <v>3440</v>
      </c>
      <c r="I5637" t="str">
        <f>IF(COUNTIF(Products!$A$2:$A$8,C5637)=0,C5637,"")</f>
        <v/>
      </c>
      <c r="J5637">
        <f>IF(OR(E5637="Prospecting",E5637="Engaging"),VLOOKUP(C5637,Products!$A$2:$C$8,3,FALSE),0)</f>
        <v>0</v>
      </c>
    </row>
    <row r="5638" spans="1:10" x14ac:dyDescent="0.25">
      <c r="A5638" t="s">
        <v>5805</v>
      </c>
      <c r="B5638" t="s">
        <v>173</v>
      </c>
      <c r="C5638" t="s">
        <v>128</v>
      </c>
      <c r="E5638" t="s">
        <v>155</v>
      </c>
      <c r="F5638" s="1">
        <v>42950</v>
      </c>
      <c r="I5638" t="str">
        <f>IF(COUNTIF(Products!$A$2:$A$8,C5638)=0,C5638,"")</f>
        <v/>
      </c>
      <c r="J5638">
        <f>IF(OR(E5638="Prospecting",E5638="Engaging"),VLOOKUP(C5638,Products!$A$2:$C$8,3,FALSE),0)</f>
        <v>26768</v>
      </c>
    </row>
    <row r="5639" spans="1:10" x14ac:dyDescent="0.25">
      <c r="A5639" t="s">
        <v>5806</v>
      </c>
      <c r="B5639" t="s">
        <v>158</v>
      </c>
      <c r="C5639" t="s">
        <v>123</v>
      </c>
      <c r="D5639" t="s">
        <v>12</v>
      </c>
      <c r="E5639" t="s">
        <v>155</v>
      </c>
      <c r="F5639" s="1">
        <v>42950</v>
      </c>
      <c r="I5639" t="str">
        <f>IF(COUNTIF(Products!$A$2:$A$8,C5639)=0,C5639,"")</f>
        <v/>
      </c>
      <c r="J5639">
        <f>IF(OR(E5639="Prospecting",E5639="Engaging"),VLOOKUP(C5639,Products!$A$2:$C$8,3,FALSE),0)</f>
        <v>55</v>
      </c>
    </row>
    <row r="5640" spans="1:10" x14ac:dyDescent="0.25">
      <c r="A5640" t="s">
        <v>5807</v>
      </c>
      <c r="B5640" t="s">
        <v>158</v>
      </c>
      <c r="C5640" t="s">
        <v>123</v>
      </c>
      <c r="E5640" t="s">
        <v>155</v>
      </c>
      <c r="F5640" s="1">
        <v>42950</v>
      </c>
      <c r="I5640" t="str">
        <f>IF(COUNTIF(Products!$A$2:$A$8,C5640)=0,C5640,"")</f>
        <v/>
      </c>
      <c r="J5640">
        <f>IF(OR(E5640="Prospecting",E5640="Engaging"),VLOOKUP(C5640,Products!$A$2:$C$8,3,FALSE),0)</f>
        <v>55</v>
      </c>
    </row>
    <row r="5641" spans="1:10" x14ac:dyDescent="0.25">
      <c r="A5641" t="s">
        <v>5808</v>
      </c>
      <c r="B5641" t="s">
        <v>158</v>
      </c>
      <c r="C5641" t="s">
        <v>122</v>
      </c>
      <c r="D5641" t="s">
        <v>89</v>
      </c>
      <c r="E5641" t="s">
        <v>159</v>
      </c>
      <c r="F5641" s="1">
        <v>42950</v>
      </c>
      <c r="G5641" s="1">
        <v>42962</v>
      </c>
      <c r="H5641">
        <v>0</v>
      </c>
      <c r="I5641" t="str">
        <f>IF(COUNTIF(Products!$A$2:$A$8,C5641)=0,C5641,"")</f>
        <v/>
      </c>
      <c r="J5641">
        <f>IF(OR(E5641="Prospecting",E5641="Engaging"),VLOOKUP(C5641,Products!$A$2:$C$8,3,FALSE),0)</f>
        <v>0</v>
      </c>
    </row>
    <row r="5642" spans="1:10" x14ac:dyDescent="0.25">
      <c r="A5642" t="s">
        <v>5809</v>
      </c>
      <c r="B5642" t="s">
        <v>303</v>
      </c>
      <c r="C5642" t="s">
        <v>120</v>
      </c>
      <c r="E5642" t="s">
        <v>155</v>
      </c>
      <c r="F5642" s="1">
        <v>42950</v>
      </c>
      <c r="I5642" t="str">
        <f>IF(COUNTIF(Products!$A$2:$A$8,C5642)=0,C5642,"")</f>
        <v/>
      </c>
      <c r="J5642">
        <f>IF(OR(E5642="Prospecting",E5642="Engaging"),VLOOKUP(C5642,Products!$A$2:$C$8,3,FALSE),0)</f>
        <v>550</v>
      </c>
    </row>
    <row r="5643" spans="1:10" x14ac:dyDescent="0.25">
      <c r="A5643" t="s">
        <v>5810</v>
      </c>
      <c r="B5643" t="s">
        <v>180</v>
      </c>
      <c r="C5643" t="s">
        <v>123</v>
      </c>
      <c r="D5643" t="s">
        <v>22</v>
      </c>
      <c r="E5643" t="s">
        <v>155</v>
      </c>
      <c r="F5643" s="1">
        <v>42950</v>
      </c>
      <c r="I5643" t="str">
        <f>IF(COUNTIF(Products!$A$2:$A$8,C5643)=0,C5643,"")</f>
        <v/>
      </c>
      <c r="J5643">
        <f>IF(OR(E5643="Prospecting",E5643="Engaging"),VLOOKUP(C5643,Products!$A$2:$C$8,3,FALSE),0)</f>
        <v>55</v>
      </c>
    </row>
    <row r="5644" spans="1:10" x14ac:dyDescent="0.25">
      <c r="A5644" t="s">
        <v>5811</v>
      </c>
      <c r="B5644" t="s">
        <v>191</v>
      </c>
      <c r="C5644" t="s">
        <v>120</v>
      </c>
      <c r="E5644" t="s">
        <v>155</v>
      </c>
      <c r="F5644" s="1">
        <v>42950</v>
      </c>
      <c r="I5644" t="str">
        <f>IF(COUNTIF(Products!$A$2:$A$8,C5644)=0,C5644,"")</f>
        <v/>
      </c>
      <c r="J5644">
        <f>IF(OR(E5644="Prospecting",E5644="Engaging"),VLOOKUP(C5644,Products!$A$2:$C$8,3,FALSE),0)</f>
        <v>550</v>
      </c>
    </row>
    <row r="5645" spans="1:10" x14ac:dyDescent="0.25">
      <c r="A5645" t="s">
        <v>5812</v>
      </c>
      <c r="B5645" t="s">
        <v>191</v>
      </c>
      <c r="C5645" t="s">
        <v>127</v>
      </c>
      <c r="D5645" t="s">
        <v>69</v>
      </c>
      <c r="E5645" t="s">
        <v>159</v>
      </c>
      <c r="F5645" s="1">
        <v>42950</v>
      </c>
      <c r="G5645" s="1">
        <v>43048</v>
      </c>
      <c r="H5645">
        <v>0</v>
      </c>
      <c r="I5645" t="str">
        <f>IF(COUNTIF(Products!$A$2:$A$8,C5645)=0,C5645,"")</f>
        <v/>
      </c>
      <c r="J5645">
        <f>IF(OR(E5645="Prospecting",E5645="Engaging"),VLOOKUP(C5645,Products!$A$2:$C$8,3,FALSE),0)</f>
        <v>0</v>
      </c>
    </row>
    <row r="5646" spans="1:10" x14ac:dyDescent="0.25">
      <c r="A5646" t="s">
        <v>5813</v>
      </c>
      <c r="B5646" t="s">
        <v>217</v>
      </c>
      <c r="C5646" t="s">
        <v>123</v>
      </c>
      <c r="E5646" t="s">
        <v>155</v>
      </c>
      <c r="F5646" s="1">
        <v>42950</v>
      </c>
      <c r="I5646" t="str">
        <f>IF(COUNTIF(Products!$A$2:$A$8,C5646)=0,C5646,"")</f>
        <v/>
      </c>
      <c r="J5646">
        <f>IF(OR(E5646="Prospecting",E5646="Engaging"),VLOOKUP(C5646,Products!$A$2:$C$8,3,FALSE),0)</f>
        <v>55</v>
      </c>
    </row>
    <row r="5647" spans="1:10" x14ac:dyDescent="0.25">
      <c r="A5647" t="s">
        <v>5814</v>
      </c>
      <c r="B5647" t="s">
        <v>217</v>
      </c>
      <c r="C5647" t="s">
        <v>125</v>
      </c>
      <c r="D5647" t="s">
        <v>7</v>
      </c>
      <c r="E5647" t="s">
        <v>155</v>
      </c>
      <c r="F5647" s="1">
        <v>42950</v>
      </c>
      <c r="I5647" t="str">
        <f>IF(COUNTIF(Products!$A$2:$A$8,C5647)=0,C5647,"")</f>
        <v/>
      </c>
      <c r="J5647">
        <f>IF(OR(E5647="Prospecting",E5647="Engaging"),VLOOKUP(C5647,Products!$A$2:$C$8,3,FALSE),0)</f>
        <v>3393</v>
      </c>
    </row>
    <row r="5648" spans="1:10" x14ac:dyDescent="0.25">
      <c r="A5648" t="s">
        <v>5815</v>
      </c>
      <c r="B5648" t="s">
        <v>205</v>
      </c>
      <c r="C5648" t="s">
        <v>125</v>
      </c>
      <c r="E5648" t="s">
        <v>155</v>
      </c>
      <c r="F5648" s="1">
        <v>42950</v>
      </c>
      <c r="I5648" t="str">
        <f>IF(COUNTIF(Products!$A$2:$A$8,C5648)=0,C5648,"")</f>
        <v/>
      </c>
      <c r="J5648">
        <f>IF(OR(E5648="Prospecting",E5648="Engaging"),VLOOKUP(C5648,Products!$A$2:$C$8,3,FALSE),0)</f>
        <v>3393</v>
      </c>
    </row>
    <row r="5649" spans="1:10" x14ac:dyDescent="0.25">
      <c r="A5649" t="s">
        <v>5816</v>
      </c>
      <c r="B5649" t="s">
        <v>137</v>
      </c>
      <c r="C5649" t="s">
        <v>125</v>
      </c>
      <c r="D5649" t="s">
        <v>105</v>
      </c>
      <c r="E5649" t="s">
        <v>155</v>
      </c>
      <c r="F5649" s="1">
        <v>42950</v>
      </c>
      <c r="I5649" t="str">
        <f>IF(COUNTIF(Products!$A$2:$A$8,C5649)=0,C5649,"")</f>
        <v/>
      </c>
      <c r="J5649">
        <f>IF(OR(E5649="Prospecting",E5649="Engaging"),VLOOKUP(C5649,Products!$A$2:$C$8,3,FALSE),0)</f>
        <v>3393</v>
      </c>
    </row>
    <row r="5650" spans="1:10" x14ac:dyDescent="0.25">
      <c r="A5650" t="s">
        <v>5817</v>
      </c>
      <c r="B5650" t="s">
        <v>152</v>
      </c>
      <c r="C5650" t="s">
        <v>127</v>
      </c>
      <c r="D5650" t="s">
        <v>55</v>
      </c>
      <c r="E5650" t="s">
        <v>155</v>
      </c>
      <c r="F5650" s="1">
        <v>42950</v>
      </c>
      <c r="I5650" t="str">
        <f>IF(COUNTIF(Products!$A$2:$A$8,C5650)=0,C5650,"")</f>
        <v/>
      </c>
      <c r="J5650">
        <f>IF(OR(E5650="Prospecting",E5650="Engaging"),VLOOKUP(C5650,Products!$A$2:$C$8,3,FALSE),0)</f>
        <v>1096</v>
      </c>
    </row>
    <row r="5651" spans="1:10" x14ac:dyDescent="0.25">
      <c r="A5651" t="s">
        <v>5818</v>
      </c>
      <c r="B5651" t="s">
        <v>152</v>
      </c>
      <c r="C5651" t="s">
        <v>123</v>
      </c>
      <c r="E5651" t="s">
        <v>155</v>
      </c>
      <c r="F5651" s="1">
        <v>42950</v>
      </c>
      <c r="I5651" t="str">
        <f>IF(COUNTIF(Products!$A$2:$A$8,C5651)=0,C5651,"")</f>
        <v/>
      </c>
      <c r="J5651">
        <f>IF(OR(E5651="Prospecting",E5651="Engaging"),VLOOKUP(C5651,Products!$A$2:$C$8,3,FALSE),0)</f>
        <v>55</v>
      </c>
    </row>
    <row r="5652" spans="1:10" x14ac:dyDescent="0.25">
      <c r="A5652" t="s">
        <v>5819</v>
      </c>
      <c r="B5652" t="s">
        <v>152</v>
      </c>
      <c r="C5652" t="s">
        <v>127</v>
      </c>
      <c r="D5652" t="s">
        <v>32</v>
      </c>
      <c r="E5652" t="s">
        <v>138</v>
      </c>
      <c r="F5652" s="1">
        <v>42950</v>
      </c>
      <c r="G5652" s="1">
        <v>42968</v>
      </c>
      <c r="H5652">
        <v>1126</v>
      </c>
      <c r="I5652" t="str">
        <f>IF(COUNTIF(Products!$A$2:$A$8,C5652)=0,C5652,"")</f>
        <v/>
      </c>
      <c r="J5652">
        <f>IF(OR(E5652="Prospecting",E5652="Engaging"),VLOOKUP(C5652,Products!$A$2:$C$8,3,FALSE),0)</f>
        <v>0</v>
      </c>
    </row>
    <row r="5653" spans="1:10" x14ac:dyDescent="0.25">
      <c r="A5653" t="s">
        <v>5820</v>
      </c>
      <c r="B5653" t="s">
        <v>193</v>
      </c>
      <c r="C5653" t="s">
        <v>122</v>
      </c>
      <c r="D5653" t="s">
        <v>35</v>
      </c>
      <c r="E5653" t="s">
        <v>138</v>
      </c>
      <c r="F5653" s="1">
        <v>42950</v>
      </c>
      <c r="G5653" s="1">
        <v>42961</v>
      </c>
      <c r="H5653">
        <v>3963</v>
      </c>
      <c r="I5653" t="str">
        <f>IF(COUNTIF(Products!$A$2:$A$8,C5653)=0,C5653,"")</f>
        <v/>
      </c>
      <c r="J5653">
        <f>IF(OR(E5653="Prospecting",E5653="Engaging"),VLOOKUP(C5653,Products!$A$2:$C$8,3,FALSE),0)</f>
        <v>0</v>
      </c>
    </row>
    <row r="5654" spans="1:10" x14ac:dyDescent="0.25">
      <c r="A5654" t="s">
        <v>5821</v>
      </c>
      <c r="B5654" t="s">
        <v>193</v>
      </c>
      <c r="C5654" t="s">
        <v>122</v>
      </c>
      <c r="D5654" t="s">
        <v>68</v>
      </c>
      <c r="E5654" t="s">
        <v>138</v>
      </c>
      <c r="F5654" s="1">
        <v>42950</v>
      </c>
      <c r="G5654" s="1">
        <v>42958</v>
      </c>
      <c r="H5654">
        <v>5401</v>
      </c>
      <c r="I5654" t="str">
        <f>IF(COUNTIF(Products!$A$2:$A$8,C5654)=0,C5654,"")</f>
        <v/>
      </c>
      <c r="J5654">
        <f>IF(OR(E5654="Prospecting",E5654="Engaging"),VLOOKUP(C5654,Products!$A$2:$C$8,3,FALSE),0)</f>
        <v>0</v>
      </c>
    </row>
    <row r="5655" spans="1:10" x14ac:dyDescent="0.25">
      <c r="A5655" t="s">
        <v>5822</v>
      </c>
      <c r="B5655" t="s">
        <v>187</v>
      </c>
      <c r="C5655" t="s">
        <v>125</v>
      </c>
      <c r="D5655" t="s">
        <v>92</v>
      </c>
      <c r="E5655" t="s">
        <v>159</v>
      </c>
      <c r="F5655" s="1">
        <v>42950</v>
      </c>
      <c r="G5655" s="1">
        <v>42967</v>
      </c>
      <c r="H5655">
        <v>0</v>
      </c>
      <c r="I5655" t="str">
        <f>IF(COUNTIF(Products!$A$2:$A$8,C5655)=0,C5655,"")</f>
        <v/>
      </c>
      <c r="J5655">
        <f>IF(OR(E5655="Prospecting",E5655="Engaging"),VLOOKUP(C5655,Products!$A$2:$C$8,3,FALSE),0)</f>
        <v>0</v>
      </c>
    </row>
    <row r="5656" spans="1:10" x14ac:dyDescent="0.25">
      <c r="A5656" t="s">
        <v>5823</v>
      </c>
      <c r="B5656" t="s">
        <v>187</v>
      </c>
      <c r="C5656" t="s">
        <v>127</v>
      </c>
      <c r="D5656" t="s">
        <v>92</v>
      </c>
      <c r="E5656" t="s">
        <v>138</v>
      </c>
      <c r="F5656" s="1">
        <v>42950</v>
      </c>
      <c r="G5656" s="1">
        <v>43071</v>
      </c>
      <c r="H5656">
        <v>965</v>
      </c>
      <c r="I5656" t="str">
        <f>IF(COUNTIF(Products!$A$2:$A$8,C5656)=0,C5656,"")</f>
        <v/>
      </c>
      <c r="J5656">
        <f>IF(OR(E5656="Prospecting",E5656="Engaging"),VLOOKUP(C5656,Products!$A$2:$C$8,3,FALSE),0)</f>
        <v>0</v>
      </c>
    </row>
    <row r="5657" spans="1:10" x14ac:dyDescent="0.25">
      <c r="A5657" t="s">
        <v>5824</v>
      </c>
      <c r="B5657" t="s">
        <v>169</v>
      </c>
      <c r="C5657" t="s">
        <v>120</v>
      </c>
      <c r="E5657" t="s">
        <v>155</v>
      </c>
      <c r="F5657" s="1">
        <v>42950</v>
      </c>
      <c r="I5657" t="str">
        <f>IF(COUNTIF(Products!$A$2:$A$8,C5657)=0,C5657,"")</f>
        <v/>
      </c>
      <c r="J5657">
        <f>IF(OR(E5657="Prospecting",E5657="Engaging"),VLOOKUP(C5657,Products!$A$2:$C$8,3,FALSE),0)</f>
        <v>550</v>
      </c>
    </row>
    <row r="5658" spans="1:10" x14ac:dyDescent="0.25">
      <c r="A5658" t="s">
        <v>5825</v>
      </c>
      <c r="B5658" t="s">
        <v>169</v>
      </c>
      <c r="C5658" t="s">
        <v>123</v>
      </c>
      <c r="E5658" t="s">
        <v>155</v>
      </c>
      <c r="F5658" s="1">
        <v>42950</v>
      </c>
      <c r="I5658" t="str">
        <f>IF(COUNTIF(Products!$A$2:$A$8,C5658)=0,C5658,"")</f>
        <v/>
      </c>
      <c r="J5658">
        <f>IF(OR(E5658="Prospecting",E5658="Engaging"),VLOOKUP(C5658,Products!$A$2:$C$8,3,FALSE),0)</f>
        <v>55</v>
      </c>
    </row>
    <row r="5659" spans="1:10" x14ac:dyDescent="0.25">
      <c r="A5659" t="s">
        <v>5826</v>
      </c>
      <c r="B5659" t="s">
        <v>169</v>
      </c>
      <c r="C5659" t="s">
        <v>120</v>
      </c>
      <c r="D5659" t="s">
        <v>61</v>
      </c>
      <c r="E5659" t="s">
        <v>138</v>
      </c>
      <c r="F5659" s="1">
        <v>42950</v>
      </c>
      <c r="G5659" s="1">
        <v>43040</v>
      </c>
      <c r="H5659">
        <v>534</v>
      </c>
      <c r="I5659" t="str">
        <f>IF(COUNTIF(Products!$A$2:$A$8,C5659)=0,C5659,"")</f>
        <v/>
      </c>
      <c r="J5659">
        <f>IF(OR(E5659="Prospecting",E5659="Engaging"),VLOOKUP(C5659,Products!$A$2:$C$8,3,FALSE),0)</f>
        <v>0</v>
      </c>
    </row>
    <row r="5660" spans="1:10" x14ac:dyDescent="0.25">
      <c r="A5660" t="s">
        <v>5827</v>
      </c>
      <c r="B5660" t="s">
        <v>148</v>
      </c>
      <c r="C5660" t="s">
        <v>123</v>
      </c>
      <c r="D5660" t="s">
        <v>73</v>
      </c>
      <c r="E5660" t="s">
        <v>155</v>
      </c>
      <c r="F5660" s="1">
        <v>42950</v>
      </c>
      <c r="I5660" t="str">
        <f>IF(COUNTIF(Products!$A$2:$A$8,C5660)=0,C5660,"")</f>
        <v/>
      </c>
      <c r="J5660">
        <f>IF(OR(E5660="Prospecting",E5660="Engaging"),VLOOKUP(C5660,Products!$A$2:$C$8,3,FALSE),0)</f>
        <v>55</v>
      </c>
    </row>
    <row r="5661" spans="1:10" x14ac:dyDescent="0.25">
      <c r="A5661" t="s">
        <v>5828</v>
      </c>
      <c r="B5661" t="s">
        <v>196</v>
      </c>
      <c r="C5661" t="s">
        <v>123</v>
      </c>
      <c r="D5661" t="s">
        <v>25</v>
      </c>
      <c r="E5661" t="s">
        <v>138</v>
      </c>
      <c r="F5661" s="1">
        <v>42950</v>
      </c>
      <c r="G5661" s="1">
        <v>43060</v>
      </c>
      <c r="H5661">
        <v>50</v>
      </c>
      <c r="I5661" t="str">
        <f>IF(COUNTIF(Products!$A$2:$A$8,C5661)=0,C5661,"")</f>
        <v/>
      </c>
      <c r="J5661">
        <f>IF(OR(E5661="Prospecting",E5661="Engaging"),VLOOKUP(C5661,Products!$A$2:$C$8,3,FALSE),0)</f>
        <v>0</v>
      </c>
    </row>
    <row r="5662" spans="1:10" x14ac:dyDescent="0.25">
      <c r="A5662" t="s">
        <v>5829</v>
      </c>
      <c r="B5662" t="s">
        <v>239</v>
      </c>
      <c r="C5662" t="s">
        <v>123</v>
      </c>
      <c r="D5662" t="s">
        <v>22</v>
      </c>
      <c r="E5662" t="s">
        <v>155</v>
      </c>
      <c r="F5662" s="1">
        <v>42951</v>
      </c>
      <c r="I5662" t="str">
        <f>IF(COUNTIF(Products!$A$2:$A$8,C5662)=0,C5662,"")</f>
        <v/>
      </c>
      <c r="J5662">
        <f>IF(OR(E5662="Prospecting",E5662="Engaging"),VLOOKUP(C5662,Products!$A$2:$C$8,3,FALSE),0)</f>
        <v>55</v>
      </c>
    </row>
    <row r="5663" spans="1:10" x14ac:dyDescent="0.25">
      <c r="A5663" t="s">
        <v>5830</v>
      </c>
      <c r="B5663" t="s">
        <v>171</v>
      </c>
      <c r="C5663" t="s">
        <v>127</v>
      </c>
      <c r="E5663" t="s">
        <v>155</v>
      </c>
      <c r="F5663" s="1">
        <v>42951</v>
      </c>
      <c r="I5663" t="str">
        <f>IF(COUNTIF(Products!$A$2:$A$8,C5663)=0,C5663,"")</f>
        <v/>
      </c>
      <c r="J5663">
        <f>IF(OR(E5663="Prospecting",E5663="Engaging"),VLOOKUP(C5663,Products!$A$2:$C$8,3,FALSE),0)</f>
        <v>1096</v>
      </c>
    </row>
    <row r="5664" spans="1:10" x14ac:dyDescent="0.25">
      <c r="A5664" t="s">
        <v>5831</v>
      </c>
      <c r="B5664" t="s">
        <v>140</v>
      </c>
      <c r="C5664" t="s">
        <v>122</v>
      </c>
      <c r="E5664" t="s">
        <v>155</v>
      </c>
      <c r="F5664" s="1">
        <v>42951</v>
      </c>
      <c r="I5664" t="str">
        <f>IF(COUNTIF(Products!$A$2:$A$8,C5664)=0,C5664,"")</f>
        <v/>
      </c>
      <c r="J5664">
        <f>IF(OR(E5664="Prospecting",E5664="Engaging"),VLOOKUP(C5664,Products!$A$2:$C$8,3,FALSE),0)</f>
        <v>4821</v>
      </c>
    </row>
    <row r="5665" spans="1:10" x14ac:dyDescent="0.25">
      <c r="A5665" t="s">
        <v>5832</v>
      </c>
      <c r="B5665" t="s">
        <v>140</v>
      </c>
      <c r="C5665" t="s">
        <v>122</v>
      </c>
      <c r="E5665" t="s">
        <v>155</v>
      </c>
      <c r="F5665" s="1">
        <v>42951</v>
      </c>
      <c r="I5665" t="str">
        <f>IF(COUNTIF(Products!$A$2:$A$8,C5665)=0,C5665,"")</f>
        <v/>
      </c>
      <c r="J5665">
        <f>IF(OR(E5665="Prospecting",E5665="Engaging"),VLOOKUP(C5665,Products!$A$2:$C$8,3,FALSE),0)</f>
        <v>4821</v>
      </c>
    </row>
    <row r="5666" spans="1:10" x14ac:dyDescent="0.25">
      <c r="A5666" t="s">
        <v>5833</v>
      </c>
      <c r="B5666" t="s">
        <v>224</v>
      </c>
      <c r="C5666" t="s">
        <v>122</v>
      </c>
      <c r="D5666" t="s">
        <v>69</v>
      </c>
      <c r="E5666" t="s">
        <v>138</v>
      </c>
      <c r="F5666" s="1">
        <v>42951</v>
      </c>
      <c r="G5666" s="1">
        <v>42958</v>
      </c>
      <c r="H5666">
        <v>5186</v>
      </c>
      <c r="I5666" t="str">
        <f>IF(COUNTIF(Products!$A$2:$A$8,C5666)=0,C5666,"")</f>
        <v/>
      </c>
      <c r="J5666">
        <f>IF(OR(E5666="Prospecting",E5666="Engaging"),VLOOKUP(C5666,Products!$A$2:$C$8,3,FALSE),0)</f>
        <v>0</v>
      </c>
    </row>
    <row r="5667" spans="1:10" x14ac:dyDescent="0.25">
      <c r="A5667" t="s">
        <v>5834</v>
      </c>
      <c r="B5667" t="s">
        <v>173</v>
      </c>
      <c r="C5667" t="s">
        <v>125</v>
      </c>
      <c r="D5667" t="s">
        <v>66</v>
      </c>
      <c r="E5667" t="s">
        <v>138</v>
      </c>
      <c r="F5667" s="1">
        <v>42951</v>
      </c>
      <c r="G5667" s="1">
        <v>43043</v>
      </c>
      <c r="H5667">
        <v>3308</v>
      </c>
      <c r="I5667" t="str">
        <f>IF(COUNTIF(Products!$A$2:$A$8,C5667)=0,C5667,"")</f>
        <v/>
      </c>
      <c r="J5667">
        <f>IF(OR(E5667="Prospecting",E5667="Engaging"),VLOOKUP(C5667,Products!$A$2:$C$8,3,FALSE),0)</f>
        <v>0</v>
      </c>
    </row>
    <row r="5668" spans="1:10" x14ac:dyDescent="0.25">
      <c r="A5668" t="s">
        <v>5835</v>
      </c>
      <c r="B5668" t="s">
        <v>158</v>
      </c>
      <c r="C5668" t="s">
        <v>123</v>
      </c>
      <c r="E5668" t="s">
        <v>155</v>
      </c>
      <c r="F5668" s="1">
        <v>42951</v>
      </c>
      <c r="I5668" t="str">
        <f>IF(COUNTIF(Products!$A$2:$A$8,C5668)=0,C5668,"")</f>
        <v/>
      </c>
      <c r="J5668">
        <f>IF(OR(E5668="Prospecting",E5668="Engaging"),VLOOKUP(C5668,Products!$A$2:$C$8,3,FALSE),0)</f>
        <v>55</v>
      </c>
    </row>
    <row r="5669" spans="1:10" x14ac:dyDescent="0.25">
      <c r="A5669" t="s">
        <v>5836</v>
      </c>
      <c r="B5669" t="s">
        <v>158</v>
      </c>
      <c r="C5669" t="s">
        <v>125</v>
      </c>
      <c r="D5669" t="s">
        <v>42</v>
      </c>
      <c r="E5669" t="s">
        <v>138</v>
      </c>
      <c r="F5669" s="1">
        <v>42951</v>
      </c>
      <c r="G5669" s="1">
        <v>43076</v>
      </c>
      <c r="H5669">
        <v>3367</v>
      </c>
      <c r="I5669" t="str">
        <f>IF(COUNTIF(Products!$A$2:$A$8,C5669)=0,C5669,"")</f>
        <v/>
      </c>
      <c r="J5669">
        <f>IF(OR(E5669="Prospecting",E5669="Engaging"),VLOOKUP(C5669,Products!$A$2:$C$8,3,FALSE),0)</f>
        <v>0</v>
      </c>
    </row>
    <row r="5670" spans="1:10" x14ac:dyDescent="0.25">
      <c r="A5670" t="s">
        <v>5837</v>
      </c>
      <c r="B5670" t="s">
        <v>303</v>
      </c>
      <c r="C5670" t="s">
        <v>127</v>
      </c>
      <c r="E5670" t="s">
        <v>155</v>
      </c>
      <c r="F5670" s="1">
        <v>42951</v>
      </c>
      <c r="I5670" t="str">
        <f>IF(COUNTIF(Products!$A$2:$A$8,C5670)=0,C5670,"")</f>
        <v/>
      </c>
      <c r="J5670">
        <f>IF(OR(E5670="Prospecting",E5670="Engaging"),VLOOKUP(C5670,Products!$A$2:$C$8,3,FALSE),0)</f>
        <v>1096</v>
      </c>
    </row>
    <row r="5671" spans="1:10" x14ac:dyDescent="0.25">
      <c r="A5671" t="s">
        <v>5838</v>
      </c>
      <c r="B5671" t="s">
        <v>191</v>
      </c>
      <c r="C5671" t="s">
        <v>127</v>
      </c>
      <c r="D5671" t="s">
        <v>71</v>
      </c>
      <c r="E5671" t="s">
        <v>159</v>
      </c>
      <c r="F5671" s="1">
        <v>42951</v>
      </c>
      <c r="G5671" s="1">
        <v>42955</v>
      </c>
      <c r="H5671">
        <v>0</v>
      </c>
      <c r="I5671" t="str">
        <f>IF(COUNTIF(Products!$A$2:$A$8,C5671)=0,C5671,"")</f>
        <v/>
      </c>
      <c r="J5671">
        <f>IF(OR(E5671="Prospecting",E5671="Engaging"),VLOOKUP(C5671,Products!$A$2:$C$8,3,FALSE),0)</f>
        <v>0</v>
      </c>
    </row>
    <row r="5672" spans="1:10" x14ac:dyDescent="0.25">
      <c r="A5672" t="s">
        <v>5839</v>
      </c>
      <c r="B5672" t="s">
        <v>191</v>
      </c>
      <c r="C5672" t="s">
        <v>120</v>
      </c>
      <c r="D5672" t="s">
        <v>90</v>
      </c>
      <c r="E5672" t="s">
        <v>138</v>
      </c>
      <c r="F5672" s="1">
        <v>42951</v>
      </c>
      <c r="G5672" s="1">
        <v>42994</v>
      </c>
      <c r="H5672">
        <v>518</v>
      </c>
      <c r="I5672" t="str">
        <f>IF(COUNTIF(Products!$A$2:$A$8,C5672)=0,C5672,"")</f>
        <v/>
      </c>
      <c r="J5672">
        <f>IF(OR(E5672="Prospecting",E5672="Engaging"),VLOOKUP(C5672,Products!$A$2:$C$8,3,FALSE),0)</f>
        <v>0</v>
      </c>
    </row>
    <row r="5673" spans="1:10" x14ac:dyDescent="0.25">
      <c r="A5673" t="s">
        <v>5840</v>
      </c>
      <c r="B5673" t="s">
        <v>217</v>
      </c>
      <c r="C5673" t="s">
        <v>120</v>
      </c>
      <c r="E5673" t="s">
        <v>155</v>
      </c>
      <c r="F5673" s="1">
        <v>42951</v>
      </c>
      <c r="I5673" t="str">
        <f>IF(COUNTIF(Products!$A$2:$A$8,C5673)=0,C5673,"")</f>
        <v/>
      </c>
      <c r="J5673">
        <f>IF(OR(E5673="Prospecting",E5673="Engaging"),VLOOKUP(C5673,Products!$A$2:$C$8,3,FALSE),0)</f>
        <v>550</v>
      </c>
    </row>
    <row r="5674" spans="1:10" x14ac:dyDescent="0.25">
      <c r="A5674" t="s">
        <v>5841</v>
      </c>
      <c r="B5674" t="s">
        <v>137</v>
      </c>
      <c r="C5674" t="s">
        <v>120</v>
      </c>
      <c r="D5674" t="s">
        <v>27</v>
      </c>
      <c r="E5674" t="s">
        <v>155</v>
      </c>
      <c r="F5674" s="1">
        <v>42951</v>
      </c>
      <c r="I5674" t="str">
        <f>IF(COUNTIF(Products!$A$2:$A$8,C5674)=0,C5674,"")</f>
        <v/>
      </c>
      <c r="J5674">
        <f>IF(OR(E5674="Prospecting",E5674="Engaging"),VLOOKUP(C5674,Products!$A$2:$C$8,3,FALSE),0)</f>
        <v>550</v>
      </c>
    </row>
    <row r="5675" spans="1:10" x14ac:dyDescent="0.25">
      <c r="A5675" t="s">
        <v>5842</v>
      </c>
      <c r="B5675" t="s">
        <v>137</v>
      </c>
      <c r="C5675" t="s">
        <v>125</v>
      </c>
      <c r="D5675" t="s">
        <v>46</v>
      </c>
      <c r="E5675" t="s">
        <v>155</v>
      </c>
      <c r="F5675" s="1">
        <v>42951</v>
      </c>
      <c r="I5675" t="str">
        <f>IF(COUNTIF(Products!$A$2:$A$8,C5675)=0,C5675,"")</f>
        <v/>
      </c>
      <c r="J5675">
        <f>IF(OR(E5675="Prospecting",E5675="Engaging"),VLOOKUP(C5675,Products!$A$2:$C$8,3,FALSE),0)</f>
        <v>3393</v>
      </c>
    </row>
    <row r="5676" spans="1:10" x14ac:dyDescent="0.25">
      <c r="A5676" t="s">
        <v>5843</v>
      </c>
      <c r="B5676" t="s">
        <v>152</v>
      </c>
      <c r="C5676" t="s">
        <v>127</v>
      </c>
      <c r="D5676" t="s">
        <v>10</v>
      </c>
      <c r="E5676" t="s">
        <v>155</v>
      </c>
      <c r="F5676" s="1">
        <v>42951</v>
      </c>
      <c r="I5676" t="str">
        <f>IF(COUNTIF(Products!$A$2:$A$8,C5676)=0,C5676,"")</f>
        <v/>
      </c>
      <c r="J5676">
        <f>IF(OR(E5676="Prospecting",E5676="Engaging"),VLOOKUP(C5676,Products!$A$2:$C$8,3,FALSE),0)</f>
        <v>1096</v>
      </c>
    </row>
    <row r="5677" spans="1:10" x14ac:dyDescent="0.25">
      <c r="A5677" t="s">
        <v>5844</v>
      </c>
      <c r="B5677" t="s">
        <v>193</v>
      </c>
      <c r="C5677" t="s">
        <v>122</v>
      </c>
      <c r="D5677" t="s">
        <v>63</v>
      </c>
      <c r="E5677" t="s">
        <v>159</v>
      </c>
      <c r="F5677" s="1">
        <v>42951</v>
      </c>
      <c r="G5677" s="1">
        <v>42957</v>
      </c>
      <c r="H5677">
        <v>0</v>
      </c>
      <c r="I5677" t="str">
        <f>IF(COUNTIF(Products!$A$2:$A$8,C5677)=0,C5677,"")</f>
        <v/>
      </c>
      <c r="J5677">
        <f>IF(OR(E5677="Prospecting",E5677="Engaging"),VLOOKUP(C5677,Products!$A$2:$C$8,3,FALSE),0)</f>
        <v>0</v>
      </c>
    </row>
    <row r="5678" spans="1:10" x14ac:dyDescent="0.25">
      <c r="A5678" t="s">
        <v>5845</v>
      </c>
      <c r="B5678" t="s">
        <v>193</v>
      </c>
      <c r="C5678" t="s">
        <v>127</v>
      </c>
      <c r="D5678" t="s">
        <v>67</v>
      </c>
      <c r="E5678" t="s">
        <v>138</v>
      </c>
      <c r="F5678" s="1">
        <v>42951</v>
      </c>
      <c r="G5678" s="1">
        <v>42989</v>
      </c>
      <c r="H5678">
        <v>1128</v>
      </c>
      <c r="I5678" t="str">
        <f>IF(COUNTIF(Products!$A$2:$A$8,C5678)=0,C5678,"")</f>
        <v/>
      </c>
      <c r="J5678">
        <f>IF(OR(E5678="Prospecting",E5678="Engaging"),VLOOKUP(C5678,Products!$A$2:$C$8,3,FALSE),0)</f>
        <v>0</v>
      </c>
    </row>
    <row r="5679" spans="1:10" x14ac:dyDescent="0.25">
      <c r="A5679" t="s">
        <v>5846</v>
      </c>
      <c r="B5679" t="s">
        <v>193</v>
      </c>
      <c r="C5679" t="s">
        <v>126</v>
      </c>
      <c r="D5679" t="s">
        <v>16</v>
      </c>
      <c r="E5679" t="s">
        <v>138</v>
      </c>
      <c r="F5679" s="1">
        <v>42951</v>
      </c>
      <c r="G5679" s="1">
        <v>43085</v>
      </c>
      <c r="H5679">
        <v>6318</v>
      </c>
      <c r="I5679" t="str">
        <f>IF(COUNTIF(Products!$A$2:$A$8,C5679)=0,C5679,"")</f>
        <v/>
      </c>
      <c r="J5679">
        <f>IF(OR(E5679="Prospecting",E5679="Engaging"),VLOOKUP(C5679,Products!$A$2:$C$8,3,FALSE),0)</f>
        <v>0</v>
      </c>
    </row>
    <row r="5680" spans="1:10" x14ac:dyDescent="0.25">
      <c r="A5680" t="s">
        <v>5847</v>
      </c>
      <c r="B5680" t="s">
        <v>177</v>
      </c>
      <c r="C5680" t="s">
        <v>123</v>
      </c>
      <c r="E5680" t="s">
        <v>155</v>
      </c>
      <c r="F5680" s="1">
        <v>42951</v>
      </c>
      <c r="I5680" t="str">
        <f>IF(COUNTIF(Products!$A$2:$A$8,C5680)=0,C5680,"")</f>
        <v/>
      </c>
      <c r="J5680">
        <f>IF(OR(E5680="Prospecting",E5680="Engaging"),VLOOKUP(C5680,Products!$A$2:$C$8,3,FALSE),0)</f>
        <v>55</v>
      </c>
    </row>
    <row r="5681" spans="1:10" x14ac:dyDescent="0.25">
      <c r="A5681" t="s">
        <v>5848</v>
      </c>
      <c r="B5681" t="s">
        <v>146</v>
      </c>
      <c r="C5681" t="s">
        <v>120</v>
      </c>
      <c r="E5681" t="s">
        <v>155</v>
      </c>
      <c r="F5681" s="1">
        <v>42952</v>
      </c>
      <c r="I5681" t="str">
        <f>IF(COUNTIF(Products!$A$2:$A$8,C5681)=0,C5681,"")</f>
        <v/>
      </c>
      <c r="J5681">
        <f>IF(OR(E5681="Prospecting",E5681="Engaging"),VLOOKUP(C5681,Products!$A$2:$C$8,3,FALSE),0)</f>
        <v>550</v>
      </c>
    </row>
    <row r="5682" spans="1:10" x14ac:dyDescent="0.25">
      <c r="A5682" t="s">
        <v>5849</v>
      </c>
      <c r="B5682" t="s">
        <v>146</v>
      </c>
      <c r="C5682" t="s">
        <v>126</v>
      </c>
      <c r="E5682" t="s">
        <v>155</v>
      </c>
      <c r="F5682" s="1">
        <v>42952</v>
      </c>
      <c r="I5682" t="str">
        <f>IF(COUNTIF(Products!$A$2:$A$8,C5682)=0,C5682,"")</f>
        <v/>
      </c>
      <c r="J5682">
        <f>IF(OR(E5682="Prospecting",E5682="Engaging"),VLOOKUP(C5682,Products!$A$2:$C$8,3,FALSE),0)</f>
        <v>5482</v>
      </c>
    </row>
    <row r="5683" spans="1:10" x14ac:dyDescent="0.25">
      <c r="A5683" t="s">
        <v>5850</v>
      </c>
      <c r="B5683" t="s">
        <v>146</v>
      </c>
      <c r="C5683" t="s">
        <v>123</v>
      </c>
      <c r="E5683" t="s">
        <v>155</v>
      </c>
      <c r="F5683" s="1">
        <v>42952</v>
      </c>
      <c r="I5683" t="str">
        <f>IF(COUNTIF(Products!$A$2:$A$8,C5683)=0,C5683,"")</f>
        <v/>
      </c>
      <c r="J5683">
        <f>IF(OR(E5683="Prospecting",E5683="Engaging"),VLOOKUP(C5683,Products!$A$2:$C$8,3,FALSE),0)</f>
        <v>55</v>
      </c>
    </row>
    <row r="5684" spans="1:10" x14ac:dyDescent="0.25">
      <c r="A5684" t="s">
        <v>5851</v>
      </c>
      <c r="B5684" t="s">
        <v>146</v>
      </c>
      <c r="C5684" t="s">
        <v>123</v>
      </c>
      <c r="E5684" t="s">
        <v>155</v>
      </c>
      <c r="F5684" s="1">
        <v>42952</v>
      </c>
      <c r="I5684" t="str">
        <f>IF(COUNTIF(Products!$A$2:$A$8,C5684)=0,C5684,"")</f>
        <v/>
      </c>
      <c r="J5684">
        <f>IF(OR(E5684="Prospecting",E5684="Engaging"),VLOOKUP(C5684,Products!$A$2:$C$8,3,FALSE),0)</f>
        <v>55</v>
      </c>
    </row>
    <row r="5685" spans="1:10" x14ac:dyDescent="0.25">
      <c r="A5685" t="s">
        <v>5852</v>
      </c>
      <c r="B5685" t="s">
        <v>146</v>
      </c>
      <c r="C5685" t="s">
        <v>125</v>
      </c>
      <c r="D5685" t="s">
        <v>22</v>
      </c>
      <c r="E5685" t="s">
        <v>159</v>
      </c>
      <c r="F5685" s="1">
        <v>42952</v>
      </c>
      <c r="G5685" s="1">
        <v>43065</v>
      </c>
      <c r="H5685">
        <v>0</v>
      </c>
      <c r="I5685" t="str">
        <f>IF(COUNTIF(Products!$A$2:$A$8,C5685)=0,C5685,"")</f>
        <v/>
      </c>
      <c r="J5685">
        <f>IF(OR(E5685="Prospecting",E5685="Engaging"),VLOOKUP(C5685,Products!$A$2:$C$8,3,FALSE),0)</f>
        <v>0</v>
      </c>
    </row>
    <row r="5686" spans="1:10" x14ac:dyDescent="0.25">
      <c r="A5686" t="s">
        <v>5853</v>
      </c>
      <c r="B5686" t="s">
        <v>222</v>
      </c>
      <c r="C5686" t="s">
        <v>122</v>
      </c>
      <c r="E5686" t="s">
        <v>155</v>
      </c>
      <c r="F5686" s="1">
        <v>42952</v>
      </c>
      <c r="I5686" t="str">
        <f>IF(COUNTIF(Products!$A$2:$A$8,C5686)=0,C5686,"")</f>
        <v/>
      </c>
      <c r="J5686">
        <f>IF(OR(E5686="Prospecting",E5686="Engaging"),VLOOKUP(C5686,Products!$A$2:$C$8,3,FALSE),0)</f>
        <v>4821</v>
      </c>
    </row>
    <row r="5687" spans="1:10" x14ac:dyDescent="0.25">
      <c r="A5687" t="s">
        <v>5854</v>
      </c>
      <c r="B5687" t="s">
        <v>171</v>
      </c>
      <c r="C5687" t="s">
        <v>122</v>
      </c>
      <c r="D5687" t="s">
        <v>14</v>
      </c>
      <c r="E5687" t="s">
        <v>155</v>
      </c>
      <c r="F5687" s="1">
        <v>42952</v>
      </c>
      <c r="I5687" t="str">
        <f>IF(COUNTIF(Products!$A$2:$A$8,C5687)=0,C5687,"")</f>
        <v/>
      </c>
      <c r="J5687">
        <f>IF(OR(E5687="Prospecting",E5687="Engaging"),VLOOKUP(C5687,Products!$A$2:$C$8,3,FALSE),0)</f>
        <v>4821</v>
      </c>
    </row>
    <row r="5688" spans="1:10" x14ac:dyDescent="0.25">
      <c r="A5688" t="s">
        <v>5855</v>
      </c>
      <c r="B5688" t="s">
        <v>171</v>
      </c>
      <c r="C5688" t="s">
        <v>122</v>
      </c>
      <c r="D5688" t="s">
        <v>80</v>
      </c>
      <c r="E5688" t="s">
        <v>138</v>
      </c>
      <c r="F5688" s="1">
        <v>42952</v>
      </c>
      <c r="G5688" s="1">
        <v>42997</v>
      </c>
      <c r="H5688">
        <v>4935</v>
      </c>
      <c r="I5688" t="str">
        <f>IF(COUNTIF(Products!$A$2:$A$8,C5688)=0,C5688,"")</f>
        <v/>
      </c>
      <c r="J5688">
        <f>IF(OR(E5688="Prospecting",E5688="Engaging"),VLOOKUP(C5688,Products!$A$2:$C$8,3,FALSE),0)</f>
        <v>0</v>
      </c>
    </row>
    <row r="5689" spans="1:10" x14ac:dyDescent="0.25">
      <c r="A5689" t="s">
        <v>5856</v>
      </c>
      <c r="B5689" t="s">
        <v>140</v>
      </c>
      <c r="C5689" t="s">
        <v>126</v>
      </c>
      <c r="E5689" t="s">
        <v>155</v>
      </c>
      <c r="F5689" s="1">
        <v>42952</v>
      </c>
      <c r="I5689" t="str">
        <f>IF(COUNTIF(Products!$A$2:$A$8,C5689)=0,C5689,"")</f>
        <v/>
      </c>
      <c r="J5689">
        <f>IF(OR(E5689="Prospecting",E5689="Engaging"),VLOOKUP(C5689,Products!$A$2:$C$8,3,FALSE),0)</f>
        <v>5482</v>
      </c>
    </row>
    <row r="5690" spans="1:10" x14ac:dyDescent="0.25">
      <c r="A5690" t="s">
        <v>5857</v>
      </c>
      <c r="B5690" t="s">
        <v>140</v>
      </c>
      <c r="C5690" t="s">
        <v>126</v>
      </c>
      <c r="E5690" t="s">
        <v>155</v>
      </c>
      <c r="F5690" s="1">
        <v>42952</v>
      </c>
      <c r="I5690" t="str">
        <f>IF(COUNTIF(Products!$A$2:$A$8,C5690)=0,C5690,"")</f>
        <v/>
      </c>
      <c r="J5690">
        <f>IF(OR(E5690="Prospecting",E5690="Engaging"),VLOOKUP(C5690,Products!$A$2:$C$8,3,FALSE),0)</f>
        <v>5482</v>
      </c>
    </row>
    <row r="5691" spans="1:10" x14ac:dyDescent="0.25">
      <c r="A5691" t="s">
        <v>5858</v>
      </c>
      <c r="B5691" t="s">
        <v>140</v>
      </c>
      <c r="C5691" t="s">
        <v>127</v>
      </c>
      <c r="D5691" t="s">
        <v>91</v>
      </c>
      <c r="E5691" t="s">
        <v>138</v>
      </c>
      <c r="F5691" s="1">
        <v>42952</v>
      </c>
      <c r="G5691" s="1">
        <v>43089</v>
      </c>
      <c r="H5691">
        <v>1013</v>
      </c>
      <c r="I5691" t="str">
        <f>IF(COUNTIF(Products!$A$2:$A$8,C5691)=0,C5691,"")</f>
        <v/>
      </c>
      <c r="J5691">
        <f>IF(OR(E5691="Prospecting",E5691="Engaging"),VLOOKUP(C5691,Products!$A$2:$C$8,3,FALSE),0)</f>
        <v>0</v>
      </c>
    </row>
    <row r="5692" spans="1:10" x14ac:dyDescent="0.25">
      <c r="A5692" t="s">
        <v>5859</v>
      </c>
      <c r="B5692" t="s">
        <v>224</v>
      </c>
      <c r="C5692" t="s">
        <v>120</v>
      </c>
      <c r="D5692" t="s">
        <v>110</v>
      </c>
      <c r="E5692" t="s">
        <v>138</v>
      </c>
      <c r="F5692" s="1">
        <v>42952</v>
      </c>
      <c r="G5692" s="1">
        <v>43089</v>
      </c>
      <c r="H5692">
        <v>573</v>
      </c>
      <c r="I5692" t="str">
        <f>IF(COUNTIF(Products!$A$2:$A$8,C5692)=0,C5692,"")</f>
        <v/>
      </c>
      <c r="J5692">
        <f>IF(OR(E5692="Prospecting",E5692="Engaging"),VLOOKUP(C5692,Products!$A$2:$C$8,3,FALSE),0)</f>
        <v>0</v>
      </c>
    </row>
    <row r="5693" spans="1:10" x14ac:dyDescent="0.25">
      <c r="A5693" t="s">
        <v>5860</v>
      </c>
      <c r="B5693" t="s">
        <v>224</v>
      </c>
      <c r="C5693" t="s">
        <v>120</v>
      </c>
      <c r="D5693" t="s">
        <v>111</v>
      </c>
      <c r="E5693" t="s">
        <v>138</v>
      </c>
      <c r="F5693" s="1">
        <v>42952</v>
      </c>
      <c r="G5693" s="1">
        <v>43073</v>
      </c>
      <c r="H5693">
        <v>535</v>
      </c>
      <c r="I5693" t="str">
        <f>IF(COUNTIF(Products!$A$2:$A$8,C5693)=0,C5693,"")</f>
        <v/>
      </c>
      <c r="J5693">
        <f>IF(OR(E5693="Prospecting",E5693="Engaging"),VLOOKUP(C5693,Products!$A$2:$C$8,3,FALSE),0)</f>
        <v>0</v>
      </c>
    </row>
    <row r="5694" spans="1:10" x14ac:dyDescent="0.25">
      <c r="A5694" t="s">
        <v>5861</v>
      </c>
      <c r="B5694" t="s">
        <v>173</v>
      </c>
      <c r="C5694" t="s">
        <v>123</v>
      </c>
      <c r="D5694" t="s">
        <v>16</v>
      </c>
      <c r="E5694" t="s">
        <v>155</v>
      </c>
      <c r="F5694" s="1">
        <v>42952</v>
      </c>
      <c r="I5694" t="str">
        <f>IF(COUNTIF(Products!$A$2:$A$8,C5694)=0,C5694,"")</f>
        <v/>
      </c>
      <c r="J5694">
        <f>IF(OR(E5694="Prospecting",E5694="Engaging"),VLOOKUP(C5694,Products!$A$2:$C$8,3,FALSE),0)</f>
        <v>55</v>
      </c>
    </row>
    <row r="5695" spans="1:10" x14ac:dyDescent="0.25">
      <c r="A5695" t="s">
        <v>5862</v>
      </c>
      <c r="B5695" t="s">
        <v>173</v>
      </c>
      <c r="C5695" t="s">
        <v>125</v>
      </c>
      <c r="D5695" t="s">
        <v>38</v>
      </c>
      <c r="E5695" t="s">
        <v>159</v>
      </c>
      <c r="F5695" s="1">
        <v>42952</v>
      </c>
      <c r="G5695" s="1">
        <v>43068</v>
      </c>
      <c r="H5695">
        <v>0</v>
      </c>
      <c r="I5695" t="str">
        <f>IF(COUNTIF(Products!$A$2:$A$8,C5695)=0,C5695,"")</f>
        <v/>
      </c>
      <c r="J5695">
        <f>IF(OR(E5695="Prospecting",E5695="Engaging"),VLOOKUP(C5695,Products!$A$2:$C$8,3,FALSE),0)</f>
        <v>0</v>
      </c>
    </row>
    <row r="5696" spans="1:10" x14ac:dyDescent="0.25">
      <c r="A5696" t="s">
        <v>5863</v>
      </c>
      <c r="B5696" t="s">
        <v>191</v>
      </c>
      <c r="C5696" t="s">
        <v>126</v>
      </c>
      <c r="D5696" t="s">
        <v>10</v>
      </c>
      <c r="E5696" t="s">
        <v>155</v>
      </c>
      <c r="F5696" s="1">
        <v>42952</v>
      </c>
      <c r="I5696" t="str">
        <f>IF(COUNTIF(Products!$A$2:$A$8,C5696)=0,C5696,"")</f>
        <v/>
      </c>
      <c r="J5696">
        <f>IF(OR(E5696="Prospecting",E5696="Engaging"),VLOOKUP(C5696,Products!$A$2:$C$8,3,FALSE),0)</f>
        <v>5482</v>
      </c>
    </row>
    <row r="5697" spans="1:10" x14ac:dyDescent="0.25">
      <c r="A5697" t="s">
        <v>5864</v>
      </c>
      <c r="B5697" t="s">
        <v>217</v>
      </c>
      <c r="C5697" t="s">
        <v>127</v>
      </c>
      <c r="D5697" t="s">
        <v>27</v>
      </c>
      <c r="E5697" t="s">
        <v>138</v>
      </c>
      <c r="F5697" s="1">
        <v>42952</v>
      </c>
      <c r="G5697" s="1">
        <v>43041</v>
      </c>
      <c r="H5697">
        <v>1080</v>
      </c>
      <c r="I5697" t="str">
        <f>IF(COUNTIF(Products!$A$2:$A$8,C5697)=0,C5697,"")</f>
        <v/>
      </c>
      <c r="J5697">
        <f>IF(OR(E5697="Prospecting",E5697="Engaging"),VLOOKUP(C5697,Products!$A$2:$C$8,3,FALSE),0)</f>
        <v>0</v>
      </c>
    </row>
    <row r="5698" spans="1:10" x14ac:dyDescent="0.25">
      <c r="A5698" t="s">
        <v>5865</v>
      </c>
      <c r="B5698" t="s">
        <v>205</v>
      </c>
      <c r="C5698" t="s">
        <v>120</v>
      </c>
      <c r="D5698" t="s">
        <v>42</v>
      </c>
      <c r="E5698" t="s">
        <v>138</v>
      </c>
      <c r="F5698" s="1">
        <v>42952</v>
      </c>
      <c r="G5698" s="1">
        <v>43083</v>
      </c>
      <c r="H5698">
        <v>609</v>
      </c>
      <c r="I5698" t="str">
        <f>IF(COUNTIF(Products!$A$2:$A$8,C5698)=0,C5698,"")</f>
        <v/>
      </c>
      <c r="J5698">
        <f>IF(OR(E5698="Prospecting",E5698="Engaging"),VLOOKUP(C5698,Products!$A$2:$C$8,3,FALSE),0)</f>
        <v>0</v>
      </c>
    </row>
    <row r="5699" spans="1:10" x14ac:dyDescent="0.25">
      <c r="A5699" t="s">
        <v>5866</v>
      </c>
      <c r="B5699" t="s">
        <v>137</v>
      </c>
      <c r="C5699" t="s">
        <v>120</v>
      </c>
      <c r="D5699" t="s">
        <v>112</v>
      </c>
      <c r="E5699" t="s">
        <v>155</v>
      </c>
      <c r="F5699" s="1">
        <v>42952</v>
      </c>
      <c r="I5699" t="str">
        <f>IF(COUNTIF(Products!$A$2:$A$8,C5699)=0,C5699,"")</f>
        <v/>
      </c>
      <c r="J5699">
        <f>IF(OR(E5699="Prospecting",E5699="Engaging"),VLOOKUP(C5699,Products!$A$2:$C$8,3,FALSE),0)</f>
        <v>550</v>
      </c>
    </row>
    <row r="5700" spans="1:10" x14ac:dyDescent="0.25">
      <c r="A5700" t="s">
        <v>5867</v>
      </c>
      <c r="B5700" t="s">
        <v>137</v>
      </c>
      <c r="C5700" t="s">
        <v>127</v>
      </c>
      <c r="D5700" t="s">
        <v>104</v>
      </c>
      <c r="E5700" t="s">
        <v>155</v>
      </c>
      <c r="F5700" s="1">
        <v>42952</v>
      </c>
      <c r="I5700" t="str">
        <f>IF(COUNTIF(Products!$A$2:$A$8,C5700)=0,C5700,"")</f>
        <v/>
      </c>
      <c r="J5700">
        <f>IF(OR(E5700="Prospecting",E5700="Engaging"),VLOOKUP(C5700,Products!$A$2:$C$8,3,FALSE),0)</f>
        <v>1096</v>
      </c>
    </row>
    <row r="5701" spans="1:10" x14ac:dyDescent="0.25">
      <c r="A5701" t="s">
        <v>5868</v>
      </c>
      <c r="B5701" t="s">
        <v>137</v>
      </c>
      <c r="C5701" t="s">
        <v>120</v>
      </c>
      <c r="D5701" t="s">
        <v>14</v>
      </c>
      <c r="E5701" t="s">
        <v>159</v>
      </c>
      <c r="F5701" s="1">
        <v>42952</v>
      </c>
      <c r="G5701" s="1">
        <v>43050</v>
      </c>
      <c r="H5701">
        <v>0</v>
      </c>
      <c r="I5701" t="str">
        <f>IF(COUNTIF(Products!$A$2:$A$8,C5701)=0,C5701,"")</f>
        <v/>
      </c>
      <c r="J5701">
        <f>IF(OR(E5701="Prospecting",E5701="Engaging"),VLOOKUP(C5701,Products!$A$2:$C$8,3,FALSE),0)</f>
        <v>0</v>
      </c>
    </row>
    <row r="5702" spans="1:10" x14ac:dyDescent="0.25">
      <c r="A5702" t="s">
        <v>5869</v>
      </c>
      <c r="B5702" t="s">
        <v>137</v>
      </c>
      <c r="C5702" t="s">
        <v>123</v>
      </c>
      <c r="D5702" t="s">
        <v>91</v>
      </c>
      <c r="E5702" t="s">
        <v>159</v>
      </c>
      <c r="F5702" s="1">
        <v>42952</v>
      </c>
      <c r="G5702" s="1">
        <v>42962</v>
      </c>
      <c r="H5702">
        <v>0</v>
      </c>
      <c r="I5702" t="str">
        <f>IF(COUNTIF(Products!$A$2:$A$8,C5702)=0,C5702,"")</f>
        <v/>
      </c>
      <c r="J5702">
        <f>IF(OR(E5702="Prospecting",E5702="Engaging"),VLOOKUP(C5702,Products!$A$2:$C$8,3,FALSE),0)</f>
        <v>0</v>
      </c>
    </row>
    <row r="5703" spans="1:10" x14ac:dyDescent="0.25">
      <c r="A5703" t="s">
        <v>5870</v>
      </c>
      <c r="B5703" t="s">
        <v>169</v>
      </c>
      <c r="C5703" t="s">
        <v>123</v>
      </c>
      <c r="E5703" t="s">
        <v>155</v>
      </c>
      <c r="F5703" s="1">
        <v>42952</v>
      </c>
      <c r="I5703" t="str">
        <f>IF(COUNTIF(Products!$A$2:$A$8,C5703)=0,C5703,"")</f>
        <v/>
      </c>
      <c r="J5703">
        <f>IF(OR(E5703="Prospecting",E5703="Engaging"),VLOOKUP(C5703,Products!$A$2:$C$8,3,FALSE),0)</f>
        <v>55</v>
      </c>
    </row>
    <row r="5704" spans="1:10" x14ac:dyDescent="0.25">
      <c r="A5704" t="s">
        <v>5871</v>
      </c>
      <c r="B5704" t="s">
        <v>169</v>
      </c>
      <c r="C5704" t="s">
        <v>125</v>
      </c>
      <c r="D5704" t="s">
        <v>55</v>
      </c>
      <c r="E5704" t="s">
        <v>159</v>
      </c>
      <c r="F5704" s="1">
        <v>42952</v>
      </c>
      <c r="G5704" s="1">
        <v>43047</v>
      </c>
      <c r="H5704">
        <v>0</v>
      </c>
      <c r="I5704" t="str">
        <f>IF(COUNTIF(Products!$A$2:$A$8,C5704)=0,C5704,"")</f>
        <v/>
      </c>
      <c r="J5704">
        <f>IF(OR(E5704="Prospecting",E5704="Engaging"),VLOOKUP(C5704,Products!$A$2:$C$8,3,FALSE),0)</f>
        <v>0</v>
      </c>
    </row>
    <row r="5705" spans="1:10" x14ac:dyDescent="0.25">
      <c r="A5705" t="s">
        <v>5872</v>
      </c>
      <c r="B5705" t="s">
        <v>169</v>
      </c>
      <c r="C5705" t="s">
        <v>120</v>
      </c>
      <c r="D5705" t="s">
        <v>89</v>
      </c>
      <c r="E5705" t="s">
        <v>138</v>
      </c>
      <c r="F5705" s="1">
        <v>42952</v>
      </c>
      <c r="G5705" s="1">
        <v>43048</v>
      </c>
      <c r="H5705">
        <v>563</v>
      </c>
      <c r="I5705" t="str">
        <f>IF(COUNTIF(Products!$A$2:$A$8,C5705)=0,C5705,"")</f>
        <v/>
      </c>
      <c r="J5705">
        <f>IF(OR(E5705="Prospecting",E5705="Engaging"),VLOOKUP(C5705,Products!$A$2:$C$8,3,FALSE),0)</f>
        <v>0</v>
      </c>
    </row>
    <row r="5706" spans="1:10" x14ac:dyDescent="0.25">
      <c r="A5706" t="s">
        <v>5873</v>
      </c>
      <c r="B5706" t="s">
        <v>148</v>
      </c>
      <c r="C5706" t="s">
        <v>125</v>
      </c>
      <c r="D5706" t="s">
        <v>33</v>
      </c>
      <c r="E5706" t="s">
        <v>155</v>
      </c>
      <c r="F5706" s="1">
        <v>42952</v>
      </c>
      <c r="I5706" t="str">
        <f>IF(COUNTIF(Products!$A$2:$A$8,C5706)=0,C5706,"")</f>
        <v/>
      </c>
      <c r="J5706">
        <f>IF(OR(E5706="Prospecting",E5706="Engaging"),VLOOKUP(C5706,Products!$A$2:$C$8,3,FALSE),0)</f>
        <v>3393</v>
      </c>
    </row>
    <row r="5707" spans="1:10" x14ac:dyDescent="0.25">
      <c r="A5707" t="s">
        <v>5874</v>
      </c>
      <c r="B5707" t="s">
        <v>144</v>
      </c>
      <c r="C5707" t="s">
        <v>122</v>
      </c>
      <c r="D5707" t="s">
        <v>82</v>
      </c>
      <c r="E5707" t="s">
        <v>159</v>
      </c>
      <c r="F5707" s="1">
        <v>42952</v>
      </c>
      <c r="G5707" s="1">
        <v>43046</v>
      </c>
      <c r="H5707">
        <v>0</v>
      </c>
      <c r="I5707" t="str">
        <f>IF(COUNTIF(Products!$A$2:$A$8,C5707)=0,C5707,"")</f>
        <v/>
      </c>
      <c r="J5707">
        <f>IF(OR(E5707="Prospecting",E5707="Engaging"),VLOOKUP(C5707,Products!$A$2:$C$8,3,FALSE),0)</f>
        <v>0</v>
      </c>
    </row>
    <row r="5708" spans="1:10" x14ac:dyDescent="0.25">
      <c r="A5708" t="s">
        <v>5875</v>
      </c>
      <c r="B5708" t="s">
        <v>146</v>
      </c>
      <c r="C5708" t="s">
        <v>123</v>
      </c>
      <c r="D5708" t="s">
        <v>12</v>
      </c>
      <c r="E5708" t="s">
        <v>159</v>
      </c>
      <c r="F5708" s="1">
        <v>42953</v>
      </c>
      <c r="G5708" s="1">
        <v>43068</v>
      </c>
      <c r="H5708">
        <v>0</v>
      </c>
      <c r="I5708" t="str">
        <f>IF(COUNTIF(Products!$A$2:$A$8,C5708)=0,C5708,"")</f>
        <v/>
      </c>
      <c r="J5708">
        <f>IF(OR(E5708="Prospecting",E5708="Engaging"),VLOOKUP(C5708,Products!$A$2:$C$8,3,FALSE),0)</f>
        <v>0</v>
      </c>
    </row>
    <row r="5709" spans="1:10" x14ac:dyDescent="0.25">
      <c r="A5709" t="s">
        <v>5876</v>
      </c>
      <c r="B5709" t="s">
        <v>222</v>
      </c>
      <c r="C5709" t="s">
        <v>126</v>
      </c>
      <c r="E5709" t="s">
        <v>155</v>
      </c>
      <c r="F5709" s="1">
        <v>42953</v>
      </c>
      <c r="I5709" t="str">
        <f>IF(COUNTIF(Products!$A$2:$A$8,C5709)=0,C5709,"")</f>
        <v/>
      </c>
      <c r="J5709">
        <f>IF(OR(E5709="Prospecting",E5709="Engaging"),VLOOKUP(C5709,Products!$A$2:$C$8,3,FALSE),0)</f>
        <v>5482</v>
      </c>
    </row>
    <row r="5710" spans="1:10" x14ac:dyDescent="0.25">
      <c r="A5710" t="s">
        <v>5877</v>
      </c>
      <c r="B5710" t="s">
        <v>222</v>
      </c>
      <c r="C5710" t="s">
        <v>123</v>
      </c>
      <c r="D5710" t="s">
        <v>106</v>
      </c>
      <c r="E5710" t="s">
        <v>155</v>
      </c>
      <c r="F5710" s="1">
        <v>42953</v>
      </c>
      <c r="I5710" t="str">
        <f>IF(COUNTIF(Products!$A$2:$A$8,C5710)=0,C5710,"")</f>
        <v/>
      </c>
      <c r="J5710">
        <f>IF(OR(E5710="Prospecting",E5710="Engaging"),VLOOKUP(C5710,Products!$A$2:$C$8,3,FALSE),0)</f>
        <v>55</v>
      </c>
    </row>
    <row r="5711" spans="1:10" x14ac:dyDescent="0.25">
      <c r="A5711" t="s">
        <v>5878</v>
      </c>
      <c r="B5711" t="s">
        <v>264</v>
      </c>
      <c r="C5711" t="s">
        <v>123</v>
      </c>
      <c r="D5711" t="s">
        <v>96</v>
      </c>
      <c r="E5711" t="s">
        <v>155</v>
      </c>
      <c r="F5711" s="1">
        <v>42953</v>
      </c>
      <c r="I5711" t="str">
        <f>IF(COUNTIF(Products!$A$2:$A$8,C5711)=0,C5711,"")</f>
        <v/>
      </c>
      <c r="J5711">
        <f>IF(OR(E5711="Prospecting",E5711="Engaging"),VLOOKUP(C5711,Products!$A$2:$C$8,3,FALSE),0)</f>
        <v>55</v>
      </c>
    </row>
    <row r="5712" spans="1:10" x14ac:dyDescent="0.25">
      <c r="A5712" t="s">
        <v>5879</v>
      </c>
      <c r="B5712" t="s">
        <v>239</v>
      </c>
      <c r="C5712" t="s">
        <v>127</v>
      </c>
      <c r="D5712" t="s">
        <v>69</v>
      </c>
      <c r="E5712" t="s">
        <v>159</v>
      </c>
      <c r="F5712" s="1">
        <v>42953</v>
      </c>
      <c r="G5712" s="1">
        <v>43043</v>
      </c>
      <c r="H5712">
        <v>0</v>
      </c>
      <c r="I5712" t="str">
        <f>IF(COUNTIF(Products!$A$2:$A$8,C5712)=0,C5712,"")</f>
        <v/>
      </c>
      <c r="J5712">
        <f>IF(OR(E5712="Prospecting",E5712="Engaging"),VLOOKUP(C5712,Products!$A$2:$C$8,3,FALSE),0)</f>
        <v>0</v>
      </c>
    </row>
    <row r="5713" spans="1:10" x14ac:dyDescent="0.25">
      <c r="A5713" t="s">
        <v>5880</v>
      </c>
      <c r="B5713" t="s">
        <v>239</v>
      </c>
      <c r="C5713" t="s">
        <v>123</v>
      </c>
      <c r="D5713" t="s">
        <v>19</v>
      </c>
      <c r="E5713" t="s">
        <v>138</v>
      </c>
      <c r="F5713" s="1">
        <v>42953</v>
      </c>
      <c r="G5713" s="1">
        <v>43070</v>
      </c>
      <c r="H5713">
        <v>59</v>
      </c>
      <c r="I5713" t="str">
        <f>IF(COUNTIF(Products!$A$2:$A$8,C5713)=0,C5713,"")</f>
        <v/>
      </c>
      <c r="J5713">
        <f>IF(OR(E5713="Prospecting",E5713="Engaging"),VLOOKUP(C5713,Products!$A$2:$C$8,3,FALSE),0)</f>
        <v>0</v>
      </c>
    </row>
    <row r="5714" spans="1:10" x14ac:dyDescent="0.25">
      <c r="A5714" t="s">
        <v>5881</v>
      </c>
      <c r="B5714" t="s">
        <v>239</v>
      </c>
      <c r="C5714" t="s">
        <v>123</v>
      </c>
      <c r="D5714" t="s">
        <v>35</v>
      </c>
      <c r="E5714" t="s">
        <v>138</v>
      </c>
      <c r="F5714" s="1">
        <v>42953</v>
      </c>
      <c r="G5714" s="1">
        <v>43053</v>
      </c>
      <c r="H5714">
        <v>54</v>
      </c>
      <c r="I5714" t="str">
        <f>IF(COUNTIF(Products!$A$2:$A$8,C5714)=0,C5714,"")</f>
        <v/>
      </c>
      <c r="J5714">
        <f>IF(OR(E5714="Prospecting",E5714="Engaging"),VLOOKUP(C5714,Products!$A$2:$C$8,3,FALSE),0)</f>
        <v>0</v>
      </c>
    </row>
    <row r="5715" spans="1:10" x14ac:dyDescent="0.25">
      <c r="A5715" t="s">
        <v>5882</v>
      </c>
      <c r="B5715" t="s">
        <v>171</v>
      </c>
      <c r="C5715" t="s">
        <v>125</v>
      </c>
      <c r="D5715" t="s">
        <v>35</v>
      </c>
      <c r="E5715" t="s">
        <v>159</v>
      </c>
      <c r="F5715" s="1">
        <v>42953</v>
      </c>
      <c r="G5715" s="1">
        <v>43047</v>
      </c>
      <c r="H5715">
        <v>0</v>
      </c>
      <c r="I5715" t="str">
        <f>IF(COUNTIF(Products!$A$2:$A$8,C5715)=0,C5715,"")</f>
        <v/>
      </c>
      <c r="J5715">
        <f>IF(OR(E5715="Prospecting",E5715="Engaging"),VLOOKUP(C5715,Products!$A$2:$C$8,3,FALSE),0)</f>
        <v>0</v>
      </c>
    </row>
    <row r="5716" spans="1:10" x14ac:dyDescent="0.25">
      <c r="A5716" t="s">
        <v>5883</v>
      </c>
      <c r="B5716" t="s">
        <v>140</v>
      </c>
      <c r="C5716" t="s">
        <v>122</v>
      </c>
      <c r="E5716" t="s">
        <v>155</v>
      </c>
      <c r="F5716" s="1">
        <v>42953</v>
      </c>
      <c r="I5716" t="str">
        <f>IF(COUNTIF(Products!$A$2:$A$8,C5716)=0,C5716,"")</f>
        <v/>
      </c>
      <c r="J5716">
        <f>IF(OR(E5716="Prospecting",E5716="Engaging"),VLOOKUP(C5716,Products!$A$2:$C$8,3,FALSE),0)</f>
        <v>4821</v>
      </c>
    </row>
    <row r="5717" spans="1:10" x14ac:dyDescent="0.25">
      <c r="A5717" t="s">
        <v>5884</v>
      </c>
      <c r="B5717" t="s">
        <v>140</v>
      </c>
      <c r="C5717" t="s">
        <v>127</v>
      </c>
      <c r="D5717" t="s">
        <v>22</v>
      </c>
      <c r="E5717" t="s">
        <v>159</v>
      </c>
      <c r="F5717" s="1">
        <v>42953</v>
      </c>
      <c r="G5717" s="1">
        <v>42961</v>
      </c>
      <c r="H5717">
        <v>0</v>
      </c>
      <c r="I5717" t="str">
        <f>IF(COUNTIF(Products!$A$2:$A$8,C5717)=0,C5717,"")</f>
        <v/>
      </c>
      <c r="J5717">
        <f>IF(OR(E5717="Prospecting",E5717="Engaging"),VLOOKUP(C5717,Products!$A$2:$C$8,3,FALSE),0)</f>
        <v>0</v>
      </c>
    </row>
    <row r="5718" spans="1:10" x14ac:dyDescent="0.25">
      <c r="A5718" t="s">
        <v>5885</v>
      </c>
      <c r="B5718" t="s">
        <v>224</v>
      </c>
      <c r="C5718" t="s">
        <v>125</v>
      </c>
      <c r="D5718" t="s">
        <v>73</v>
      </c>
      <c r="E5718" t="s">
        <v>138</v>
      </c>
      <c r="F5718" s="1">
        <v>42953</v>
      </c>
      <c r="G5718" s="1">
        <v>42958</v>
      </c>
      <c r="H5718">
        <v>3114</v>
      </c>
      <c r="I5718" t="str">
        <f>IF(COUNTIF(Products!$A$2:$A$8,C5718)=0,C5718,"")</f>
        <v/>
      </c>
      <c r="J5718">
        <f>IF(OR(E5718="Prospecting",E5718="Engaging"),VLOOKUP(C5718,Products!$A$2:$C$8,3,FALSE),0)</f>
        <v>0</v>
      </c>
    </row>
    <row r="5719" spans="1:10" x14ac:dyDescent="0.25">
      <c r="A5719" t="s">
        <v>5886</v>
      </c>
      <c r="B5719" t="s">
        <v>173</v>
      </c>
      <c r="C5719" t="s">
        <v>123</v>
      </c>
      <c r="D5719" t="s">
        <v>87</v>
      </c>
      <c r="E5719" t="s">
        <v>138</v>
      </c>
      <c r="F5719" s="1">
        <v>42953</v>
      </c>
      <c r="G5719" s="1">
        <v>42964</v>
      </c>
      <c r="H5719">
        <v>60</v>
      </c>
      <c r="I5719" t="str">
        <f>IF(COUNTIF(Products!$A$2:$A$8,C5719)=0,C5719,"")</f>
        <v/>
      </c>
      <c r="J5719">
        <f>IF(OR(E5719="Prospecting",E5719="Engaging"),VLOOKUP(C5719,Products!$A$2:$C$8,3,FALSE),0)</f>
        <v>0</v>
      </c>
    </row>
    <row r="5720" spans="1:10" x14ac:dyDescent="0.25">
      <c r="A5720" t="s">
        <v>5887</v>
      </c>
      <c r="B5720" t="s">
        <v>198</v>
      </c>
      <c r="C5720" t="s">
        <v>120</v>
      </c>
      <c r="D5720" t="s">
        <v>37</v>
      </c>
      <c r="E5720" t="s">
        <v>159</v>
      </c>
      <c r="F5720" s="1">
        <v>42953</v>
      </c>
      <c r="G5720" s="1">
        <v>43047</v>
      </c>
      <c r="H5720">
        <v>0</v>
      </c>
      <c r="I5720" t="str">
        <f>IF(COUNTIF(Products!$A$2:$A$8,C5720)=0,C5720,"")</f>
        <v/>
      </c>
      <c r="J5720">
        <f>IF(OR(E5720="Prospecting",E5720="Engaging"),VLOOKUP(C5720,Products!$A$2:$C$8,3,FALSE),0)</f>
        <v>0</v>
      </c>
    </row>
    <row r="5721" spans="1:10" x14ac:dyDescent="0.25">
      <c r="A5721" t="s">
        <v>5888</v>
      </c>
      <c r="B5721" t="s">
        <v>198</v>
      </c>
      <c r="C5721" t="s">
        <v>120</v>
      </c>
      <c r="D5721" t="s">
        <v>67</v>
      </c>
      <c r="E5721" t="s">
        <v>138</v>
      </c>
      <c r="F5721" s="1">
        <v>42953</v>
      </c>
      <c r="G5721" s="1">
        <v>42974</v>
      </c>
      <c r="H5721">
        <v>422</v>
      </c>
      <c r="I5721" t="str">
        <f>IF(COUNTIF(Products!$A$2:$A$8,C5721)=0,C5721,"")</f>
        <v/>
      </c>
      <c r="J5721">
        <f>IF(OR(E5721="Prospecting",E5721="Engaging"),VLOOKUP(C5721,Products!$A$2:$C$8,3,FALSE),0)</f>
        <v>0</v>
      </c>
    </row>
    <row r="5722" spans="1:10" x14ac:dyDescent="0.25">
      <c r="A5722" t="s">
        <v>5889</v>
      </c>
      <c r="B5722" t="s">
        <v>198</v>
      </c>
      <c r="C5722" t="s">
        <v>125</v>
      </c>
      <c r="D5722" t="s">
        <v>69</v>
      </c>
      <c r="E5722" t="s">
        <v>138</v>
      </c>
      <c r="F5722" s="1">
        <v>42953</v>
      </c>
      <c r="G5722" s="1">
        <v>42998</v>
      </c>
      <c r="H5722">
        <v>3971</v>
      </c>
      <c r="I5722" t="str">
        <f>IF(COUNTIF(Products!$A$2:$A$8,C5722)=0,C5722,"")</f>
        <v/>
      </c>
      <c r="J5722">
        <f>IF(OR(E5722="Prospecting",E5722="Engaging"),VLOOKUP(C5722,Products!$A$2:$C$8,3,FALSE),0)</f>
        <v>0</v>
      </c>
    </row>
    <row r="5723" spans="1:10" x14ac:dyDescent="0.25">
      <c r="A5723" t="s">
        <v>5890</v>
      </c>
      <c r="B5723" t="s">
        <v>158</v>
      </c>
      <c r="C5723" t="s">
        <v>122</v>
      </c>
      <c r="D5723" t="s">
        <v>83</v>
      </c>
      <c r="E5723" t="s">
        <v>155</v>
      </c>
      <c r="F5723" s="1">
        <v>42953</v>
      </c>
      <c r="I5723" t="str">
        <f>IF(COUNTIF(Products!$A$2:$A$8,C5723)=0,C5723,"")</f>
        <v/>
      </c>
      <c r="J5723">
        <f>IF(OR(E5723="Prospecting",E5723="Engaging"),VLOOKUP(C5723,Products!$A$2:$C$8,3,FALSE),0)</f>
        <v>4821</v>
      </c>
    </row>
    <row r="5724" spans="1:10" x14ac:dyDescent="0.25">
      <c r="A5724" t="s">
        <v>5891</v>
      </c>
      <c r="B5724" t="s">
        <v>180</v>
      </c>
      <c r="C5724" t="s">
        <v>120</v>
      </c>
      <c r="E5724" t="s">
        <v>155</v>
      </c>
      <c r="F5724" s="1">
        <v>42953</v>
      </c>
      <c r="I5724" t="str">
        <f>IF(COUNTIF(Products!$A$2:$A$8,C5724)=0,C5724,"")</f>
        <v/>
      </c>
      <c r="J5724">
        <f>IF(OR(E5724="Prospecting",E5724="Engaging"),VLOOKUP(C5724,Products!$A$2:$C$8,3,FALSE),0)</f>
        <v>550</v>
      </c>
    </row>
    <row r="5725" spans="1:10" x14ac:dyDescent="0.25">
      <c r="A5725" t="s">
        <v>5892</v>
      </c>
      <c r="B5725" t="s">
        <v>180</v>
      </c>
      <c r="C5725" t="s">
        <v>127</v>
      </c>
      <c r="D5725" t="s">
        <v>39</v>
      </c>
      <c r="E5725" t="s">
        <v>159</v>
      </c>
      <c r="F5725" s="1">
        <v>42953</v>
      </c>
      <c r="G5725" s="1">
        <v>43043</v>
      </c>
      <c r="H5725">
        <v>0</v>
      </c>
      <c r="I5725" t="str">
        <f>IF(COUNTIF(Products!$A$2:$A$8,C5725)=0,C5725,"")</f>
        <v/>
      </c>
      <c r="J5725">
        <f>IF(OR(E5725="Prospecting",E5725="Engaging"),VLOOKUP(C5725,Products!$A$2:$C$8,3,FALSE),0)</f>
        <v>0</v>
      </c>
    </row>
    <row r="5726" spans="1:10" x14ac:dyDescent="0.25">
      <c r="A5726" t="s">
        <v>5893</v>
      </c>
      <c r="B5726" t="s">
        <v>180</v>
      </c>
      <c r="C5726" t="s">
        <v>120</v>
      </c>
      <c r="D5726" t="s">
        <v>69</v>
      </c>
      <c r="E5726" t="s">
        <v>138</v>
      </c>
      <c r="F5726" s="1">
        <v>42953</v>
      </c>
      <c r="G5726" s="1">
        <v>43087</v>
      </c>
      <c r="H5726">
        <v>510</v>
      </c>
      <c r="I5726" t="str">
        <f>IF(COUNTIF(Products!$A$2:$A$8,C5726)=0,C5726,"")</f>
        <v/>
      </c>
      <c r="J5726">
        <f>IF(OR(E5726="Prospecting",E5726="Engaging"),VLOOKUP(C5726,Products!$A$2:$C$8,3,FALSE),0)</f>
        <v>0</v>
      </c>
    </row>
    <row r="5727" spans="1:10" x14ac:dyDescent="0.25">
      <c r="A5727" t="s">
        <v>5894</v>
      </c>
      <c r="B5727" t="s">
        <v>180</v>
      </c>
      <c r="C5727" t="s">
        <v>125</v>
      </c>
      <c r="D5727" t="s">
        <v>90</v>
      </c>
      <c r="E5727" t="s">
        <v>138</v>
      </c>
      <c r="F5727" s="1">
        <v>42953</v>
      </c>
      <c r="G5727" s="1">
        <v>43058</v>
      </c>
      <c r="H5727">
        <v>4032</v>
      </c>
      <c r="I5727" t="str">
        <f>IF(COUNTIF(Products!$A$2:$A$8,C5727)=0,C5727,"")</f>
        <v/>
      </c>
      <c r="J5727">
        <f>IF(OR(E5727="Prospecting",E5727="Engaging"),VLOOKUP(C5727,Products!$A$2:$C$8,3,FALSE),0)</f>
        <v>0</v>
      </c>
    </row>
    <row r="5728" spans="1:10" x14ac:dyDescent="0.25">
      <c r="A5728" t="s">
        <v>5895</v>
      </c>
      <c r="B5728" t="s">
        <v>191</v>
      </c>
      <c r="C5728" t="s">
        <v>122</v>
      </c>
      <c r="E5728" t="s">
        <v>155</v>
      </c>
      <c r="F5728" s="1">
        <v>42953</v>
      </c>
      <c r="I5728" t="str">
        <f>IF(COUNTIF(Products!$A$2:$A$8,C5728)=0,C5728,"")</f>
        <v/>
      </c>
      <c r="J5728">
        <f>IF(OR(E5728="Prospecting",E5728="Engaging"),VLOOKUP(C5728,Products!$A$2:$C$8,3,FALSE),0)</f>
        <v>4821</v>
      </c>
    </row>
    <row r="5729" spans="1:10" x14ac:dyDescent="0.25">
      <c r="A5729" t="s">
        <v>5896</v>
      </c>
      <c r="B5729" t="s">
        <v>217</v>
      </c>
      <c r="C5729" t="s">
        <v>125</v>
      </c>
      <c r="D5729" t="s">
        <v>53</v>
      </c>
      <c r="E5729" t="s">
        <v>155</v>
      </c>
      <c r="F5729" s="1">
        <v>42953</v>
      </c>
      <c r="I5729" t="str">
        <f>IF(COUNTIF(Products!$A$2:$A$8,C5729)=0,C5729,"")</f>
        <v/>
      </c>
      <c r="J5729">
        <f>IF(OR(E5729="Prospecting",E5729="Engaging"),VLOOKUP(C5729,Products!$A$2:$C$8,3,FALSE),0)</f>
        <v>3393</v>
      </c>
    </row>
    <row r="5730" spans="1:10" x14ac:dyDescent="0.25">
      <c r="A5730" t="s">
        <v>5897</v>
      </c>
      <c r="B5730" t="s">
        <v>217</v>
      </c>
      <c r="C5730" t="s">
        <v>120</v>
      </c>
      <c r="D5730" t="s">
        <v>36</v>
      </c>
      <c r="E5730" t="s">
        <v>159</v>
      </c>
      <c r="F5730" s="1">
        <v>42953</v>
      </c>
      <c r="G5730" s="1">
        <v>43079</v>
      </c>
      <c r="H5730">
        <v>0</v>
      </c>
      <c r="I5730" t="str">
        <f>IF(COUNTIF(Products!$A$2:$A$8,C5730)=0,C5730,"")</f>
        <v/>
      </c>
      <c r="J5730">
        <f>IF(OR(E5730="Prospecting",E5730="Engaging"),VLOOKUP(C5730,Products!$A$2:$C$8,3,FALSE),0)</f>
        <v>0</v>
      </c>
    </row>
    <row r="5731" spans="1:10" x14ac:dyDescent="0.25">
      <c r="A5731" t="s">
        <v>5898</v>
      </c>
      <c r="B5731" t="s">
        <v>205</v>
      </c>
      <c r="C5731" t="s">
        <v>126</v>
      </c>
      <c r="E5731" t="s">
        <v>155</v>
      </c>
      <c r="F5731" s="1">
        <v>42953</v>
      </c>
      <c r="I5731" t="str">
        <f>IF(COUNTIF(Products!$A$2:$A$8,C5731)=0,C5731,"")</f>
        <v/>
      </c>
      <c r="J5731">
        <f>IF(OR(E5731="Prospecting",E5731="Engaging"),VLOOKUP(C5731,Products!$A$2:$C$8,3,FALSE),0)</f>
        <v>5482</v>
      </c>
    </row>
    <row r="5732" spans="1:10" x14ac:dyDescent="0.25">
      <c r="A5732" t="s">
        <v>5899</v>
      </c>
      <c r="B5732" t="s">
        <v>187</v>
      </c>
      <c r="C5732" t="s">
        <v>126</v>
      </c>
      <c r="E5732" t="s">
        <v>155</v>
      </c>
      <c r="F5732" s="1">
        <v>42953</v>
      </c>
      <c r="I5732" t="str">
        <f>IF(COUNTIF(Products!$A$2:$A$8,C5732)=0,C5732,"")</f>
        <v/>
      </c>
      <c r="J5732">
        <f>IF(OR(E5732="Prospecting",E5732="Engaging"),VLOOKUP(C5732,Products!$A$2:$C$8,3,FALSE),0)</f>
        <v>5482</v>
      </c>
    </row>
    <row r="5733" spans="1:10" x14ac:dyDescent="0.25">
      <c r="A5733" t="s">
        <v>5900</v>
      </c>
      <c r="B5733" t="s">
        <v>187</v>
      </c>
      <c r="C5733" t="s">
        <v>123</v>
      </c>
      <c r="D5733" t="s">
        <v>84</v>
      </c>
      <c r="E5733" t="s">
        <v>138</v>
      </c>
      <c r="F5733" s="1">
        <v>42953</v>
      </c>
      <c r="G5733" s="1">
        <v>42959</v>
      </c>
      <c r="H5733">
        <v>52</v>
      </c>
      <c r="I5733" t="str">
        <f>IF(COUNTIF(Products!$A$2:$A$8,C5733)=0,C5733,"")</f>
        <v/>
      </c>
      <c r="J5733">
        <f>IF(OR(E5733="Prospecting",E5733="Engaging"),VLOOKUP(C5733,Products!$A$2:$C$8,3,FALSE),0)</f>
        <v>0</v>
      </c>
    </row>
    <row r="5734" spans="1:10" x14ac:dyDescent="0.25">
      <c r="A5734" t="s">
        <v>5901</v>
      </c>
      <c r="B5734" t="s">
        <v>169</v>
      </c>
      <c r="C5734" t="s">
        <v>125</v>
      </c>
      <c r="E5734" t="s">
        <v>155</v>
      </c>
      <c r="F5734" s="1">
        <v>42953</v>
      </c>
      <c r="I5734" t="str">
        <f>IF(COUNTIF(Products!$A$2:$A$8,C5734)=0,C5734,"")</f>
        <v/>
      </c>
      <c r="J5734">
        <f>IF(OR(E5734="Prospecting",E5734="Engaging"),VLOOKUP(C5734,Products!$A$2:$C$8,3,FALSE),0)</f>
        <v>3393</v>
      </c>
    </row>
    <row r="5735" spans="1:10" x14ac:dyDescent="0.25">
      <c r="A5735" t="s">
        <v>5902</v>
      </c>
      <c r="B5735" t="s">
        <v>169</v>
      </c>
      <c r="C5735" t="s">
        <v>125</v>
      </c>
      <c r="E5735" t="s">
        <v>155</v>
      </c>
      <c r="F5735" s="1">
        <v>42953</v>
      </c>
      <c r="I5735" t="str">
        <f>IF(COUNTIF(Products!$A$2:$A$8,C5735)=0,C5735,"")</f>
        <v/>
      </c>
      <c r="J5735">
        <f>IF(OR(E5735="Prospecting",E5735="Engaging"),VLOOKUP(C5735,Products!$A$2:$C$8,3,FALSE),0)</f>
        <v>3393</v>
      </c>
    </row>
    <row r="5736" spans="1:10" x14ac:dyDescent="0.25">
      <c r="A5736" t="s">
        <v>5903</v>
      </c>
      <c r="B5736" t="s">
        <v>146</v>
      </c>
      <c r="C5736" t="s">
        <v>127</v>
      </c>
      <c r="D5736" t="s">
        <v>67</v>
      </c>
      <c r="E5736" t="s">
        <v>155</v>
      </c>
      <c r="F5736" s="1">
        <v>42954</v>
      </c>
      <c r="I5736" t="str">
        <f>IF(COUNTIF(Products!$A$2:$A$8,C5736)=0,C5736,"")</f>
        <v/>
      </c>
      <c r="J5736">
        <f>IF(OR(E5736="Prospecting",E5736="Engaging"),VLOOKUP(C5736,Products!$A$2:$C$8,3,FALSE),0)</f>
        <v>1096</v>
      </c>
    </row>
    <row r="5737" spans="1:10" x14ac:dyDescent="0.25">
      <c r="A5737" t="s">
        <v>5904</v>
      </c>
      <c r="B5737" t="s">
        <v>222</v>
      </c>
      <c r="C5737" t="s">
        <v>120</v>
      </c>
      <c r="D5737" t="s">
        <v>46</v>
      </c>
      <c r="E5737" t="s">
        <v>155</v>
      </c>
      <c r="F5737" s="1">
        <v>42954</v>
      </c>
      <c r="I5737" t="str">
        <f>IF(COUNTIF(Products!$A$2:$A$8,C5737)=0,C5737,"")</f>
        <v/>
      </c>
      <c r="J5737">
        <f>IF(OR(E5737="Prospecting",E5737="Engaging"),VLOOKUP(C5737,Products!$A$2:$C$8,3,FALSE),0)</f>
        <v>550</v>
      </c>
    </row>
    <row r="5738" spans="1:10" x14ac:dyDescent="0.25">
      <c r="A5738" t="s">
        <v>5905</v>
      </c>
      <c r="B5738" t="s">
        <v>222</v>
      </c>
      <c r="C5738" t="s">
        <v>125</v>
      </c>
      <c r="D5738" t="s">
        <v>98</v>
      </c>
      <c r="E5738" t="s">
        <v>159</v>
      </c>
      <c r="F5738" s="1">
        <v>42954</v>
      </c>
      <c r="G5738" s="1">
        <v>43077</v>
      </c>
      <c r="H5738">
        <v>0</v>
      </c>
      <c r="I5738" t="str">
        <f>IF(COUNTIF(Products!$A$2:$A$8,C5738)=0,C5738,"")</f>
        <v/>
      </c>
      <c r="J5738">
        <f>IF(OR(E5738="Prospecting",E5738="Engaging"),VLOOKUP(C5738,Products!$A$2:$C$8,3,FALSE),0)</f>
        <v>0</v>
      </c>
    </row>
    <row r="5739" spans="1:10" x14ac:dyDescent="0.25">
      <c r="A5739" t="s">
        <v>5906</v>
      </c>
      <c r="B5739" t="s">
        <v>264</v>
      </c>
      <c r="C5739" t="s">
        <v>125</v>
      </c>
      <c r="D5739" t="s">
        <v>53</v>
      </c>
      <c r="E5739" t="s">
        <v>138</v>
      </c>
      <c r="F5739" s="1">
        <v>42954</v>
      </c>
      <c r="G5739" s="1">
        <v>43056</v>
      </c>
      <c r="H5739">
        <v>3684</v>
      </c>
      <c r="I5739" t="str">
        <f>IF(COUNTIF(Products!$A$2:$A$8,C5739)=0,C5739,"")</f>
        <v/>
      </c>
      <c r="J5739">
        <f>IF(OR(E5739="Prospecting",E5739="Engaging"),VLOOKUP(C5739,Products!$A$2:$C$8,3,FALSE),0)</f>
        <v>0</v>
      </c>
    </row>
    <row r="5740" spans="1:10" x14ac:dyDescent="0.25">
      <c r="A5740" t="s">
        <v>5907</v>
      </c>
      <c r="B5740" t="s">
        <v>239</v>
      </c>
      <c r="C5740" t="s">
        <v>127</v>
      </c>
      <c r="D5740" t="s">
        <v>98</v>
      </c>
      <c r="E5740" t="s">
        <v>159</v>
      </c>
      <c r="F5740" s="1">
        <v>42954</v>
      </c>
      <c r="G5740" s="1">
        <v>43088</v>
      </c>
      <c r="H5740">
        <v>0</v>
      </c>
      <c r="I5740" t="str">
        <f>IF(COUNTIF(Products!$A$2:$A$8,C5740)=0,C5740,"")</f>
        <v/>
      </c>
      <c r="J5740">
        <f>IF(OR(E5740="Prospecting",E5740="Engaging"),VLOOKUP(C5740,Products!$A$2:$C$8,3,FALSE),0)</f>
        <v>0</v>
      </c>
    </row>
    <row r="5741" spans="1:10" x14ac:dyDescent="0.25">
      <c r="A5741" t="s">
        <v>5908</v>
      </c>
      <c r="B5741" t="s">
        <v>239</v>
      </c>
      <c r="C5741" t="s">
        <v>126</v>
      </c>
      <c r="D5741" t="s">
        <v>115</v>
      </c>
      <c r="E5741" t="s">
        <v>138</v>
      </c>
      <c r="F5741" s="1">
        <v>42954</v>
      </c>
      <c r="G5741" s="1">
        <v>43058</v>
      </c>
      <c r="H5741">
        <v>4648</v>
      </c>
      <c r="I5741" t="str">
        <f>IF(COUNTIF(Products!$A$2:$A$8,C5741)=0,C5741,"")</f>
        <v/>
      </c>
      <c r="J5741">
        <f>IF(OR(E5741="Prospecting",E5741="Engaging"),VLOOKUP(C5741,Products!$A$2:$C$8,3,FALSE),0)</f>
        <v>0</v>
      </c>
    </row>
    <row r="5742" spans="1:10" x14ac:dyDescent="0.25">
      <c r="A5742" t="s">
        <v>5909</v>
      </c>
      <c r="B5742" t="s">
        <v>239</v>
      </c>
      <c r="C5742" t="s">
        <v>122</v>
      </c>
      <c r="D5742" t="s">
        <v>50</v>
      </c>
      <c r="E5742" t="s">
        <v>138</v>
      </c>
      <c r="F5742" s="1">
        <v>42954</v>
      </c>
      <c r="G5742" s="1">
        <v>43074</v>
      </c>
      <c r="H5742">
        <v>4639</v>
      </c>
      <c r="I5742" t="str">
        <f>IF(COUNTIF(Products!$A$2:$A$8,C5742)=0,C5742,"")</f>
        <v/>
      </c>
      <c r="J5742">
        <f>IF(OR(E5742="Prospecting",E5742="Engaging"),VLOOKUP(C5742,Products!$A$2:$C$8,3,FALSE),0)</f>
        <v>0</v>
      </c>
    </row>
    <row r="5743" spans="1:10" x14ac:dyDescent="0.25">
      <c r="A5743" t="s">
        <v>5910</v>
      </c>
      <c r="B5743" t="s">
        <v>140</v>
      </c>
      <c r="C5743" t="s">
        <v>122</v>
      </c>
      <c r="D5743" t="s">
        <v>12</v>
      </c>
      <c r="E5743" t="s">
        <v>159</v>
      </c>
      <c r="F5743" s="1">
        <v>42954</v>
      </c>
      <c r="G5743" s="1">
        <v>42965</v>
      </c>
      <c r="H5743">
        <v>0</v>
      </c>
      <c r="I5743" t="str">
        <f>IF(COUNTIF(Products!$A$2:$A$8,C5743)=0,C5743,"")</f>
        <v/>
      </c>
      <c r="J5743">
        <f>IF(OR(E5743="Prospecting",E5743="Engaging"),VLOOKUP(C5743,Products!$A$2:$C$8,3,FALSE),0)</f>
        <v>0</v>
      </c>
    </row>
    <row r="5744" spans="1:10" x14ac:dyDescent="0.25">
      <c r="A5744" t="s">
        <v>5911</v>
      </c>
      <c r="B5744" t="s">
        <v>140</v>
      </c>
      <c r="C5744" t="s">
        <v>126</v>
      </c>
      <c r="D5744" t="s">
        <v>32</v>
      </c>
      <c r="E5744" t="s">
        <v>138</v>
      </c>
      <c r="F5744" s="1">
        <v>42954</v>
      </c>
      <c r="G5744" s="1">
        <v>42995</v>
      </c>
      <c r="H5744">
        <v>6360</v>
      </c>
      <c r="I5744" t="str">
        <f>IF(COUNTIF(Products!$A$2:$A$8,C5744)=0,C5744,"")</f>
        <v/>
      </c>
      <c r="J5744">
        <f>IF(OR(E5744="Prospecting",E5744="Engaging"),VLOOKUP(C5744,Products!$A$2:$C$8,3,FALSE),0)</f>
        <v>0</v>
      </c>
    </row>
    <row r="5745" spans="1:10" x14ac:dyDescent="0.25">
      <c r="A5745" t="s">
        <v>5912</v>
      </c>
      <c r="B5745" t="s">
        <v>173</v>
      </c>
      <c r="C5745" t="s">
        <v>127</v>
      </c>
      <c r="D5745" t="s">
        <v>93</v>
      </c>
      <c r="E5745" t="s">
        <v>159</v>
      </c>
      <c r="F5745" s="1">
        <v>42954</v>
      </c>
      <c r="G5745" s="1">
        <v>43088</v>
      </c>
      <c r="H5745">
        <v>0</v>
      </c>
      <c r="I5745" t="str">
        <f>IF(COUNTIF(Products!$A$2:$A$8,C5745)=0,C5745,"")</f>
        <v/>
      </c>
      <c r="J5745">
        <f>IF(OR(E5745="Prospecting",E5745="Engaging"),VLOOKUP(C5745,Products!$A$2:$C$8,3,FALSE),0)</f>
        <v>0</v>
      </c>
    </row>
    <row r="5746" spans="1:10" x14ac:dyDescent="0.25">
      <c r="A5746" t="s">
        <v>5913</v>
      </c>
      <c r="B5746" t="s">
        <v>158</v>
      </c>
      <c r="C5746" t="s">
        <v>122</v>
      </c>
      <c r="D5746" t="s">
        <v>32</v>
      </c>
      <c r="E5746" t="s">
        <v>138</v>
      </c>
      <c r="F5746" s="1">
        <v>42954</v>
      </c>
      <c r="G5746" s="1">
        <v>43000</v>
      </c>
      <c r="H5746">
        <v>4722</v>
      </c>
      <c r="I5746" t="str">
        <f>IF(COUNTIF(Products!$A$2:$A$8,C5746)=0,C5746,"")</f>
        <v/>
      </c>
      <c r="J5746">
        <f>IF(OR(E5746="Prospecting",E5746="Engaging"),VLOOKUP(C5746,Products!$A$2:$C$8,3,FALSE),0)</f>
        <v>0</v>
      </c>
    </row>
    <row r="5747" spans="1:10" x14ac:dyDescent="0.25">
      <c r="A5747" t="s">
        <v>5914</v>
      </c>
      <c r="B5747" t="s">
        <v>164</v>
      </c>
      <c r="C5747" t="s">
        <v>127</v>
      </c>
      <c r="D5747" t="s">
        <v>87</v>
      </c>
      <c r="E5747" t="s">
        <v>159</v>
      </c>
      <c r="F5747" s="1">
        <v>42954</v>
      </c>
      <c r="G5747" s="1">
        <v>42973</v>
      </c>
      <c r="H5747">
        <v>0</v>
      </c>
      <c r="I5747" t="str">
        <f>IF(COUNTIF(Products!$A$2:$A$8,C5747)=0,C5747,"")</f>
        <v/>
      </c>
      <c r="J5747">
        <f>IF(OR(E5747="Prospecting",E5747="Engaging"),VLOOKUP(C5747,Products!$A$2:$C$8,3,FALSE),0)</f>
        <v>0</v>
      </c>
    </row>
    <row r="5748" spans="1:10" x14ac:dyDescent="0.25">
      <c r="A5748" t="s">
        <v>5915</v>
      </c>
      <c r="B5748" t="s">
        <v>154</v>
      </c>
      <c r="C5748" t="s">
        <v>125</v>
      </c>
      <c r="D5748" t="s">
        <v>100</v>
      </c>
      <c r="E5748" t="s">
        <v>138</v>
      </c>
      <c r="F5748" s="1">
        <v>42954</v>
      </c>
      <c r="G5748" s="1">
        <v>42964</v>
      </c>
      <c r="H5748">
        <v>3039</v>
      </c>
      <c r="I5748" t="str">
        <f>IF(COUNTIF(Products!$A$2:$A$8,C5748)=0,C5748,"")</f>
        <v/>
      </c>
      <c r="J5748">
        <f>IF(OR(E5748="Prospecting",E5748="Engaging"),VLOOKUP(C5748,Products!$A$2:$C$8,3,FALSE),0)</f>
        <v>0</v>
      </c>
    </row>
    <row r="5749" spans="1:10" x14ac:dyDescent="0.25">
      <c r="A5749" t="s">
        <v>5916</v>
      </c>
      <c r="B5749" t="s">
        <v>303</v>
      </c>
      <c r="C5749" t="s">
        <v>127</v>
      </c>
      <c r="D5749" t="s">
        <v>89</v>
      </c>
      <c r="E5749" t="s">
        <v>138</v>
      </c>
      <c r="F5749" s="1">
        <v>42954</v>
      </c>
      <c r="G5749" s="1">
        <v>43040</v>
      </c>
      <c r="H5749">
        <v>1080</v>
      </c>
      <c r="I5749" t="str">
        <f>IF(COUNTIF(Products!$A$2:$A$8,C5749)=0,C5749,"")</f>
        <v/>
      </c>
      <c r="J5749">
        <f>IF(OR(E5749="Prospecting",E5749="Engaging"),VLOOKUP(C5749,Products!$A$2:$C$8,3,FALSE),0)</f>
        <v>0</v>
      </c>
    </row>
    <row r="5750" spans="1:10" x14ac:dyDescent="0.25">
      <c r="A5750" t="s">
        <v>5917</v>
      </c>
      <c r="B5750" t="s">
        <v>180</v>
      </c>
      <c r="C5750" t="s">
        <v>127</v>
      </c>
      <c r="D5750" t="s">
        <v>17</v>
      </c>
      <c r="E5750" t="s">
        <v>159</v>
      </c>
      <c r="F5750" s="1">
        <v>42954</v>
      </c>
      <c r="G5750" s="1">
        <v>43063</v>
      </c>
      <c r="H5750">
        <v>0</v>
      </c>
      <c r="I5750" t="str">
        <f>IF(COUNTIF(Products!$A$2:$A$8,C5750)=0,C5750,"")</f>
        <v/>
      </c>
      <c r="J5750">
        <f>IF(OR(E5750="Prospecting",E5750="Engaging"),VLOOKUP(C5750,Products!$A$2:$C$8,3,FALSE),0)</f>
        <v>0</v>
      </c>
    </row>
    <row r="5751" spans="1:10" x14ac:dyDescent="0.25">
      <c r="A5751" t="s">
        <v>5918</v>
      </c>
      <c r="B5751" t="s">
        <v>217</v>
      </c>
      <c r="C5751" t="s">
        <v>125</v>
      </c>
      <c r="D5751" t="s">
        <v>53</v>
      </c>
      <c r="E5751" t="s">
        <v>138</v>
      </c>
      <c r="F5751" s="1">
        <v>42954</v>
      </c>
      <c r="G5751" s="1">
        <v>43082</v>
      </c>
      <c r="H5751">
        <v>3063</v>
      </c>
      <c r="I5751" t="str">
        <f>IF(COUNTIF(Products!$A$2:$A$8,C5751)=0,C5751,"")</f>
        <v/>
      </c>
      <c r="J5751">
        <f>IF(OR(E5751="Prospecting",E5751="Engaging"),VLOOKUP(C5751,Products!$A$2:$C$8,3,FALSE),0)</f>
        <v>0</v>
      </c>
    </row>
    <row r="5752" spans="1:10" x14ac:dyDescent="0.25">
      <c r="A5752" t="s">
        <v>5919</v>
      </c>
      <c r="B5752" t="s">
        <v>150</v>
      </c>
      <c r="C5752" t="s">
        <v>127</v>
      </c>
      <c r="E5752" t="s">
        <v>155</v>
      </c>
      <c r="F5752" s="1">
        <v>42954</v>
      </c>
      <c r="I5752" t="str">
        <f>IF(COUNTIF(Products!$A$2:$A$8,C5752)=0,C5752,"")</f>
        <v/>
      </c>
      <c r="J5752">
        <f>IF(OR(E5752="Prospecting",E5752="Engaging"),VLOOKUP(C5752,Products!$A$2:$C$8,3,FALSE),0)</f>
        <v>1096</v>
      </c>
    </row>
    <row r="5753" spans="1:10" x14ac:dyDescent="0.25">
      <c r="A5753" t="s">
        <v>5920</v>
      </c>
      <c r="B5753" t="s">
        <v>150</v>
      </c>
      <c r="C5753" t="s">
        <v>125</v>
      </c>
      <c r="E5753" t="s">
        <v>155</v>
      </c>
      <c r="F5753" s="1">
        <v>42954</v>
      </c>
      <c r="I5753" t="str">
        <f>IF(COUNTIF(Products!$A$2:$A$8,C5753)=0,C5753,"")</f>
        <v/>
      </c>
      <c r="J5753">
        <f>IF(OR(E5753="Prospecting",E5753="Engaging"),VLOOKUP(C5753,Products!$A$2:$C$8,3,FALSE),0)</f>
        <v>3393</v>
      </c>
    </row>
    <row r="5754" spans="1:10" x14ac:dyDescent="0.25">
      <c r="A5754" t="s">
        <v>5921</v>
      </c>
      <c r="B5754" t="s">
        <v>150</v>
      </c>
      <c r="C5754" t="s">
        <v>120</v>
      </c>
      <c r="D5754" t="s">
        <v>69</v>
      </c>
      <c r="E5754" t="s">
        <v>159</v>
      </c>
      <c r="F5754" s="1">
        <v>42954</v>
      </c>
      <c r="G5754" s="1">
        <v>43056</v>
      </c>
      <c r="H5754">
        <v>0</v>
      </c>
      <c r="I5754" t="str">
        <f>IF(COUNTIF(Products!$A$2:$A$8,C5754)=0,C5754,"")</f>
        <v/>
      </c>
      <c r="J5754">
        <f>IF(OR(E5754="Prospecting",E5754="Engaging"),VLOOKUP(C5754,Products!$A$2:$C$8,3,FALSE),0)</f>
        <v>0</v>
      </c>
    </row>
    <row r="5755" spans="1:10" x14ac:dyDescent="0.25">
      <c r="A5755" t="s">
        <v>5922</v>
      </c>
      <c r="B5755" t="s">
        <v>152</v>
      </c>
      <c r="C5755" t="s">
        <v>127</v>
      </c>
      <c r="D5755" t="s">
        <v>12</v>
      </c>
      <c r="E5755" t="s">
        <v>155</v>
      </c>
      <c r="F5755" s="1">
        <v>42954</v>
      </c>
      <c r="I5755" t="str">
        <f>IF(COUNTIF(Products!$A$2:$A$8,C5755)=0,C5755,"")</f>
        <v/>
      </c>
      <c r="J5755">
        <f>IF(OR(E5755="Prospecting",E5755="Engaging"),VLOOKUP(C5755,Products!$A$2:$C$8,3,FALSE),0)</f>
        <v>1096</v>
      </c>
    </row>
    <row r="5756" spans="1:10" x14ac:dyDescent="0.25">
      <c r="A5756" t="s">
        <v>5923</v>
      </c>
      <c r="B5756" t="s">
        <v>152</v>
      </c>
      <c r="C5756" t="s">
        <v>122</v>
      </c>
      <c r="E5756" t="s">
        <v>155</v>
      </c>
      <c r="F5756" s="1">
        <v>42954</v>
      </c>
      <c r="I5756" t="str">
        <f>IF(COUNTIF(Products!$A$2:$A$8,C5756)=0,C5756,"")</f>
        <v/>
      </c>
      <c r="J5756">
        <f>IF(OR(E5756="Prospecting",E5756="Engaging"),VLOOKUP(C5756,Products!$A$2:$C$8,3,FALSE),0)</f>
        <v>4821</v>
      </c>
    </row>
    <row r="5757" spans="1:10" x14ac:dyDescent="0.25">
      <c r="A5757" t="s">
        <v>5924</v>
      </c>
      <c r="B5757" t="s">
        <v>148</v>
      </c>
      <c r="C5757" t="s">
        <v>120</v>
      </c>
      <c r="E5757" t="s">
        <v>155</v>
      </c>
      <c r="F5757" s="1">
        <v>42954</v>
      </c>
      <c r="I5757" t="str">
        <f>IF(COUNTIF(Products!$A$2:$A$8,C5757)=0,C5757,"")</f>
        <v/>
      </c>
      <c r="J5757">
        <f>IF(OR(E5757="Prospecting",E5757="Engaging"),VLOOKUP(C5757,Products!$A$2:$C$8,3,FALSE),0)</f>
        <v>550</v>
      </c>
    </row>
    <row r="5758" spans="1:10" x14ac:dyDescent="0.25">
      <c r="A5758" t="s">
        <v>5925</v>
      </c>
      <c r="B5758" t="s">
        <v>148</v>
      </c>
      <c r="C5758" t="s">
        <v>123</v>
      </c>
      <c r="D5758" t="s">
        <v>66</v>
      </c>
      <c r="E5758" t="s">
        <v>159</v>
      </c>
      <c r="F5758" s="1">
        <v>42954</v>
      </c>
      <c r="G5758" s="1">
        <v>42960</v>
      </c>
      <c r="H5758">
        <v>0</v>
      </c>
      <c r="I5758" t="str">
        <f>IF(COUNTIF(Products!$A$2:$A$8,C5758)=0,C5758,"")</f>
        <v/>
      </c>
      <c r="J5758">
        <f>IF(OR(E5758="Prospecting",E5758="Engaging"),VLOOKUP(C5758,Products!$A$2:$C$8,3,FALSE),0)</f>
        <v>0</v>
      </c>
    </row>
    <row r="5759" spans="1:10" x14ac:dyDescent="0.25">
      <c r="A5759" t="s">
        <v>5926</v>
      </c>
      <c r="B5759" t="s">
        <v>177</v>
      </c>
      <c r="C5759" t="s">
        <v>123</v>
      </c>
      <c r="D5759" t="s">
        <v>7</v>
      </c>
      <c r="E5759" t="s">
        <v>138</v>
      </c>
      <c r="F5759" s="1">
        <v>42954</v>
      </c>
      <c r="G5759" s="1">
        <v>43043</v>
      </c>
      <c r="H5759">
        <v>52</v>
      </c>
      <c r="I5759" t="str">
        <f>IF(COUNTIF(Products!$A$2:$A$8,C5759)=0,C5759,"")</f>
        <v/>
      </c>
      <c r="J5759">
        <f>IF(OR(E5759="Prospecting",E5759="Engaging"),VLOOKUP(C5759,Products!$A$2:$C$8,3,FALSE),0)</f>
        <v>0</v>
      </c>
    </row>
    <row r="5760" spans="1:10" x14ac:dyDescent="0.25">
      <c r="A5760" t="s">
        <v>5927</v>
      </c>
      <c r="B5760" t="s">
        <v>177</v>
      </c>
      <c r="C5760" t="s">
        <v>123</v>
      </c>
      <c r="D5760" t="s">
        <v>19</v>
      </c>
      <c r="E5760" t="s">
        <v>138</v>
      </c>
      <c r="F5760" s="1">
        <v>42954</v>
      </c>
      <c r="G5760" s="1">
        <v>43048</v>
      </c>
      <c r="H5760">
        <v>51</v>
      </c>
      <c r="I5760" t="str">
        <f>IF(COUNTIF(Products!$A$2:$A$8,C5760)=0,C5760,"")</f>
        <v/>
      </c>
      <c r="J5760">
        <f>IF(OR(E5760="Prospecting",E5760="Engaging"),VLOOKUP(C5760,Products!$A$2:$C$8,3,FALSE),0)</f>
        <v>0</v>
      </c>
    </row>
    <row r="5761" spans="1:10" x14ac:dyDescent="0.25">
      <c r="A5761" t="s">
        <v>5928</v>
      </c>
      <c r="B5761" t="s">
        <v>144</v>
      </c>
      <c r="C5761" t="s">
        <v>122</v>
      </c>
      <c r="D5761" t="s">
        <v>27</v>
      </c>
      <c r="E5761" t="s">
        <v>138</v>
      </c>
      <c r="F5761" s="1">
        <v>42954</v>
      </c>
      <c r="G5761" s="1">
        <v>43066</v>
      </c>
      <c r="H5761">
        <v>4480</v>
      </c>
      <c r="I5761" t="str">
        <f>IF(COUNTIF(Products!$A$2:$A$8,C5761)=0,C5761,"")</f>
        <v/>
      </c>
      <c r="J5761">
        <f>IF(OR(E5761="Prospecting",E5761="Engaging"),VLOOKUP(C5761,Products!$A$2:$C$8,3,FALSE),0)</f>
        <v>0</v>
      </c>
    </row>
    <row r="5762" spans="1:10" x14ac:dyDescent="0.25">
      <c r="A5762" t="s">
        <v>5929</v>
      </c>
      <c r="B5762" t="s">
        <v>146</v>
      </c>
      <c r="C5762" t="s">
        <v>123</v>
      </c>
      <c r="D5762" t="s">
        <v>30</v>
      </c>
      <c r="E5762" t="s">
        <v>138</v>
      </c>
      <c r="F5762" s="1">
        <v>42955</v>
      </c>
      <c r="G5762" s="1">
        <v>42965</v>
      </c>
      <c r="H5762">
        <v>53</v>
      </c>
      <c r="I5762" t="str">
        <f>IF(COUNTIF(Products!$A$2:$A$8,C5762)=0,C5762,"")</f>
        <v/>
      </c>
      <c r="J5762">
        <f>IF(OR(E5762="Prospecting",E5762="Engaging"),VLOOKUP(C5762,Products!$A$2:$C$8,3,FALSE),0)</f>
        <v>0</v>
      </c>
    </row>
    <row r="5763" spans="1:10" x14ac:dyDescent="0.25">
      <c r="A5763" t="s">
        <v>5930</v>
      </c>
      <c r="B5763" t="s">
        <v>207</v>
      </c>
      <c r="C5763" t="s">
        <v>120</v>
      </c>
      <c r="D5763" t="s">
        <v>108</v>
      </c>
      <c r="E5763" t="s">
        <v>138</v>
      </c>
      <c r="F5763" s="1">
        <v>42955</v>
      </c>
      <c r="G5763" s="1">
        <v>42974</v>
      </c>
      <c r="H5763">
        <v>582</v>
      </c>
      <c r="I5763" t="str">
        <f>IF(COUNTIF(Products!$A$2:$A$8,C5763)=0,C5763,"")</f>
        <v/>
      </c>
      <c r="J5763">
        <f>IF(OR(E5763="Prospecting",E5763="Engaging"),VLOOKUP(C5763,Products!$A$2:$C$8,3,FALSE),0)</f>
        <v>0</v>
      </c>
    </row>
    <row r="5764" spans="1:10" x14ac:dyDescent="0.25">
      <c r="A5764" t="s">
        <v>5931</v>
      </c>
      <c r="B5764" t="s">
        <v>264</v>
      </c>
      <c r="C5764" t="s">
        <v>125</v>
      </c>
      <c r="E5764" t="s">
        <v>155</v>
      </c>
      <c r="F5764" s="1">
        <v>42955</v>
      </c>
      <c r="I5764" t="str">
        <f>IF(COUNTIF(Products!$A$2:$A$8,C5764)=0,C5764,"")</f>
        <v/>
      </c>
      <c r="J5764">
        <f>IF(OR(E5764="Prospecting",E5764="Engaging"),VLOOKUP(C5764,Products!$A$2:$C$8,3,FALSE),0)</f>
        <v>3393</v>
      </c>
    </row>
    <row r="5765" spans="1:10" x14ac:dyDescent="0.25">
      <c r="A5765" t="s">
        <v>5932</v>
      </c>
      <c r="B5765" t="s">
        <v>264</v>
      </c>
      <c r="C5765" t="s">
        <v>126</v>
      </c>
      <c r="D5765" t="s">
        <v>22</v>
      </c>
      <c r="E5765" t="s">
        <v>159</v>
      </c>
      <c r="F5765" s="1">
        <v>42955</v>
      </c>
      <c r="G5765" s="1">
        <v>43040</v>
      </c>
      <c r="H5765">
        <v>0</v>
      </c>
      <c r="I5765" t="str">
        <f>IF(COUNTIF(Products!$A$2:$A$8,C5765)=0,C5765,"")</f>
        <v/>
      </c>
      <c r="J5765">
        <f>IF(OR(E5765="Prospecting",E5765="Engaging"),VLOOKUP(C5765,Products!$A$2:$C$8,3,FALSE),0)</f>
        <v>0</v>
      </c>
    </row>
    <row r="5766" spans="1:10" x14ac:dyDescent="0.25">
      <c r="A5766" t="s">
        <v>5933</v>
      </c>
      <c r="B5766" t="s">
        <v>264</v>
      </c>
      <c r="C5766" t="s">
        <v>125</v>
      </c>
      <c r="D5766" t="s">
        <v>77</v>
      </c>
      <c r="E5766" t="s">
        <v>138</v>
      </c>
      <c r="F5766" s="1">
        <v>42955</v>
      </c>
      <c r="G5766" s="1">
        <v>43047</v>
      </c>
      <c r="H5766">
        <v>3354</v>
      </c>
      <c r="I5766" t="str">
        <f>IF(COUNTIF(Products!$A$2:$A$8,C5766)=0,C5766,"")</f>
        <v/>
      </c>
      <c r="J5766">
        <f>IF(OR(E5766="Prospecting",E5766="Engaging"),VLOOKUP(C5766,Products!$A$2:$C$8,3,FALSE),0)</f>
        <v>0</v>
      </c>
    </row>
    <row r="5767" spans="1:10" x14ac:dyDescent="0.25">
      <c r="A5767" t="s">
        <v>5934</v>
      </c>
      <c r="B5767" t="s">
        <v>171</v>
      </c>
      <c r="C5767" t="s">
        <v>125</v>
      </c>
      <c r="D5767" t="s">
        <v>37</v>
      </c>
      <c r="E5767" t="s">
        <v>159</v>
      </c>
      <c r="F5767" s="1">
        <v>42955</v>
      </c>
      <c r="G5767" s="1">
        <v>42956</v>
      </c>
      <c r="H5767">
        <v>0</v>
      </c>
      <c r="I5767" t="str">
        <f>IF(COUNTIF(Products!$A$2:$A$8,C5767)=0,C5767,"")</f>
        <v/>
      </c>
      <c r="J5767">
        <f>IF(OR(E5767="Prospecting",E5767="Engaging"),VLOOKUP(C5767,Products!$A$2:$C$8,3,FALSE),0)</f>
        <v>0</v>
      </c>
    </row>
    <row r="5768" spans="1:10" x14ac:dyDescent="0.25">
      <c r="A5768" t="s">
        <v>5935</v>
      </c>
      <c r="B5768" t="s">
        <v>171</v>
      </c>
      <c r="C5768" t="s">
        <v>127</v>
      </c>
      <c r="D5768" t="s">
        <v>69</v>
      </c>
      <c r="E5768" t="s">
        <v>138</v>
      </c>
      <c r="F5768" s="1">
        <v>42955</v>
      </c>
      <c r="G5768" s="1">
        <v>43091</v>
      </c>
      <c r="H5768">
        <v>1135</v>
      </c>
      <c r="I5768" t="str">
        <f>IF(COUNTIF(Products!$A$2:$A$8,C5768)=0,C5768,"")</f>
        <v/>
      </c>
      <c r="J5768">
        <f>IF(OR(E5768="Prospecting",E5768="Engaging"),VLOOKUP(C5768,Products!$A$2:$C$8,3,FALSE),0)</f>
        <v>0</v>
      </c>
    </row>
    <row r="5769" spans="1:10" x14ac:dyDescent="0.25">
      <c r="A5769" t="s">
        <v>5936</v>
      </c>
      <c r="B5769" t="s">
        <v>140</v>
      </c>
      <c r="C5769" t="s">
        <v>122</v>
      </c>
      <c r="E5769" t="s">
        <v>155</v>
      </c>
      <c r="F5769" s="1">
        <v>42955</v>
      </c>
      <c r="I5769" t="str">
        <f>IF(COUNTIF(Products!$A$2:$A$8,C5769)=0,C5769,"")</f>
        <v/>
      </c>
      <c r="J5769">
        <f>IF(OR(E5769="Prospecting",E5769="Engaging"),VLOOKUP(C5769,Products!$A$2:$C$8,3,FALSE),0)</f>
        <v>4821</v>
      </c>
    </row>
    <row r="5770" spans="1:10" x14ac:dyDescent="0.25">
      <c r="A5770" t="s">
        <v>5937</v>
      </c>
      <c r="B5770" t="s">
        <v>224</v>
      </c>
      <c r="C5770" t="s">
        <v>122</v>
      </c>
      <c r="D5770" t="s">
        <v>63</v>
      </c>
      <c r="E5770" t="s">
        <v>138</v>
      </c>
      <c r="F5770" s="1">
        <v>42955</v>
      </c>
      <c r="G5770" s="1">
        <v>42958</v>
      </c>
      <c r="H5770">
        <v>4859</v>
      </c>
      <c r="I5770" t="str">
        <f>IF(COUNTIF(Products!$A$2:$A$8,C5770)=0,C5770,"")</f>
        <v/>
      </c>
      <c r="J5770">
        <f>IF(OR(E5770="Prospecting",E5770="Engaging"),VLOOKUP(C5770,Products!$A$2:$C$8,3,FALSE),0)</f>
        <v>0</v>
      </c>
    </row>
    <row r="5771" spans="1:10" x14ac:dyDescent="0.25">
      <c r="A5771" t="s">
        <v>5938</v>
      </c>
      <c r="B5771" t="s">
        <v>303</v>
      </c>
      <c r="C5771" t="s">
        <v>127</v>
      </c>
      <c r="D5771" t="s">
        <v>103</v>
      </c>
      <c r="E5771" t="s">
        <v>138</v>
      </c>
      <c r="F5771" s="1">
        <v>42955</v>
      </c>
      <c r="G5771" s="1">
        <v>42964</v>
      </c>
      <c r="H5771">
        <v>1085</v>
      </c>
      <c r="I5771" t="str">
        <f>IF(COUNTIF(Products!$A$2:$A$8,C5771)=0,C5771,"")</f>
        <v/>
      </c>
      <c r="J5771">
        <f>IF(OR(E5771="Prospecting",E5771="Engaging"),VLOOKUP(C5771,Products!$A$2:$C$8,3,FALSE),0)</f>
        <v>0</v>
      </c>
    </row>
    <row r="5772" spans="1:10" x14ac:dyDescent="0.25">
      <c r="A5772" t="s">
        <v>5939</v>
      </c>
      <c r="B5772" t="s">
        <v>180</v>
      </c>
      <c r="C5772" t="s">
        <v>120</v>
      </c>
      <c r="D5772" t="s">
        <v>22</v>
      </c>
      <c r="E5772" t="s">
        <v>155</v>
      </c>
      <c r="F5772" s="1">
        <v>42955</v>
      </c>
      <c r="I5772" t="str">
        <f>IF(COUNTIF(Products!$A$2:$A$8,C5772)=0,C5772,"")</f>
        <v/>
      </c>
      <c r="J5772">
        <f>IF(OR(E5772="Prospecting",E5772="Engaging"),VLOOKUP(C5772,Products!$A$2:$C$8,3,FALSE),0)</f>
        <v>550</v>
      </c>
    </row>
    <row r="5773" spans="1:10" x14ac:dyDescent="0.25">
      <c r="A5773" t="s">
        <v>5940</v>
      </c>
      <c r="B5773" t="s">
        <v>191</v>
      </c>
      <c r="C5773" t="s">
        <v>123</v>
      </c>
      <c r="D5773" t="s">
        <v>93</v>
      </c>
      <c r="E5773" t="s">
        <v>159</v>
      </c>
      <c r="F5773" s="1">
        <v>42955</v>
      </c>
      <c r="G5773" s="1">
        <v>43002</v>
      </c>
      <c r="H5773">
        <v>0</v>
      </c>
      <c r="I5773" t="str">
        <f>IF(COUNTIF(Products!$A$2:$A$8,C5773)=0,C5773,"")</f>
        <v/>
      </c>
      <c r="J5773">
        <f>IF(OR(E5773="Prospecting",E5773="Engaging"),VLOOKUP(C5773,Products!$A$2:$C$8,3,FALSE),0)</f>
        <v>0</v>
      </c>
    </row>
    <row r="5774" spans="1:10" x14ac:dyDescent="0.25">
      <c r="A5774" t="s">
        <v>5941</v>
      </c>
      <c r="B5774" t="s">
        <v>217</v>
      </c>
      <c r="C5774" t="s">
        <v>120</v>
      </c>
      <c r="E5774" t="s">
        <v>155</v>
      </c>
      <c r="F5774" s="1">
        <v>42955</v>
      </c>
      <c r="I5774" t="str">
        <f>IF(COUNTIF(Products!$A$2:$A$8,C5774)=0,C5774,"")</f>
        <v/>
      </c>
      <c r="J5774">
        <f>IF(OR(E5774="Prospecting",E5774="Engaging"),VLOOKUP(C5774,Products!$A$2:$C$8,3,FALSE),0)</f>
        <v>550</v>
      </c>
    </row>
    <row r="5775" spans="1:10" x14ac:dyDescent="0.25">
      <c r="A5775" t="s">
        <v>5942</v>
      </c>
      <c r="B5775" t="s">
        <v>217</v>
      </c>
      <c r="C5775" t="s">
        <v>120</v>
      </c>
      <c r="D5775" t="s">
        <v>42</v>
      </c>
      <c r="E5775" t="s">
        <v>159</v>
      </c>
      <c r="F5775" s="1">
        <v>42955</v>
      </c>
      <c r="G5775" s="1">
        <v>43052</v>
      </c>
      <c r="H5775">
        <v>0</v>
      </c>
      <c r="I5775" t="str">
        <f>IF(COUNTIF(Products!$A$2:$A$8,C5775)=0,C5775,"")</f>
        <v/>
      </c>
      <c r="J5775">
        <f>IF(OR(E5775="Prospecting",E5775="Engaging"),VLOOKUP(C5775,Products!$A$2:$C$8,3,FALSE),0)</f>
        <v>0</v>
      </c>
    </row>
    <row r="5776" spans="1:10" x14ac:dyDescent="0.25">
      <c r="A5776" t="s">
        <v>5943</v>
      </c>
      <c r="B5776" t="s">
        <v>205</v>
      </c>
      <c r="C5776" t="s">
        <v>127</v>
      </c>
      <c r="D5776" t="s">
        <v>116</v>
      </c>
      <c r="E5776" t="s">
        <v>138</v>
      </c>
      <c r="F5776" s="1">
        <v>42955</v>
      </c>
      <c r="G5776" s="1">
        <v>43046</v>
      </c>
      <c r="H5776">
        <v>1196</v>
      </c>
      <c r="I5776" t="str">
        <f>IF(COUNTIF(Products!$A$2:$A$8,C5776)=0,C5776,"")</f>
        <v/>
      </c>
      <c r="J5776">
        <f>IF(OR(E5776="Prospecting",E5776="Engaging"),VLOOKUP(C5776,Products!$A$2:$C$8,3,FALSE),0)</f>
        <v>0</v>
      </c>
    </row>
    <row r="5777" spans="1:10" x14ac:dyDescent="0.25">
      <c r="A5777" t="s">
        <v>5944</v>
      </c>
      <c r="B5777" t="s">
        <v>205</v>
      </c>
      <c r="C5777" t="s">
        <v>126</v>
      </c>
      <c r="D5777" t="s">
        <v>77</v>
      </c>
      <c r="E5777" t="s">
        <v>138</v>
      </c>
      <c r="F5777" s="1">
        <v>42955</v>
      </c>
      <c r="G5777" s="1">
        <v>42966</v>
      </c>
      <c r="H5777">
        <v>5572</v>
      </c>
      <c r="I5777" t="str">
        <f>IF(COUNTIF(Products!$A$2:$A$8,C5777)=0,C5777,"")</f>
        <v/>
      </c>
      <c r="J5777">
        <f>IF(OR(E5777="Prospecting",E5777="Engaging"),VLOOKUP(C5777,Products!$A$2:$C$8,3,FALSE),0)</f>
        <v>0</v>
      </c>
    </row>
    <row r="5778" spans="1:10" x14ac:dyDescent="0.25">
      <c r="A5778" t="s">
        <v>5945</v>
      </c>
      <c r="B5778" t="s">
        <v>162</v>
      </c>
      <c r="C5778" t="s">
        <v>125</v>
      </c>
      <c r="D5778" t="s">
        <v>66</v>
      </c>
      <c r="E5778" t="s">
        <v>138</v>
      </c>
      <c r="F5778" s="1">
        <v>42955</v>
      </c>
      <c r="G5778" s="1">
        <v>43045</v>
      </c>
      <c r="H5778">
        <v>3415</v>
      </c>
      <c r="I5778" t="str">
        <f>IF(COUNTIF(Products!$A$2:$A$8,C5778)=0,C5778,"")</f>
        <v/>
      </c>
      <c r="J5778">
        <f>IF(OR(E5778="Prospecting",E5778="Engaging"),VLOOKUP(C5778,Products!$A$2:$C$8,3,FALSE),0)</f>
        <v>0</v>
      </c>
    </row>
    <row r="5779" spans="1:10" x14ac:dyDescent="0.25">
      <c r="A5779" t="s">
        <v>5946</v>
      </c>
      <c r="B5779" t="s">
        <v>187</v>
      </c>
      <c r="C5779" t="s">
        <v>125</v>
      </c>
      <c r="E5779" t="s">
        <v>155</v>
      </c>
      <c r="F5779" s="1">
        <v>42955</v>
      </c>
      <c r="I5779" t="str">
        <f>IF(COUNTIF(Products!$A$2:$A$8,C5779)=0,C5779,"")</f>
        <v/>
      </c>
      <c r="J5779">
        <f>IF(OR(E5779="Prospecting",E5779="Engaging"),VLOOKUP(C5779,Products!$A$2:$C$8,3,FALSE),0)</f>
        <v>3393</v>
      </c>
    </row>
    <row r="5780" spans="1:10" x14ac:dyDescent="0.25">
      <c r="A5780" t="s">
        <v>5947</v>
      </c>
      <c r="B5780" t="s">
        <v>169</v>
      </c>
      <c r="C5780" t="s">
        <v>123</v>
      </c>
      <c r="D5780" t="s">
        <v>91</v>
      </c>
      <c r="E5780" t="s">
        <v>159</v>
      </c>
      <c r="F5780" s="1">
        <v>42955</v>
      </c>
      <c r="G5780" s="1">
        <v>42962</v>
      </c>
      <c r="H5780">
        <v>0</v>
      </c>
      <c r="I5780" t="str">
        <f>IF(COUNTIF(Products!$A$2:$A$8,C5780)=0,C5780,"")</f>
        <v/>
      </c>
      <c r="J5780">
        <f>IF(OR(E5780="Prospecting",E5780="Engaging"),VLOOKUP(C5780,Products!$A$2:$C$8,3,FALSE),0)</f>
        <v>0</v>
      </c>
    </row>
    <row r="5781" spans="1:10" x14ac:dyDescent="0.25">
      <c r="A5781" t="s">
        <v>5948</v>
      </c>
      <c r="B5781" t="s">
        <v>146</v>
      </c>
      <c r="C5781" t="s">
        <v>126</v>
      </c>
      <c r="E5781" t="s">
        <v>155</v>
      </c>
      <c r="F5781" s="1">
        <v>42956</v>
      </c>
      <c r="I5781" t="str">
        <f>IF(COUNTIF(Products!$A$2:$A$8,C5781)=0,C5781,"")</f>
        <v/>
      </c>
      <c r="J5781">
        <f>IF(OR(E5781="Prospecting",E5781="Engaging"),VLOOKUP(C5781,Products!$A$2:$C$8,3,FALSE),0)</f>
        <v>5482</v>
      </c>
    </row>
    <row r="5782" spans="1:10" x14ac:dyDescent="0.25">
      <c r="A5782" t="s">
        <v>5949</v>
      </c>
      <c r="B5782" t="s">
        <v>207</v>
      </c>
      <c r="C5782" t="s">
        <v>120</v>
      </c>
      <c r="E5782" t="s">
        <v>155</v>
      </c>
      <c r="F5782" s="1">
        <v>42956</v>
      </c>
      <c r="I5782" t="str">
        <f>IF(COUNTIF(Products!$A$2:$A$8,C5782)=0,C5782,"")</f>
        <v/>
      </c>
      <c r="J5782">
        <f>IF(OR(E5782="Prospecting",E5782="Engaging"),VLOOKUP(C5782,Products!$A$2:$C$8,3,FALSE),0)</f>
        <v>550</v>
      </c>
    </row>
    <row r="5783" spans="1:10" x14ac:dyDescent="0.25">
      <c r="A5783" t="s">
        <v>5950</v>
      </c>
      <c r="B5783" t="s">
        <v>207</v>
      </c>
      <c r="C5783" t="s">
        <v>120</v>
      </c>
      <c r="D5783" t="s">
        <v>68</v>
      </c>
      <c r="E5783" t="s">
        <v>159</v>
      </c>
      <c r="F5783" s="1">
        <v>42956</v>
      </c>
      <c r="G5783" s="1">
        <v>43074</v>
      </c>
      <c r="H5783">
        <v>0</v>
      </c>
      <c r="I5783" t="str">
        <f>IF(COUNTIF(Products!$A$2:$A$8,C5783)=0,C5783,"")</f>
        <v/>
      </c>
      <c r="J5783">
        <f>IF(OR(E5783="Prospecting",E5783="Engaging"),VLOOKUP(C5783,Products!$A$2:$C$8,3,FALSE),0)</f>
        <v>0</v>
      </c>
    </row>
    <row r="5784" spans="1:10" x14ac:dyDescent="0.25">
      <c r="A5784" t="s">
        <v>5951</v>
      </c>
      <c r="B5784" t="s">
        <v>171</v>
      </c>
      <c r="C5784" t="s">
        <v>127</v>
      </c>
      <c r="D5784" t="s">
        <v>106</v>
      </c>
      <c r="E5784" t="s">
        <v>159</v>
      </c>
      <c r="F5784" s="1">
        <v>42956</v>
      </c>
      <c r="G5784" s="1">
        <v>43051</v>
      </c>
      <c r="H5784">
        <v>0</v>
      </c>
      <c r="I5784" t="str">
        <f>IF(COUNTIF(Products!$A$2:$A$8,C5784)=0,C5784,"")</f>
        <v/>
      </c>
      <c r="J5784">
        <f>IF(OR(E5784="Prospecting",E5784="Engaging"),VLOOKUP(C5784,Products!$A$2:$C$8,3,FALSE),0)</f>
        <v>0</v>
      </c>
    </row>
    <row r="5785" spans="1:10" x14ac:dyDescent="0.25">
      <c r="A5785" t="s">
        <v>5952</v>
      </c>
      <c r="B5785" t="s">
        <v>171</v>
      </c>
      <c r="C5785" t="s">
        <v>127</v>
      </c>
      <c r="D5785" t="s">
        <v>84</v>
      </c>
      <c r="E5785" t="s">
        <v>138</v>
      </c>
      <c r="F5785" s="1">
        <v>42956</v>
      </c>
      <c r="G5785" s="1">
        <v>43002</v>
      </c>
      <c r="H5785">
        <v>1176</v>
      </c>
      <c r="I5785" t="str">
        <f>IF(COUNTIF(Products!$A$2:$A$8,C5785)=0,C5785,"")</f>
        <v/>
      </c>
      <c r="J5785">
        <f>IF(OR(E5785="Prospecting",E5785="Engaging"),VLOOKUP(C5785,Products!$A$2:$C$8,3,FALSE),0)</f>
        <v>0</v>
      </c>
    </row>
    <row r="5786" spans="1:10" x14ac:dyDescent="0.25">
      <c r="A5786" t="s">
        <v>5953</v>
      </c>
      <c r="B5786" t="s">
        <v>140</v>
      </c>
      <c r="C5786" t="s">
        <v>127</v>
      </c>
      <c r="D5786" t="s">
        <v>56</v>
      </c>
      <c r="E5786" t="s">
        <v>155</v>
      </c>
      <c r="F5786" s="1">
        <v>42956</v>
      </c>
      <c r="I5786" t="str">
        <f>IF(COUNTIF(Products!$A$2:$A$8,C5786)=0,C5786,"")</f>
        <v/>
      </c>
      <c r="J5786">
        <f>IF(OR(E5786="Prospecting",E5786="Engaging"),VLOOKUP(C5786,Products!$A$2:$C$8,3,FALSE),0)</f>
        <v>1096</v>
      </c>
    </row>
    <row r="5787" spans="1:10" x14ac:dyDescent="0.25">
      <c r="A5787" t="s">
        <v>5954</v>
      </c>
      <c r="B5787" t="s">
        <v>140</v>
      </c>
      <c r="C5787" t="s">
        <v>122</v>
      </c>
      <c r="E5787" t="s">
        <v>155</v>
      </c>
      <c r="F5787" s="1">
        <v>42956</v>
      </c>
      <c r="I5787" t="str">
        <f>IF(COUNTIF(Products!$A$2:$A$8,C5787)=0,C5787,"")</f>
        <v/>
      </c>
      <c r="J5787">
        <f>IF(OR(E5787="Prospecting",E5787="Engaging"),VLOOKUP(C5787,Products!$A$2:$C$8,3,FALSE),0)</f>
        <v>4821</v>
      </c>
    </row>
    <row r="5788" spans="1:10" x14ac:dyDescent="0.25">
      <c r="A5788" t="s">
        <v>5955</v>
      </c>
      <c r="B5788" t="s">
        <v>140</v>
      </c>
      <c r="C5788" t="s">
        <v>122</v>
      </c>
      <c r="D5788" t="s">
        <v>96</v>
      </c>
      <c r="E5788" t="s">
        <v>138</v>
      </c>
      <c r="F5788" s="1">
        <v>42956</v>
      </c>
      <c r="G5788" s="1">
        <v>43041</v>
      </c>
      <c r="H5788">
        <v>4313</v>
      </c>
      <c r="I5788" t="str">
        <f>IF(COUNTIF(Products!$A$2:$A$8,C5788)=0,C5788,"")</f>
        <v/>
      </c>
      <c r="J5788">
        <f>IF(OR(E5788="Prospecting",E5788="Engaging"),VLOOKUP(C5788,Products!$A$2:$C$8,3,FALSE),0)</f>
        <v>0</v>
      </c>
    </row>
    <row r="5789" spans="1:10" x14ac:dyDescent="0.25">
      <c r="A5789" t="s">
        <v>5956</v>
      </c>
      <c r="B5789" t="s">
        <v>224</v>
      </c>
      <c r="C5789" t="s">
        <v>122</v>
      </c>
      <c r="D5789" t="s">
        <v>69</v>
      </c>
      <c r="E5789" t="s">
        <v>138</v>
      </c>
      <c r="F5789" s="1">
        <v>42956</v>
      </c>
      <c r="G5789" s="1">
        <v>42993</v>
      </c>
      <c r="H5789">
        <v>4662</v>
      </c>
      <c r="I5789" t="str">
        <f>IF(COUNTIF(Products!$A$2:$A$8,C5789)=0,C5789,"")</f>
        <v/>
      </c>
      <c r="J5789">
        <f>IF(OR(E5789="Prospecting",E5789="Engaging"),VLOOKUP(C5789,Products!$A$2:$C$8,3,FALSE),0)</f>
        <v>0</v>
      </c>
    </row>
    <row r="5790" spans="1:10" x14ac:dyDescent="0.25">
      <c r="A5790" t="s">
        <v>5957</v>
      </c>
      <c r="B5790" t="s">
        <v>173</v>
      </c>
      <c r="C5790" t="s">
        <v>120</v>
      </c>
      <c r="D5790" t="s">
        <v>93</v>
      </c>
      <c r="E5790" t="s">
        <v>159</v>
      </c>
      <c r="F5790" s="1">
        <v>42956</v>
      </c>
      <c r="G5790" s="1">
        <v>42959</v>
      </c>
      <c r="H5790">
        <v>0</v>
      </c>
      <c r="I5790" t="str">
        <f>IF(COUNTIF(Products!$A$2:$A$8,C5790)=0,C5790,"")</f>
        <v/>
      </c>
      <c r="J5790">
        <f>IF(OR(E5790="Prospecting",E5790="Engaging"),VLOOKUP(C5790,Products!$A$2:$C$8,3,FALSE),0)</f>
        <v>0</v>
      </c>
    </row>
    <row r="5791" spans="1:10" x14ac:dyDescent="0.25">
      <c r="A5791" t="s">
        <v>5958</v>
      </c>
      <c r="B5791" t="s">
        <v>173</v>
      </c>
      <c r="C5791" t="s">
        <v>125</v>
      </c>
      <c r="D5791" t="s">
        <v>23</v>
      </c>
      <c r="E5791" t="s">
        <v>159</v>
      </c>
      <c r="F5791" s="1">
        <v>42956</v>
      </c>
      <c r="G5791" s="1">
        <v>43057</v>
      </c>
      <c r="H5791">
        <v>0</v>
      </c>
      <c r="I5791" t="str">
        <f>IF(COUNTIF(Products!$A$2:$A$8,C5791)=0,C5791,"")</f>
        <v/>
      </c>
      <c r="J5791">
        <f>IF(OR(E5791="Prospecting",E5791="Engaging"),VLOOKUP(C5791,Products!$A$2:$C$8,3,FALSE),0)</f>
        <v>0</v>
      </c>
    </row>
    <row r="5792" spans="1:10" x14ac:dyDescent="0.25">
      <c r="A5792" t="s">
        <v>5959</v>
      </c>
      <c r="B5792" t="s">
        <v>198</v>
      </c>
      <c r="C5792" t="s">
        <v>122</v>
      </c>
      <c r="D5792" t="s">
        <v>108</v>
      </c>
      <c r="E5792" t="s">
        <v>159</v>
      </c>
      <c r="F5792" s="1">
        <v>42956</v>
      </c>
      <c r="G5792" s="1">
        <v>43059</v>
      </c>
      <c r="H5792">
        <v>0</v>
      </c>
      <c r="I5792" t="str">
        <f>IF(COUNTIF(Products!$A$2:$A$8,C5792)=0,C5792,"")</f>
        <v/>
      </c>
      <c r="J5792">
        <f>IF(OR(E5792="Prospecting",E5792="Engaging"),VLOOKUP(C5792,Products!$A$2:$C$8,3,FALSE),0)</f>
        <v>0</v>
      </c>
    </row>
    <row r="5793" spans="1:10" x14ac:dyDescent="0.25">
      <c r="A5793" t="s">
        <v>5960</v>
      </c>
      <c r="B5793" t="s">
        <v>198</v>
      </c>
      <c r="C5793" t="s">
        <v>125</v>
      </c>
      <c r="D5793" t="s">
        <v>84</v>
      </c>
      <c r="E5793" t="s">
        <v>138</v>
      </c>
      <c r="F5793" s="1">
        <v>42956</v>
      </c>
      <c r="G5793" s="1">
        <v>43046</v>
      </c>
      <c r="H5793">
        <v>2715</v>
      </c>
      <c r="I5793" t="str">
        <f>IF(COUNTIF(Products!$A$2:$A$8,C5793)=0,C5793,"")</f>
        <v/>
      </c>
      <c r="J5793">
        <f>IF(OR(E5793="Prospecting",E5793="Engaging"),VLOOKUP(C5793,Products!$A$2:$C$8,3,FALSE),0)</f>
        <v>0</v>
      </c>
    </row>
    <row r="5794" spans="1:10" x14ac:dyDescent="0.25">
      <c r="A5794" t="s">
        <v>5961</v>
      </c>
      <c r="B5794" t="s">
        <v>164</v>
      </c>
      <c r="C5794" t="s">
        <v>127</v>
      </c>
      <c r="D5794" t="s">
        <v>60</v>
      </c>
      <c r="E5794" t="s">
        <v>159</v>
      </c>
      <c r="F5794" s="1">
        <v>42956</v>
      </c>
      <c r="G5794" s="1">
        <v>43058</v>
      </c>
      <c r="H5794">
        <v>0</v>
      </c>
      <c r="I5794" t="str">
        <f>IF(COUNTIF(Products!$A$2:$A$8,C5794)=0,C5794,"")</f>
        <v/>
      </c>
      <c r="J5794">
        <f>IF(OR(E5794="Prospecting",E5794="Engaging"),VLOOKUP(C5794,Products!$A$2:$C$8,3,FALSE),0)</f>
        <v>0</v>
      </c>
    </row>
    <row r="5795" spans="1:10" x14ac:dyDescent="0.25">
      <c r="A5795" t="s">
        <v>5962</v>
      </c>
      <c r="B5795" t="s">
        <v>154</v>
      </c>
      <c r="C5795" t="s">
        <v>120</v>
      </c>
      <c r="D5795" t="s">
        <v>61</v>
      </c>
      <c r="E5795" t="s">
        <v>138</v>
      </c>
      <c r="F5795" s="1">
        <v>42956</v>
      </c>
      <c r="G5795" s="1">
        <v>43088</v>
      </c>
      <c r="H5795">
        <v>511</v>
      </c>
      <c r="I5795" t="str">
        <f>IF(COUNTIF(Products!$A$2:$A$8,C5795)=0,C5795,"")</f>
        <v/>
      </c>
      <c r="J5795">
        <f>IF(OR(E5795="Prospecting",E5795="Engaging"),VLOOKUP(C5795,Products!$A$2:$C$8,3,FALSE),0)</f>
        <v>0</v>
      </c>
    </row>
    <row r="5796" spans="1:10" x14ac:dyDescent="0.25">
      <c r="A5796" t="s">
        <v>5963</v>
      </c>
      <c r="B5796" t="s">
        <v>303</v>
      </c>
      <c r="C5796" t="s">
        <v>120</v>
      </c>
      <c r="E5796" t="s">
        <v>155</v>
      </c>
      <c r="F5796" s="1">
        <v>42956</v>
      </c>
      <c r="I5796" t="str">
        <f>IF(COUNTIF(Products!$A$2:$A$8,C5796)=0,C5796,"")</f>
        <v/>
      </c>
      <c r="J5796">
        <f>IF(OR(E5796="Prospecting",E5796="Engaging"),VLOOKUP(C5796,Products!$A$2:$C$8,3,FALSE),0)</f>
        <v>550</v>
      </c>
    </row>
    <row r="5797" spans="1:10" x14ac:dyDescent="0.25">
      <c r="A5797" t="s">
        <v>5964</v>
      </c>
      <c r="B5797" t="s">
        <v>217</v>
      </c>
      <c r="C5797" t="s">
        <v>120</v>
      </c>
      <c r="D5797" t="s">
        <v>102</v>
      </c>
      <c r="E5797" t="s">
        <v>155</v>
      </c>
      <c r="F5797" s="1">
        <v>42956</v>
      </c>
      <c r="I5797" t="str">
        <f>IF(COUNTIF(Products!$A$2:$A$8,C5797)=0,C5797,"")</f>
        <v/>
      </c>
      <c r="J5797">
        <f>IF(OR(E5797="Prospecting",E5797="Engaging"),VLOOKUP(C5797,Products!$A$2:$C$8,3,FALSE),0)</f>
        <v>550</v>
      </c>
    </row>
    <row r="5798" spans="1:10" x14ac:dyDescent="0.25">
      <c r="A5798" t="s">
        <v>5965</v>
      </c>
      <c r="B5798" t="s">
        <v>150</v>
      </c>
      <c r="C5798" t="s">
        <v>127</v>
      </c>
      <c r="D5798" t="s">
        <v>56</v>
      </c>
      <c r="E5798" t="s">
        <v>138</v>
      </c>
      <c r="F5798" s="1">
        <v>42956</v>
      </c>
      <c r="G5798" s="1">
        <v>43077</v>
      </c>
      <c r="H5798">
        <v>1017</v>
      </c>
      <c r="I5798" t="str">
        <f>IF(COUNTIF(Products!$A$2:$A$8,C5798)=0,C5798,"")</f>
        <v/>
      </c>
      <c r="J5798">
        <f>IF(OR(E5798="Prospecting",E5798="Engaging"),VLOOKUP(C5798,Products!$A$2:$C$8,3,FALSE),0)</f>
        <v>0</v>
      </c>
    </row>
    <row r="5799" spans="1:10" x14ac:dyDescent="0.25">
      <c r="A5799" t="s">
        <v>5966</v>
      </c>
      <c r="B5799" t="s">
        <v>205</v>
      </c>
      <c r="C5799" t="s">
        <v>126</v>
      </c>
      <c r="D5799" t="s">
        <v>60</v>
      </c>
      <c r="E5799" t="s">
        <v>155</v>
      </c>
      <c r="F5799" s="1">
        <v>42956</v>
      </c>
      <c r="I5799" t="str">
        <f>IF(COUNTIF(Products!$A$2:$A$8,C5799)=0,C5799,"")</f>
        <v/>
      </c>
      <c r="J5799">
        <f>IF(OR(E5799="Prospecting",E5799="Engaging"),VLOOKUP(C5799,Products!$A$2:$C$8,3,FALSE),0)</f>
        <v>5482</v>
      </c>
    </row>
    <row r="5800" spans="1:10" x14ac:dyDescent="0.25">
      <c r="A5800" t="s">
        <v>5967</v>
      </c>
      <c r="B5800" t="s">
        <v>205</v>
      </c>
      <c r="C5800" t="s">
        <v>125</v>
      </c>
      <c r="E5800" t="s">
        <v>155</v>
      </c>
      <c r="F5800" s="1">
        <v>42956</v>
      </c>
      <c r="I5800" t="str">
        <f>IF(COUNTIF(Products!$A$2:$A$8,C5800)=0,C5800,"")</f>
        <v/>
      </c>
      <c r="J5800">
        <f>IF(OR(E5800="Prospecting",E5800="Engaging"),VLOOKUP(C5800,Products!$A$2:$C$8,3,FALSE),0)</f>
        <v>3393</v>
      </c>
    </row>
    <row r="5801" spans="1:10" x14ac:dyDescent="0.25">
      <c r="A5801" t="s">
        <v>5968</v>
      </c>
      <c r="B5801" t="s">
        <v>162</v>
      </c>
      <c r="C5801" t="s">
        <v>127</v>
      </c>
      <c r="D5801" t="s">
        <v>71</v>
      </c>
      <c r="E5801" t="s">
        <v>159</v>
      </c>
      <c r="F5801" s="1">
        <v>42956</v>
      </c>
      <c r="G5801" s="1">
        <v>42967</v>
      </c>
      <c r="H5801">
        <v>0</v>
      </c>
      <c r="I5801" t="str">
        <f>IF(COUNTIF(Products!$A$2:$A$8,C5801)=0,C5801,"")</f>
        <v/>
      </c>
      <c r="J5801">
        <f>IF(OR(E5801="Prospecting",E5801="Engaging"),VLOOKUP(C5801,Products!$A$2:$C$8,3,FALSE),0)</f>
        <v>0</v>
      </c>
    </row>
    <row r="5802" spans="1:10" x14ac:dyDescent="0.25">
      <c r="A5802" t="s">
        <v>5969</v>
      </c>
      <c r="B5802" t="s">
        <v>162</v>
      </c>
      <c r="C5802" t="s">
        <v>127</v>
      </c>
      <c r="D5802" t="s">
        <v>69</v>
      </c>
      <c r="E5802" t="s">
        <v>138</v>
      </c>
      <c r="F5802" s="1">
        <v>42956</v>
      </c>
      <c r="G5802" s="1">
        <v>42957</v>
      </c>
      <c r="H5802">
        <v>1102</v>
      </c>
      <c r="I5802" t="str">
        <f>IF(COUNTIF(Products!$A$2:$A$8,C5802)=0,C5802,"")</f>
        <v/>
      </c>
      <c r="J5802">
        <f>IF(OR(E5802="Prospecting",E5802="Engaging"),VLOOKUP(C5802,Products!$A$2:$C$8,3,FALSE),0)</f>
        <v>0</v>
      </c>
    </row>
    <row r="5803" spans="1:10" x14ac:dyDescent="0.25">
      <c r="A5803" t="s">
        <v>5970</v>
      </c>
      <c r="B5803" t="s">
        <v>162</v>
      </c>
      <c r="C5803" t="s">
        <v>123</v>
      </c>
      <c r="D5803" t="s">
        <v>67</v>
      </c>
      <c r="E5803" t="s">
        <v>138</v>
      </c>
      <c r="F5803" s="1">
        <v>42956</v>
      </c>
      <c r="G5803" s="1">
        <v>43073</v>
      </c>
      <c r="H5803">
        <v>67</v>
      </c>
      <c r="I5803" t="str">
        <f>IF(COUNTIF(Products!$A$2:$A$8,C5803)=0,C5803,"")</f>
        <v/>
      </c>
      <c r="J5803">
        <f>IF(OR(E5803="Prospecting",E5803="Engaging"),VLOOKUP(C5803,Products!$A$2:$C$8,3,FALSE),0)</f>
        <v>0</v>
      </c>
    </row>
    <row r="5804" spans="1:10" x14ac:dyDescent="0.25">
      <c r="A5804" t="s">
        <v>5971</v>
      </c>
      <c r="B5804" t="s">
        <v>137</v>
      </c>
      <c r="C5804" t="s">
        <v>123</v>
      </c>
      <c r="D5804" t="s">
        <v>51</v>
      </c>
      <c r="E5804" t="s">
        <v>138</v>
      </c>
      <c r="F5804" s="1">
        <v>42956</v>
      </c>
      <c r="G5804" s="1">
        <v>42987</v>
      </c>
      <c r="H5804">
        <v>59</v>
      </c>
      <c r="I5804" t="str">
        <f>IF(COUNTIF(Products!$A$2:$A$8,C5804)=0,C5804,"")</f>
        <v/>
      </c>
      <c r="J5804">
        <f>IF(OR(E5804="Prospecting",E5804="Engaging"),VLOOKUP(C5804,Products!$A$2:$C$8,3,FALSE),0)</f>
        <v>0</v>
      </c>
    </row>
    <row r="5805" spans="1:10" x14ac:dyDescent="0.25">
      <c r="A5805" t="s">
        <v>5972</v>
      </c>
      <c r="B5805" t="s">
        <v>152</v>
      </c>
      <c r="C5805" t="s">
        <v>126</v>
      </c>
      <c r="D5805" t="s">
        <v>33</v>
      </c>
      <c r="E5805" t="s">
        <v>159</v>
      </c>
      <c r="F5805" s="1">
        <v>42956</v>
      </c>
      <c r="G5805" s="1">
        <v>43064</v>
      </c>
      <c r="H5805">
        <v>0</v>
      </c>
      <c r="I5805" t="str">
        <f>IF(COUNTIF(Products!$A$2:$A$8,C5805)=0,C5805,"")</f>
        <v/>
      </c>
      <c r="J5805">
        <f>IF(OR(E5805="Prospecting",E5805="Engaging"),VLOOKUP(C5805,Products!$A$2:$C$8,3,FALSE),0)</f>
        <v>0</v>
      </c>
    </row>
    <row r="5806" spans="1:10" x14ac:dyDescent="0.25">
      <c r="A5806" t="s">
        <v>5973</v>
      </c>
      <c r="B5806" t="s">
        <v>152</v>
      </c>
      <c r="C5806" t="s">
        <v>120</v>
      </c>
      <c r="D5806" t="s">
        <v>61</v>
      </c>
      <c r="E5806" t="s">
        <v>138</v>
      </c>
      <c r="F5806" s="1">
        <v>42956</v>
      </c>
      <c r="G5806" s="1">
        <v>43078</v>
      </c>
      <c r="H5806">
        <v>569</v>
      </c>
      <c r="I5806" t="str">
        <f>IF(COUNTIF(Products!$A$2:$A$8,C5806)=0,C5806,"")</f>
        <v/>
      </c>
      <c r="J5806">
        <f>IF(OR(E5806="Prospecting",E5806="Engaging"),VLOOKUP(C5806,Products!$A$2:$C$8,3,FALSE),0)</f>
        <v>0</v>
      </c>
    </row>
    <row r="5807" spans="1:10" x14ac:dyDescent="0.25">
      <c r="A5807" t="s">
        <v>5974</v>
      </c>
      <c r="B5807" t="s">
        <v>193</v>
      </c>
      <c r="C5807" t="s">
        <v>120</v>
      </c>
      <c r="D5807" t="s">
        <v>108</v>
      </c>
      <c r="E5807" t="s">
        <v>138</v>
      </c>
      <c r="F5807" s="1">
        <v>42956</v>
      </c>
      <c r="G5807" s="1">
        <v>43082</v>
      </c>
      <c r="H5807">
        <v>517</v>
      </c>
      <c r="I5807" t="str">
        <f>IF(COUNTIF(Products!$A$2:$A$8,C5807)=0,C5807,"")</f>
        <v/>
      </c>
      <c r="J5807">
        <f>IF(OR(E5807="Prospecting",E5807="Engaging"),VLOOKUP(C5807,Products!$A$2:$C$8,3,FALSE),0)</f>
        <v>0</v>
      </c>
    </row>
    <row r="5808" spans="1:10" x14ac:dyDescent="0.25">
      <c r="A5808" t="s">
        <v>5975</v>
      </c>
      <c r="B5808" t="s">
        <v>148</v>
      </c>
      <c r="C5808" t="s">
        <v>120</v>
      </c>
      <c r="E5808" t="s">
        <v>155</v>
      </c>
      <c r="F5808" s="1">
        <v>42956</v>
      </c>
      <c r="I5808" t="str">
        <f>IF(COUNTIF(Products!$A$2:$A$8,C5808)=0,C5808,"")</f>
        <v/>
      </c>
      <c r="J5808">
        <f>IF(OR(E5808="Prospecting",E5808="Engaging"),VLOOKUP(C5808,Products!$A$2:$C$8,3,FALSE),0)</f>
        <v>550</v>
      </c>
    </row>
    <row r="5809" spans="1:10" x14ac:dyDescent="0.25">
      <c r="A5809" t="s">
        <v>5976</v>
      </c>
      <c r="B5809" t="s">
        <v>196</v>
      </c>
      <c r="C5809" t="s">
        <v>120</v>
      </c>
      <c r="D5809" t="s">
        <v>65</v>
      </c>
      <c r="E5809" t="s">
        <v>159</v>
      </c>
      <c r="F5809" s="1">
        <v>42956</v>
      </c>
      <c r="G5809" s="1">
        <v>43042</v>
      </c>
      <c r="H5809">
        <v>0</v>
      </c>
      <c r="I5809" t="str">
        <f>IF(COUNTIF(Products!$A$2:$A$8,C5809)=0,C5809,"")</f>
        <v/>
      </c>
      <c r="J5809">
        <f>IF(OR(E5809="Prospecting",E5809="Engaging"),VLOOKUP(C5809,Products!$A$2:$C$8,3,FALSE),0)</f>
        <v>0</v>
      </c>
    </row>
    <row r="5810" spans="1:10" x14ac:dyDescent="0.25">
      <c r="A5810" t="s">
        <v>5977</v>
      </c>
      <c r="B5810" t="s">
        <v>222</v>
      </c>
      <c r="C5810" t="s">
        <v>127</v>
      </c>
      <c r="D5810" t="s">
        <v>37</v>
      </c>
      <c r="E5810" t="s">
        <v>138</v>
      </c>
      <c r="F5810" s="1">
        <v>42957</v>
      </c>
      <c r="G5810" s="1">
        <v>42969</v>
      </c>
      <c r="H5810">
        <v>1171</v>
      </c>
      <c r="I5810" t="str">
        <f>IF(COUNTIF(Products!$A$2:$A$8,C5810)=0,C5810,"")</f>
        <v/>
      </c>
      <c r="J5810">
        <f>IF(OR(E5810="Prospecting",E5810="Engaging"),VLOOKUP(C5810,Products!$A$2:$C$8,3,FALSE),0)</f>
        <v>0</v>
      </c>
    </row>
    <row r="5811" spans="1:10" x14ac:dyDescent="0.25">
      <c r="A5811" t="s">
        <v>5978</v>
      </c>
      <c r="B5811" t="s">
        <v>239</v>
      </c>
      <c r="C5811" t="s">
        <v>120</v>
      </c>
      <c r="D5811" t="s">
        <v>68</v>
      </c>
      <c r="E5811" t="s">
        <v>159</v>
      </c>
      <c r="F5811" s="1">
        <v>42957</v>
      </c>
      <c r="G5811" s="1">
        <v>42969</v>
      </c>
      <c r="H5811">
        <v>0</v>
      </c>
      <c r="I5811" t="str">
        <f>IF(COUNTIF(Products!$A$2:$A$8,C5811)=0,C5811,"")</f>
        <v/>
      </c>
      <c r="J5811">
        <f>IF(OR(E5811="Prospecting",E5811="Engaging"),VLOOKUP(C5811,Products!$A$2:$C$8,3,FALSE),0)</f>
        <v>0</v>
      </c>
    </row>
    <row r="5812" spans="1:10" x14ac:dyDescent="0.25">
      <c r="A5812" t="s">
        <v>5979</v>
      </c>
      <c r="B5812" t="s">
        <v>239</v>
      </c>
      <c r="C5812" t="s">
        <v>127</v>
      </c>
      <c r="D5812" t="s">
        <v>35</v>
      </c>
      <c r="E5812" t="s">
        <v>138</v>
      </c>
      <c r="F5812" s="1">
        <v>42957</v>
      </c>
      <c r="G5812" s="1">
        <v>42967</v>
      </c>
      <c r="H5812">
        <v>1143</v>
      </c>
      <c r="I5812" t="str">
        <f>IF(COUNTIF(Products!$A$2:$A$8,C5812)=0,C5812,"")</f>
        <v/>
      </c>
      <c r="J5812">
        <f>IF(OR(E5812="Prospecting",E5812="Engaging"),VLOOKUP(C5812,Products!$A$2:$C$8,3,FALSE),0)</f>
        <v>0</v>
      </c>
    </row>
    <row r="5813" spans="1:10" x14ac:dyDescent="0.25">
      <c r="A5813" t="s">
        <v>5980</v>
      </c>
      <c r="B5813" t="s">
        <v>171</v>
      </c>
      <c r="C5813" t="s">
        <v>122</v>
      </c>
      <c r="D5813" t="s">
        <v>67</v>
      </c>
      <c r="E5813" t="s">
        <v>138</v>
      </c>
      <c r="F5813" s="1">
        <v>42957</v>
      </c>
      <c r="G5813" s="1">
        <v>43076</v>
      </c>
      <c r="H5813">
        <v>5315</v>
      </c>
      <c r="I5813" t="str">
        <f>IF(COUNTIF(Products!$A$2:$A$8,C5813)=0,C5813,"")</f>
        <v/>
      </c>
      <c r="J5813">
        <f>IF(OR(E5813="Prospecting",E5813="Engaging"),VLOOKUP(C5813,Products!$A$2:$C$8,3,FALSE),0)</f>
        <v>0</v>
      </c>
    </row>
    <row r="5814" spans="1:10" x14ac:dyDescent="0.25">
      <c r="A5814" t="s">
        <v>5981</v>
      </c>
      <c r="B5814" t="s">
        <v>140</v>
      </c>
      <c r="C5814" t="s">
        <v>126</v>
      </c>
      <c r="E5814" t="s">
        <v>155</v>
      </c>
      <c r="F5814" s="1">
        <v>42957</v>
      </c>
      <c r="I5814" t="str">
        <f>IF(COUNTIF(Products!$A$2:$A$8,C5814)=0,C5814,"")</f>
        <v/>
      </c>
      <c r="J5814">
        <f>IF(OR(E5814="Prospecting",E5814="Engaging"),VLOOKUP(C5814,Products!$A$2:$C$8,3,FALSE),0)</f>
        <v>5482</v>
      </c>
    </row>
    <row r="5815" spans="1:10" x14ac:dyDescent="0.25">
      <c r="A5815" t="s">
        <v>5982</v>
      </c>
      <c r="B5815" t="s">
        <v>140</v>
      </c>
      <c r="C5815" t="s">
        <v>125</v>
      </c>
      <c r="D5815" t="s">
        <v>26</v>
      </c>
      <c r="E5815" t="s">
        <v>159</v>
      </c>
      <c r="F5815" s="1">
        <v>42957</v>
      </c>
      <c r="G5815" s="1">
        <v>42959</v>
      </c>
      <c r="H5815">
        <v>0</v>
      </c>
      <c r="I5815" t="str">
        <f>IF(COUNTIF(Products!$A$2:$A$8,C5815)=0,C5815,"")</f>
        <v/>
      </c>
      <c r="J5815">
        <f>IF(OR(E5815="Prospecting",E5815="Engaging"),VLOOKUP(C5815,Products!$A$2:$C$8,3,FALSE),0)</f>
        <v>0</v>
      </c>
    </row>
    <row r="5816" spans="1:10" x14ac:dyDescent="0.25">
      <c r="A5816" t="s">
        <v>5983</v>
      </c>
      <c r="B5816" t="s">
        <v>173</v>
      </c>
      <c r="C5816" t="s">
        <v>123</v>
      </c>
      <c r="D5816" t="s">
        <v>90</v>
      </c>
      <c r="E5816" t="s">
        <v>138</v>
      </c>
      <c r="F5816" s="1">
        <v>42957</v>
      </c>
      <c r="G5816" s="1">
        <v>42963</v>
      </c>
      <c r="H5816">
        <v>49</v>
      </c>
      <c r="I5816" t="str">
        <f>IF(COUNTIF(Products!$A$2:$A$8,C5816)=0,C5816,"")</f>
        <v/>
      </c>
      <c r="J5816">
        <f>IF(OR(E5816="Prospecting",E5816="Engaging"),VLOOKUP(C5816,Products!$A$2:$C$8,3,FALSE),0)</f>
        <v>0</v>
      </c>
    </row>
    <row r="5817" spans="1:10" x14ac:dyDescent="0.25">
      <c r="A5817" t="s">
        <v>5984</v>
      </c>
      <c r="B5817" t="s">
        <v>198</v>
      </c>
      <c r="C5817" t="s">
        <v>126</v>
      </c>
      <c r="D5817" t="s">
        <v>20</v>
      </c>
      <c r="E5817" t="s">
        <v>159</v>
      </c>
      <c r="F5817" s="1">
        <v>42957</v>
      </c>
      <c r="G5817" s="1">
        <v>43045</v>
      </c>
      <c r="H5817">
        <v>0</v>
      </c>
      <c r="I5817" t="str">
        <f>IF(COUNTIF(Products!$A$2:$A$8,C5817)=0,C5817,"")</f>
        <v/>
      </c>
      <c r="J5817">
        <f>IF(OR(E5817="Prospecting",E5817="Engaging"),VLOOKUP(C5817,Products!$A$2:$C$8,3,FALSE),0)</f>
        <v>0</v>
      </c>
    </row>
    <row r="5818" spans="1:10" x14ac:dyDescent="0.25">
      <c r="A5818" t="s">
        <v>5985</v>
      </c>
      <c r="B5818" t="s">
        <v>164</v>
      </c>
      <c r="C5818" t="s">
        <v>127</v>
      </c>
      <c r="E5818" t="s">
        <v>155</v>
      </c>
      <c r="F5818" s="1">
        <v>42957</v>
      </c>
      <c r="I5818" t="str">
        <f>IF(COUNTIF(Products!$A$2:$A$8,C5818)=0,C5818,"")</f>
        <v/>
      </c>
      <c r="J5818">
        <f>IF(OR(E5818="Prospecting",E5818="Engaging"),VLOOKUP(C5818,Products!$A$2:$C$8,3,FALSE),0)</f>
        <v>1096</v>
      </c>
    </row>
    <row r="5819" spans="1:10" x14ac:dyDescent="0.25">
      <c r="A5819" t="s">
        <v>5986</v>
      </c>
      <c r="B5819" t="s">
        <v>164</v>
      </c>
      <c r="C5819" t="s">
        <v>125</v>
      </c>
      <c r="D5819" t="s">
        <v>66</v>
      </c>
      <c r="E5819" t="s">
        <v>138</v>
      </c>
      <c r="F5819" s="1">
        <v>42957</v>
      </c>
      <c r="G5819" s="1">
        <v>42960</v>
      </c>
      <c r="H5819">
        <v>3511</v>
      </c>
      <c r="I5819" t="str">
        <f>IF(COUNTIF(Products!$A$2:$A$8,C5819)=0,C5819,"")</f>
        <v/>
      </c>
      <c r="J5819">
        <f>IF(OR(E5819="Prospecting",E5819="Engaging"),VLOOKUP(C5819,Products!$A$2:$C$8,3,FALSE),0)</f>
        <v>0</v>
      </c>
    </row>
    <row r="5820" spans="1:10" x14ac:dyDescent="0.25">
      <c r="A5820" t="s">
        <v>5987</v>
      </c>
      <c r="B5820" t="s">
        <v>303</v>
      </c>
      <c r="C5820" t="s">
        <v>120</v>
      </c>
      <c r="D5820" t="s">
        <v>82</v>
      </c>
      <c r="E5820" t="s">
        <v>155</v>
      </c>
      <c r="F5820" s="1">
        <v>42957</v>
      </c>
      <c r="I5820" t="str">
        <f>IF(COUNTIF(Products!$A$2:$A$8,C5820)=0,C5820,"")</f>
        <v/>
      </c>
      <c r="J5820">
        <f>IF(OR(E5820="Prospecting",E5820="Engaging"),VLOOKUP(C5820,Products!$A$2:$C$8,3,FALSE),0)</f>
        <v>550</v>
      </c>
    </row>
    <row r="5821" spans="1:10" x14ac:dyDescent="0.25">
      <c r="A5821" t="s">
        <v>5988</v>
      </c>
      <c r="B5821" t="s">
        <v>303</v>
      </c>
      <c r="C5821" t="s">
        <v>122</v>
      </c>
      <c r="D5821" t="s">
        <v>26</v>
      </c>
      <c r="E5821" t="s">
        <v>159</v>
      </c>
      <c r="F5821" s="1">
        <v>42957</v>
      </c>
      <c r="G5821" s="1">
        <v>43062</v>
      </c>
      <c r="H5821">
        <v>0</v>
      </c>
      <c r="I5821" t="str">
        <f>IF(COUNTIF(Products!$A$2:$A$8,C5821)=0,C5821,"")</f>
        <v/>
      </c>
      <c r="J5821">
        <f>IF(OR(E5821="Prospecting",E5821="Engaging"),VLOOKUP(C5821,Products!$A$2:$C$8,3,FALSE),0)</f>
        <v>0</v>
      </c>
    </row>
    <row r="5822" spans="1:10" x14ac:dyDescent="0.25">
      <c r="A5822" t="s">
        <v>5989</v>
      </c>
      <c r="B5822" t="s">
        <v>191</v>
      </c>
      <c r="C5822" t="s">
        <v>122</v>
      </c>
      <c r="D5822" t="s">
        <v>109</v>
      </c>
      <c r="E5822" t="s">
        <v>159</v>
      </c>
      <c r="F5822" s="1">
        <v>42957</v>
      </c>
      <c r="G5822" s="1">
        <v>43059</v>
      </c>
      <c r="H5822">
        <v>0</v>
      </c>
      <c r="I5822" t="str">
        <f>IF(COUNTIF(Products!$A$2:$A$8,C5822)=0,C5822,"")</f>
        <v/>
      </c>
      <c r="J5822">
        <f>IF(OR(E5822="Prospecting",E5822="Engaging"),VLOOKUP(C5822,Products!$A$2:$C$8,3,FALSE),0)</f>
        <v>0</v>
      </c>
    </row>
    <row r="5823" spans="1:10" x14ac:dyDescent="0.25">
      <c r="A5823" t="s">
        <v>5990</v>
      </c>
      <c r="B5823" t="s">
        <v>217</v>
      </c>
      <c r="C5823" t="s">
        <v>127</v>
      </c>
      <c r="E5823" t="s">
        <v>155</v>
      </c>
      <c r="F5823" s="1">
        <v>42957</v>
      </c>
      <c r="I5823" t="str">
        <f>IF(COUNTIF(Products!$A$2:$A$8,C5823)=0,C5823,"")</f>
        <v/>
      </c>
      <c r="J5823">
        <f>IF(OR(E5823="Prospecting",E5823="Engaging"),VLOOKUP(C5823,Products!$A$2:$C$8,3,FALSE),0)</f>
        <v>1096</v>
      </c>
    </row>
    <row r="5824" spans="1:10" x14ac:dyDescent="0.25">
      <c r="A5824" t="s">
        <v>5991</v>
      </c>
      <c r="B5824" t="s">
        <v>150</v>
      </c>
      <c r="C5824" t="s">
        <v>120</v>
      </c>
      <c r="E5824" t="s">
        <v>155</v>
      </c>
      <c r="F5824" s="1">
        <v>42957</v>
      </c>
      <c r="I5824" t="str">
        <f>IF(COUNTIF(Products!$A$2:$A$8,C5824)=0,C5824,"")</f>
        <v/>
      </c>
      <c r="J5824">
        <f>IF(OR(E5824="Prospecting",E5824="Engaging"),VLOOKUP(C5824,Products!$A$2:$C$8,3,FALSE),0)</f>
        <v>550</v>
      </c>
    </row>
    <row r="5825" spans="1:10" x14ac:dyDescent="0.25">
      <c r="A5825" t="s">
        <v>5992</v>
      </c>
      <c r="B5825" t="s">
        <v>205</v>
      </c>
      <c r="C5825" t="s">
        <v>126</v>
      </c>
      <c r="D5825" t="s">
        <v>98</v>
      </c>
      <c r="E5825" t="s">
        <v>155</v>
      </c>
      <c r="F5825" s="1">
        <v>42957</v>
      </c>
      <c r="I5825" t="str">
        <f>IF(COUNTIF(Products!$A$2:$A$8,C5825)=0,C5825,"")</f>
        <v/>
      </c>
      <c r="J5825">
        <f>IF(OR(E5825="Prospecting",E5825="Engaging"),VLOOKUP(C5825,Products!$A$2:$C$8,3,FALSE),0)</f>
        <v>5482</v>
      </c>
    </row>
    <row r="5826" spans="1:10" x14ac:dyDescent="0.25">
      <c r="A5826" t="s">
        <v>5993</v>
      </c>
      <c r="B5826" t="s">
        <v>205</v>
      </c>
      <c r="C5826" t="s">
        <v>123</v>
      </c>
      <c r="E5826" t="s">
        <v>155</v>
      </c>
      <c r="F5826" s="1">
        <v>42957</v>
      </c>
      <c r="I5826" t="str">
        <f>IF(COUNTIF(Products!$A$2:$A$8,C5826)=0,C5826,"")</f>
        <v/>
      </c>
      <c r="J5826">
        <f>IF(OR(E5826="Prospecting",E5826="Engaging"),VLOOKUP(C5826,Products!$A$2:$C$8,3,FALSE),0)</f>
        <v>55</v>
      </c>
    </row>
    <row r="5827" spans="1:10" x14ac:dyDescent="0.25">
      <c r="A5827" t="s">
        <v>5994</v>
      </c>
      <c r="B5827" t="s">
        <v>205</v>
      </c>
      <c r="C5827" t="s">
        <v>127</v>
      </c>
      <c r="D5827" t="s">
        <v>26</v>
      </c>
      <c r="E5827" t="s">
        <v>138</v>
      </c>
      <c r="F5827" s="1">
        <v>42957</v>
      </c>
      <c r="G5827" s="1">
        <v>42974</v>
      </c>
      <c r="H5827">
        <v>1108</v>
      </c>
      <c r="I5827" t="str">
        <f>IF(COUNTIF(Products!$A$2:$A$8,C5827)=0,C5827,"")</f>
        <v/>
      </c>
      <c r="J5827">
        <f>IF(OR(E5827="Prospecting",E5827="Engaging"),VLOOKUP(C5827,Products!$A$2:$C$8,3,FALSE),0)</f>
        <v>0</v>
      </c>
    </row>
    <row r="5828" spans="1:10" x14ac:dyDescent="0.25">
      <c r="A5828" t="s">
        <v>5995</v>
      </c>
      <c r="B5828" t="s">
        <v>162</v>
      </c>
      <c r="C5828" t="s">
        <v>123</v>
      </c>
      <c r="D5828" t="s">
        <v>47</v>
      </c>
      <c r="E5828" t="s">
        <v>159</v>
      </c>
      <c r="F5828" s="1">
        <v>42957</v>
      </c>
      <c r="G5828" s="1">
        <v>43046</v>
      </c>
      <c r="H5828">
        <v>0</v>
      </c>
      <c r="I5828" t="str">
        <f>IF(COUNTIF(Products!$A$2:$A$8,C5828)=0,C5828,"")</f>
        <v/>
      </c>
      <c r="J5828">
        <f>IF(OR(E5828="Prospecting",E5828="Engaging"),VLOOKUP(C5828,Products!$A$2:$C$8,3,FALSE),0)</f>
        <v>0</v>
      </c>
    </row>
    <row r="5829" spans="1:10" x14ac:dyDescent="0.25">
      <c r="A5829" t="s">
        <v>5996</v>
      </c>
      <c r="B5829" t="s">
        <v>162</v>
      </c>
      <c r="C5829" t="s">
        <v>123</v>
      </c>
      <c r="D5829" t="s">
        <v>59</v>
      </c>
      <c r="E5829" t="s">
        <v>159</v>
      </c>
      <c r="F5829" s="1">
        <v>42957</v>
      </c>
      <c r="G5829" s="1">
        <v>43042</v>
      </c>
      <c r="H5829">
        <v>0</v>
      </c>
      <c r="I5829" t="str">
        <f>IF(COUNTIF(Products!$A$2:$A$8,C5829)=0,C5829,"")</f>
        <v/>
      </c>
      <c r="J5829">
        <f>IF(OR(E5829="Prospecting",E5829="Engaging"),VLOOKUP(C5829,Products!$A$2:$C$8,3,FALSE),0)</f>
        <v>0</v>
      </c>
    </row>
    <row r="5830" spans="1:10" x14ac:dyDescent="0.25">
      <c r="A5830" t="s">
        <v>5997</v>
      </c>
      <c r="B5830" t="s">
        <v>152</v>
      </c>
      <c r="C5830" t="s">
        <v>127</v>
      </c>
      <c r="E5830" t="s">
        <v>155</v>
      </c>
      <c r="F5830" s="1">
        <v>42957</v>
      </c>
      <c r="I5830" t="str">
        <f>IF(COUNTIF(Products!$A$2:$A$8,C5830)=0,C5830,"")</f>
        <v/>
      </c>
      <c r="J5830">
        <f>IF(OR(E5830="Prospecting",E5830="Engaging"),VLOOKUP(C5830,Products!$A$2:$C$8,3,FALSE),0)</f>
        <v>1096</v>
      </c>
    </row>
    <row r="5831" spans="1:10" x14ac:dyDescent="0.25">
      <c r="A5831" t="s">
        <v>5998</v>
      </c>
      <c r="B5831" t="s">
        <v>152</v>
      </c>
      <c r="C5831" t="s">
        <v>120</v>
      </c>
      <c r="D5831" t="s">
        <v>94</v>
      </c>
      <c r="E5831" t="s">
        <v>159</v>
      </c>
      <c r="F5831" s="1">
        <v>42957</v>
      </c>
      <c r="G5831" s="1">
        <v>42994</v>
      </c>
      <c r="H5831">
        <v>0</v>
      </c>
      <c r="I5831" t="str">
        <f>IF(COUNTIF(Products!$A$2:$A$8,C5831)=0,C5831,"")</f>
        <v/>
      </c>
      <c r="J5831">
        <f>IF(OR(E5831="Prospecting",E5831="Engaging"),VLOOKUP(C5831,Products!$A$2:$C$8,3,FALSE),0)</f>
        <v>0</v>
      </c>
    </row>
    <row r="5832" spans="1:10" x14ac:dyDescent="0.25">
      <c r="A5832" t="s">
        <v>5999</v>
      </c>
      <c r="B5832" t="s">
        <v>152</v>
      </c>
      <c r="C5832" t="s">
        <v>126</v>
      </c>
      <c r="D5832" t="s">
        <v>32</v>
      </c>
      <c r="E5832" t="s">
        <v>138</v>
      </c>
      <c r="F5832" s="1">
        <v>42957</v>
      </c>
      <c r="G5832" s="1">
        <v>42972</v>
      </c>
      <c r="H5832">
        <v>5671</v>
      </c>
      <c r="I5832" t="str">
        <f>IF(COUNTIF(Products!$A$2:$A$8,C5832)=0,C5832,"")</f>
        <v/>
      </c>
      <c r="J5832">
        <f>IF(OR(E5832="Prospecting",E5832="Engaging"),VLOOKUP(C5832,Products!$A$2:$C$8,3,FALSE),0)</f>
        <v>0</v>
      </c>
    </row>
    <row r="5833" spans="1:10" x14ac:dyDescent="0.25">
      <c r="A5833" t="s">
        <v>6000</v>
      </c>
      <c r="B5833" t="s">
        <v>187</v>
      </c>
      <c r="C5833" t="s">
        <v>122</v>
      </c>
      <c r="D5833" t="s">
        <v>39</v>
      </c>
      <c r="E5833" t="s">
        <v>155</v>
      </c>
      <c r="F5833" s="1">
        <v>42957</v>
      </c>
      <c r="I5833" t="str">
        <f>IF(COUNTIF(Products!$A$2:$A$8,C5833)=0,C5833,"")</f>
        <v/>
      </c>
      <c r="J5833">
        <f>IF(OR(E5833="Prospecting",E5833="Engaging"),VLOOKUP(C5833,Products!$A$2:$C$8,3,FALSE),0)</f>
        <v>4821</v>
      </c>
    </row>
    <row r="5834" spans="1:10" x14ac:dyDescent="0.25">
      <c r="A5834" t="s">
        <v>6001</v>
      </c>
      <c r="B5834" t="s">
        <v>187</v>
      </c>
      <c r="C5834" t="s">
        <v>120</v>
      </c>
      <c r="D5834" t="s">
        <v>20</v>
      </c>
      <c r="E5834" t="s">
        <v>159</v>
      </c>
      <c r="F5834" s="1">
        <v>42957</v>
      </c>
      <c r="G5834" s="1">
        <v>42987</v>
      </c>
      <c r="H5834">
        <v>0</v>
      </c>
      <c r="I5834" t="str">
        <f>IF(COUNTIF(Products!$A$2:$A$8,C5834)=0,C5834,"")</f>
        <v/>
      </c>
      <c r="J5834">
        <f>IF(OR(E5834="Prospecting",E5834="Engaging"),VLOOKUP(C5834,Products!$A$2:$C$8,3,FALSE),0)</f>
        <v>0</v>
      </c>
    </row>
    <row r="5835" spans="1:10" x14ac:dyDescent="0.25">
      <c r="A5835" t="s">
        <v>6002</v>
      </c>
      <c r="B5835" t="s">
        <v>169</v>
      </c>
      <c r="C5835" t="s">
        <v>120</v>
      </c>
      <c r="D5835" t="s">
        <v>14</v>
      </c>
      <c r="E5835" t="s">
        <v>138</v>
      </c>
      <c r="F5835" s="1">
        <v>42957</v>
      </c>
      <c r="G5835" s="1">
        <v>43002</v>
      </c>
      <c r="H5835">
        <v>546</v>
      </c>
      <c r="I5835" t="str">
        <f>IF(COUNTIF(Products!$A$2:$A$8,C5835)=0,C5835,"")</f>
        <v/>
      </c>
      <c r="J5835">
        <f>IF(OR(E5835="Prospecting",E5835="Engaging"),VLOOKUP(C5835,Products!$A$2:$C$8,3,FALSE),0)</f>
        <v>0</v>
      </c>
    </row>
    <row r="5836" spans="1:10" x14ac:dyDescent="0.25">
      <c r="A5836" t="s">
        <v>6003</v>
      </c>
      <c r="B5836" t="s">
        <v>148</v>
      </c>
      <c r="C5836" t="s">
        <v>123</v>
      </c>
      <c r="D5836" t="s">
        <v>47</v>
      </c>
      <c r="E5836" t="s">
        <v>138</v>
      </c>
      <c r="F5836" s="1">
        <v>42957</v>
      </c>
      <c r="G5836" s="1">
        <v>43075</v>
      </c>
      <c r="H5836">
        <v>57</v>
      </c>
      <c r="I5836" t="str">
        <f>IF(COUNTIF(Products!$A$2:$A$8,C5836)=0,C5836,"")</f>
        <v/>
      </c>
      <c r="J5836">
        <f>IF(OR(E5836="Prospecting",E5836="Engaging"),VLOOKUP(C5836,Products!$A$2:$C$8,3,FALSE),0)</f>
        <v>0</v>
      </c>
    </row>
    <row r="5837" spans="1:10" x14ac:dyDescent="0.25">
      <c r="A5837" t="s">
        <v>6004</v>
      </c>
      <c r="B5837" t="s">
        <v>148</v>
      </c>
      <c r="C5837" t="s">
        <v>125</v>
      </c>
      <c r="D5837" t="s">
        <v>34</v>
      </c>
      <c r="E5837" t="s">
        <v>138</v>
      </c>
      <c r="F5837" s="1">
        <v>42957</v>
      </c>
      <c r="G5837" s="1">
        <v>43006</v>
      </c>
      <c r="H5837">
        <v>3195</v>
      </c>
      <c r="I5837" t="str">
        <f>IF(COUNTIF(Products!$A$2:$A$8,C5837)=0,C5837,"")</f>
        <v/>
      </c>
      <c r="J5837">
        <f>IF(OR(E5837="Prospecting",E5837="Engaging"),VLOOKUP(C5837,Products!$A$2:$C$8,3,FALSE),0)</f>
        <v>0</v>
      </c>
    </row>
    <row r="5838" spans="1:10" x14ac:dyDescent="0.25">
      <c r="A5838" t="s">
        <v>6005</v>
      </c>
      <c r="B5838" t="s">
        <v>177</v>
      </c>
      <c r="C5838" t="s">
        <v>120</v>
      </c>
      <c r="D5838" t="s">
        <v>115</v>
      </c>
      <c r="E5838" t="s">
        <v>159</v>
      </c>
      <c r="F5838" s="1">
        <v>42957</v>
      </c>
      <c r="G5838" s="1">
        <v>43045</v>
      </c>
      <c r="H5838">
        <v>0</v>
      </c>
      <c r="I5838" t="str">
        <f>IF(COUNTIF(Products!$A$2:$A$8,C5838)=0,C5838,"")</f>
        <v/>
      </c>
      <c r="J5838">
        <f>IF(OR(E5838="Prospecting",E5838="Engaging"),VLOOKUP(C5838,Products!$A$2:$C$8,3,FALSE),0)</f>
        <v>0</v>
      </c>
    </row>
    <row r="5839" spans="1:10" x14ac:dyDescent="0.25">
      <c r="A5839" t="s">
        <v>6006</v>
      </c>
      <c r="B5839" t="s">
        <v>146</v>
      </c>
      <c r="C5839" t="s">
        <v>123</v>
      </c>
      <c r="D5839" t="s">
        <v>53</v>
      </c>
      <c r="E5839" t="s">
        <v>159</v>
      </c>
      <c r="F5839" s="1">
        <v>42958</v>
      </c>
      <c r="G5839" s="1">
        <v>43045</v>
      </c>
      <c r="H5839">
        <v>0</v>
      </c>
      <c r="I5839" t="str">
        <f>IF(COUNTIF(Products!$A$2:$A$8,C5839)=0,C5839,"")</f>
        <v/>
      </c>
      <c r="J5839">
        <f>IF(OR(E5839="Prospecting",E5839="Engaging"),VLOOKUP(C5839,Products!$A$2:$C$8,3,FALSE),0)</f>
        <v>0</v>
      </c>
    </row>
    <row r="5840" spans="1:10" x14ac:dyDescent="0.25">
      <c r="A5840" t="s">
        <v>6007</v>
      </c>
      <c r="B5840" t="s">
        <v>146</v>
      </c>
      <c r="C5840" t="s">
        <v>123</v>
      </c>
      <c r="D5840" t="s">
        <v>53</v>
      </c>
      <c r="E5840" t="s">
        <v>159</v>
      </c>
      <c r="F5840" s="1">
        <v>42958</v>
      </c>
      <c r="G5840" s="1">
        <v>42970</v>
      </c>
      <c r="H5840">
        <v>0</v>
      </c>
      <c r="I5840" t="str">
        <f>IF(COUNTIF(Products!$A$2:$A$8,C5840)=0,C5840,"")</f>
        <v/>
      </c>
      <c r="J5840">
        <f>IF(OR(E5840="Prospecting",E5840="Engaging"),VLOOKUP(C5840,Products!$A$2:$C$8,3,FALSE),0)</f>
        <v>0</v>
      </c>
    </row>
    <row r="5841" spans="1:10" x14ac:dyDescent="0.25">
      <c r="A5841" t="s">
        <v>6008</v>
      </c>
      <c r="B5841" t="s">
        <v>146</v>
      </c>
      <c r="C5841" t="s">
        <v>123</v>
      </c>
      <c r="D5841" t="s">
        <v>36</v>
      </c>
      <c r="E5841" t="s">
        <v>138</v>
      </c>
      <c r="F5841" s="1">
        <v>42958</v>
      </c>
      <c r="G5841" s="1">
        <v>42965</v>
      </c>
      <c r="H5841">
        <v>46</v>
      </c>
      <c r="I5841" t="str">
        <f>IF(COUNTIF(Products!$A$2:$A$8,C5841)=0,C5841,"")</f>
        <v/>
      </c>
      <c r="J5841">
        <f>IF(OR(E5841="Prospecting",E5841="Engaging"),VLOOKUP(C5841,Products!$A$2:$C$8,3,FALSE),0)</f>
        <v>0</v>
      </c>
    </row>
    <row r="5842" spans="1:10" x14ac:dyDescent="0.25">
      <c r="A5842" t="s">
        <v>6009</v>
      </c>
      <c r="B5842" t="s">
        <v>146</v>
      </c>
      <c r="C5842" t="s">
        <v>123</v>
      </c>
      <c r="D5842" t="s">
        <v>96</v>
      </c>
      <c r="E5842" t="s">
        <v>138</v>
      </c>
      <c r="F5842" s="1">
        <v>42958</v>
      </c>
      <c r="G5842" s="1">
        <v>43046</v>
      </c>
      <c r="H5842">
        <v>65</v>
      </c>
      <c r="I5842" t="str">
        <f>IF(COUNTIF(Products!$A$2:$A$8,C5842)=0,C5842,"")</f>
        <v/>
      </c>
      <c r="J5842">
        <f>IF(OR(E5842="Prospecting",E5842="Engaging"),VLOOKUP(C5842,Products!$A$2:$C$8,3,FALSE),0)</f>
        <v>0</v>
      </c>
    </row>
    <row r="5843" spans="1:10" x14ac:dyDescent="0.25">
      <c r="A5843" t="s">
        <v>6010</v>
      </c>
      <c r="B5843" t="s">
        <v>173</v>
      </c>
      <c r="C5843" t="s">
        <v>120</v>
      </c>
      <c r="E5843" t="s">
        <v>155</v>
      </c>
      <c r="F5843" s="1">
        <v>42958</v>
      </c>
      <c r="I5843" t="str">
        <f>IF(COUNTIF(Products!$A$2:$A$8,C5843)=0,C5843,"")</f>
        <v/>
      </c>
      <c r="J5843">
        <f>IF(OR(E5843="Prospecting",E5843="Engaging"),VLOOKUP(C5843,Products!$A$2:$C$8,3,FALSE),0)</f>
        <v>550</v>
      </c>
    </row>
    <row r="5844" spans="1:10" x14ac:dyDescent="0.25">
      <c r="A5844" t="s">
        <v>6011</v>
      </c>
      <c r="B5844" t="s">
        <v>158</v>
      </c>
      <c r="C5844" t="s">
        <v>126</v>
      </c>
      <c r="D5844" t="s">
        <v>102</v>
      </c>
      <c r="E5844" t="s">
        <v>155</v>
      </c>
      <c r="F5844" s="1">
        <v>42958</v>
      </c>
      <c r="I5844" t="str">
        <f>IF(COUNTIF(Products!$A$2:$A$8,C5844)=0,C5844,"")</f>
        <v/>
      </c>
      <c r="J5844">
        <f>IF(OR(E5844="Prospecting",E5844="Engaging"),VLOOKUP(C5844,Products!$A$2:$C$8,3,FALSE),0)</f>
        <v>5482</v>
      </c>
    </row>
    <row r="5845" spans="1:10" x14ac:dyDescent="0.25">
      <c r="A5845" t="s">
        <v>6012</v>
      </c>
      <c r="B5845" t="s">
        <v>154</v>
      </c>
      <c r="C5845" t="s">
        <v>122</v>
      </c>
      <c r="D5845" t="s">
        <v>23</v>
      </c>
      <c r="E5845" t="s">
        <v>159</v>
      </c>
      <c r="F5845" s="1">
        <v>42958</v>
      </c>
      <c r="G5845" s="1">
        <v>42971</v>
      </c>
      <c r="H5845">
        <v>0</v>
      </c>
      <c r="I5845" t="str">
        <f>IF(COUNTIF(Products!$A$2:$A$8,C5845)=0,C5845,"")</f>
        <v/>
      </c>
      <c r="J5845">
        <f>IF(OR(E5845="Prospecting",E5845="Engaging"),VLOOKUP(C5845,Products!$A$2:$C$8,3,FALSE),0)</f>
        <v>0</v>
      </c>
    </row>
    <row r="5846" spans="1:10" x14ac:dyDescent="0.25">
      <c r="A5846" t="s">
        <v>6013</v>
      </c>
      <c r="B5846" t="s">
        <v>303</v>
      </c>
      <c r="C5846" t="s">
        <v>120</v>
      </c>
      <c r="D5846" t="s">
        <v>85</v>
      </c>
      <c r="E5846" t="s">
        <v>138</v>
      </c>
      <c r="F5846" s="1">
        <v>42958</v>
      </c>
      <c r="G5846" s="1">
        <v>43050</v>
      </c>
      <c r="H5846">
        <v>526</v>
      </c>
      <c r="I5846" t="str">
        <f>IF(COUNTIF(Products!$A$2:$A$8,C5846)=0,C5846,"")</f>
        <v/>
      </c>
      <c r="J5846">
        <f>IF(OR(E5846="Prospecting",E5846="Engaging"),VLOOKUP(C5846,Products!$A$2:$C$8,3,FALSE),0)</f>
        <v>0</v>
      </c>
    </row>
    <row r="5847" spans="1:10" x14ac:dyDescent="0.25">
      <c r="A5847" t="s">
        <v>6014</v>
      </c>
      <c r="B5847" t="s">
        <v>303</v>
      </c>
      <c r="C5847" t="s">
        <v>122</v>
      </c>
      <c r="D5847" t="s">
        <v>51</v>
      </c>
      <c r="E5847" t="s">
        <v>138</v>
      </c>
      <c r="F5847" s="1">
        <v>42958</v>
      </c>
      <c r="G5847" s="1">
        <v>43049</v>
      </c>
      <c r="H5847">
        <v>4809</v>
      </c>
      <c r="I5847" t="str">
        <f>IF(COUNTIF(Products!$A$2:$A$8,C5847)=0,C5847,"")</f>
        <v/>
      </c>
      <c r="J5847">
        <f>IF(OR(E5847="Prospecting",E5847="Engaging"),VLOOKUP(C5847,Products!$A$2:$C$8,3,FALSE),0)</f>
        <v>0</v>
      </c>
    </row>
    <row r="5848" spans="1:10" x14ac:dyDescent="0.25">
      <c r="A5848" t="s">
        <v>6015</v>
      </c>
      <c r="B5848" t="s">
        <v>150</v>
      </c>
      <c r="C5848" t="s">
        <v>123</v>
      </c>
      <c r="E5848" t="s">
        <v>155</v>
      </c>
      <c r="F5848" s="1">
        <v>42958</v>
      </c>
      <c r="I5848" t="str">
        <f>IF(COUNTIF(Products!$A$2:$A$8,C5848)=0,C5848,"")</f>
        <v/>
      </c>
      <c r="J5848">
        <f>IF(OR(E5848="Prospecting",E5848="Engaging"),VLOOKUP(C5848,Products!$A$2:$C$8,3,FALSE),0)</f>
        <v>55</v>
      </c>
    </row>
    <row r="5849" spans="1:10" x14ac:dyDescent="0.25">
      <c r="A5849" t="s">
        <v>6016</v>
      </c>
      <c r="B5849" t="s">
        <v>150</v>
      </c>
      <c r="C5849" t="s">
        <v>127</v>
      </c>
      <c r="D5849" t="s">
        <v>57</v>
      </c>
      <c r="E5849" t="s">
        <v>138</v>
      </c>
      <c r="F5849" s="1">
        <v>42958</v>
      </c>
      <c r="G5849" s="1">
        <v>42961</v>
      </c>
      <c r="H5849">
        <v>1105</v>
      </c>
      <c r="I5849" t="str">
        <f>IF(COUNTIF(Products!$A$2:$A$8,C5849)=0,C5849,"")</f>
        <v/>
      </c>
      <c r="J5849">
        <f>IF(OR(E5849="Prospecting",E5849="Engaging"),VLOOKUP(C5849,Products!$A$2:$C$8,3,FALSE),0)</f>
        <v>0</v>
      </c>
    </row>
    <row r="5850" spans="1:10" x14ac:dyDescent="0.25">
      <c r="A5850" t="s">
        <v>6017</v>
      </c>
      <c r="B5850" t="s">
        <v>205</v>
      </c>
      <c r="C5850" t="s">
        <v>125</v>
      </c>
      <c r="D5850" t="s">
        <v>96</v>
      </c>
      <c r="E5850" t="s">
        <v>155</v>
      </c>
      <c r="F5850" s="1">
        <v>42958</v>
      </c>
      <c r="I5850" t="str">
        <f>IF(COUNTIF(Products!$A$2:$A$8,C5850)=0,C5850,"")</f>
        <v/>
      </c>
      <c r="J5850">
        <f>IF(OR(E5850="Prospecting",E5850="Engaging"),VLOOKUP(C5850,Products!$A$2:$C$8,3,FALSE),0)</f>
        <v>3393</v>
      </c>
    </row>
    <row r="5851" spans="1:10" x14ac:dyDescent="0.25">
      <c r="A5851" t="s">
        <v>6018</v>
      </c>
      <c r="B5851" t="s">
        <v>162</v>
      </c>
      <c r="C5851" t="s">
        <v>120</v>
      </c>
      <c r="E5851" t="s">
        <v>155</v>
      </c>
      <c r="F5851" s="1">
        <v>42958</v>
      </c>
      <c r="I5851" t="str">
        <f>IF(COUNTIF(Products!$A$2:$A$8,C5851)=0,C5851,"")</f>
        <v/>
      </c>
      <c r="J5851">
        <f>IF(OR(E5851="Prospecting",E5851="Engaging"),VLOOKUP(C5851,Products!$A$2:$C$8,3,FALSE),0)</f>
        <v>550</v>
      </c>
    </row>
    <row r="5852" spans="1:10" x14ac:dyDescent="0.25">
      <c r="A5852" t="s">
        <v>6019</v>
      </c>
      <c r="B5852" t="s">
        <v>169</v>
      </c>
      <c r="C5852" t="s">
        <v>123</v>
      </c>
      <c r="E5852" t="s">
        <v>155</v>
      </c>
      <c r="F5852" s="1">
        <v>42958</v>
      </c>
      <c r="I5852" t="str">
        <f>IF(COUNTIF(Products!$A$2:$A$8,C5852)=0,C5852,"")</f>
        <v/>
      </c>
      <c r="J5852">
        <f>IF(OR(E5852="Prospecting",E5852="Engaging"),VLOOKUP(C5852,Products!$A$2:$C$8,3,FALSE),0)</f>
        <v>55</v>
      </c>
    </row>
    <row r="5853" spans="1:10" x14ac:dyDescent="0.25">
      <c r="A5853" t="s">
        <v>6020</v>
      </c>
      <c r="B5853" t="s">
        <v>169</v>
      </c>
      <c r="C5853" t="s">
        <v>123</v>
      </c>
      <c r="D5853" t="s">
        <v>14</v>
      </c>
      <c r="E5853" t="s">
        <v>159</v>
      </c>
      <c r="F5853" s="1">
        <v>42958</v>
      </c>
      <c r="G5853" s="1">
        <v>42964</v>
      </c>
      <c r="H5853">
        <v>0</v>
      </c>
      <c r="I5853" t="str">
        <f>IF(COUNTIF(Products!$A$2:$A$8,C5853)=0,C5853,"")</f>
        <v/>
      </c>
      <c r="J5853">
        <f>IF(OR(E5853="Prospecting",E5853="Engaging"),VLOOKUP(C5853,Products!$A$2:$C$8,3,FALSE),0)</f>
        <v>0</v>
      </c>
    </row>
    <row r="5854" spans="1:10" x14ac:dyDescent="0.25">
      <c r="A5854" t="s">
        <v>6021</v>
      </c>
      <c r="B5854" t="s">
        <v>148</v>
      </c>
      <c r="C5854" t="s">
        <v>123</v>
      </c>
      <c r="D5854" t="s">
        <v>100</v>
      </c>
      <c r="E5854" t="s">
        <v>138</v>
      </c>
      <c r="F5854" s="1">
        <v>42958</v>
      </c>
      <c r="G5854" s="1">
        <v>42963</v>
      </c>
      <c r="H5854">
        <v>56</v>
      </c>
      <c r="I5854" t="str">
        <f>IF(COUNTIF(Products!$A$2:$A$8,C5854)=0,C5854,"")</f>
        <v/>
      </c>
      <c r="J5854">
        <f>IF(OR(E5854="Prospecting",E5854="Engaging"),VLOOKUP(C5854,Products!$A$2:$C$8,3,FALSE),0)</f>
        <v>0</v>
      </c>
    </row>
    <row r="5855" spans="1:10" x14ac:dyDescent="0.25">
      <c r="A5855" t="s">
        <v>6022</v>
      </c>
      <c r="B5855" t="s">
        <v>177</v>
      </c>
      <c r="C5855" t="s">
        <v>127</v>
      </c>
      <c r="D5855" t="s">
        <v>65</v>
      </c>
      <c r="E5855" t="s">
        <v>159</v>
      </c>
      <c r="F5855" s="1">
        <v>42958</v>
      </c>
      <c r="G5855" s="1">
        <v>43048</v>
      </c>
      <c r="H5855">
        <v>0</v>
      </c>
      <c r="I5855" t="str">
        <f>IF(COUNTIF(Products!$A$2:$A$8,C5855)=0,C5855,"")</f>
        <v/>
      </c>
      <c r="J5855">
        <f>IF(OR(E5855="Prospecting",E5855="Engaging"),VLOOKUP(C5855,Products!$A$2:$C$8,3,FALSE),0)</f>
        <v>0</v>
      </c>
    </row>
    <row r="5856" spans="1:10" x14ac:dyDescent="0.25">
      <c r="A5856" t="s">
        <v>6023</v>
      </c>
      <c r="B5856" t="s">
        <v>144</v>
      </c>
      <c r="C5856" t="s">
        <v>122</v>
      </c>
      <c r="D5856" t="s">
        <v>60</v>
      </c>
      <c r="E5856" t="s">
        <v>159</v>
      </c>
      <c r="F5856" s="1">
        <v>42958</v>
      </c>
      <c r="G5856" s="1">
        <v>43068</v>
      </c>
      <c r="H5856">
        <v>0</v>
      </c>
      <c r="I5856" t="str">
        <f>IF(COUNTIF(Products!$A$2:$A$8,C5856)=0,C5856,"")</f>
        <v/>
      </c>
      <c r="J5856">
        <f>IF(OR(E5856="Prospecting",E5856="Engaging"),VLOOKUP(C5856,Products!$A$2:$C$8,3,FALSE),0)</f>
        <v>0</v>
      </c>
    </row>
    <row r="5857" spans="1:10" x14ac:dyDescent="0.25">
      <c r="A5857" t="s">
        <v>6024</v>
      </c>
      <c r="B5857" t="s">
        <v>207</v>
      </c>
      <c r="C5857" t="s">
        <v>122</v>
      </c>
      <c r="E5857" t="s">
        <v>155</v>
      </c>
      <c r="F5857" s="1">
        <v>42959</v>
      </c>
      <c r="I5857" t="str">
        <f>IF(COUNTIF(Products!$A$2:$A$8,C5857)=0,C5857,"")</f>
        <v/>
      </c>
      <c r="J5857">
        <f>IF(OR(E5857="Prospecting",E5857="Engaging"),VLOOKUP(C5857,Products!$A$2:$C$8,3,FALSE),0)</f>
        <v>4821</v>
      </c>
    </row>
    <row r="5858" spans="1:10" x14ac:dyDescent="0.25">
      <c r="A5858" t="s">
        <v>6025</v>
      </c>
      <c r="B5858" t="s">
        <v>207</v>
      </c>
      <c r="C5858" t="s">
        <v>120</v>
      </c>
      <c r="D5858" t="s">
        <v>111</v>
      </c>
      <c r="E5858" t="s">
        <v>159</v>
      </c>
      <c r="F5858" s="1">
        <v>42959</v>
      </c>
      <c r="G5858" s="1">
        <v>42971</v>
      </c>
      <c r="H5858">
        <v>0</v>
      </c>
      <c r="I5858" t="str">
        <f>IF(COUNTIF(Products!$A$2:$A$8,C5858)=0,C5858,"")</f>
        <v/>
      </c>
      <c r="J5858">
        <f>IF(OR(E5858="Prospecting",E5858="Engaging"),VLOOKUP(C5858,Products!$A$2:$C$8,3,FALSE),0)</f>
        <v>0</v>
      </c>
    </row>
    <row r="5859" spans="1:10" x14ac:dyDescent="0.25">
      <c r="A5859" t="s">
        <v>6026</v>
      </c>
      <c r="B5859" t="s">
        <v>207</v>
      </c>
      <c r="C5859" t="s">
        <v>122</v>
      </c>
      <c r="D5859" t="s">
        <v>48</v>
      </c>
      <c r="E5859" t="s">
        <v>138</v>
      </c>
      <c r="F5859" s="1">
        <v>42959</v>
      </c>
      <c r="G5859" s="1">
        <v>43049</v>
      </c>
      <c r="H5859">
        <v>4161</v>
      </c>
      <c r="I5859" t="str">
        <f>IF(COUNTIF(Products!$A$2:$A$8,C5859)=0,C5859,"")</f>
        <v/>
      </c>
      <c r="J5859">
        <f>IF(OR(E5859="Prospecting",E5859="Engaging"),VLOOKUP(C5859,Products!$A$2:$C$8,3,FALSE),0)</f>
        <v>0</v>
      </c>
    </row>
    <row r="5860" spans="1:10" x14ac:dyDescent="0.25">
      <c r="A5860" t="s">
        <v>6027</v>
      </c>
      <c r="B5860" t="s">
        <v>264</v>
      </c>
      <c r="C5860" t="s">
        <v>123</v>
      </c>
      <c r="E5860" t="s">
        <v>155</v>
      </c>
      <c r="F5860" s="1">
        <v>42959</v>
      </c>
      <c r="I5860" t="str">
        <f>IF(COUNTIF(Products!$A$2:$A$8,C5860)=0,C5860,"")</f>
        <v/>
      </c>
      <c r="J5860">
        <f>IF(OR(E5860="Prospecting",E5860="Engaging"),VLOOKUP(C5860,Products!$A$2:$C$8,3,FALSE),0)</f>
        <v>55</v>
      </c>
    </row>
    <row r="5861" spans="1:10" x14ac:dyDescent="0.25">
      <c r="A5861" t="s">
        <v>6028</v>
      </c>
      <c r="B5861" t="s">
        <v>264</v>
      </c>
      <c r="C5861" t="s">
        <v>125</v>
      </c>
      <c r="E5861" t="s">
        <v>155</v>
      </c>
      <c r="F5861" s="1">
        <v>42959</v>
      </c>
      <c r="I5861" t="str">
        <f>IF(COUNTIF(Products!$A$2:$A$8,C5861)=0,C5861,"")</f>
        <v/>
      </c>
      <c r="J5861">
        <f>IF(OR(E5861="Prospecting",E5861="Engaging"),VLOOKUP(C5861,Products!$A$2:$C$8,3,FALSE),0)</f>
        <v>3393</v>
      </c>
    </row>
    <row r="5862" spans="1:10" x14ac:dyDescent="0.25">
      <c r="A5862" t="s">
        <v>6029</v>
      </c>
      <c r="B5862" t="s">
        <v>264</v>
      </c>
      <c r="C5862" t="s">
        <v>123</v>
      </c>
      <c r="D5862" t="s">
        <v>26</v>
      </c>
      <c r="E5862" t="s">
        <v>138</v>
      </c>
      <c r="F5862" s="1">
        <v>42959</v>
      </c>
      <c r="G5862" s="1">
        <v>43062</v>
      </c>
      <c r="H5862">
        <v>65</v>
      </c>
      <c r="I5862" t="str">
        <f>IF(COUNTIF(Products!$A$2:$A$8,C5862)=0,C5862,"")</f>
        <v/>
      </c>
      <c r="J5862">
        <f>IF(OR(E5862="Prospecting",E5862="Engaging"),VLOOKUP(C5862,Products!$A$2:$C$8,3,FALSE),0)</f>
        <v>0</v>
      </c>
    </row>
    <row r="5863" spans="1:10" x14ac:dyDescent="0.25">
      <c r="A5863" t="s">
        <v>6030</v>
      </c>
      <c r="B5863" t="s">
        <v>239</v>
      </c>
      <c r="C5863" t="s">
        <v>122</v>
      </c>
      <c r="D5863" t="s">
        <v>105</v>
      </c>
      <c r="E5863" t="s">
        <v>159</v>
      </c>
      <c r="F5863" s="1">
        <v>42959</v>
      </c>
      <c r="G5863" s="1">
        <v>42960</v>
      </c>
      <c r="H5863">
        <v>0</v>
      </c>
      <c r="I5863" t="str">
        <f>IF(COUNTIF(Products!$A$2:$A$8,C5863)=0,C5863,"")</f>
        <v/>
      </c>
      <c r="J5863">
        <f>IF(OR(E5863="Prospecting",E5863="Engaging"),VLOOKUP(C5863,Products!$A$2:$C$8,3,FALSE),0)</f>
        <v>0</v>
      </c>
    </row>
    <row r="5864" spans="1:10" x14ac:dyDescent="0.25">
      <c r="A5864" t="s">
        <v>6031</v>
      </c>
      <c r="B5864" t="s">
        <v>239</v>
      </c>
      <c r="C5864" t="s">
        <v>120</v>
      </c>
      <c r="D5864" t="s">
        <v>111</v>
      </c>
      <c r="E5864" t="s">
        <v>138</v>
      </c>
      <c r="F5864" s="1">
        <v>42959</v>
      </c>
      <c r="G5864" s="1">
        <v>42981</v>
      </c>
      <c r="H5864">
        <v>524</v>
      </c>
      <c r="I5864" t="str">
        <f>IF(COUNTIF(Products!$A$2:$A$8,C5864)=0,C5864,"")</f>
        <v/>
      </c>
      <c r="J5864">
        <f>IF(OR(E5864="Prospecting",E5864="Engaging"),VLOOKUP(C5864,Products!$A$2:$C$8,3,FALSE),0)</f>
        <v>0</v>
      </c>
    </row>
    <row r="5865" spans="1:10" x14ac:dyDescent="0.25">
      <c r="A5865" t="s">
        <v>6032</v>
      </c>
      <c r="B5865" t="s">
        <v>140</v>
      </c>
      <c r="C5865" t="s">
        <v>123</v>
      </c>
      <c r="D5865" t="s">
        <v>44</v>
      </c>
      <c r="E5865" t="s">
        <v>155</v>
      </c>
      <c r="F5865" s="1">
        <v>42959</v>
      </c>
      <c r="I5865" t="str">
        <f>IF(COUNTIF(Products!$A$2:$A$8,C5865)=0,C5865,"")</f>
        <v/>
      </c>
      <c r="J5865">
        <f>IF(OR(E5865="Prospecting",E5865="Engaging"),VLOOKUP(C5865,Products!$A$2:$C$8,3,FALSE),0)</f>
        <v>55</v>
      </c>
    </row>
    <row r="5866" spans="1:10" x14ac:dyDescent="0.25">
      <c r="A5866" t="s">
        <v>6033</v>
      </c>
      <c r="B5866" t="s">
        <v>140</v>
      </c>
      <c r="C5866" t="s">
        <v>122</v>
      </c>
      <c r="D5866" t="s">
        <v>88</v>
      </c>
      <c r="E5866" t="s">
        <v>159</v>
      </c>
      <c r="F5866" s="1">
        <v>42959</v>
      </c>
      <c r="G5866" s="1">
        <v>43040</v>
      </c>
      <c r="H5866">
        <v>0</v>
      </c>
      <c r="I5866" t="str">
        <f>IF(COUNTIF(Products!$A$2:$A$8,C5866)=0,C5866,"")</f>
        <v/>
      </c>
      <c r="J5866">
        <f>IF(OR(E5866="Prospecting",E5866="Engaging"),VLOOKUP(C5866,Products!$A$2:$C$8,3,FALSE),0)</f>
        <v>0</v>
      </c>
    </row>
    <row r="5867" spans="1:10" x14ac:dyDescent="0.25">
      <c r="A5867" t="s">
        <v>6034</v>
      </c>
      <c r="B5867" t="s">
        <v>140</v>
      </c>
      <c r="C5867" t="s">
        <v>120</v>
      </c>
      <c r="D5867" t="s">
        <v>32</v>
      </c>
      <c r="E5867" t="s">
        <v>138</v>
      </c>
      <c r="F5867" s="1">
        <v>42959</v>
      </c>
      <c r="G5867" s="1">
        <v>43059</v>
      </c>
      <c r="H5867">
        <v>481</v>
      </c>
      <c r="I5867" t="str">
        <f>IF(COUNTIF(Products!$A$2:$A$8,C5867)=0,C5867,"")</f>
        <v/>
      </c>
      <c r="J5867">
        <f>IF(OR(E5867="Prospecting",E5867="Engaging"),VLOOKUP(C5867,Products!$A$2:$C$8,3,FALSE),0)</f>
        <v>0</v>
      </c>
    </row>
    <row r="5868" spans="1:10" x14ac:dyDescent="0.25">
      <c r="A5868" t="s">
        <v>6035</v>
      </c>
      <c r="B5868" t="s">
        <v>140</v>
      </c>
      <c r="C5868" t="s">
        <v>120</v>
      </c>
      <c r="D5868" t="s">
        <v>104</v>
      </c>
      <c r="E5868" t="s">
        <v>138</v>
      </c>
      <c r="F5868" s="1">
        <v>42959</v>
      </c>
      <c r="G5868" s="1">
        <v>43050</v>
      </c>
      <c r="H5868">
        <v>520</v>
      </c>
      <c r="I5868" t="str">
        <f>IF(COUNTIF(Products!$A$2:$A$8,C5868)=0,C5868,"")</f>
        <v/>
      </c>
      <c r="J5868">
        <f>IF(OR(E5868="Prospecting",E5868="Engaging"),VLOOKUP(C5868,Products!$A$2:$C$8,3,FALSE),0)</f>
        <v>0</v>
      </c>
    </row>
    <row r="5869" spans="1:10" x14ac:dyDescent="0.25">
      <c r="A5869" t="s">
        <v>6036</v>
      </c>
      <c r="B5869" t="s">
        <v>140</v>
      </c>
      <c r="C5869" t="s">
        <v>122</v>
      </c>
      <c r="D5869" t="s">
        <v>26</v>
      </c>
      <c r="E5869" t="s">
        <v>138</v>
      </c>
      <c r="F5869" s="1">
        <v>42959</v>
      </c>
      <c r="G5869" s="1">
        <v>43043</v>
      </c>
      <c r="H5869">
        <v>4582</v>
      </c>
      <c r="I5869" t="str">
        <f>IF(COUNTIF(Products!$A$2:$A$8,C5869)=0,C5869,"")</f>
        <v/>
      </c>
      <c r="J5869">
        <f>IF(OR(E5869="Prospecting",E5869="Engaging"),VLOOKUP(C5869,Products!$A$2:$C$8,3,FALSE),0)</f>
        <v>0</v>
      </c>
    </row>
    <row r="5870" spans="1:10" x14ac:dyDescent="0.25">
      <c r="A5870" t="s">
        <v>6037</v>
      </c>
      <c r="B5870" t="s">
        <v>173</v>
      </c>
      <c r="C5870" t="s">
        <v>123</v>
      </c>
      <c r="D5870" t="s">
        <v>38</v>
      </c>
      <c r="E5870" t="s">
        <v>138</v>
      </c>
      <c r="F5870" s="1">
        <v>42959</v>
      </c>
      <c r="G5870" s="1">
        <v>42968</v>
      </c>
      <c r="H5870">
        <v>53</v>
      </c>
      <c r="I5870" t="str">
        <f>IF(COUNTIF(Products!$A$2:$A$8,C5870)=0,C5870,"")</f>
        <v/>
      </c>
      <c r="J5870">
        <f>IF(OR(E5870="Prospecting",E5870="Engaging"),VLOOKUP(C5870,Products!$A$2:$C$8,3,FALSE),0)</f>
        <v>0</v>
      </c>
    </row>
    <row r="5871" spans="1:10" x14ac:dyDescent="0.25">
      <c r="A5871" t="s">
        <v>6038</v>
      </c>
      <c r="B5871" t="s">
        <v>154</v>
      </c>
      <c r="C5871" t="s">
        <v>120</v>
      </c>
      <c r="E5871" t="s">
        <v>155</v>
      </c>
      <c r="F5871" s="1">
        <v>42959</v>
      </c>
      <c r="I5871" t="str">
        <f>IF(COUNTIF(Products!$A$2:$A$8,C5871)=0,C5871,"")</f>
        <v/>
      </c>
      <c r="J5871">
        <f>IF(OR(E5871="Prospecting",E5871="Engaging"),VLOOKUP(C5871,Products!$A$2:$C$8,3,FALSE),0)</f>
        <v>550</v>
      </c>
    </row>
    <row r="5872" spans="1:10" x14ac:dyDescent="0.25">
      <c r="A5872" t="s">
        <v>6039</v>
      </c>
      <c r="B5872" t="s">
        <v>191</v>
      </c>
      <c r="C5872" t="s">
        <v>127</v>
      </c>
      <c r="D5872" t="s">
        <v>71</v>
      </c>
      <c r="E5872" t="s">
        <v>159</v>
      </c>
      <c r="F5872" s="1">
        <v>42959</v>
      </c>
      <c r="G5872" s="1">
        <v>43072</v>
      </c>
      <c r="H5872">
        <v>0</v>
      </c>
      <c r="I5872" t="str">
        <f>IF(COUNTIF(Products!$A$2:$A$8,C5872)=0,C5872,"")</f>
        <v/>
      </c>
      <c r="J5872">
        <f>IF(OR(E5872="Prospecting",E5872="Engaging"),VLOOKUP(C5872,Products!$A$2:$C$8,3,FALSE),0)</f>
        <v>0</v>
      </c>
    </row>
    <row r="5873" spans="1:10" x14ac:dyDescent="0.25">
      <c r="A5873" t="s">
        <v>6040</v>
      </c>
      <c r="B5873" t="s">
        <v>217</v>
      </c>
      <c r="C5873" t="s">
        <v>120</v>
      </c>
      <c r="D5873" t="s">
        <v>94</v>
      </c>
      <c r="E5873" t="s">
        <v>159</v>
      </c>
      <c r="F5873" s="1">
        <v>42959</v>
      </c>
      <c r="G5873" s="1">
        <v>42990</v>
      </c>
      <c r="H5873">
        <v>0</v>
      </c>
      <c r="I5873" t="str">
        <f>IF(COUNTIF(Products!$A$2:$A$8,C5873)=0,C5873,"")</f>
        <v/>
      </c>
      <c r="J5873">
        <f>IF(OR(E5873="Prospecting",E5873="Engaging"),VLOOKUP(C5873,Products!$A$2:$C$8,3,FALSE),0)</f>
        <v>0</v>
      </c>
    </row>
    <row r="5874" spans="1:10" x14ac:dyDescent="0.25">
      <c r="A5874" t="s">
        <v>6041</v>
      </c>
      <c r="B5874" t="s">
        <v>205</v>
      </c>
      <c r="C5874" t="s">
        <v>120</v>
      </c>
      <c r="D5874" t="s">
        <v>19</v>
      </c>
      <c r="E5874" t="s">
        <v>155</v>
      </c>
      <c r="F5874" s="1">
        <v>42959</v>
      </c>
      <c r="I5874" t="str">
        <f>IF(COUNTIF(Products!$A$2:$A$8,C5874)=0,C5874,"")</f>
        <v/>
      </c>
      <c r="J5874">
        <f>IF(OR(E5874="Prospecting",E5874="Engaging"),VLOOKUP(C5874,Products!$A$2:$C$8,3,FALSE),0)</f>
        <v>550</v>
      </c>
    </row>
    <row r="5875" spans="1:10" x14ac:dyDescent="0.25">
      <c r="A5875" t="s">
        <v>6042</v>
      </c>
      <c r="B5875" t="s">
        <v>162</v>
      </c>
      <c r="C5875" t="s">
        <v>127</v>
      </c>
      <c r="E5875" t="s">
        <v>155</v>
      </c>
      <c r="F5875" s="1">
        <v>42959</v>
      </c>
      <c r="I5875" t="str">
        <f>IF(COUNTIF(Products!$A$2:$A$8,C5875)=0,C5875,"")</f>
        <v/>
      </c>
      <c r="J5875">
        <f>IF(OR(E5875="Prospecting",E5875="Engaging"),VLOOKUP(C5875,Products!$A$2:$C$8,3,FALSE),0)</f>
        <v>1096</v>
      </c>
    </row>
    <row r="5876" spans="1:10" x14ac:dyDescent="0.25">
      <c r="A5876" t="s">
        <v>6043</v>
      </c>
      <c r="B5876" t="s">
        <v>162</v>
      </c>
      <c r="C5876" t="s">
        <v>120</v>
      </c>
      <c r="D5876" t="s">
        <v>61</v>
      </c>
      <c r="E5876" t="s">
        <v>138</v>
      </c>
      <c r="F5876" s="1">
        <v>42959</v>
      </c>
      <c r="G5876" s="1">
        <v>43000</v>
      </c>
      <c r="H5876">
        <v>559</v>
      </c>
      <c r="I5876" t="str">
        <f>IF(COUNTIF(Products!$A$2:$A$8,C5876)=0,C5876,"")</f>
        <v/>
      </c>
      <c r="J5876">
        <f>IF(OR(E5876="Prospecting",E5876="Engaging"),VLOOKUP(C5876,Products!$A$2:$C$8,3,FALSE),0)</f>
        <v>0</v>
      </c>
    </row>
    <row r="5877" spans="1:10" x14ac:dyDescent="0.25">
      <c r="A5877" t="s">
        <v>6044</v>
      </c>
      <c r="B5877" t="s">
        <v>137</v>
      </c>
      <c r="C5877" t="s">
        <v>123</v>
      </c>
      <c r="D5877" t="s">
        <v>114</v>
      </c>
      <c r="E5877" t="s">
        <v>155</v>
      </c>
      <c r="F5877" s="1">
        <v>42959</v>
      </c>
      <c r="I5877" t="str">
        <f>IF(COUNTIF(Products!$A$2:$A$8,C5877)=0,C5877,"")</f>
        <v/>
      </c>
      <c r="J5877">
        <f>IF(OR(E5877="Prospecting",E5877="Engaging"),VLOOKUP(C5877,Products!$A$2:$C$8,3,FALSE),0)</f>
        <v>55</v>
      </c>
    </row>
    <row r="5878" spans="1:10" x14ac:dyDescent="0.25">
      <c r="A5878" t="s">
        <v>6045</v>
      </c>
      <c r="B5878" t="s">
        <v>137</v>
      </c>
      <c r="C5878" t="s">
        <v>123</v>
      </c>
      <c r="E5878" t="s">
        <v>155</v>
      </c>
      <c r="F5878" s="1">
        <v>42959</v>
      </c>
      <c r="I5878" t="str">
        <f>IF(COUNTIF(Products!$A$2:$A$8,C5878)=0,C5878,"")</f>
        <v/>
      </c>
      <c r="J5878">
        <f>IF(OR(E5878="Prospecting",E5878="Engaging"),VLOOKUP(C5878,Products!$A$2:$C$8,3,FALSE),0)</f>
        <v>55</v>
      </c>
    </row>
    <row r="5879" spans="1:10" x14ac:dyDescent="0.25">
      <c r="A5879" t="s">
        <v>6046</v>
      </c>
      <c r="B5879" t="s">
        <v>137</v>
      </c>
      <c r="C5879" t="s">
        <v>123</v>
      </c>
      <c r="E5879" t="s">
        <v>155</v>
      </c>
      <c r="F5879" s="1">
        <v>42959</v>
      </c>
      <c r="I5879" t="str">
        <f>IF(COUNTIF(Products!$A$2:$A$8,C5879)=0,C5879,"")</f>
        <v/>
      </c>
      <c r="J5879">
        <f>IF(OR(E5879="Prospecting",E5879="Engaging"),VLOOKUP(C5879,Products!$A$2:$C$8,3,FALSE),0)</f>
        <v>55</v>
      </c>
    </row>
    <row r="5880" spans="1:10" x14ac:dyDescent="0.25">
      <c r="A5880" t="s">
        <v>6047</v>
      </c>
      <c r="B5880" t="s">
        <v>137</v>
      </c>
      <c r="C5880" t="s">
        <v>125</v>
      </c>
      <c r="D5880" t="s">
        <v>64</v>
      </c>
      <c r="E5880" t="s">
        <v>159</v>
      </c>
      <c r="F5880" s="1">
        <v>42959</v>
      </c>
      <c r="G5880" s="1">
        <v>42964</v>
      </c>
      <c r="H5880">
        <v>0</v>
      </c>
      <c r="I5880" t="str">
        <f>IF(COUNTIF(Products!$A$2:$A$8,C5880)=0,C5880,"")</f>
        <v/>
      </c>
      <c r="J5880">
        <f>IF(OR(E5880="Prospecting",E5880="Engaging"),VLOOKUP(C5880,Products!$A$2:$C$8,3,FALSE),0)</f>
        <v>0</v>
      </c>
    </row>
    <row r="5881" spans="1:10" x14ac:dyDescent="0.25">
      <c r="A5881" t="s">
        <v>6048</v>
      </c>
      <c r="B5881" t="s">
        <v>169</v>
      </c>
      <c r="C5881" t="s">
        <v>123</v>
      </c>
      <c r="D5881" t="s">
        <v>50</v>
      </c>
      <c r="E5881" t="s">
        <v>155</v>
      </c>
      <c r="F5881" s="1">
        <v>42959</v>
      </c>
      <c r="I5881" t="str">
        <f>IF(COUNTIF(Products!$A$2:$A$8,C5881)=0,C5881,"")</f>
        <v/>
      </c>
      <c r="J5881">
        <f>IF(OR(E5881="Prospecting",E5881="Engaging"),VLOOKUP(C5881,Products!$A$2:$C$8,3,FALSE),0)</f>
        <v>55</v>
      </c>
    </row>
    <row r="5882" spans="1:10" x14ac:dyDescent="0.25">
      <c r="A5882" t="s">
        <v>6049</v>
      </c>
      <c r="B5882" t="s">
        <v>169</v>
      </c>
      <c r="C5882" t="s">
        <v>125</v>
      </c>
      <c r="D5882" t="s">
        <v>104</v>
      </c>
      <c r="E5882" t="s">
        <v>138</v>
      </c>
      <c r="F5882" s="1">
        <v>42959</v>
      </c>
      <c r="G5882" s="1">
        <v>43068</v>
      </c>
      <c r="H5882">
        <v>3165</v>
      </c>
      <c r="I5882" t="str">
        <f>IF(COUNTIF(Products!$A$2:$A$8,C5882)=0,C5882,"")</f>
        <v/>
      </c>
      <c r="J5882">
        <f>IF(OR(E5882="Prospecting",E5882="Engaging"),VLOOKUP(C5882,Products!$A$2:$C$8,3,FALSE),0)</f>
        <v>0</v>
      </c>
    </row>
    <row r="5883" spans="1:10" x14ac:dyDescent="0.25">
      <c r="A5883" t="s">
        <v>6050</v>
      </c>
      <c r="B5883" t="s">
        <v>148</v>
      </c>
      <c r="C5883" t="s">
        <v>120</v>
      </c>
      <c r="E5883" t="s">
        <v>155</v>
      </c>
      <c r="F5883" s="1">
        <v>42959</v>
      </c>
      <c r="I5883" t="str">
        <f>IF(COUNTIF(Products!$A$2:$A$8,C5883)=0,C5883,"")</f>
        <v/>
      </c>
      <c r="J5883">
        <f>IF(OR(E5883="Prospecting",E5883="Engaging"),VLOOKUP(C5883,Products!$A$2:$C$8,3,FALSE),0)</f>
        <v>550</v>
      </c>
    </row>
    <row r="5884" spans="1:10" x14ac:dyDescent="0.25">
      <c r="A5884" t="s">
        <v>6051</v>
      </c>
      <c r="B5884" t="s">
        <v>148</v>
      </c>
      <c r="C5884" t="s">
        <v>120</v>
      </c>
      <c r="E5884" t="s">
        <v>155</v>
      </c>
      <c r="F5884" s="1">
        <v>42959</v>
      </c>
      <c r="I5884" t="str">
        <f>IF(COUNTIF(Products!$A$2:$A$8,C5884)=0,C5884,"")</f>
        <v/>
      </c>
      <c r="J5884">
        <f>IF(OR(E5884="Prospecting",E5884="Engaging"),VLOOKUP(C5884,Products!$A$2:$C$8,3,FALSE),0)</f>
        <v>550</v>
      </c>
    </row>
    <row r="5885" spans="1:10" x14ac:dyDescent="0.25">
      <c r="A5885" t="s">
        <v>6052</v>
      </c>
      <c r="B5885" t="s">
        <v>148</v>
      </c>
      <c r="C5885" t="s">
        <v>126</v>
      </c>
      <c r="E5885" t="s">
        <v>155</v>
      </c>
      <c r="F5885" s="1">
        <v>42959</v>
      </c>
      <c r="I5885" t="str">
        <f>IF(COUNTIF(Products!$A$2:$A$8,C5885)=0,C5885,"")</f>
        <v/>
      </c>
      <c r="J5885">
        <f>IF(OR(E5885="Prospecting",E5885="Engaging"),VLOOKUP(C5885,Products!$A$2:$C$8,3,FALSE),0)</f>
        <v>5482</v>
      </c>
    </row>
    <row r="5886" spans="1:10" x14ac:dyDescent="0.25">
      <c r="A5886" t="s">
        <v>6053</v>
      </c>
      <c r="B5886" t="s">
        <v>148</v>
      </c>
      <c r="C5886" t="s">
        <v>122</v>
      </c>
      <c r="D5886" t="s">
        <v>22</v>
      </c>
      <c r="E5886" t="s">
        <v>155</v>
      </c>
      <c r="F5886" s="1">
        <v>42959</v>
      </c>
      <c r="I5886" t="str">
        <f>IF(COUNTIF(Products!$A$2:$A$8,C5886)=0,C5886,"")</f>
        <v/>
      </c>
      <c r="J5886">
        <f>IF(OR(E5886="Prospecting",E5886="Engaging"),VLOOKUP(C5886,Products!$A$2:$C$8,3,FALSE),0)</f>
        <v>4821</v>
      </c>
    </row>
    <row r="5887" spans="1:10" x14ac:dyDescent="0.25">
      <c r="A5887" t="s">
        <v>6054</v>
      </c>
      <c r="B5887" t="s">
        <v>148</v>
      </c>
      <c r="C5887" t="s">
        <v>125</v>
      </c>
      <c r="D5887" t="s">
        <v>17</v>
      </c>
      <c r="E5887" t="s">
        <v>138</v>
      </c>
      <c r="F5887" s="1">
        <v>42959</v>
      </c>
      <c r="G5887" s="1">
        <v>43053</v>
      </c>
      <c r="H5887">
        <v>3779</v>
      </c>
      <c r="I5887" t="str">
        <f>IF(COUNTIF(Products!$A$2:$A$8,C5887)=0,C5887,"")</f>
        <v/>
      </c>
      <c r="J5887">
        <f>IF(OR(E5887="Prospecting",E5887="Engaging"),VLOOKUP(C5887,Products!$A$2:$C$8,3,FALSE),0)</f>
        <v>0</v>
      </c>
    </row>
    <row r="5888" spans="1:10" x14ac:dyDescent="0.25">
      <c r="A5888" t="s">
        <v>6055</v>
      </c>
      <c r="B5888" t="s">
        <v>177</v>
      </c>
      <c r="C5888" t="s">
        <v>120</v>
      </c>
      <c r="E5888" t="s">
        <v>155</v>
      </c>
      <c r="F5888" s="1">
        <v>42959</v>
      </c>
      <c r="I5888" t="str">
        <f>IF(COUNTIF(Products!$A$2:$A$8,C5888)=0,C5888,"")</f>
        <v/>
      </c>
      <c r="J5888">
        <f>IF(OR(E5888="Prospecting",E5888="Engaging"),VLOOKUP(C5888,Products!$A$2:$C$8,3,FALSE),0)</f>
        <v>550</v>
      </c>
    </row>
    <row r="5889" spans="1:10" x14ac:dyDescent="0.25">
      <c r="A5889" t="s">
        <v>6056</v>
      </c>
      <c r="B5889" t="s">
        <v>177</v>
      </c>
      <c r="C5889" t="s">
        <v>123</v>
      </c>
      <c r="D5889" t="s">
        <v>35</v>
      </c>
      <c r="E5889" t="s">
        <v>138</v>
      </c>
      <c r="F5889" s="1">
        <v>42959</v>
      </c>
      <c r="G5889" s="1">
        <v>43051</v>
      </c>
      <c r="H5889">
        <v>48</v>
      </c>
      <c r="I5889" t="str">
        <f>IF(COUNTIF(Products!$A$2:$A$8,C5889)=0,C5889,"")</f>
        <v/>
      </c>
      <c r="J5889">
        <f>IF(OR(E5889="Prospecting",E5889="Engaging"),VLOOKUP(C5889,Products!$A$2:$C$8,3,FALSE),0)</f>
        <v>0</v>
      </c>
    </row>
    <row r="5890" spans="1:10" x14ac:dyDescent="0.25">
      <c r="A5890" t="s">
        <v>6057</v>
      </c>
      <c r="B5890" t="s">
        <v>146</v>
      </c>
      <c r="C5890" t="s">
        <v>123</v>
      </c>
      <c r="D5890" t="s">
        <v>96</v>
      </c>
      <c r="E5890" t="s">
        <v>138</v>
      </c>
      <c r="F5890" s="1">
        <v>42960</v>
      </c>
      <c r="G5890" s="1">
        <v>43041</v>
      </c>
      <c r="H5890">
        <v>50</v>
      </c>
      <c r="I5890" t="str">
        <f>IF(COUNTIF(Products!$A$2:$A$8,C5890)=0,C5890,"")</f>
        <v/>
      </c>
      <c r="J5890">
        <f>IF(OR(E5890="Prospecting",E5890="Engaging"),VLOOKUP(C5890,Products!$A$2:$C$8,3,FALSE),0)</f>
        <v>0</v>
      </c>
    </row>
    <row r="5891" spans="1:10" x14ac:dyDescent="0.25">
      <c r="A5891" t="s">
        <v>6058</v>
      </c>
      <c r="B5891" t="s">
        <v>222</v>
      </c>
      <c r="C5891" t="s">
        <v>123</v>
      </c>
      <c r="D5891" t="s">
        <v>105</v>
      </c>
      <c r="E5891" t="s">
        <v>159</v>
      </c>
      <c r="F5891" s="1">
        <v>42960</v>
      </c>
      <c r="G5891" s="1">
        <v>43061</v>
      </c>
      <c r="H5891">
        <v>0</v>
      </c>
      <c r="I5891" t="str">
        <f>IF(COUNTIF(Products!$A$2:$A$8,C5891)=0,C5891,"")</f>
        <v/>
      </c>
      <c r="J5891">
        <f>IF(OR(E5891="Prospecting",E5891="Engaging"),VLOOKUP(C5891,Products!$A$2:$C$8,3,FALSE),0)</f>
        <v>0</v>
      </c>
    </row>
    <row r="5892" spans="1:10" x14ac:dyDescent="0.25">
      <c r="A5892" t="s">
        <v>6059</v>
      </c>
      <c r="B5892" t="s">
        <v>207</v>
      </c>
      <c r="C5892" t="s">
        <v>125</v>
      </c>
      <c r="D5892" t="s">
        <v>108</v>
      </c>
      <c r="E5892" t="s">
        <v>159</v>
      </c>
      <c r="F5892" s="1">
        <v>42960</v>
      </c>
      <c r="G5892" s="1">
        <v>43063</v>
      </c>
      <c r="H5892">
        <v>0</v>
      </c>
      <c r="I5892" t="str">
        <f>IF(COUNTIF(Products!$A$2:$A$8,C5892)=0,C5892,"")</f>
        <v/>
      </c>
      <c r="J5892">
        <f>IF(OR(E5892="Prospecting",E5892="Engaging"),VLOOKUP(C5892,Products!$A$2:$C$8,3,FALSE),0)</f>
        <v>0</v>
      </c>
    </row>
    <row r="5893" spans="1:10" x14ac:dyDescent="0.25">
      <c r="A5893" t="s">
        <v>6060</v>
      </c>
      <c r="B5893" t="s">
        <v>239</v>
      </c>
      <c r="C5893" t="s">
        <v>125</v>
      </c>
      <c r="E5893" t="s">
        <v>155</v>
      </c>
      <c r="F5893" s="1">
        <v>42960</v>
      </c>
      <c r="I5893" t="str">
        <f>IF(COUNTIF(Products!$A$2:$A$8,C5893)=0,C5893,"")</f>
        <v/>
      </c>
      <c r="J5893">
        <f>IF(OR(E5893="Prospecting",E5893="Engaging"),VLOOKUP(C5893,Products!$A$2:$C$8,3,FALSE),0)</f>
        <v>3393</v>
      </c>
    </row>
    <row r="5894" spans="1:10" x14ac:dyDescent="0.25">
      <c r="A5894" t="s">
        <v>6061</v>
      </c>
      <c r="B5894" t="s">
        <v>239</v>
      </c>
      <c r="C5894" t="s">
        <v>122</v>
      </c>
      <c r="D5894" t="s">
        <v>115</v>
      </c>
      <c r="E5894" t="s">
        <v>138</v>
      </c>
      <c r="F5894" s="1">
        <v>42960</v>
      </c>
      <c r="G5894" s="1">
        <v>42969</v>
      </c>
      <c r="H5894">
        <v>4498</v>
      </c>
      <c r="I5894" t="str">
        <f>IF(COUNTIF(Products!$A$2:$A$8,C5894)=0,C5894,"")</f>
        <v/>
      </c>
      <c r="J5894">
        <f>IF(OR(E5894="Prospecting",E5894="Engaging"),VLOOKUP(C5894,Products!$A$2:$C$8,3,FALSE),0)</f>
        <v>0</v>
      </c>
    </row>
    <row r="5895" spans="1:10" x14ac:dyDescent="0.25">
      <c r="A5895" t="s">
        <v>6062</v>
      </c>
      <c r="B5895" t="s">
        <v>239</v>
      </c>
      <c r="C5895" t="s">
        <v>123</v>
      </c>
      <c r="D5895" t="s">
        <v>112</v>
      </c>
      <c r="E5895" t="s">
        <v>138</v>
      </c>
      <c r="F5895" s="1">
        <v>42960</v>
      </c>
      <c r="G5895" s="1">
        <v>42979</v>
      </c>
      <c r="H5895">
        <v>59</v>
      </c>
      <c r="I5895" t="str">
        <f>IF(COUNTIF(Products!$A$2:$A$8,C5895)=0,C5895,"")</f>
        <v/>
      </c>
      <c r="J5895">
        <f>IF(OR(E5895="Prospecting",E5895="Engaging"),VLOOKUP(C5895,Products!$A$2:$C$8,3,FALSE),0)</f>
        <v>0</v>
      </c>
    </row>
    <row r="5896" spans="1:10" x14ac:dyDescent="0.25">
      <c r="A5896" t="s">
        <v>6063</v>
      </c>
      <c r="B5896" t="s">
        <v>171</v>
      </c>
      <c r="C5896" t="s">
        <v>122</v>
      </c>
      <c r="D5896" t="s">
        <v>102</v>
      </c>
      <c r="E5896" t="s">
        <v>159</v>
      </c>
      <c r="F5896" s="1">
        <v>42960</v>
      </c>
      <c r="G5896" s="1">
        <v>42964</v>
      </c>
      <c r="H5896">
        <v>0</v>
      </c>
      <c r="I5896" t="str">
        <f>IF(COUNTIF(Products!$A$2:$A$8,C5896)=0,C5896,"")</f>
        <v/>
      </c>
      <c r="J5896">
        <f>IF(OR(E5896="Prospecting",E5896="Engaging"),VLOOKUP(C5896,Products!$A$2:$C$8,3,FALSE),0)</f>
        <v>0</v>
      </c>
    </row>
    <row r="5897" spans="1:10" x14ac:dyDescent="0.25">
      <c r="A5897" t="s">
        <v>6064</v>
      </c>
      <c r="B5897" t="s">
        <v>140</v>
      </c>
      <c r="C5897" t="s">
        <v>127</v>
      </c>
      <c r="E5897" t="s">
        <v>155</v>
      </c>
      <c r="F5897" s="1">
        <v>42960</v>
      </c>
      <c r="I5897" t="str">
        <f>IF(COUNTIF(Products!$A$2:$A$8,C5897)=0,C5897,"")</f>
        <v/>
      </c>
      <c r="J5897">
        <f>IF(OR(E5897="Prospecting",E5897="Engaging"),VLOOKUP(C5897,Products!$A$2:$C$8,3,FALSE),0)</f>
        <v>1096</v>
      </c>
    </row>
    <row r="5898" spans="1:10" x14ac:dyDescent="0.25">
      <c r="A5898" t="s">
        <v>6065</v>
      </c>
      <c r="B5898" t="s">
        <v>140</v>
      </c>
      <c r="C5898" t="s">
        <v>122</v>
      </c>
      <c r="D5898" t="s">
        <v>36</v>
      </c>
      <c r="E5898" t="s">
        <v>138</v>
      </c>
      <c r="F5898" s="1">
        <v>42960</v>
      </c>
      <c r="G5898" s="1">
        <v>43044</v>
      </c>
      <c r="H5898">
        <v>4810</v>
      </c>
      <c r="I5898" t="str">
        <f>IF(COUNTIF(Products!$A$2:$A$8,C5898)=0,C5898,"")</f>
        <v/>
      </c>
      <c r="J5898">
        <f>IF(OR(E5898="Prospecting",E5898="Engaging"),VLOOKUP(C5898,Products!$A$2:$C$8,3,FALSE),0)</f>
        <v>0</v>
      </c>
    </row>
    <row r="5899" spans="1:10" x14ac:dyDescent="0.25">
      <c r="A5899" t="s">
        <v>6066</v>
      </c>
      <c r="B5899" t="s">
        <v>158</v>
      </c>
      <c r="C5899" t="s">
        <v>120</v>
      </c>
      <c r="E5899" t="s">
        <v>155</v>
      </c>
      <c r="F5899" s="1">
        <v>42960</v>
      </c>
      <c r="I5899" t="str">
        <f>IF(COUNTIF(Products!$A$2:$A$8,C5899)=0,C5899,"")</f>
        <v/>
      </c>
      <c r="J5899">
        <f>IF(OR(E5899="Prospecting",E5899="Engaging"),VLOOKUP(C5899,Products!$A$2:$C$8,3,FALSE),0)</f>
        <v>550</v>
      </c>
    </row>
    <row r="5900" spans="1:10" x14ac:dyDescent="0.25">
      <c r="A5900" t="s">
        <v>6067</v>
      </c>
      <c r="B5900" t="s">
        <v>164</v>
      </c>
      <c r="C5900" t="s">
        <v>127</v>
      </c>
      <c r="E5900" t="s">
        <v>155</v>
      </c>
      <c r="F5900" s="1">
        <v>42960</v>
      </c>
      <c r="I5900" t="str">
        <f>IF(COUNTIF(Products!$A$2:$A$8,C5900)=0,C5900,"")</f>
        <v/>
      </c>
      <c r="J5900">
        <f>IF(OR(E5900="Prospecting",E5900="Engaging"),VLOOKUP(C5900,Products!$A$2:$C$8,3,FALSE),0)</f>
        <v>1096</v>
      </c>
    </row>
    <row r="5901" spans="1:10" x14ac:dyDescent="0.25">
      <c r="A5901" t="s">
        <v>6068</v>
      </c>
      <c r="B5901" t="s">
        <v>164</v>
      </c>
      <c r="C5901" t="s">
        <v>126</v>
      </c>
      <c r="E5901" t="s">
        <v>155</v>
      </c>
      <c r="F5901" s="1">
        <v>42960</v>
      </c>
      <c r="I5901" t="str">
        <f>IF(COUNTIF(Products!$A$2:$A$8,C5901)=0,C5901,"")</f>
        <v/>
      </c>
      <c r="J5901">
        <f>IF(OR(E5901="Prospecting",E5901="Engaging"),VLOOKUP(C5901,Products!$A$2:$C$8,3,FALSE),0)</f>
        <v>5482</v>
      </c>
    </row>
    <row r="5902" spans="1:10" x14ac:dyDescent="0.25">
      <c r="A5902" t="s">
        <v>6069</v>
      </c>
      <c r="B5902" t="s">
        <v>154</v>
      </c>
      <c r="C5902" t="s">
        <v>125</v>
      </c>
      <c r="D5902" t="s">
        <v>67</v>
      </c>
      <c r="E5902" t="s">
        <v>138</v>
      </c>
      <c r="F5902" s="1">
        <v>42960</v>
      </c>
      <c r="G5902" s="1">
        <v>43046</v>
      </c>
      <c r="H5902">
        <v>3972</v>
      </c>
      <c r="I5902" t="str">
        <f>IF(COUNTIF(Products!$A$2:$A$8,C5902)=0,C5902,"")</f>
        <v/>
      </c>
      <c r="J5902">
        <f>IF(OR(E5902="Prospecting",E5902="Engaging"),VLOOKUP(C5902,Products!$A$2:$C$8,3,FALSE),0)</f>
        <v>0</v>
      </c>
    </row>
    <row r="5903" spans="1:10" x14ac:dyDescent="0.25">
      <c r="A5903" t="s">
        <v>6070</v>
      </c>
      <c r="B5903" t="s">
        <v>191</v>
      </c>
      <c r="C5903" t="s">
        <v>126</v>
      </c>
      <c r="D5903" t="s">
        <v>67</v>
      </c>
      <c r="E5903" t="s">
        <v>155</v>
      </c>
      <c r="F5903" s="1">
        <v>42960</v>
      </c>
      <c r="I5903" t="str">
        <f>IF(COUNTIF(Products!$A$2:$A$8,C5903)=0,C5903,"")</f>
        <v/>
      </c>
      <c r="J5903">
        <f>IF(OR(E5903="Prospecting",E5903="Engaging"),VLOOKUP(C5903,Products!$A$2:$C$8,3,FALSE),0)</f>
        <v>5482</v>
      </c>
    </row>
    <row r="5904" spans="1:10" x14ac:dyDescent="0.25">
      <c r="A5904" t="s">
        <v>6071</v>
      </c>
      <c r="B5904" t="s">
        <v>191</v>
      </c>
      <c r="C5904" t="s">
        <v>123</v>
      </c>
      <c r="D5904" t="s">
        <v>66</v>
      </c>
      <c r="E5904" t="s">
        <v>159</v>
      </c>
      <c r="F5904" s="1">
        <v>42960</v>
      </c>
      <c r="G5904" s="1">
        <v>42971</v>
      </c>
      <c r="H5904">
        <v>0</v>
      </c>
      <c r="I5904" t="str">
        <f>IF(COUNTIF(Products!$A$2:$A$8,C5904)=0,C5904,"")</f>
        <v/>
      </c>
      <c r="J5904">
        <f>IF(OR(E5904="Prospecting",E5904="Engaging"),VLOOKUP(C5904,Products!$A$2:$C$8,3,FALSE),0)</f>
        <v>0</v>
      </c>
    </row>
    <row r="5905" spans="1:10" x14ac:dyDescent="0.25">
      <c r="A5905" t="s">
        <v>6072</v>
      </c>
      <c r="B5905" t="s">
        <v>191</v>
      </c>
      <c r="C5905" t="s">
        <v>120</v>
      </c>
      <c r="D5905" t="s">
        <v>69</v>
      </c>
      <c r="E5905" t="s">
        <v>138</v>
      </c>
      <c r="F5905" s="1">
        <v>42960</v>
      </c>
      <c r="G5905" s="1">
        <v>42965</v>
      </c>
      <c r="H5905">
        <v>573</v>
      </c>
      <c r="I5905" t="str">
        <f>IF(COUNTIF(Products!$A$2:$A$8,C5905)=0,C5905,"")</f>
        <v/>
      </c>
      <c r="J5905">
        <f>IF(OR(E5905="Prospecting",E5905="Engaging"),VLOOKUP(C5905,Products!$A$2:$C$8,3,FALSE),0)</f>
        <v>0</v>
      </c>
    </row>
    <row r="5906" spans="1:10" x14ac:dyDescent="0.25">
      <c r="A5906" t="s">
        <v>6073</v>
      </c>
      <c r="B5906" t="s">
        <v>217</v>
      </c>
      <c r="C5906" t="s">
        <v>120</v>
      </c>
      <c r="E5906" t="s">
        <v>155</v>
      </c>
      <c r="F5906" s="1">
        <v>42960</v>
      </c>
      <c r="I5906" t="str">
        <f>IF(COUNTIF(Products!$A$2:$A$8,C5906)=0,C5906,"")</f>
        <v/>
      </c>
      <c r="J5906">
        <f>IF(OR(E5906="Prospecting",E5906="Engaging"),VLOOKUP(C5906,Products!$A$2:$C$8,3,FALSE),0)</f>
        <v>550</v>
      </c>
    </row>
    <row r="5907" spans="1:10" x14ac:dyDescent="0.25">
      <c r="A5907" t="s">
        <v>6074</v>
      </c>
      <c r="B5907" t="s">
        <v>217</v>
      </c>
      <c r="C5907" t="s">
        <v>123</v>
      </c>
      <c r="D5907" t="s">
        <v>63</v>
      </c>
      <c r="E5907" t="s">
        <v>155</v>
      </c>
      <c r="F5907" s="1">
        <v>42960</v>
      </c>
      <c r="I5907" t="str">
        <f>IF(COUNTIF(Products!$A$2:$A$8,C5907)=0,C5907,"")</f>
        <v/>
      </c>
      <c r="J5907">
        <f>IF(OR(E5907="Prospecting",E5907="Engaging"),VLOOKUP(C5907,Products!$A$2:$C$8,3,FALSE),0)</f>
        <v>55</v>
      </c>
    </row>
    <row r="5908" spans="1:10" x14ac:dyDescent="0.25">
      <c r="A5908" t="s">
        <v>6075</v>
      </c>
      <c r="B5908" t="s">
        <v>150</v>
      </c>
      <c r="C5908" t="s">
        <v>125</v>
      </c>
      <c r="E5908" t="s">
        <v>155</v>
      </c>
      <c r="F5908" s="1">
        <v>42960</v>
      </c>
      <c r="I5908" t="str">
        <f>IF(COUNTIF(Products!$A$2:$A$8,C5908)=0,C5908,"")</f>
        <v/>
      </c>
      <c r="J5908">
        <f>IF(OR(E5908="Prospecting",E5908="Engaging"),VLOOKUP(C5908,Products!$A$2:$C$8,3,FALSE),0)</f>
        <v>3393</v>
      </c>
    </row>
    <row r="5909" spans="1:10" x14ac:dyDescent="0.25">
      <c r="A5909" t="s">
        <v>6076</v>
      </c>
      <c r="B5909" t="s">
        <v>150</v>
      </c>
      <c r="C5909" t="s">
        <v>126</v>
      </c>
      <c r="D5909" t="s">
        <v>38</v>
      </c>
      <c r="E5909" t="s">
        <v>159</v>
      </c>
      <c r="F5909" s="1">
        <v>42960</v>
      </c>
      <c r="G5909" s="1">
        <v>43057</v>
      </c>
      <c r="H5909">
        <v>0</v>
      </c>
      <c r="I5909" t="str">
        <f>IF(COUNTIF(Products!$A$2:$A$8,C5909)=0,C5909,"")</f>
        <v/>
      </c>
      <c r="J5909">
        <f>IF(OR(E5909="Prospecting",E5909="Engaging"),VLOOKUP(C5909,Products!$A$2:$C$8,3,FALSE),0)</f>
        <v>0</v>
      </c>
    </row>
    <row r="5910" spans="1:10" x14ac:dyDescent="0.25">
      <c r="A5910" t="s">
        <v>6077</v>
      </c>
      <c r="B5910" t="s">
        <v>150</v>
      </c>
      <c r="C5910" t="s">
        <v>122</v>
      </c>
      <c r="D5910" t="s">
        <v>56</v>
      </c>
      <c r="E5910" t="s">
        <v>159</v>
      </c>
      <c r="F5910" s="1">
        <v>42960</v>
      </c>
      <c r="G5910" s="1">
        <v>42968</v>
      </c>
      <c r="H5910">
        <v>0</v>
      </c>
      <c r="I5910" t="str">
        <f>IF(COUNTIF(Products!$A$2:$A$8,C5910)=0,C5910,"")</f>
        <v/>
      </c>
      <c r="J5910">
        <f>IF(OR(E5910="Prospecting",E5910="Engaging"),VLOOKUP(C5910,Products!$A$2:$C$8,3,FALSE),0)</f>
        <v>0</v>
      </c>
    </row>
    <row r="5911" spans="1:10" x14ac:dyDescent="0.25">
      <c r="A5911" t="s">
        <v>6078</v>
      </c>
      <c r="B5911" t="s">
        <v>150</v>
      </c>
      <c r="C5911" t="s">
        <v>122</v>
      </c>
      <c r="D5911" t="s">
        <v>114</v>
      </c>
      <c r="E5911" t="s">
        <v>138</v>
      </c>
      <c r="F5911" s="1">
        <v>42960</v>
      </c>
      <c r="G5911" s="1">
        <v>43067</v>
      </c>
      <c r="H5911">
        <v>5540</v>
      </c>
      <c r="I5911" t="str">
        <f>IF(COUNTIF(Products!$A$2:$A$8,C5911)=0,C5911,"")</f>
        <v/>
      </c>
      <c r="J5911">
        <f>IF(OR(E5911="Prospecting",E5911="Engaging"),VLOOKUP(C5911,Products!$A$2:$C$8,3,FALSE),0)</f>
        <v>0</v>
      </c>
    </row>
    <row r="5912" spans="1:10" x14ac:dyDescent="0.25">
      <c r="A5912" t="s">
        <v>6079</v>
      </c>
      <c r="B5912" t="s">
        <v>205</v>
      </c>
      <c r="C5912" t="s">
        <v>127</v>
      </c>
      <c r="E5912" t="s">
        <v>155</v>
      </c>
      <c r="F5912" s="1">
        <v>42960</v>
      </c>
      <c r="I5912" t="str">
        <f>IF(COUNTIF(Products!$A$2:$A$8,C5912)=0,C5912,"")</f>
        <v/>
      </c>
      <c r="J5912">
        <f>IF(OR(E5912="Prospecting",E5912="Engaging"),VLOOKUP(C5912,Products!$A$2:$C$8,3,FALSE),0)</f>
        <v>1096</v>
      </c>
    </row>
    <row r="5913" spans="1:10" x14ac:dyDescent="0.25">
      <c r="A5913" t="s">
        <v>6080</v>
      </c>
      <c r="B5913" t="s">
        <v>205</v>
      </c>
      <c r="C5913" t="s">
        <v>122</v>
      </c>
      <c r="E5913" t="s">
        <v>155</v>
      </c>
      <c r="F5913" s="1">
        <v>42960</v>
      </c>
      <c r="I5913" t="str">
        <f>IF(COUNTIF(Products!$A$2:$A$8,C5913)=0,C5913,"")</f>
        <v/>
      </c>
      <c r="J5913">
        <f>IF(OR(E5913="Prospecting",E5913="Engaging"),VLOOKUP(C5913,Products!$A$2:$C$8,3,FALSE),0)</f>
        <v>4821</v>
      </c>
    </row>
    <row r="5914" spans="1:10" x14ac:dyDescent="0.25">
      <c r="A5914" t="s">
        <v>6081</v>
      </c>
      <c r="B5914" t="s">
        <v>205</v>
      </c>
      <c r="C5914" t="s">
        <v>123</v>
      </c>
      <c r="D5914" t="s">
        <v>70</v>
      </c>
      <c r="E5914" t="s">
        <v>159</v>
      </c>
      <c r="F5914" s="1">
        <v>42960</v>
      </c>
      <c r="G5914" s="1">
        <v>43064</v>
      </c>
      <c r="H5914">
        <v>0</v>
      </c>
      <c r="I5914" t="str">
        <f>IF(COUNTIF(Products!$A$2:$A$8,C5914)=0,C5914,"")</f>
        <v/>
      </c>
      <c r="J5914">
        <f>IF(OR(E5914="Prospecting",E5914="Engaging"),VLOOKUP(C5914,Products!$A$2:$C$8,3,FALSE),0)</f>
        <v>0</v>
      </c>
    </row>
    <row r="5915" spans="1:10" x14ac:dyDescent="0.25">
      <c r="A5915" t="s">
        <v>6082</v>
      </c>
      <c r="B5915" t="s">
        <v>162</v>
      </c>
      <c r="C5915" t="s">
        <v>123</v>
      </c>
      <c r="E5915" t="s">
        <v>155</v>
      </c>
      <c r="F5915" s="1">
        <v>42960</v>
      </c>
      <c r="I5915" t="str">
        <f>IF(COUNTIF(Products!$A$2:$A$8,C5915)=0,C5915,"")</f>
        <v/>
      </c>
      <c r="J5915">
        <f>IF(OR(E5915="Prospecting",E5915="Engaging"),VLOOKUP(C5915,Products!$A$2:$C$8,3,FALSE),0)</f>
        <v>55</v>
      </c>
    </row>
    <row r="5916" spans="1:10" x14ac:dyDescent="0.25">
      <c r="A5916" t="s">
        <v>6083</v>
      </c>
      <c r="B5916" t="s">
        <v>162</v>
      </c>
      <c r="C5916" t="s">
        <v>127</v>
      </c>
      <c r="D5916" t="s">
        <v>23</v>
      </c>
      <c r="E5916" t="s">
        <v>138</v>
      </c>
      <c r="F5916" s="1">
        <v>42960</v>
      </c>
      <c r="G5916" s="1">
        <v>42971</v>
      </c>
      <c r="H5916">
        <v>1130</v>
      </c>
      <c r="I5916" t="str">
        <f>IF(COUNTIF(Products!$A$2:$A$8,C5916)=0,C5916,"")</f>
        <v/>
      </c>
      <c r="J5916">
        <f>IF(OR(E5916="Prospecting",E5916="Engaging"),VLOOKUP(C5916,Products!$A$2:$C$8,3,FALSE),0)</f>
        <v>0</v>
      </c>
    </row>
    <row r="5917" spans="1:10" x14ac:dyDescent="0.25">
      <c r="A5917" t="s">
        <v>6084</v>
      </c>
      <c r="B5917" t="s">
        <v>137</v>
      </c>
      <c r="C5917" t="s">
        <v>125</v>
      </c>
      <c r="E5917" t="s">
        <v>155</v>
      </c>
      <c r="F5917" s="1">
        <v>42960</v>
      </c>
      <c r="I5917" t="str">
        <f>IF(COUNTIF(Products!$A$2:$A$8,C5917)=0,C5917,"")</f>
        <v/>
      </c>
      <c r="J5917">
        <f>IF(OR(E5917="Prospecting",E5917="Engaging"),VLOOKUP(C5917,Products!$A$2:$C$8,3,FALSE),0)</f>
        <v>3393</v>
      </c>
    </row>
    <row r="5918" spans="1:10" x14ac:dyDescent="0.25">
      <c r="A5918" t="s">
        <v>6085</v>
      </c>
      <c r="B5918" t="s">
        <v>193</v>
      </c>
      <c r="C5918" t="s">
        <v>122</v>
      </c>
      <c r="D5918" t="s">
        <v>115</v>
      </c>
      <c r="E5918" t="s">
        <v>138</v>
      </c>
      <c r="F5918" s="1">
        <v>42960</v>
      </c>
      <c r="G5918" s="1">
        <v>43041</v>
      </c>
      <c r="H5918">
        <v>4743</v>
      </c>
      <c r="I5918" t="str">
        <f>IF(COUNTIF(Products!$A$2:$A$8,C5918)=0,C5918,"")</f>
        <v/>
      </c>
      <c r="J5918">
        <f>IF(OR(E5918="Prospecting",E5918="Engaging"),VLOOKUP(C5918,Products!$A$2:$C$8,3,FALSE),0)</f>
        <v>0</v>
      </c>
    </row>
    <row r="5919" spans="1:10" x14ac:dyDescent="0.25">
      <c r="A5919" t="s">
        <v>6086</v>
      </c>
      <c r="B5919" t="s">
        <v>193</v>
      </c>
      <c r="C5919" t="s">
        <v>125</v>
      </c>
      <c r="D5919" t="s">
        <v>84</v>
      </c>
      <c r="E5919" t="s">
        <v>138</v>
      </c>
      <c r="F5919" s="1">
        <v>42960</v>
      </c>
      <c r="G5919" s="1">
        <v>42976</v>
      </c>
      <c r="H5919">
        <v>3732</v>
      </c>
      <c r="I5919" t="str">
        <f>IF(COUNTIF(Products!$A$2:$A$8,C5919)=0,C5919,"")</f>
        <v/>
      </c>
      <c r="J5919">
        <f>IF(OR(E5919="Prospecting",E5919="Engaging"),VLOOKUP(C5919,Products!$A$2:$C$8,3,FALSE),0)</f>
        <v>0</v>
      </c>
    </row>
    <row r="5920" spans="1:10" x14ac:dyDescent="0.25">
      <c r="A5920" t="s">
        <v>6087</v>
      </c>
      <c r="B5920" t="s">
        <v>148</v>
      </c>
      <c r="C5920" t="s">
        <v>123</v>
      </c>
      <c r="D5920" t="s">
        <v>44</v>
      </c>
      <c r="E5920" t="s">
        <v>138</v>
      </c>
      <c r="F5920" s="1">
        <v>42960</v>
      </c>
      <c r="G5920" s="1">
        <v>43065</v>
      </c>
      <c r="H5920">
        <v>59</v>
      </c>
      <c r="I5920" t="str">
        <f>IF(COUNTIF(Products!$A$2:$A$8,C5920)=0,C5920,"")</f>
        <v/>
      </c>
      <c r="J5920">
        <f>IF(OR(E5920="Prospecting",E5920="Engaging"),VLOOKUP(C5920,Products!$A$2:$C$8,3,FALSE),0)</f>
        <v>0</v>
      </c>
    </row>
    <row r="5921" spans="1:10" x14ac:dyDescent="0.25">
      <c r="A5921" t="s">
        <v>6088</v>
      </c>
      <c r="B5921" t="s">
        <v>144</v>
      </c>
      <c r="C5921" t="s">
        <v>122</v>
      </c>
      <c r="D5921" t="s">
        <v>56</v>
      </c>
      <c r="E5921" t="s">
        <v>159</v>
      </c>
      <c r="F5921" s="1">
        <v>42960</v>
      </c>
      <c r="G5921" s="1">
        <v>43046</v>
      </c>
      <c r="H5921">
        <v>0</v>
      </c>
      <c r="I5921" t="str">
        <f>IF(COUNTIF(Products!$A$2:$A$8,C5921)=0,C5921,"")</f>
        <v/>
      </c>
      <c r="J5921">
        <f>IF(OR(E5921="Prospecting",E5921="Engaging"),VLOOKUP(C5921,Products!$A$2:$C$8,3,FALSE),0)</f>
        <v>0</v>
      </c>
    </row>
    <row r="5922" spans="1:10" x14ac:dyDescent="0.25">
      <c r="A5922" t="s">
        <v>6089</v>
      </c>
      <c r="B5922" t="s">
        <v>144</v>
      </c>
      <c r="C5922" t="s">
        <v>120</v>
      </c>
      <c r="D5922" t="s">
        <v>69</v>
      </c>
      <c r="E5922" t="s">
        <v>138</v>
      </c>
      <c r="F5922" s="1">
        <v>42960</v>
      </c>
      <c r="G5922" s="1">
        <v>43054</v>
      </c>
      <c r="H5922">
        <v>510</v>
      </c>
      <c r="I5922" t="str">
        <f>IF(COUNTIF(Products!$A$2:$A$8,C5922)=0,C5922,"")</f>
        <v/>
      </c>
      <c r="J5922">
        <f>IF(OR(E5922="Prospecting",E5922="Engaging"),VLOOKUP(C5922,Products!$A$2:$C$8,3,FALSE),0)</f>
        <v>0</v>
      </c>
    </row>
    <row r="5923" spans="1:10" x14ac:dyDescent="0.25">
      <c r="A5923" t="s">
        <v>6090</v>
      </c>
      <c r="B5923" t="s">
        <v>146</v>
      </c>
      <c r="C5923" t="s">
        <v>127</v>
      </c>
      <c r="E5923" t="s">
        <v>155</v>
      </c>
      <c r="F5923" s="1">
        <v>42961</v>
      </c>
      <c r="I5923" t="str">
        <f>IF(COUNTIF(Products!$A$2:$A$8,C5923)=0,C5923,"")</f>
        <v/>
      </c>
      <c r="J5923">
        <f>IF(OR(E5923="Prospecting",E5923="Engaging"),VLOOKUP(C5923,Products!$A$2:$C$8,3,FALSE),0)</f>
        <v>1096</v>
      </c>
    </row>
    <row r="5924" spans="1:10" x14ac:dyDescent="0.25">
      <c r="A5924" t="s">
        <v>6091</v>
      </c>
      <c r="B5924" t="s">
        <v>146</v>
      </c>
      <c r="C5924" t="s">
        <v>126</v>
      </c>
      <c r="D5924" t="s">
        <v>14</v>
      </c>
      <c r="E5924" t="s">
        <v>155</v>
      </c>
      <c r="F5924" s="1">
        <v>42961</v>
      </c>
      <c r="I5924" t="str">
        <f>IF(COUNTIF(Products!$A$2:$A$8,C5924)=0,C5924,"")</f>
        <v/>
      </c>
      <c r="J5924">
        <f>IF(OR(E5924="Prospecting",E5924="Engaging"),VLOOKUP(C5924,Products!$A$2:$C$8,3,FALSE),0)</f>
        <v>5482</v>
      </c>
    </row>
    <row r="5925" spans="1:10" x14ac:dyDescent="0.25">
      <c r="A5925" t="s">
        <v>6092</v>
      </c>
      <c r="B5925" t="s">
        <v>146</v>
      </c>
      <c r="C5925" t="s">
        <v>123</v>
      </c>
      <c r="E5925" t="s">
        <v>155</v>
      </c>
      <c r="F5925" s="1">
        <v>42961</v>
      </c>
      <c r="I5925" t="str">
        <f>IF(COUNTIF(Products!$A$2:$A$8,C5925)=0,C5925,"")</f>
        <v/>
      </c>
      <c r="J5925">
        <f>IF(OR(E5925="Prospecting",E5925="Engaging"),VLOOKUP(C5925,Products!$A$2:$C$8,3,FALSE),0)</f>
        <v>55</v>
      </c>
    </row>
    <row r="5926" spans="1:10" x14ac:dyDescent="0.25">
      <c r="A5926" t="s">
        <v>6093</v>
      </c>
      <c r="B5926" t="s">
        <v>146</v>
      </c>
      <c r="C5926" t="s">
        <v>123</v>
      </c>
      <c r="E5926" t="s">
        <v>155</v>
      </c>
      <c r="F5926" s="1">
        <v>42961</v>
      </c>
      <c r="I5926" t="str">
        <f>IF(COUNTIF(Products!$A$2:$A$8,C5926)=0,C5926,"")</f>
        <v/>
      </c>
      <c r="J5926">
        <f>IF(OR(E5926="Prospecting",E5926="Engaging"),VLOOKUP(C5926,Products!$A$2:$C$8,3,FALSE),0)</f>
        <v>55</v>
      </c>
    </row>
    <row r="5927" spans="1:10" x14ac:dyDescent="0.25">
      <c r="A5927" t="s">
        <v>6094</v>
      </c>
      <c r="B5927" t="s">
        <v>146</v>
      </c>
      <c r="C5927" t="s">
        <v>126</v>
      </c>
      <c r="D5927" t="s">
        <v>32</v>
      </c>
      <c r="E5927" t="s">
        <v>159</v>
      </c>
      <c r="F5927" s="1">
        <v>42961</v>
      </c>
      <c r="G5927" s="1">
        <v>42967</v>
      </c>
      <c r="H5927">
        <v>0</v>
      </c>
      <c r="I5927" t="str">
        <f>IF(COUNTIF(Products!$A$2:$A$8,C5927)=0,C5927,"")</f>
        <v/>
      </c>
      <c r="J5927">
        <f>IF(OR(E5927="Prospecting",E5927="Engaging"),VLOOKUP(C5927,Products!$A$2:$C$8,3,FALSE),0)</f>
        <v>0</v>
      </c>
    </row>
    <row r="5928" spans="1:10" x14ac:dyDescent="0.25">
      <c r="A5928" t="s">
        <v>6095</v>
      </c>
      <c r="B5928" t="s">
        <v>207</v>
      </c>
      <c r="C5928" t="s">
        <v>122</v>
      </c>
      <c r="E5928" t="s">
        <v>155</v>
      </c>
      <c r="F5928" s="1">
        <v>42961</v>
      </c>
      <c r="I5928" t="str">
        <f>IF(COUNTIF(Products!$A$2:$A$8,C5928)=0,C5928,"")</f>
        <v/>
      </c>
      <c r="J5928">
        <f>IF(OR(E5928="Prospecting",E5928="Engaging"),VLOOKUP(C5928,Products!$A$2:$C$8,3,FALSE),0)</f>
        <v>4821</v>
      </c>
    </row>
    <row r="5929" spans="1:10" x14ac:dyDescent="0.25">
      <c r="A5929" t="s">
        <v>6096</v>
      </c>
      <c r="B5929" t="s">
        <v>207</v>
      </c>
      <c r="C5929" t="s">
        <v>125</v>
      </c>
      <c r="D5929" t="s">
        <v>48</v>
      </c>
      <c r="E5929" t="s">
        <v>159</v>
      </c>
      <c r="F5929" s="1">
        <v>42961</v>
      </c>
      <c r="G5929" s="1">
        <v>42969</v>
      </c>
      <c r="H5929">
        <v>0</v>
      </c>
      <c r="I5929" t="str">
        <f>IF(COUNTIF(Products!$A$2:$A$8,C5929)=0,C5929,"")</f>
        <v/>
      </c>
      <c r="J5929">
        <f>IF(OR(E5929="Prospecting",E5929="Engaging"),VLOOKUP(C5929,Products!$A$2:$C$8,3,FALSE),0)</f>
        <v>0</v>
      </c>
    </row>
    <row r="5930" spans="1:10" x14ac:dyDescent="0.25">
      <c r="A5930" t="s">
        <v>6097</v>
      </c>
      <c r="B5930" t="s">
        <v>207</v>
      </c>
      <c r="C5930" t="s">
        <v>127</v>
      </c>
      <c r="D5930" t="s">
        <v>67</v>
      </c>
      <c r="E5930" t="s">
        <v>138</v>
      </c>
      <c r="F5930" s="1">
        <v>42961</v>
      </c>
      <c r="G5930" s="1">
        <v>42977</v>
      </c>
      <c r="H5930">
        <v>907</v>
      </c>
      <c r="I5930" t="str">
        <f>IF(COUNTIF(Products!$A$2:$A$8,C5930)=0,C5930,"")</f>
        <v/>
      </c>
      <c r="J5930">
        <f>IF(OR(E5930="Prospecting",E5930="Engaging"),VLOOKUP(C5930,Products!$A$2:$C$8,3,FALSE),0)</f>
        <v>0</v>
      </c>
    </row>
    <row r="5931" spans="1:10" x14ac:dyDescent="0.25">
      <c r="A5931" t="s">
        <v>6098</v>
      </c>
      <c r="B5931" t="s">
        <v>207</v>
      </c>
      <c r="C5931" t="s">
        <v>126</v>
      </c>
      <c r="D5931" t="s">
        <v>7</v>
      </c>
      <c r="E5931" t="s">
        <v>138</v>
      </c>
      <c r="F5931" s="1">
        <v>42961</v>
      </c>
      <c r="G5931" s="1">
        <v>43090</v>
      </c>
      <c r="H5931">
        <v>5881</v>
      </c>
      <c r="I5931" t="str">
        <f>IF(COUNTIF(Products!$A$2:$A$8,C5931)=0,C5931,"")</f>
        <v/>
      </c>
      <c r="J5931">
        <f>IF(OR(E5931="Prospecting",E5931="Engaging"),VLOOKUP(C5931,Products!$A$2:$C$8,3,FALSE),0)</f>
        <v>0</v>
      </c>
    </row>
    <row r="5932" spans="1:10" x14ac:dyDescent="0.25">
      <c r="A5932" t="s">
        <v>6099</v>
      </c>
      <c r="B5932" t="s">
        <v>264</v>
      </c>
      <c r="C5932" t="s">
        <v>126</v>
      </c>
      <c r="D5932" t="s">
        <v>12</v>
      </c>
      <c r="E5932" t="s">
        <v>159</v>
      </c>
      <c r="F5932" s="1">
        <v>42961</v>
      </c>
      <c r="G5932" s="1">
        <v>43048</v>
      </c>
      <c r="H5932">
        <v>0</v>
      </c>
      <c r="I5932" t="str">
        <f>IF(COUNTIF(Products!$A$2:$A$8,C5932)=0,C5932,"")</f>
        <v/>
      </c>
      <c r="J5932">
        <f>IF(OR(E5932="Prospecting",E5932="Engaging"),VLOOKUP(C5932,Products!$A$2:$C$8,3,FALSE),0)</f>
        <v>0</v>
      </c>
    </row>
    <row r="5933" spans="1:10" x14ac:dyDescent="0.25">
      <c r="A5933" t="s">
        <v>6100</v>
      </c>
      <c r="B5933" t="s">
        <v>140</v>
      </c>
      <c r="C5933" t="s">
        <v>122</v>
      </c>
      <c r="E5933" t="s">
        <v>155</v>
      </c>
      <c r="F5933" s="1">
        <v>42961</v>
      </c>
      <c r="I5933" t="str">
        <f>IF(COUNTIF(Products!$A$2:$A$8,C5933)=0,C5933,"")</f>
        <v/>
      </c>
      <c r="J5933">
        <f>IF(OR(E5933="Prospecting",E5933="Engaging"),VLOOKUP(C5933,Products!$A$2:$C$8,3,FALSE),0)</f>
        <v>4821</v>
      </c>
    </row>
    <row r="5934" spans="1:10" x14ac:dyDescent="0.25">
      <c r="A5934" t="s">
        <v>6101</v>
      </c>
      <c r="B5934" t="s">
        <v>140</v>
      </c>
      <c r="C5934" t="s">
        <v>122</v>
      </c>
      <c r="E5934" t="s">
        <v>155</v>
      </c>
      <c r="F5934" s="1">
        <v>42961</v>
      </c>
      <c r="I5934" t="str">
        <f>IF(COUNTIF(Products!$A$2:$A$8,C5934)=0,C5934,"")</f>
        <v/>
      </c>
      <c r="J5934">
        <f>IF(OR(E5934="Prospecting",E5934="Engaging"),VLOOKUP(C5934,Products!$A$2:$C$8,3,FALSE),0)</f>
        <v>4821</v>
      </c>
    </row>
    <row r="5935" spans="1:10" x14ac:dyDescent="0.25">
      <c r="A5935" t="s">
        <v>6102</v>
      </c>
      <c r="B5935" t="s">
        <v>140</v>
      </c>
      <c r="C5935" t="s">
        <v>122</v>
      </c>
      <c r="D5935" t="s">
        <v>89</v>
      </c>
      <c r="E5935" t="s">
        <v>138</v>
      </c>
      <c r="F5935" s="1">
        <v>42961</v>
      </c>
      <c r="G5935" s="1">
        <v>43043</v>
      </c>
      <c r="H5935">
        <v>3902</v>
      </c>
      <c r="I5935" t="str">
        <f>IF(COUNTIF(Products!$A$2:$A$8,C5935)=0,C5935,"")</f>
        <v/>
      </c>
      <c r="J5935">
        <f>IF(OR(E5935="Prospecting",E5935="Engaging"),VLOOKUP(C5935,Products!$A$2:$C$8,3,FALSE),0)</f>
        <v>0</v>
      </c>
    </row>
    <row r="5936" spans="1:10" x14ac:dyDescent="0.25">
      <c r="A5936" t="s">
        <v>6103</v>
      </c>
      <c r="B5936" t="s">
        <v>173</v>
      </c>
      <c r="C5936" t="s">
        <v>123</v>
      </c>
      <c r="E5936" t="s">
        <v>155</v>
      </c>
      <c r="F5936" s="1">
        <v>42961</v>
      </c>
      <c r="I5936" t="str">
        <f>IF(COUNTIF(Products!$A$2:$A$8,C5936)=0,C5936,"")</f>
        <v/>
      </c>
      <c r="J5936">
        <f>IF(OR(E5936="Prospecting",E5936="Engaging"),VLOOKUP(C5936,Products!$A$2:$C$8,3,FALSE),0)</f>
        <v>55</v>
      </c>
    </row>
    <row r="5937" spans="1:10" x14ac:dyDescent="0.25">
      <c r="A5937" t="s">
        <v>6104</v>
      </c>
      <c r="B5937" t="s">
        <v>164</v>
      </c>
      <c r="C5937" t="s">
        <v>125</v>
      </c>
      <c r="E5937" t="s">
        <v>155</v>
      </c>
      <c r="F5937" s="1">
        <v>42961</v>
      </c>
      <c r="I5937" t="str">
        <f>IF(COUNTIF(Products!$A$2:$A$8,C5937)=0,C5937,"")</f>
        <v/>
      </c>
      <c r="J5937">
        <f>IF(OR(E5937="Prospecting",E5937="Engaging"),VLOOKUP(C5937,Products!$A$2:$C$8,3,FALSE),0)</f>
        <v>3393</v>
      </c>
    </row>
    <row r="5938" spans="1:10" x14ac:dyDescent="0.25">
      <c r="A5938" t="s">
        <v>6105</v>
      </c>
      <c r="B5938" t="s">
        <v>164</v>
      </c>
      <c r="C5938" t="s">
        <v>125</v>
      </c>
      <c r="D5938" t="s">
        <v>109</v>
      </c>
      <c r="E5938" t="s">
        <v>159</v>
      </c>
      <c r="F5938" s="1">
        <v>42961</v>
      </c>
      <c r="G5938" s="1">
        <v>43068</v>
      </c>
      <c r="H5938">
        <v>0</v>
      </c>
      <c r="I5938" t="str">
        <f>IF(COUNTIF(Products!$A$2:$A$8,C5938)=0,C5938,"")</f>
        <v/>
      </c>
      <c r="J5938">
        <f>IF(OR(E5938="Prospecting",E5938="Engaging"),VLOOKUP(C5938,Products!$A$2:$C$8,3,FALSE),0)</f>
        <v>0</v>
      </c>
    </row>
    <row r="5939" spans="1:10" x14ac:dyDescent="0.25">
      <c r="A5939" t="s">
        <v>6106</v>
      </c>
      <c r="B5939" t="s">
        <v>303</v>
      </c>
      <c r="C5939" t="s">
        <v>120</v>
      </c>
      <c r="E5939" t="s">
        <v>155</v>
      </c>
      <c r="F5939" s="1">
        <v>42961</v>
      </c>
      <c r="I5939" t="str">
        <f>IF(COUNTIF(Products!$A$2:$A$8,C5939)=0,C5939,"")</f>
        <v/>
      </c>
      <c r="J5939">
        <f>IF(OR(E5939="Prospecting",E5939="Engaging"),VLOOKUP(C5939,Products!$A$2:$C$8,3,FALSE),0)</f>
        <v>550</v>
      </c>
    </row>
    <row r="5940" spans="1:10" x14ac:dyDescent="0.25">
      <c r="A5940" t="s">
        <v>6107</v>
      </c>
      <c r="B5940" t="s">
        <v>303</v>
      </c>
      <c r="C5940" t="s">
        <v>127</v>
      </c>
      <c r="E5940" t="s">
        <v>155</v>
      </c>
      <c r="F5940" s="1">
        <v>42961</v>
      </c>
      <c r="I5940" t="str">
        <f>IF(COUNTIF(Products!$A$2:$A$8,C5940)=0,C5940,"")</f>
        <v/>
      </c>
      <c r="J5940">
        <f>IF(OR(E5940="Prospecting",E5940="Engaging"),VLOOKUP(C5940,Products!$A$2:$C$8,3,FALSE),0)</f>
        <v>1096</v>
      </c>
    </row>
    <row r="5941" spans="1:10" x14ac:dyDescent="0.25">
      <c r="A5941" t="s">
        <v>6108</v>
      </c>
      <c r="B5941" t="s">
        <v>303</v>
      </c>
      <c r="C5941" t="s">
        <v>122</v>
      </c>
      <c r="E5941" t="s">
        <v>155</v>
      </c>
      <c r="F5941" s="1">
        <v>42961</v>
      </c>
      <c r="I5941" t="str">
        <f>IF(COUNTIF(Products!$A$2:$A$8,C5941)=0,C5941,"")</f>
        <v/>
      </c>
      <c r="J5941">
        <f>IF(OR(E5941="Prospecting",E5941="Engaging"),VLOOKUP(C5941,Products!$A$2:$C$8,3,FALSE),0)</f>
        <v>4821</v>
      </c>
    </row>
    <row r="5942" spans="1:10" x14ac:dyDescent="0.25">
      <c r="A5942" t="s">
        <v>6109</v>
      </c>
      <c r="B5942" t="s">
        <v>180</v>
      </c>
      <c r="C5942" t="s">
        <v>126</v>
      </c>
      <c r="D5942" t="s">
        <v>56</v>
      </c>
      <c r="E5942" t="s">
        <v>138</v>
      </c>
      <c r="F5942" s="1">
        <v>42961</v>
      </c>
      <c r="G5942" s="1">
        <v>43049</v>
      </c>
      <c r="H5942">
        <v>6186</v>
      </c>
      <c r="I5942" t="str">
        <f>IF(COUNTIF(Products!$A$2:$A$8,C5942)=0,C5942,"")</f>
        <v/>
      </c>
      <c r="J5942">
        <f>IF(OR(E5942="Prospecting",E5942="Engaging"),VLOOKUP(C5942,Products!$A$2:$C$8,3,FALSE),0)</f>
        <v>0</v>
      </c>
    </row>
    <row r="5943" spans="1:10" x14ac:dyDescent="0.25">
      <c r="A5943" t="s">
        <v>6110</v>
      </c>
      <c r="B5943" t="s">
        <v>191</v>
      </c>
      <c r="C5943" t="s">
        <v>127</v>
      </c>
      <c r="D5943" t="s">
        <v>82</v>
      </c>
      <c r="E5943" t="s">
        <v>138</v>
      </c>
      <c r="F5943" s="1">
        <v>42961</v>
      </c>
      <c r="G5943" s="1">
        <v>42971</v>
      </c>
      <c r="H5943">
        <v>1094</v>
      </c>
      <c r="I5943" t="str">
        <f>IF(COUNTIF(Products!$A$2:$A$8,C5943)=0,C5943,"")</f>
        <v/>
      </c>
      <c r="J5943">
        <f>IF(OR(E5943="Prospecting",E5943="Engaging"),VLOOKUP(C5943,Products!$A$2:$C$8,3,FALSE),0)</f>
        <v>0</v>
      </c>
    </row>
    <row r="5944" spans="1:10" x14ac:dyDescent="0.25">
      <c r="A5944" t="s">
        <v>6111</v>
      </c>
      <c r="B5944" t="s">
        <v>217</v>
      </c>
      <c r="C5944" t="s">
        <v>125</v>
      </c>
      <c r="D5944" t="s">
        <v>84</v>
      </c>
      <c r="E5944" t="s">
        <v>155</v>
      </c>
      <c r="F5944" s="1">
        <v>42961</v>
      </c>
      <c r="I5944" t="str">
        <f>IF(COUNTIF(Products!$A$2:$A$8,C5944)=0,C5944,"")</f>
        <v/>
      </c>
      <c r="J5944">
        <f>IF(OR(E5944="Prospecting",E5944="Engaging"),VLOOKUP(C5944,Products!$A$2:$C$8,3,FALSE),0)</f>
        <v>3393</v>
      </c>
    </row>
    <row r="5945" spans="1:10" x14ac:dyDescent="0.25">
      <c r="A5945" t="s">
        <v>6112</v>
      </c>
      <c r="B5945" t="s">
        <v>205</v>
      </c>
      <c r="C5945" t="s">
        <v>125</v>
      </c>
      <c r="D5945" t="s">
        <v>93</v>
      </c>
      <c r="E5945" t="s">
        <v>155</v>
      </c>
      <c r="F5945" s="1">
        <v>42961</v>
      </c>
      <c r="I5945" t="str">
        <f>IF(COUNTIF(Products!$A$2:$A$8,C5945)=0,C5945,"")</f>
        <v/>
      </c>
      <c r="J5945">
        <f>IF(OR(E5945="Prospecting",E5945="Engaging"),VLOOKUP(C5945,Products!$A$2:$C$8,3,FALSE),0)</f>
        <v>3393</v>
      </c>
    </row>
    <row r="5946" spans="1:10" x14ac:dyDescent="0.25">
      <c r="A5946" t="s">
        <v>6113</v>
      </c>
      <c r="B5946" t="s">
        <v>162</v>
      </c>
      <c r="C5946" t="s">
        <v>122</v>
      </c>
      <c r="E5946" t="s">
        <v>155</v>
      </c>
      <c r="F5946" s="1">
        <v>42961</v>
      </c>
      <c r="I5946" t="str">
        <f>IF(COUNTIF(Products!$A$2:$A$8,C5946)=0,C5946,"")</f>
        <v/>
      </c>
      <c r="J5946">
        <f>IF(OR(E5946="Prospecting",E5946="Engaging"),VLOOKUP(C5946,Products!$A$2:$C$8,3,FALSE),0)</f>
        <v>4821</v>
      </c>
    </row>
    <row r="5947" spans="1:10" x14ac:dyDescent="0.25">
      <c r="A5947" t="s">
        <v>6114</v>
      </c>
      <c r="B5947" t="s">
        <v>162</v>
      </c>
      <c r="C5947" t="s">
        <v>127</v>
      </c>
      <c r="D5947" t="s">
        <v>47</v>
      </c>
      <c r="E5947" t="s">
        <v>159</v>
      </c>
      <c r="F5947" s="1">
        <v>42961</v>
      </c>
      <c r="G5947" s="1">
        <v>42975</v>
      </c>
      <c r="H5947">
        <v>0</v>
      </c>
      <c r="I5947" t="str">
        <f>IF(COUNTIF(Products!$A$2:$A$8,C5947)=0,C5947,"")</f>
        <v/>
      </c>
      <c r="J5947">
        <f>IF(OR(E5947="Prospecting",E5947="Engaging"),VLOOKUP(C5947,Products!$A$2:$C$8,3,FALSE),0)</f>
        <v>0</v>
      </c>
    </row>
    <row r="5948" spans="1:10" x14ac:dyDescent="0.25">
      <c r="A5948" t="s">
        <v>6115</v>
      </c>
      <c r="B5948" t="s">
        <v>187</v>
      </c>
      <c r="C5948" t="s">
        <v>122</v>
      </c>
      <c r="E5948" t="s">
        <v>155</v>
      </c>
      <c r="F5948" s="1">
        <v>42961</v>
      </c>
      <c r="I5948" t="str">
        <f>IF(COUNTIF(Products!$A$2:$A$8,C5948)=0,C5948,"")</f>
        <v/>
      </c>
      <c r="J5948">
        <f>IF(OR(E5948="Prospecting",E5948="Engaging"),VLOOKUP(C5948,Products!$A$2:$C$8,3,FALSE),0)</f>
        <v>4821</v>
      </c>
    </row>
    <row r="5949" spans="1:10" x14ac:dyDescent="0.25">
      <c r="A5949" t="s">
        <v>6116</v>
      </c>
      <c r="B5949" t="s">
        <v>169</v>
      </c>
      <c r="C5949" t="s">
        <v>123</v>
      </c>
      <c r="D5949" t="s">
        <v>85</v>
      </c>
      <c r="E5949" t="s">
        <v>138</v>
      </c>
      <c r="F5949" s="1">
        <v>42961</v>
      </c>
      <c r="G5949" s="1">
        <v>43069</v>
      </c>
      <c r="H5949">
        <v>53</v>
      </c>
      <c r="I5949" t="str">
        <f>IF(COUNTIF(Products!$A$2:$A$8,C5949)=0,C5949,"")</f>
        <v/>
      </c>
      <c r="J5949">
        <f>IF(OR(E5949="Prospecting",E5949="Engaging"),VLOOKUP(C5949,Products!$A$2:$C$8,3,FALSE),0)</f>
        <v>0</v>
      </c>
    </row>
    <row r="5950" spans="1:10" x14ac:dyDescent="0.25">
      <c r="A5950" t="s">
        <v>6117</v>
      </c>
      <c r="B5950" t="s">
        <v>148</v>
      </c>
      <c r="C5950" t="s">
        <v>125</v>
      </c>
      <c r="D5950" t="s">
        <v>65</v>
      </c>
      <c r="E5950" t="s">
        <v>155</v>
      </c>
      <c r="F5950" s="1">
        <v>42961</v>
      </c>
      <c r="I5950" t="str">
        <f>IF(COUNTIF(Products!$A$2:$A$8,C5950)=0,C5950,"")</f>
        <v/>
      </c>
      <c r="J5950">
        <f>IF(OR(E5950="Prospecting",E5950="Engaging"),VLOOKUP(C5950,Products!$A$2:$C$8,3,FALSE),0)</f>
        <v>3393</v>
      </c>
    </row>
    <row r="5951" spans="1:10" x14ac:dyDescent="0.25">
      <c r="A5951" t="s">
        <v>6118</v>
      </c>
      <c r="B5951" t="s">
        <v>148</v>
      </c>
      <c r="C5951" t="s">
        <v>120</v>
      </c>
      <c r="D5951" t="s">
        <v>82</v>
      </c>
      <c r="E5951" t="s">
        <v>138</v>
      </c>
      <c r="F5951" s="1">
        <v>42961</v>
      </c>
      <c r="G5951" s="1">
        <v>42966</v>
      </c>
      <c r="H5951">
        <v>551</v>
      </c>
      <c r="I5951" t="str">
        <f>IF(COUNTIF(Products!$A$2:$A$8,C5951)=0,C5951,"")</f>
        <v/>
      </c>
      <c r="J5951">
        <f>IF(OR(E5951="Prospecting",E5951="Engaging"),VLOOKUP(C5951,Products!$A$2:$C$8,3,FALSE),0)</f>
        <v>0</v>
      </c>
    </row>
    <row r="5952" spans="1:10" x14ac:dyDescent="0.25">
      <c r="A5952" t="s">
        <v>6119</v>
      </c>
      <c r="B5952" t="s">
        <v>196</v>
      </c>
      <c r="C5952" t="s">
        <v>125</v>
      </c>
      <c r="E5952" t="s">
        <v>155</v>
      </c>
      <c r="F5952" s="1">
        <v>42961</v>
      </c>
      <c r="I5952" t="str">
        <f>IF(COUNTIF(Products!$A$2:$A$8,C5952)=0,C5952,"")</f>
        <v/>
      </c>
      <c r="J5952">
        <f>IF(OR(E5952="Prospecting",E5952="Engaging"),VLOOKUP(C5952,Products!$A$2:$C$8,3,FALSE),0)</f>
        <v>3393</v>
      </c>
    </row>
    <row r="5953" spans="1:10" x14ac:dyDescent="0.25">
      <c r="A5953" t="s">
        <v>6120</v>
      </c>
      <c r="B5953" t="s">
        <v>144</v>
      </c>
      <c r="C5953" t="s">
        <v>123</v>
      </c>
      <c r="D5953" t="s">
        <v>17</v>
      </c>
      <c r="E5953" t="s">
        <v>159</v>
      </c>
      <c r="F5953" s="1">
        <v>42961</v>
      </c>
      <c r="G5953" s="1">
        <v>42965</v>
      </c>
      <c r="H5953">
        <v>0</v>
      </c>
      <c r="I5953" t="str">
        <f>IF(COUNTIF(Products!$A$2:$A$8,C5953)=0,C5953,"")</f>
        <v/>
      </c>
      <c r="J5953">
        <f>IF(OR(E5953="Prospecting",E5953="Engaging"),VLOOKUP(C5953,Products!$A$2:$C$8,3,FALSE),0)</f>
        <v>0</v>
      </c>
    </row>
    <row r="5954" spans="1:10" x14ac:dyDescent="0.25">
      <c r="A5954" t="s">
        <v>6121</v>
      </c>
      <c r="B5954" t="s">
        <v>146</v>
      </c>
      <c r="C5954" t="s">
        <v>123</v>
      </c>
      <c r="E5954" t="s">
        <v>155</v>
      </c>
      <c r="F5954" s="1">
        <v>42962</v>
      </c>
      <c r="I5954" t="str">
        <f>IF(COUNTIF(Products!$A$2:$A$8,C5954)=0,C5954,"")</f>
        <v/>
      </c>
      <c r="J5954">
        <f>IF(OR(E5954="Prospecting",E5954="Engaging"),VLOOKUP(C5954,Products!$A$2:$C$8,3,FALSE),0)</f>
        <v>55</v>
      </c>
    </row>
    <row r="5955" spans="1:10" x14ac:dyDescent="0.25">
      <c r="A5955" t="s">
        <v>6122</v>
      </c>
      <c r="B5955" t="s">
        <v>146</v>
      </c>
      <c r="C5955" t="s">
        <v>127</v>
      </c>
      <c r="D5955" t="s">
        <v>12</v>
      </c>
      <c r="E5955" t="s">
        <v>159</v>
      </c>
      <c r="F5955" s="1">
        <v>42962</v>
      </c>
      <c r="G5955" s="1">
        <v>43005</v>
      </c>
      <c r="H5955">
        <v>0</v>
      </c>
      <c r="I5955" t="str">
        <f>IF(COUNTIF(Products!$A$2:$A$8,C5955)=0,C5955,"")</f>
        <v/>
      </c>
      <c r="J5955">
        <f>IF(OR(E5955="Prospecting",E5955="Engaging"),VLOOKUP(C5955,Products!$A$2:$C$8,3,FALSE),0)</f>
        <v>0</v>
      </c>
    </row>
    <row r="5956" spans="1:10" x14ac:dyDescent="0.25">
      <c r="A5956" t="s">
        <v>6123</v>
      </c>
      <c r="B5956" t="s">
        <v>146</v>
      </c>
      <c r="C5956" t="s">
        <v>126</v>
      </c>
      <c r="D5956" t="s">
        <v>32</v>
      </c>
      <c r="E5956" t="s">
        <v>159</v>
      </c>
      <c r="F5956" s="1">
        <v>42962</v>
      </c>
      <c r="G5956" s="1">
        <v>43054</v>
      </c>
      <c r="H5956">
        <v>0</v>
      </c>
      <c r="I5956" t="str">
        <f>IF(COUNTIF(Products!$A$2:$A$8,C5956)=0,C5956,"")</f>
        <v/>
      </c>
      <c r="J5956">
        <f>IF(OR(E5956="Prospecting",E5956="Engaging"),VLOOKUP(C5956,Products!$A$2:$C$8,3,FALSE),0)</f>
        <v>0</v>
      </c>
    </row>
    <row r="5957" spans="1:10" x14ac:dyDescent="0.25">
      <c r="A5957" t="s">
        <v>6124</v>
      </c>
      <c r="B5957" t="s">
        <v>146</v>
      </c>
      <c r="C5957" t="s">
        <v>123</v>
      </c>
      <c r="D5957" t="s">
        <v>53</v>
      </c>
      <c r="E5957" t="s">
        <v>138</v>
      </c>
      <c r="F5957" s="1">
        <v>42962</v>
      </c>
      <c r="G5957" s="1">
        <v>43044</v>
      </c>
      <c r="H5957">
        <v>57</v>
      </c>
      <c r="I5957" t="str">
        <f>IF(COUNTIF(Products!$A$2:$A$8,C5957)=0,C5957,"")</f>
        <v/>
      </c>
      <c r="J5957">
        <f>IF(OR(E5957="Prospecting",E5957="Engaging"),VLOOKUP(C5957,Products!$A$2:$C$8,3,FALSE),0)</f>
        <v>0</v>
      </c>
    </row>
    <row r="5958" spans="1:10" x14ac:dyDescent="0.25">
      <c r="A5958" t="s">
        <v>6125</v>
      </c>
      <c r="B5958" t="s">
        <v>207</v>
      </c>
      <c r="C5958" t="s">
        <v>125</v>
      </c>
      <c r="E5958" t="s">
        <v>155</v>
      </c>
      <c r="F5958" s="1">
        <v>42962</v>
      </c>
      <c r="I5958" t="str">
        <f>IF(COUNTIF(Products!$A$2:$A$8,C5958)=0,C5958,"")</f>
        <v/>
      </c>
      <c r="J5958">
        <f>IF(OR(E5958="Prospecting",E5958="Engaging"),VLOOKUP(C5958,Products!$A$2:$C$8,3,FALSE),0)</f>
        <v>3393</v>
      </c>
    </row>
    <row r="5959" spans="1:10" x14ac:dyDescent="0.25">
      <c r="A5959" t="s">
        <v>6126</v>
      </c>
      <c r="B5959" t="s">
        <v>207</v>
      </c>
      <c r="C5959" t="s">
        <v>120</v>
      </c>
      <c r="D5959" t="s">
        <v>50</v>
      </c>
      <c r="E5959" t="s">
        <v>138</v>
      </c>
      <c r="F5959" s="1">
        <v>42962</v>
      </c>
      <c r="G5959" s="1">
        <v>42972</v>
      </c>
      <c r="H5959">
        <v>552</v>
      </c>
      <c r="I5959" t="str">
        <f>IF(COUNTIF(Products!$A$2:$A$8,C5959)=0,C5959,"")</f>
        <v/>
      </c>
      <c r="J5959">
        <f>IF(OR(E5959="Prospecting",E5959="Engaging"),VLOOKUP(C5959,Products!$A$2:$C$8,3,FALSE),0)</f>
        <v>0</v>
      </c>
    </row>
    <row r="5960" spans="1:10" x14ac:dyDescent="0.25">
      <c r="A5960" t="s">
        <v>6127</v>
      </c>
      <c r="B5960" t="s">
        <v>239</v>
      </c>
      <c r="C5960" t="s">
        <v>125</v>
      </c>
      <c r="D5960" t="s">
        <v>27</v>
      </c>
      <c r="E5960" t="s">
        <v>159</v>
      </c>
      <c r="F5960" s="1">
        <v>42962</v>
      </c>
      <c r="G5960" s="1">
        <v>42975</v>
      </c>
      <c r="H5960">
        <v>0</v>
      </c>
      <c r="I5960" t="str">
        <f>IF(COUNTIF(Products!$A$2:$A$8,C5960)=0,C5960,"")</f>
        <v/>
      </c>
      <c r="J5960">
        <f>IF(OR(E5960="Prospecting",E5960="Engaging"),VLOOKUP(C5960,Products!$A$2:$C$8,3,FALSE),0)</f>
        <v>0</v>
      </c>
    </row>
    <row r="5961" spans="1:10" x14ac:dyDescent="0.25">
      <c r="A5961" t="s">
        <v>6128</v>
      </c>
      <c r="B5961" t="s">
        <v>239</v>
      </c>
      <c r="C5961" t="s">
        <v>126</v>
      </c>
      <c r="D5961" t="s">
        <v>102</v>
      </c>
      <c r="E5961" t="s">
        <v>138</v>
      </c>
      <c r="F5961" s="1">
        <v>42962</v>
      </c>
      <c r="G5961" s="1">
        <v>42979</v>
      </c>
      <c r="H5961">
        <v>4520</v>
      </c>
      <c r="I5961" t="str">
        <f>IF(COUNTIF(Products!$A$2:$A$8,C5961)=0,C5961,"")</f>
        <v/>
      </c>
      <c r="J5961">
        <f>IF(OR(E5961="Prospecting",E5961="Engaging"),VLOOKUP(C5961,Products!$A$2:$C$8,3,FALSE),0)</f>
        <v>0</v>
      </c>
    </row>
    <row r="5962" spans="1:10" x14ac:dyDescent="0.25">
      <c r="A5962" t="s">
        <v>6129</v>
      </c>
      <c r="B5962" t="s">
        <v>239</v>
      </c>
      <c r="C5962" t="s">
        <v>122</v>
      </c>
      <c r="D5962" t="s">
        <v>105</v>
      </c>
      <c r="E5962" t="s">
        <v>138</v>
      </c>
      <c r="F5962" s="1">
        <v>42962</v>
      </c>
      <c r="G5962" s="1">
        <v>43048</v>
      </c>
      <c r="H5962">
        <v>5868</v>
      </c>
      <c r="I5962" t="str">
        <f>IF(COUNTIF(Products!$A$2:$A$8,C5962)=0,C5962,"")</f>
        <v/>
      </c>
      <c r="J5962">
        <f>IF(OR(E5962="Prospecting",E5962="Engaging"),VLOOKUP(C5962,Products!$A$2:$C$8,3,FALSE),0)</f>
        <v>0</v>
      </c>
    </row>
    <row r="5963" spans="1:10" x14ac:dyDescent="0.25">
      <c r="A5963" t="s">
        <v>6130</v>
      </c>
      <c r="B5963" t="s">
        <v>171</v>
      </c>
      <c r="C5963" t="s">
        <v>125</v>
      </c>
      <c r="D5963" t="s">
        <v>16</v>
      </c>
      <c r="E5963" t="s">
        <v>138</v>
      </c>
      <c r="F5963" s="1">
        <v>42962</v>
      </c>
      <c r="G5963" s="1">
        <v>42969</v>
      </c>
      <c r="H5963">
        <v>2682</v>
      </c>
      <c r="I5963" t="str">
        <f>IF(COUNTIF(Products!$A$2:$A$8,C5963)=0,C5963,"")</f>
        <v/>
      </c>
      <c r="J5963">
        <f>IF(OR(E5963="Prospecting",E5963="Engaging"),VLOOKUP(C5963,Products!$A$2:$C$8,3,FALSE),0)</f>
        <v>0</v>
      </c>
    </row>
    <row r="5964" spans="1:10" x14ac:dyDescent="0.25">
      <c r="A5964" t="s">
        <v>6131</v>
      </c>
      <c r="B5964" t="s">
        <v>140</v>
      </c>
      <c r="C5964" t="s">
        <v>127</v>
      </c>
      <c r="D5964" t="s">
        <v>36</v>
      </c>
      <c r="E5964" t="s">
        <v>159</v>
      </c>
      <c r="F5964" s="1">
        <v>42962</v>
      </c>
      <c r="G5964" s="1">
        <v>43072</v>
      </c>
      <c r="H5964">
        <v>0</v>
      </c>
      <c r="I5964" t="str">
        <f>IF(COUNTIF(Products!$A$2:$A$8,C5964)=0,C5964,"")</f>
        <v/>
      </c>
      <c r="J5964">
        <f>IF(OR(E5964="Prospecting",E5964="Engaging"),VLOOKUP(C5964,Products!$A$2:$C$8,3,FALSE),0)</f>
        <v>0</v>
      </c>
    </row>
    <row r="5965" spans="1:10" x14ac:dyDescent="0.25">
      <c r="A5965" t="s">
        <v>6132</v>
      </c>
      <c r="B5965" t="s">
        <v>140</v>
      </c>
      <c r="C5965" t="s">
        <v>122</v>
      </c>
      <c r="D5965" t="s">
        <v>88</v>
      </c>
      <c r="E5965" t="s">
        <v>159</v>
      </c>
      <c r="F5965" s="1">
        <v>42962</v>
      </c>
      <c r="G5965" s="1">
        <v>43059</v>
      </c>
      <c r="H5965">
        <v>0</v>
      </c>
      <c r="I5965" t="str">
        <f>IF(COUNTIF(Products!$A$2:$A$8,C5965)=0,C5965,"")</f>
        <v/>
      </c>
      <c r="J5965">
        <f>IF(OR(E5965="Prospecting",E5965="Engaging"),VLOOKUP(C5965,Products!$A$2:$C$8,3,FALSE),0)</f>
        <v>0</v>
      </c>
    </row>
    <row r="5966" spans="1:10" x14ac:dyDescent="0.25">
      <c r="A5966" t="s">
        <v>6133</v>
      </c>
      <c r="B5966" t="s">
        <v>140</v>
      </c>
      <c r="C5966" t="s">
        <v>127</v>
      </c>
      <c r="D5966" t="s">
        <v>89</v>
      </c>
      <c r="E5966" t="s">
        <v>138</v>
      </c>
      <c r="F5966" s="1">
        <v>42962</v>
      </c>
      <c r="G5966" s="1">
        <v>42972</v>
      </c>
      <c r="H5966">
        <v>1104</v>
      </c>
      <c r="I5966" t="str">
        <f>IF(COUNTIF(Products!$A$2:$A$8,C5966)=0,C5966,"")</f>
        <v/>
      </c>
      <c r="J5966">
        <f>IF(OR(E5966="Prospecting",E5966="Engaging"),VLOOKUP(C5966,Products!$A$2:$C$8,3,FALSE),0)</f>
        <v>0</v>
      </c>
    </row>
    <row r="5967" spans="1:10" x14ac:dyDescent="0.25">
      <c r="A5967" t="s">
        <v>6134</v>
      </c>
      <c r="B5967" t="s">
        <v>140</v>
      </c>
      <c r="C5967" t="s">
        <v>122</v>
      </c>
      <c r="D5967" t="s">
        <v>53</v>
      </c>
      <c r="E5967" t="s">
        <v>138</v>
      </c>
      <c r="F5967" s="1">
        <v>42962</v>
      </c>
      <c r="G5967" s="1">
        <v>43048</v>
      </c>
      <c r="H5967">
        <v>5107</v>
      </c>
      <c r="I5967" t="str">
        <f>IF(COUNTIF(Products!$A$2:$A$8,C5967)=0,C5967,"")</f>
        <v/>
      </c>
      <c r="J5967">
        <f>IF(OR(E5967="Prospecting",E5967="Engaging"),VLOOKUP(C5967,Products!$A$2:$C$8,3,FALSE),0)</f>
        <v>0</v>
      </c>
    </row>
    <row r="5968" spans="1:10" x14ac:dyDescent="0.25">
      <c r="A5968" t="s">
        <v>6135</v>
      </c>
      <c r="B5968" t="s">
        <v>224</v>
      </c>
      <c r="C5968" t="s">
        <v>120</v>
      </c>
      <c r="D5968" t="s">
        <v>80</v>
      </c>
      <c r="E5968" t="s">
        <v>138</v>
      </c>
      <c r="F5968" s="1">
        <v>42962</v>
      </c>
      <c r="G5968" s="1">
        <v>43064</v>
      </c>
      <c r="H5968">
        <v>533</v>
      </c>
      <c r="I5968" t="str">
        <f>IF(COUNTIF(Products!$A$2:$A$8,C5968)=0,C5968,"")</f>
        <v/>
      </c>
      <c r="J5968">
        <f>IF(OR(E5968="Prospecting",E5968="Engaging"),VLOOKUP(C5968,Products!$A$2:$C$8,3,FALSE),0)</f>
        <v>0</v>
      </c>
    </row>
    <row r="5969" spans="1:10" x14ac:dyDescent="0.25">
      <c r="A5969" t="s">
        <v>6136</v>
      </c>
      <c r="B5969" t="s">
        <v>224</v>
      </c>
      <c r="C5969" t="s">
        <v>126</v>
      </c>
      <c r="D5969" t="s">
        <v>84</v>
      </c>
      <c r="E5969" t="s">
        <v>138</v>
      </c>
      <c r="F5969" s="1">
        <v>42962</v>
      </c>
      <c r="G5969" s="1">
        <v>43080</v>
      </c>
      <c r="H5969">
        <v>5454</v>
      </c>
      <c r="I5969" t="str">
        <f>IF(COUNTIF(Products!$A$2:$A$8,C5969)=0,C5969,"")</f>
        <v/>
      </c>
      <c r="J5969">
        <f>IF(OR(E5969="Prospecting",E5969="Engaging"),VLOOKUP(C5969,Products!$A$2:$C$8,3,FALSE),0)</f>
        <v>0</v>
      </c>
    </row>
    <row r="5970" spans="1:10" x14ac:dyDescent="0.25">
      <c r="A5970" t="s">
        <v>6137</v>
      </c>
      <c r="B5970" t="s">
        <v>158</v>
      </c>
      <c r="C5970" t="s">
        <v>126</v>
      </c>
      <c r="D5970" t="s">
        <v>77</v>
      </c>
      <c r="E5970" t="s">
        <v>159</v>
      </c>
      <c r="F5970" s="1">
        <v>42962</v>
      </c>
      <c r="G5970" s="1">
        <v>42983</v>
      </c>
      <c r="H5970">
        <v>0</v>
      </c>
      <c r="I5970" t="str">
        <f>IF(COUNTIF(Products!$A$2:$A$8,C5970)=0,C5970,"")</f>
        <v/>
      </c>
      <c r="J5970">
        <f>IF(OR(E5970="Prospecting",E5970="Engaging"),VLOOKUP(C5970,Products!$A$2:$C$8,3,FALSE),0)</f>
        <v>0</v>
      </c>
    </row>
    <row r="5971" spans="1:10" x14ac:dyDescent="0.25">
      <c r="A5971" t="s">
        <v>6138</v>
      </c>
      <c r="B5971" t="s">
        <v>158</v>
      </c>
      <c r="C5971" t="s">
        <v>122</v>
      </c>
      <c r="D5971" t="s">
        <v>30</v>
      </c>
      <c r="E5971" t="s">
        <v>159</v>
      </c>
      <c r="F5971" s="1">
        <v>42962</v>
      </c>
      <c r="G5971" s="1">
        <v>43040</v>
      </c>
      <c r="H5971">
        <v>0</v>
      </c>
      <c r="I5971" t="str">
        <f>IF(COUNTIF(Products!$A$2:$A$8,C5971)=0,C5971,"")</f>
        <v/>
      </c>
      <c r="J5971">
        <f>IF(OR(E5971="Prospecting",E5971="Engaging"),VLOOKUP(C5971,Products!$A$2:$C$8,3,FALSE),0)</f>
        <v>0</v>
      </c>
    </row>
    <row r="5972" spans="1:10" x14ac:dyDescent="0.25">
      <c r="A5972" t="s">
        <v>6139</v>
      </c>
      <c r="B5972" t="s">
        <v>154</v>
      </c>
      <c r="C5972" t="s">
        <v>125</v>
      </c>
      <c r="E5972" t="s">
        <v>155</v>
      </c>
      <c r="F5972" s="1">
        <v>42962</v>
      </c>
      <c r="I5972" t="str">
        <f>IF(COUNTIF(Products!$A$2:$A$8,C5972)=0,C5972,"")</f>
        <v/>
      </c>
      <c r="J5972">
        <f>IF(OR(E5972="Prospecting",E5972="Engaging"),VLOOKUP(C5972,Products!$A$2:$C$8,3,FALSE),0)</f>
        <v>3393</v>
      </c>
    </row>
    <row r="5973" spans="1:10" x14ac:dyDescent="0.25">
      <c r="A5973" t="s">
        <v>6140</v>
      </c>
      <c r="B5973" t="s">
        <v>154</v>
      </c>
      <c r="C5973" t="s">
        <v>126</v>
      </c>
      <c r="D5973" t="s">
        <v>83</v>
      </c>
      <c r="E5973" t="s">
        <v>138</v>
      </c>
      <c r="F5973" s="1">
        <v>42962</v>
      </c>
      <c r="G5973" s="1">
        <v>42981</v>
      </c>
      <c r="H5973">
        <v>5533</v>
      </c>
      <c r="I5973" t="str">
        <f>IF(COUNTIF(Products!$A$2:$A$8,C5973)=0,C5973,"")</f>
        <v/>
      </c>
      <c r="J5973">
        <f>IF(OR(E5973="Prospecting",E5973="Engaging"),VLOOKUP(C5973,Products!$A$2:$C$8,3,FALSE),0)</f>
        <v>0</v>
      </c>
    </row>
    <row r="5974" spans="1:10" x14ac:dyDescent="0.25">
      <c r="A5974" t="s">
        <v>6141</v>
      </c>
      <c r="B5974" t="s">
        <v>303</v>
      </c>
      <c r="C5974" t="s">
        <v>123</v>
      </c>
      <c r="D5974" t="s">
        <v>95</v>
      </c>
      <c r="E5974" t="s">
        <v>138</v>
      </c>
      <c r="F5974" s="1">
        <v>42962</v>
      </c>
      <c r="G5974" s="1">
        <v>43051</v>
      </c>
      <c r="H5974">
        <v>57</v>
      </c>
      <c r="I5974" t="str">
        <f>IF(COUNTIF(Products!$A$2:$A$8,C5974)=0,C5974,"")</f>
        <v/>
      </c>
      <c r="J5974">
        <f>IF(OR(E5974="Prospecting",E5974="Engaging"),VLOOKUP(C5974,Products!$A$2:$C$8,3,FALSE),0)</f>
        <v>0</v>
      </c>
    </row>
    <row r="5975" spans="1:10" x14ac:dyDescent="0.25">
      <c r="A5975" t="s">
        <v>6142</v>
      </c>
      <c r="B5975" t="s">
        <v>180</v>
      </c>
      <c r="C5975" t="s">
        <v>120</v>
      </c>
      <c r="D5975" t="s">
        <v>90</v>
      </c>
      <c r="E5975" t="s">
        <v>138</v>
      </c>
      <c r="F5975" s="1">
        <v>42962</v>
      </c>
      <c r="G5975" s="1">
        <v>42970</v>
      </c>
      <c r="H5975">
        <v>557</v>
      </c>
      <c r="I5975" t="str">
        <f>IF(COUNTIF(Products!$A$2:$A$8,C5975)=0,C5975,"")</f>
        <v/>
      </c>
      <c r="J5975">
        <f>IF(OR(E5975="Prospecting",E5975="Engaging"),VLOOKUP(C5975,Products!$A$2:$C$8,3,FALSE),0)</f>
        <v>0</v>
      </c>
    </row>
    <row r="5976" spans="1:10" x14ac:dyDescent="0.25">
      <c r="A5976" t="s">
        <v>6143</v>
      </c>
      <c r="B5976" t="s">
        <v>217</v>
      </c>
      <c r="C5976" t="s">
        <v>120</v>
      </c>
      <c r="E5976" t="s">
        <v>155</v>
      </c>
      <c r="F5976" s="1">
        <v>42962</v>
      </c>
      <c r="I5976" t="str">
        <f>IF(COUNTIF(Products!$A$2:$A$8,C5976)=0,C5976,"")</f>
        <v/>
      </c>
      <c r="J5976">
        <f>IF(OR(E5976="Prospecting",E5976="Engaging"),VLOOKUP(C5976,Products!$A$2:$C$8,3,FALSE),0)</f>
        <v>550</v>
      </c>
    </row>
    <row r="5977" spans="1:10" x14ac:dyDescent="0.25">
      <c r="A5977" t="s">
        <v>6144</v>
      </c>
      <c r="B5977" t="s">
        <v>150</v>
      </c>
      <c r="C5977" t="s">
        <v>126</v>
      </c>
      <c r="E5977" t="s">
        <v>155</v>
      </c>
      <c r="F5977" s="1">
        <v>42962</v>
      </c>
      <c r="I5977" t="str">
        <f>IF(COUNTIF(Products!$A$2:$A$8,C5977)=0,C5977,"")</f>
        <v/>
      </c>
      <c r="J5977">
        <f>IF(OR(E5977="Prospecting",E5977="Engaging"),VLOOKUP(C5977,Products!$A$2:$C$8,3,FALSE),0)</f>
        <v>5482</v>
      </c>
    </row>
    <row r="5978" spans="1:10" x14ac:dyDescent="0.25">
      <c r="A5978" t="s">
        <v>6145</v>
      </c>
      <c r="B5978" t="s">
        <v>150</v>
      </c>
      <c r="C5978" t="s">
        <v>127</v>
      </c>
      <c r="D5978" t="s">
        <v>90</v>
      </c>
      <c r="E5978" t="s">
        <v>159</v>
      </c>
      <c r="F5978" s="1">
        <v>42962</v>
      </c>
      <c r="G5978" s="1">
        <v>43051</v>
      </c>
      <c r="H5978">
        <v>0</v>
      </c>
      <c r="I5978" t="str">
        <f>IF(COUNTIF(Products!$A$2:$A$8,C5978)=0,C5978,"")</f>
        <v/>
      </c>
      <c r="J5978">
        <f>IF(OR(E5978="Prospecting",E5978="Engaging"),VLOOKUP(C5978,Products!$A$2:$C$8,3,FALSE),0)</f>
        <v>0</v>
      </c>
    </row>
    <row r="5979" spans="1:10" x14ac:dyDescent="0.25">
      <c r="A5979" t="s">
        <v>6146</v>
      </c>
      <c r="B5979" t="s">
        <v>150</v>
      </c>
      <c r="C5979" t="s">
        <v>125</v>
      </c>
      <c r="D5979" t="s">
        <v>38</v>
      </c>
      <c r="E5979" t="s">
        <v>138</v>
      </c>
      <c r="F5979" s="1">
        <v>42962</v>
      </c>
      <c r="G5979" s="1">
        <v>42973</v>
      </c>
      <c r="H5979">
        <v>3271</v>
      </c>
      <c r="I5979" t="str">
        <f>IF(COUNTIF(Products!$A$2:$A$8,C5979)=0,C5979,"")</f>
        <v/>
      </c>
      <c r="J5979">
        <f>IF(OR(E5979="Prospecting",E5979="Engaging"),VLOOKUP(C5979,Products!$A$2:$C$8,3,FALSE),0)</f>
        <v>0</v>
      </c>
    </row>
    <row r="5980" spans="1:10" x14ac:dyDescent="0.25">
      <c r="A5980" t="s">
        <v>6147</v>
      </c>
      <c r="B5980" t="s">
        <v>205</v>
      </c>
      <c r="C5980" t="s">
        <v>126</v>
      </c>
      <c r="D5980" t="s">
        <v>64</v>
      </c>
      <c r="E5980" t="s">
        <v>159</v>
      </c>
      <c r="F5980" s="1">
        <v>42962</v>
      </c>
      <c r="G5980" s="1">
        <v>42974</v>
      </c>
      <c r="H5980">
        <v>0</v>
      </c>
      <c r="I5980" t="str">
        <f>IF(COUNTIF(Products!$A$2:$A$8,C5980)=0,C5980,"")</f>
        <v/>
      </c>
      <c r="J5980">
        <f>IF(OR(E5980="Prospecting",E5980="Engaging"),VLOOKUP(C5980,Products!$A$2:$C$8,3,FALSE),0)</f>
        <v>0</v>
      </c>
    </row>
    <row r="5981" spans="1:10" x14ac:dyDescent="0.25">
      <c r="A5981" t="s">
        <v>6148</v>
      </c>
      <c r="B5981" t="s">
        <v>137</v>
      </c>
      <c r="C5981" t="s">
        <v>123</v>
      </c>
      <c r="D5981" t="s">
        <v>26</v>
      </c>
      <c r="E5981" t="s">
        <v>159</v>
      </c>
      <c r="F5981" s="1">
        <v>42962</v>
      </c>
      <c r="G5981" s="1">
        <v>43049</v>
      </c>
      <c r="H5981">
        <v>0</v>
      </c>
      <c r="I5981" t="str">
        <f>IF(COUNTIF(Products!$A$2:$A$8,C5981)=0,C5981,"")</f>
        <v/>
      </c>
      <c r="J5981">
        <f>IF(OR(E5981="Prospecting",E5981="Engaging"),VLOOKUP(C5981,Products!$A$2:$C$8,3,FALSE),0)</f>
        <v>0</v>
      </c>
    </row>
    <row r="5982" spans="1:10" x14ac:dyDescent="0.25">
      <c r="A5982" t="s">
        <v>6149</v>
      </c>
      <c r="B5982" t="s">
        <v>137</v>
      </c>
      <c r="C5982" t="s">
        <v>120</v>
      </c>
      <c r="D5982" t="s">
        <v>91</v>
      </c>
      <c r="E5982" t="s">
        <v>138</v>
      </c>
      <c r="F5982" s="1">
        <v>42962</v>
      </c>
      <c r="G5982" s="1">
        <v>43087</v>
      </c>
      <c r="H5982">
        <v>716</v>
      </c>
      <c r="I5982" t="str">
        <f>IF(COUNTIF(Products!$A$2:$A$8,C5982)=0,C5982,"")</f>
        <v/>
      </c>
      <c r="J5982">
        <f>IF(OR(E5982="Prospecting",E5982="Engaging"),VLOOKUP(C5982,Products!$A$2:$C$8,3,FALSE),0)</f>
        <v>0</v>
      </c>
    </row>
    <row r="5983" spans="1:10" x14ac:dyDescent="0.25">
      <c r="A5983" t="s">
        <v>6150</v>
      </c>
      <c r="B5983" t="s">
        <v>152</v>
      </c>
      <c r="C5983" t="s">
        <v>127</v>
      </c>
      <c r="E5983" t="s">
        <v>155</v>
      </c>
      <c r="F5983" s="1">
        <v>42962</v>
      </c>
      <c r="I5983" t="str">
        <f>IF(COUNTIF(Products!$A$2:$A$8,C5983)=0,C5983,"")</f>
        <v/>
      </c>
      <c r="J5983">
        <f>IF(OR(E5983="Prospecting",E5983="Engaging"),VLOOKUP(C5983,Products!$A$2:$C$8,3,FALSE),0)</f>
        <v>1096</v>
      </c>
    </row>
    <row r="5984" spans="1:10" x14ac:dyDescent="0.25">
      <c r="A5984" t="s">
        <v>6151</v>
      </c>
      <c r="B5984" t="s">
        <v>152</v>
      </c>
      <c r="C5984" t="s">
        <v>122</v>
      </c>
      <c r="E5984" t="s">
        <v>155</v>
      </c>
      <c r="F5984" s="1">
        <v>42962</v>
      </c>
      <c r="I5984" t="str">
        <f>IF(COUNTIF(Products!$A$2:$A$8,C5984)=0,C5984,"")</f>
        <v/>
      </c>
      <c r="J5984">
        <f>IF(OR(E5984="Prospecting",E5984="Engaging"),VLOOKUP(C5984,Products!$A$2:$C$8,3,FALSE),0)</f>
        <v>4821</v>
      </c>
    </row>
    <row r="5985" spans="1:10" x14ac:dyDescent="0.25">
      <c r="A5985" t="s">
        <v>6152</v>
      </c>
      <c r="B5985" t="s">
        <v>193</v>
      </c>
      <c r="C5985" t="s">
        <v>127</v>
      </c>
      <c r="D5985" t="s">
        <v>112</v>
      </c>
      <c r="E5985" t="s">
        <v>138</v>
      </c>
      <c r="F5985" s="1">
        <v>42962</v>
      </c>
      <c r="G5985" s="1">
        <v>42981</v>
      </c>
      <c r="H5985">
        <v>1024</v>
      </c>
      <c r="I5985" t="str">
        <f>IF(COUNTIF(Products!$A$2:$A$8,C5985)=0,C5985,"")</f>
        <v/>
      </c>
      <c r="J5985">
        <f>IF(OR(E5985="Prospecting",E5985="Engaging"),VLOOKUP(C5985,Products!$A$2:$C$8,3,FALSE),0)</f>
        <v>0</v>
      </c>
    </row>
    <row r="5986" spans="1:10" x14ac:dyDescent="0.25">
      <c r="A5986" t="s">
        <v>6153</v>
      </c>
      <c r="B5986" t="s">
        <v>193</v>
      </c>
      <c r="C5986" t="s">
        <v>122</v>
      </c>
      <c r="D5986" t="s">
        <v>73</v>
      </c>
      <c r="E5986" t="s">
        <v>138</v>
      </c>
      <c r="F5986" s="1">
        <v>42962</v>
      </c>
      <c r="G5986" s="1">
        <v>42970</v>
      </c>
      <c r="H5986">
        <v>4545</v>
      </c>
      <c r="I5986" t="str">
        <f>IF(COUNTIF(Products!$A$2:$A$8,C5986)=0,C5986,"")</f>
        <v/>
      </c>
      <c r="J5986">
        <f>IF(OR(E5986="Prospecting",E5986="Engaging"),VLOOKUP(C5986,Products!$A$2:$C$8,3,FALSE),0)</f>
        <v>0</v>
      </c>
    </row>
    <row r="5987" spans="1:10" x14ac:dyDescent="0.25">
      <c r="A5987" t="s">
        <v>6154</v>
      </c>
      <c r="B5987" t="s">
        <v>187</v>
      </c>
      <c r="C5987" t="s">
        <v>123</v>
      </c>
      <c r="D5987" t="s">
        <v>7</v>
      </c>
      <c r="E5987" t="s">
        <v>159</v>
      </c>
      <c r="F5987" s="1">
        <v>42962</v>
      </c>
      <c r="G5987" s="1">
        <v>43056</v>
      </c>
      <c r="H5987">
        <v>0</v>
      </c>
      <c r="I5987" t="str">
        <f>IF(COUNTIF(Products!$A$2:$A$8,C5987)=0,C5987,"")</f>
        <v/>
      </c>
      <c r="J5987">
        <f>IF(OR(E5987="Prospecting",E5987="Engaging"),VLOOKUP(C5987,Products!$A$2:$C$8,3,FALSE),0)</f>
        <v>0</v>
      </c>
    </row>
    <row r="5988" spans="1:10" x14ac:dyDescent="0.25">
      <c r="A5988" t="s">
        <v>6155</v>
      </c>
      <c r="B5988" t="s">
        <v>169</v>
      </c>
      <c r="C5988" t="s">
        <v>123</v>
      </c>
      <c r="D5988" t="s">
        <v>42</v>
      </c>
      <c r="E5988" t="s">
        <v>155</v>
      </c>
      <c r="F5988" s="1">
        <v>42962</v>
      </c>
      <c r="I5988" t="str">
        <f>IF(COUNTIF(Products!$A$2:$A$8,C5988)=0,C5988,"")</f>
        <v/>
      </c>
      <c r="J5988">
        <f>IF(OR(E5988="Prospecting",E5988="Engaging"),VLOOKUP(C5988,Products!$A$2:$C$8,3,FALSE),0)</f>
        <v>55</v>
      </c>
    </row>
    <row r="5989" spans="1:10" x14ac:dyDescent="0.25">
      <c r="A5989" t="s">
        <v>6156</v>
      </c>
      <c r="B5989" t="s">
        <v>148</v>
      </c>
      <c r="C5989" t="s">
        <v>122</v>
      </c>
      <c r="E5989" t="s">
        <v>155</v>
      </c>
      <c r="F5989" s="1">
        <v>42962</v>
      </c>
      <c r="I5989" t="str">
        <f>IF(COUNTIF(Products!$A$2:$A$8,C5989)=0,C5989,"")</f>
        <v/>
      </c>
      <c r="J5989">
        <f>IF(OR(E5989="Prospecting",E5989="Engaging"),VLOOKUP(C5989,Products!$A$2:$C$8,3,FALSE),0)</f>
        <v>4821</v>
      </c>
    </row>
    <row r="5990" spans="1:10" x14ac:dyDescent="0.25">
      <c r="A5990" t="s">
        <v>6157</v>
      </c>
      <c r="B5990" t="s">
        <v>148</v>
      </c>
      <c r="C5990" t="s">
        <v>122</v>
      </c>
      <c r="D5990" t="s">
        <v>39</v>
      </c>
      <c r="E5990" t="s">
        <v>159</v>
      </c>
      <c r="F5990" s="1">
        <v>42962</v>
      </c>
      <c r="G5990" s="1">
        <v>42970</v>
      </c>
      <c r="H5990">
        <v>0</v>
      </c>
      <c r="I5990" t="str">
        <f>IF(COUNTIF(Products!$A$2:$A$8,C5990)=0,C5990,"")</f>
        <v/>
      </c>
      <c r="J5990">
        <f>IF(OR(E5990="Prospecting",E5990="Engaging"),VLOOKUP(C5990,Products!$A$2:$C$8,3,FALSE),0)</f>
        <v>0</v>
      </c>
    </row>
    <row r="5991" spans="1:10" x14ac:dyDescent="0.25">
      <c r="A5991" t="s">
        <v>6158</v>
      </c>
      <c r="B5991" t="s">
        <v>177</v>
      </c>
      <c r="C5991" t="s">
        <v>123</v>
      </c>
      <c r="D5991" t="s">
        <v>35</v>
      </c>
      <c r="E5991" t="s">
        <v>138</v>
      </c>
      <c r="F5991" s="1">
        <v>42962</v>
      </c>
      <c r="G5991" s="1">
        <v>43062</v>
      </c>
      <c r="H5991">
        <v>55</v>
      </c>
      <c r="I5991" t="str">
        <f>IF(COUNTIF(Products!$A$2:$A$8,C5991)=0,C5991,"")</f>
        <v/>
      </c>
      <c r="J5991">
        <f>IF(OR(E5991="Prospecting",E5991="Engaging"),VLOOKUP(C5991,Products!$A$2:$C$8,3,FALSE),0)</f>
        <v>0</v>
      </c>
    </row>
    <row r="5992" spans="1:10" x14ac:dyDescent="0.25">
      <c r="A5992" t="s">
        <v>6159</v>
      </c>
      <c r="B5992" t="s">
        <v>144</v>
      </c>
      <c r="C5992" t="s">
        <v>122</v>
      </c>
      <c r="D5992" t="s">
        <v>57</v>
      </c>
      <c r="E5992" t="s">
        <v>155</v>
      </c>
      <c r="F5992" s="1">
        <v>42962</v>
      </c>
      <c r="I5992" t="str">
        <f>IF(COUNTIF(Products!$A$2:$A$8,C5992)=0,C5992,"")</f>
        <v/>
      </c>
      <c r="J5992">
        <f>IF(OR(E5992="Prospecting",E5992="Engaging"),VLOOKUP(C5992,Products!$A$2:$C$8,3,FALSE),0)</f>
        <v>4821</v>
      </c>
    </row>
    <row r="5993" spans="1:10" x14ac:dyDescent="0.25">
      <c r="A5993" t="s">
        <v>6160</v>
      </c>
      <c r="B5993" t="s">
        <v>146</v>
      </c>
      <c r="C5993" t="s">
        <v>123</v>
      </c>
      <c r="D5993" t="s">
        <v>104</v>
      </c>
      <c r="E5993" t="s">
        <v>138</v>
      </c>
      <c r="F5993" s="1">
        <v>42963</v>
      </c>
      <c r="G5993" s="1">
        <v>42976</v>
      </c>
      <c r="H5993">
        <v>53</v>
      </c>
      <c r="I5993" t="str">
        <f>IF(COUNTIF(Products!$A$2:$A$8,C5993)=0,C5993,"")</f>
        <v/>
      </c>
      <c r="J5993">
        <f>IF(OR(E5993="Prospecting",E5993="Engaging"),VLOOKUP(C5993,Products!$A$2:$C$8,3,FALSE),0)</f>
        <v>0</v>
      </c>
    </row>
    <row r="5994" spans="1:10" x14ac:dyDescent="0.25">
      <c r="A5994" t="s">
        <v>6161</v>
      </c>
      <c r="B5994" t="s">
        <v>222</v>
      </c>
      <c r="C5994" t="s">
        <v>127</v>
      </c>
      <c r="D5994" t="s">
        <v>94</v>
      </c>
      <c r="E5994" t="s">
        <v>155</v>
      </c>
      <c r="F5994" s="1">
        <v>42963</v>
      </c>
      <c r="I5994" t="str">
        <f>IF(COUNTIF(Products!$A$2:$A$8,C5994)=0,C5994,"")</f>
        <v/>
      </c>
      <c r="J5994">
        <f>IF(OR(E5994="Prospecting",E5994="Engaging"),VLOOKUP(C5994,Products!$A$2:$C$8,3,FALSE),0)</f>
        <v>1096</v>
      </c>
    </row>
    <row r="5995" spans="1:10" x14ac:dyDescent="0.25">
      <c r="A5995" t="s">
        <v>6162</v>
      </c>
      <c r="B5995" t="s">
        <v>222</v>
      </c>
      <c r="C5995" t="s">
        <v>122</v>
      </c>
      <c r="D5995" t="s">
        <v>67</v>
      </c>
      <c r="E5995" t="s">
        <v>138</v>
      </c>
      <c r="F5995" s="1">
        <v>42963</v>
      </c>
      <c r="G5995" s="1">
        <v>43065</v>
      </c>
      <c r="H5995">
        <v>4732</v>
      </c>
      <c r="I5995" t="str">
        <f>IF(COUNTIF(Products!$A$2:$A$8,C5995)=0,C5995,"")</f>
        <v/>
      </c>
      <c r="J5995">
        <f>IF(OR(E5995="Prospecting",E5995="Engaging"),VLOOKUP(C5995,Products!$A$2:$C$8,3,FALSE),0)</f>
        <v>0</v>
      </c>
    </row>
    <row r="5996" spans="1:10" x14ac:dyDescent="0.25">
      <c r="A5996" t="s">
        <v>6163</v>
      </c>
      <c r="B5996" t="s">
        <v>207</v>
      </c>
      <c r="C5996" t="s">
        <v>120</v>
      </c>
      <c r="D5996" t="s">
        <v>112</v>
      </c>
      <c r="E5996" t="s">
        <v>138</v>
      </c>
      <c r="F5996" s="1">
        <v>42963</v>
      </c>
      <c r="G5996" s="1">
        <v>43055</v>
      </c>
      <c r="H5996">
        <v>578</v>
      </c>
      <c r="I5996" t="str">
        <f>IF(COUNTIF(Products!$A$2:$A$8,C5996)=0,C5996,"")</f>
        <v/>
      </c>
      <c r="J5996">
        <f>IF(OR(E5996="Prospecting",E5996="Engaging"),VLOOKUP(C5996,Products!$A$2:$C$8,3,FALSE),0)</f>
        <v>0</v>
      </c>
    </row>
    <row r="5997" spans="1:10" x14ac:dyDescent="0.25">
      <c r="A5997" t="s">
        <v>6164</v>
      </c>
      <c r="B5997" t="s">
        <v>180</v>
      </c>
      <c r="C5997" t="s">
        <v>120</v>
      </c>
      <c r="D5997" t="s">
        <v>17</v>
      </c>
      <c r="E5997" t="s">
        <v>138</v>
      </c>
      <c r="F5997" s="1">
        <v>42963</v>
      </c>
      <c r="G5997" s="1">
        <v>42970</v>
      </c>
      <c r="H5997">
        <v>557</v>
      </c>
      <c r="I5997" t="str">
        <f>IF(COUNTIF(Products!$A$2:$A$8,C5997)=0,C5997,"")</f>
        <v/>
      </c>
      <c r="J5997">
        <f>IF(OR(E5997="Prospecting",E5997="Engaging"),VLOOKUP(C5997,Products!$A$2:$C$8,3,FALSE),0)</f>
        <v>0</v>
      </c>
    </row>
    <row r="5998" spans="1:10" x14ac:dyDescent="0.25">
      <c r="A5998" t="s">
        <v>6165</v>
      </c>
      <c r="B5998" t="s">
        <v>180</v>
      </c>
      <c r="C5998" t="s">
        <v>123</v>
      </c>
      <c r="D5998" t="s">
        <v>44</v>
      </c>
      <c r="E5998" t="s">
        <v>138</v>
      </c>
      <c r="F5998" s="1">
        <v>42963</v>
      </c>
      <c r="G5998" s="1">
        <v>42982</v>
      </c>
      <c r="H5998">
        <v>57</v>
      </c>
      <c r="I5998" t="str">
        <f>IF(COUNTIF(Products!$A$2:$A$8,C5998)=0,C5998,"")</f>
        <v/>
      </c>
      <c r="J5998">
        <f>IF(OR(E5998="Prospecting",E5998="Engaging"),VLOOKUP(C5998,Products!$A$2:$C$8,3,FALSE),0)</f>
        <v>0</v>
      </c>
    </row>
    <row r="5999" spans="1:10" x14ac:dyDescent="0.25">
      <c r="A5999" t="s">
        <v>6166</v>
      </c>
      <c r="B5999" t="s">
        <v>150</v>
      </c>
      <c r="C5999" t="s">
        <v>120</v>
      </c>
      <c r="D5999" t="s">
        <v>67</v>
      </c>
      <c r="E5999" t="s">
        <v>159</v>
      </c>
      <c r="F5999" s="1">
        <v>42963</v>
      </c>
      <c r="G5999" s="1">
        <v>42973</v>
      </c>
      <c r="H5999">
        <v>0</v>
      </c>
      <c r="I5999" t="str">
        <f>IF(COUNTIF(Products!$A$2:$A$8,C5999)=0,C5999,"")</f>
        <v/>
      </c>
      <c r="J5999">
        <f>IF(OR(E5999="Prospecting",E5999="Engaging"),VLOOKUP(C5999,Products!$A$2:$C$8,3,FALSE),0)</f>
        <v>0</v>
      </c>
    </row>
    <row r="6000" spans="1:10" x14ac:dyDescent="0.25">
      <c r="A6000" t="s">
        <v>6167</v>
      </c>
      <c r="B6000" t="s">
        <v>187</v>
      </c>
      <c r="C6000" t="s">
        <v>120</v>
      </c>
      <c r="D6000" t="s">
        <v>67</v>
      </c>
      <c r="E6000" t="s">
        <v>138</v>
      </c>
      <c r="F6000" s="1">
        <v>42963</v>
      </c>
      <c r="G6000" s="1">
        <v>43002</v>
      </c>
      <c r="H6000">
        <v>501</v>
      </c>
      <c r="I6000" t="str">
        <f>IF(COUNTIF(Products!$A$2:$A$8,C6000)=0,C6000,"")</f>
        <v/>
      </c>
      <c r="J6000">
        <f>IF(OR(E6000="Prospecting",E6000="Engaging"),VLOOKUP(C6000,Products!$A$2:$C$8,3,FALSE),0)</f>
        <v>0</v>
      </c>
    </row>
    <row r="6001" spans="1:10" x14ac:dyDescent="0.25">
      <c r="A6001" t="s">
        <v>6168</v>
      </c>
      <c r="B6001" t="s">
        <v>169</v>
      </c>
      <c r="C6001" t="s">
        <v>127</v>
      </c>
      <c r="D6001" t="s">
        <v>85</v>
      </c>
      <c r="E6001" t="s">
        <v>138</v>
      </c>
      <c r="F6001" s="1">
        <v>42963</v>
      </c>
      <c r="G6001" s="1">
        <v>42976</v>
      </c>
      <c r="H6001">
        <v>1084</v>
      </c>
      <c r="I6001" t="str">
        <f>IF(COUNTIF(Products!$A$2:$A$8,C6001)=0,C6001,"")</f>
        <v/>
      </c>
      <c r="J6001">
        <f>IF(OR(E6001="Prospecting",E6001="Engaging"),VLOOKUP(C6001,Products!$A$2:$C$8,3,FALSE),0)</f>
        <v>0</v>
      </c>
    </row>
    <row r="6002" spans="1:10" x14ac:dyDescent="0.25">
      <c r="A6002" t="s">
        <v>6169</v>
      </c>
      <c r="B6002" t="s">
        <v>169</v>
      </c>
      <c r="C6002" t="s">
        <v>123</v>
      </c>
      <c r="D6002" t="s">
        <v>36</v>
      </c>
      <c r="E6002" t="s">
        <v>138</v>
      </c>
      <c r="F6002" s="1">
        <v>42963</v>
      </c>
      <c r="G6002" s="1">
        <v>42980</v>
      </c>
      <c r="H6002">
        <v>56</v>
      </c>
      <c r="I6002" t="str">
        <f>IF(COUNTIF(Products!$A$2:$A$8,C6002)=0,C6002,"")</f>
        <v/>
      </c>
      <c r="J6002">
        <f>IF(OR(E6002="Prospecting",E6002="Engaging"),VLOOKUP(C6002,Products!$A$2:$C$8,3,FALSE),0)</f>
        <v>0</v>
      </c>
    </row>
    <row r="6003" spans="1:10" x14ac:dyDescent="0.25">
      <c r="A6003" t="s">
        <v>6170</v>
      </c>
      <c r="B6003" t="s">
        <v>148</v>
      </c>
      <c r="C6003" t="s">
        <v>123</v>
      </c>
      <c r="E6003" t="s">
        <v>155</v>
      </c>
      <c r="F6003" s="1">
        <v>42963</v>
      </c>
      <c r="I6003" t="str">
        <f>IF(COUNTIF(Products!$A$2:$A$8,C6003)=0,C6003,"")</f>
        <v/>
      </c>
      <c r="J6003">
        <f>IF(OR(E6003="Prospecting",E6003="Engaging"),VLOOKUP(C6003,Products!$A$2:$C$8,3,FALSE),0)</f>
        <v>55</v>
      </c>
    </row>
    <row r="6004" spans="1:10" x14ac:dyDescent="0.25">
      <c r="A6004" t="s">
        <v>6171</v>
      </c>
      <c r="B6004" t="s">
        <v>144</v>
      </c>
      <c r="C6004" t="s">
        <v>120</v>
      </c>
      <c r="D6004" t="s">
        <v>93</v>
      </c>
      <c r="E6004" t="s">
        <v>159</v>
      </c>
      <c r="F6004" s="1">
        <v>42963</v>
      </c>
      <c r="G6004" s="1">
        <v>43052</v>
      </c>
      <c r="H6004">
        <v>0</v>
      </c>
      <c r="I6004" t="str">
        <f>IF(COUNTIF(Products!$A$2:$A$8,C6004)=0,C6004,"")</f>
        <v/>
      </c>
      <c r="J6004">
        <f>IF(OR(E6004="Prospecting",E6004="Engaging"),VLOOKUP(C6004,Products!$A$2:$C$8,3,FALSE),0)</f>
        <v>0</v>
      </c>
    </row>
    <row r="6005" spans="1:10" x14ac:dyDescent="0.25">
      <c r="A6005" t="s">
        <v>6172</v>
      </c>
      <c r="B6005" t="s">
        <v>146</v>
      </c>
      <c r="C6005" t="s">
        <v>126</v>
      </c>
      <c r="D6005" t="s">
        <v>61</v>
      </c>
      <c r="E6005" t="s">
        <v>138</v>
      </c>
      <c r="F6005" s="1">
        <v>42964</v>
      </c>
      <c r="G6005" s="1">
        <v>43061</v>
      </c>
      <c r="H6005">
        <v>5468</v>
      </c>
      <c r="I6005" t="str">
        <f>IF(COUNTIF(Products!$A$2:$A$8,C6005)=0,C6005,"")</f>
        <v/>
      </c>
      <c r="J6005">
        <f>IF(OR(E6005="Prospecting",E6005="Engaging"),VLOOKUP(C6005,Products!$A$2:$C$8,3,FALSE),0)</f>
        <v>0</v>
      </c>
    </row>
    <row r="6006" spans="1:10" x14ac:dyDescent="0.25">
      <c r="A6006" t="s">
        <v>6173</v>
      </c>
      <c r="B6006" t="s">
        <v>207</v>
      </c>
      <c r="C6006" t="s">
        <v>120</v>
      </c>
      <c r="E6006" t="s">
        <v>155</v>
      </c>
      <c r="F6006" s="1">
        <v>42964</v>
      </c>
      <c r="I6006" t="str">
        <f>IF(COUNTIF(Products!$A$2:$A$8,C6006)=0,C6006,"")</f>
        <v/>
      </c>
      <c r="J6006">
        <f>IF(OR(E6006="Prospecting",E6006="Engaging"),VLOOKUP(C6006,Products!$A$2:$C$8,3,FALSE),0)</f>
        <v>550</v>
      </c>
    </row>
    <row r="6007" spans="1:10" x14ac:dyDescent="0.25">
      <c r="A6007" t="s">
        <v>6174</v>
      </c>
      <c r="B6007" t="s">
        <v>207</v>
      </c>
      <c r="C6007" t="s">
        <v>127</v>
      </c>
      <c r="D6007" t="s">
        <v>87</v>
      </c>
      <c r="E6007" t="s">
        <v>155</v>
      </c>
      <c r="F6007" s="1">
        <v>42964</v>
      </c>
      <c r="I6007" t="str">
        <f>IF(COUNTIF(Products!$A$2:$A$8,C6007)=0,C6007,"")</f>
        <v/>
      </c>
      <c r="J6007">
        <f>IF(OR(E6007="Prospecting",E6007="Engaging"),VLOOKUP(C6007,Products!$A$2:$C$8,3,FALSE),0)</f>
        <v>1096</v>
      </c>
    </row>
    <row r="6008" spans="1:10" x14ac:dyDescent="0.25">
      <c r="A6008" t="s">
        <v>6175</v>
      </c>
      <c r="B6008" t="s">
        <v>207</v>
      </c>
      <c r="C6008" t="s">
        <v>120</v>
      </c>
      <c r="D6008" t="s">
        <v>112</v>
      </c>
      <c r="E6008" t="s">
        <v>138</v>
      </c>
      <c r="F6008" s="1">
        <v>42964</v>
      </c>
      <c r="G6008" s="1">
        <v>43058</v>
      </c>
      <c r="H6008">
        <v>567</v>
      </c>
      <c r="I6008" t="str">
        <f>IF(COUNTIF(Products!$A$2:$A$8,C6008)=0,C6008,"")</f>
        <v/>
      </c>
      <c r="J6008">
        <f>IF(OR(E6008="Prospecting",E6008="Engaging"),VLOOKUP(C6008,Products!$A$2:$C$8,3,FALSE),0)</f>
        <v>0</v>
      </c>
    </row>
    <row r="6009" spans="1:10" x14ac:dyDescent="0.25">
      <c r="A6009" t="s">
        <v>6176</v>
      </c>
      <c r="B6009" t="s">
        <v>239</v>
      </c>
      <c r="C6009" t="s">
        <v>127</v>
      </c>
      <c r="D6009" t="s">
        <v>50</v>
      </c>
      <c r="E6009" t="s">
        <v>159</v>
      </c>
      <c r="F6009" s="1">
        <v>42964</v>
      </c>
      <c r="G6009" s="1">
        <v>43044</v>
      </c>
      <c r="H6009">
        <v>0</v>
      </c>
      <c r="I6009" t="str">
        <f>IF(COUNTIF(Products!$A$2:$A$8,C6009)=0,C6009,"")</f>
        <v/>
      </c>
      <c r="J6009">
        <f>IF(OR(E6009="Prospecting",E6009="Engaging"),VLOOKUP(C6009,Products!$A$2:$C$8,3,FALSE),0)</f>
        <v>0</v>
      </c>
    </row>
    <row r="6010" spans="1:10" x14ac:dyDescent="0.25">
      <c r="A6010" t="s">
        <v>6177</v>
      </c>
      <c r="B6010" t="s">
        <v>171</v>
      </c>
      <c r="C6010" t="s">
        <v>122</v>
      </c>
      <c r="E6010" t="s">
        <v>155</v>
      </c>
      <c r="F6010" s="1">
        <v>42964</v>
      </c>
      <c r="I6010" t="str">
        <f>IF(COUNTIF(Products!$A$2:$A$8,C6010)=0,C6010,"")</f>
        <v/>
      </c>
      <c r="J6010">
        <f>IF(OR(E6010="Prospecting",E6010="Engaging"),VLOOKUP(C6010,Products!$A$2:$C$8,3,FALSE),0)</f>
        <v>4821</v>
      </c>
    </row>
    <row r="6011" spans="1:10" x14ac:dyDescent="0.25">
      <c r="A6011" t="s">
        <v>6178</v>
      </c>
      <c r="B6011" t="s">
        <v>171</v>
      </c>
      <c r="C6011" t="s">
        <v>122</v>
      </c>
      <c r="E6011" t="s">
        <v>155</v>
      </c>
      <c r="F6011" s="1">
        <v>42964</v>
      </c>
      <c r="I6011" t="str">
        <f>IF(COUNTIF(Products!$A$2:$A$8,C6011)=0,C6011,"")</f>
        <v/>
      </c>
      <c r="J6011">
        <f>IF(OR(E6011="Prospecting",E6011="Engaging"),VLOOKUP(C6011,Products!$A$2:$C$8,3,FALSE),0)</f>
        <v>4821</v>
      </c>
    </row>
    <row r="6012" spans="1:10" x14ac:dyDescent="0.25">
      <c r="A6012" t="s">
        <v>6179</v>
      </c>
      <c r="B6012" t="s">
        <v>140</v>
      </c>
      <c r="C6012" t="s">
        <v>127</v>
      </c>
      <c r="D6012" t="s">
        <v>36</v>
      </c>
      <c r="E6012" t="s">
        <v>138</v>
      </c>
      <c r="F6012" s="1">
        <v>42964</v>
      </c>
      <c r="G6012" s="1">
        <v>43058</v>
      </c>
      <c r="H6012">
        <v>1029</v>
      </c>
      <c r="I6012" t="str">
        <f>IF(COUNTIF(Products!$A$2:$A$8,C6012)=0,C6012,"")</f>
        <v/>
      </c>
      <c r="J6012">
        <f>IF(OR(E6012="Prospecting",E6012="Engaging"),VLOOKUP(C6012,Products!$A$2:$C$8,3,FALSE),0)</f>
        <v>0</v>
      </c>
    </row>
    <row r="6013" spans="1:10" x14ac:dyDescent="0.25">
      <c r="A6013" t="s">
        <v>6180</v>
      </c>
      <c r="B6013" t="s">
        <v>191</v>
      </c>
      <c r="C6013" t="s">
        <v>120</v>
      </c>
      <c r="D6013" t="s">
        <v>38</v>
      </c>
      <c r="E6013" t="s">
        <v>138</v>
      </c>
      <c r="F6013" s="1">
        <v>42964</v>
      </c>
      <c r="G6013" s="1">
        <v>43047</v>
      </c>
      <c r="H6013">
        <v>430</v>
      </c>
      <c r="I6013" t="str">
        <f>IF(COUNTIF(Products!$A$2:$A$8,C6013)=0,C6013,"")</f>
        <v/>
      </c>
      <c r="J6013">
        <f>IF(OR(E6013="Prospecting",E6013="Engaging"),VLOOKUP(C6013,Products!$A$2:$C$8,3,FALSE),0)</f>
        <v>0</v>
      </c>
    </row>
    <row r="6014" spans="1:10" x14ac:dyDescent="0.25">
      <c r="A6014" t="s">
        <v>6181</v>
      </c>
      <c r="B6014" t="s">
        <v>162</v>
      </c>
      <c r="C6014" t="s">
        <v>122</v>
      </c>
      <c r="D6014" t="s">
        <v>67</v>
      </c>
      <c r="E6014" t="s">
        <v>138</v>
      </c>
      <c r="F6014" s="1">
        <v>42964</v>
      </c>
      <c r="G6014" s="1">
        <v>43056</v>
      </c>
      <c r="H6014">
        <v>5316</v>
      </c>
      <c r="I6014" t="str">
        <f>IF(COUNTIF(Products!$A$2:$A$8,C6014)=0,C6014,"")</f>
        <v/>
      </c>
      <c r="J6014">
        <f>IF(OR(E6014="Prospecting",E6014="Engaging"),VLOOKUP(C6014,Products!$A$2:$C$8,3,FALSE),0)</f>
        <v>0</v>
      </c>
    </row>
    <row r="6015" spans="1:10" x14ac:dyDescent="0.25">
      <c r="A6015" t="s">
        <v>6182</v>
      </c>
      <c r="B6015" t="s">
        <v>137</v>
      </c>
      <c r="C6015" t="s">
        <v>125</v>
      </c>
      <c r="D6015" t="s">
        <v>88</v>
      </c>
      <c r="E6015" t="s">
        <v>159</v>
      </c>
      <c r="F6015" s="1">
        <v>42964</v>
      </c>
      <c r="G6015" s="1">
        <v>42975</v>
      </c>
      <c r="H6015">
        <v>0</v>
      </c>
      <c r="I6015" t="str">
        <f>IF(COUNTIF(Products!$A$2:$A$8,C6015)=0,C6015,"")</f>
        <v/>
      </c>
      <c r="J6015">
        <f>IF(OR(E6015="Prospecting",E6015="Engaging"),VLOOKUP(C6015,Products!$A$2:$C$8,3,FALSE),0)</f>
        <v>0</v>
      </c>
    </row>
    <row r="6016" spans="1:10" x14ac:dyDescent="0.25">
      <c r="A6016" t="s">
        <v>6183</v>
      </c>
      <c r="B6016" t="s">
        <v>166</v>
      </c>
      <c r="C6016" t="s">
        <v>123</v>
      </c>
      <c r="D6016" t="s">
        <v>48</v>
      </c>
      <c r="E6016" t="s">
        <v>155</v>
      </c>
      <c r="F6016" s="1">
        <v>42964</v>
      </c>
      <c r="I6016" t="str">
        <f>IF(COUNTIF(Products!$A$2:$A$8,C6016)=0,C6016,"")</f>
        <v/>
      </c>
      <c r="J6016">
        <f>IF(OR(E6016="Prospecting",E6016="Engaging"),VLOOKUP(C6016,Products!$A$2:$C$8,3,FALSE),0)</f>
        <v>55</v>
      </c>
    </row>
    <row r="6017" spans="1:10" x14ac:dyDescent="0.25">
      <c r="A6017" t="s">
        <v>6184</v>
      </c>
      <c r="B6017" t="s">
        <v>187</v>
      </c>
      <c r="C6017" t="s">
        <v>125</v>
      </c>
      <c r="D6017" t="s">
        <v>67</v>
      </c>
      <c r="E6017" t="s">
        <v>138</v>
      </c>
      <c r="F6017" s="1">
        <v>42964</v>
      </c>
      <c r="G6017" s="1">
        <v>42982</v>
      </c>
      <c r="H6017">
        <v>3913</v>
      </c>
      <c r="I6017" t="str">
        <f>IF(COUNTIF(Products!$A$2:$A$8,C6017)=0,C6017,"")</f>
        <v/>
      </c>
      <c r="J6017">
        <f>IF(OR(E6017="Prospecting",E6017="Engaging"),VLOOKUP(C6017,Products!$A$2:$C$8,3,FALSE),0)</f>
        <v>0</v>
      </c>
    </row>
    <row r="6018" spans="1:10" x14ac:dyDescent="0.25">
      <c r="A6018" t="s">
        <v>6185</v>
      </c>
      <c r="B6018" t="s">
        <v>169</v>
      </c>
      <c r="C6018" t="s">
        <v>120</v>
      </c>
      <c r="D6018" t="s">
        <v>116</v>
      </c>
      <c r="E6018" t="s">
        <v>159</v>
      </c>
      <c r="F6018" s="1">
        <v>42964</v>
      </c>
      <c r="G6018" s="1">
        <v>42971</v>
      </c>
      <c r="H6018">
        <v>0</v>
      </c>
      <c r="I6018" t="str">
        <f>IF(COUNTIF(Products!$A$2:$A$8,C6018)=0,C6018,"")</f>
        <v/>
      </c>
      <c r="J6018">
        <f>IF(OR(E6018="Prospecting",E6018="Engaging"),VLOOKUP(C6018,Products!$A$2:$C$8,3,FALSE),0)</f>
        <v>0</v>
      </c>
    </row>
    <row r="6019" spans="1:10" x14ac:dyDescent="0.25">
      <c r="A6019" t="s">
        <v>6186</v>
      </c>
      <c r="B6019" t="s">
        <v>169</v>
      </c>
      <c r="C6019" t="s">
        <v>123</v>
      </c>
      <c r="D6019" t="s">
        <v>103</v>
      </c>
      <c r="E6019" t="s">
        <v>159</v>
      </c>
      <c r="F6019" s="1">
        <v>42964</v>
      </c>
      <c r="G6019" s="1">
        <v>42967</v>
      </c>
      <c r="H6019">
        <v>0</v>
      </c>
      <c r="I6019" t="str">
        <f>IF(COUNTIF(Products!$A$2:$A$8,C6019)=0,C6019,"")</f>
        <v/>
      </c>
      <c r="J6019">
        <f>IF(OR(E6019="Prospecting",E6019="Engaging"),VLOOKUP(C6019,Products!$A$2:$C$8,3,FALSE),0)</f>
        <v>0</v>
      </c>
    </row>
    <row r="6020" spans="1:10" x14ac:dyDescent="0.25">
      <c r="A6020" t="s">
        <v>6187</v>
      </c>
      <c r="B6020" t="s">
        <v>148</v>
      </c>
      <c r="C6020" t="s">
        <v>125</v>
      </c>
      <c r="D6020" t="s">
        <v>27</v>
      </c>
      <c r="E6020" t="s">
        <v>159</v>
      </c>
      <c r="F6020" s="1">
        <v>42964</v>
      </c>
      <c r="G6020" s="1">
        <v>42965</v>
      </c>
      <c r="H6020">
        <v>0</v>
      </c>
      <c r="I6020" t="str">
        <f>IF(COUNTIF(Products!$A$2:$A$8,C6020)=0,C6020,"")</f>
        <v/>
      </c>
      <c r="J6020">
        <f>IF(OR(E6020="Prospecting",E6020="Engaging"),VLOOKUP(C6020,Products!$A$2:$C$8,3,FALSE),0)</f>
        <v>0</v>
      </c>
    </row>
    <row r="6021" spans="1:10" x14ac:dyDescent="0.25">
      <c r="A6021" t="s">
        <v>6188</v>
      </c>
      <c r="B6021" t="s">
        <v>148</v>
      </c>
      <c r="C6021" t="s">
        <v>125</v>
      </c>
      <c r="D6021" t="s">
        <v>82</v>
      </c>
      <c r="E6021" t="s">
        <v>159</v>
      </c>
      <c r="F6021" s="1">
        <v>42964</v>
      </c>
      <c r="G6021" s="1">
        <v>43050</v>
      </c>
      <c r="H6021">
        <v>0</v>
      </c>
      <c r="I6021" t="str">
        <f>IF(COUNTIF(Products!$A$2:$A$8,C6021)=0,C6021,"")</f>
        <v/>
      </c>
      <c r="J6021">
        <f>IF(OR(E6021="Prospecting",E6021="Engaging"),VLOOKUP(C6021,Products!$A$2:$C$8,3,FALSE),0)</f>
        <v>0</v>
      </c>
    </row>
    <row r="6022" spans="1:10" x14ac:dyDescent="0.25">
      <c r="A6022" t="s">
        <v>6189</v>
      </c>
      <c r="B6022" t="s">
        <v>177</v>
      </c>
      <c r="C6022" t="s">
        <v>123</v>
      </c>
      <c r="D6022" t="s">
        <v>60</v>
      </c>
      <c r="E6022" t="s">
        <v>155</v>
      </c>
      <c r="F6022" s="1">
        <v>42964</v>
      </c>
      <c r="I6022" t="str">
        <f>IF(COUNTIF(Products!$A$2:$A$8,C6022)=0,C6022,"")</f>
        <v/>
      </c>
      <c r="J6022">
        <f>IF(OR(E6022="Prospecting",E6022="Engaging"),VLOOKUP(C6022,Products!$A$2:$C$8,3,FALSE),0)</f>
        <v>55</v>
      </c>
    </row>
    <row r="6023" spans="1:10" x14ac:dyDescent="0.25">
      <c r="A6023" t="s">
        <v>6190</v>
      </c>
      <c r="B6023" t="s">
        <v>144</v>
      </c>
      <c r="C6023" t="s">
        <v>120</v>
      </c>
      <c r="D6023" t="s">
        <v>61</v>
      </c>
      <c r="E6023" t="s">
        <v>138</v>
      </c>
      <c r="F6023" s="1">
        <v>42964</v>
      </c>
      <c r="G6023" s="1">
        <v>42981</v>
      </c>
      <c r="H6023">
        <v>655</v>
      </c>
      <c r="I6023" t="str">
        <f>IF(COUNTIF(Products!$A$2:$A$8,C6023)=0,C6023,"")</f>
        <v/>
      </c>
      <c r="J6023">
        <f>IF(OR(E6023="Prospecting",E6023="Engaging"),VLOOKUP(C6023,Products!$A$2:$C$8,3,FALSE),0)</f>
        <v>0</v>
      </c>
    </row>
    <row r="6024" spans="1:10" x14ac:dyDescent="0.25">
      <c r="A6024" t="s">
        <v>6191</v>
      </c>
      <c r="B6024" t="s">
        <v>144</v>
      </c>
      <c r="C6024" t="s">
        <v>123</v>
      </c>
      <c r="D6024" t="s">
        <v>59</v>
      </c>
      <c r="E6024" t="s">
        <v>138</v>
      </c>
      <c r="F6024" s="1">
        <v>42964</v>
      </c>
      <c r="G6024" s="1">
        <v>42978</v>
      </c>
      <c r="H6024">
        <v>46</v>
      </c>
      <c r="I6024" t="str">
        <f>IF(COUNTIF(Products!$A$2:$A$8,C6024)=0,C6024,"")</f>
        <v/>
      </c>
      <c r="J6024">
        <f>IF(OR(E6024="Prospecting",E6024="Engaging"),VLOOKUP(C6024,Products!$A$2:$C$8,3,FALSE),0)</f>
        <v>0</v>
      </c>
    </row>
    <row r="6025" spans="1:10" x14ac:dyDescent="0.25">
      <c r="A6025" t="s">
        <v>6192</v>
      </c>
      <c r="B6025" t="s">
        <v>222</v>
      </c>
      <c r="C6025" t="s">
        <v>126</v>
      </c>
      <c r="D6025" t="s">
        <v>7</v>
      </c>
      <c r="E6025" t="s">
        <v>159</v>
      </c>
      <c r="F6025" s="1">
        <v>42965</v>
      </c>
      <c r="G6025" s="1">
        <v>42973</v>
      </c>
      <c r="H6025">
        <v>0</v>
      </c>
      <c r="I6025" t="str">
        <f>IF(COUNTIF(Products!$A$2:$A$8,C6025)=0,C6025,"")</f>
        <v/>
      </c>
      <c r="J6025">
        <f>IF(OR(E6025="Prospecting",E6025="Engaging"),VLOOKUP(C6025,Products!$A$2:$C$8,3,FALSE),0)</f>
        <v>0</v>
      </c>
    </row>
    <row r="6026" spans="1:10" x14ac:dyDescent="0.25">
      <c r="A6026" t="s">
        <v>6193</v>
      </c>
      <c r="B6026" t="s">
        <v>264</v>
      </c>
      <c r="C6026" t="s">
        <v>125</v>
      </c>
      <c r="D6026" t="s">
        <v>30</v>
      </c>
      <c r="E6026" t="s">
        <v>159</v>
      </c>
      <c r="F6026" s="1">
        <v>42965</v>
      </c>
      <c r="G6026" s="1">
        <v>42971</v>
      </c>
      <c r="H6026">
        <v>0</v>
      </c>
      <c r="I6026" t="str">
        <f>IF(COUNTIF(Products!$A$2:$A$8,C6026)=0,C6026,"")</f>
        <v/>
      </c>
      <c r="J6026">
        <f>IF(OR(E6026="Prospecting",E6026="Engaging"),VLOOKUP(C6026,Products!$A$2:$C$8,3,FALSE),0)</f>
        <v>0</v>
      </c>
    </row>
    <row r="6027" spans="1:10" x14ac:dyDescent="0.25">
      <c r="A6027" t="s">
        <v>6194</v>
      </c>
      <c r="B6027" t="s">
        <v>239</v>
      </c>
      <c r="C6027" t="s">
        <v>125</v>
      </c>
      <c r="E6027" t="s">
        <v>155</v>
      </c>
      <c r="F6027" s="1">
        <v>42965</v>
      </c>
      <c r="I6027" t="str">
        <f>IF(COUNTIF(Products!$A$2:$A$8,C6027)=0,C6027,"")</f>
        <v/>
      </c>
      <c r="J6027">
        <f>IF(OR(E6027="Prospecting",E6027="Engaging"),VLOOKUP(C6027,Products!$A$2:$C$8,3,FALSE),0)</f>
        <v>3393</v>
      </c>
    </row>
    <row r="6028" spans="1:10" x14ac:dyDescent="0.25">
      <c r="A6028" t="s">
        <v>6195</v>
      </c>
      <c r="B6028" t="s">
        <v>239</v>
      </c>
      <c r="C6028" t="s">
        <v>125</v>
      </c>
      <c r="D6028" t="s">
        <v>10</v>
      </c>
      <c r="E6028" t="s">
        <v>159</v>
      </c>
      <c r="F6028" s="1">
        <v>42965</v>
      </c>
      <c r="G6028" s="1">
        <v>42978</v>
      </c>
      <c r="H6028">
        <v>0</v>
      </c>
      <c r="I6028" t="str">
        <f>IF(COUNTIF(Products!$A$2:$A$8,C6028)=0,C6028,"")</f>
        <v/>
      </c>
      <c r="J6028">
        <f>IF(OR(E6028="Prospecting",E6028="Engaging"),VLOOKUP(C6028,Products!$A$2:$C$8,3,FALSE),0)</f>
        <v>0</v>
      </c>
    </row>
    <row r="6029" spans="1:10" x14ac:dyDescent="0.25">
      <c r="A6029" t="s">
        <v>6196</v>
      </c>
      <c r="B6029" t="s">
        <v>239</v>
      </c>
      <c r="C6029" t="s">
        <v>126</v>
      </c>
      <c r="D6029" t="s">
        <v>92</v>
      </c>
      <c r="E6029" t="s">
        <v>138</v>
      </c>
      <c r="F6029" s="1">
        <v>42965</v>
      </c>
      <c r="G6029" s="1">
        <v>43043</v>
      </c>
      <c r="H6029">
        <v>6372</v>
      </c>
      <c r="I6029" t="str">
        <f>IF(COUNTIF(Products!$A$2:$A$8,C6029)=0,C6029,"")</f>
        <v/>
      </c>
      <c r="J6029">
        <f>IF(OR(E6029="Prospecting",E6029="Engaging"),VLOOKUP(C6029,Products!$A$2:$C$8,3,FALSE),0)</f>
        <v>0</v>
      </c>
    </row>
    <row r="6030" spans="1:10" x14ac:dyDescent="0.25">
      <c r="A6030" t="s">
        <v>6197</v>
      </c>
      <c r="B6030" t="s">
        <v>140</v>
      </c>
      <c r="C6030" t="s">
        <v>127</v>
      </c>
      <c r="D6030" t="s">
        <v>77</v>
      </c>
      <c r="E6030" t="s">
        <v>138</v>
      </c>
      <c r="F6030" s="1">
        <v>42965</v>
      </c>
      <c r="G6030" s="1">
        <v>43052</v>
      </c>
      <c r="H6030">
        <v>986</v>
      </c>
      <c r="I6030" t="str">
        <f>IF(COUNTIF(Products!$A$2:$A$8,C6030)=0,C6030,"")</f>
        <v/>
      </c>
      <c r="J6030">
        <f>IF(OR(E6030="Prospecting",E6030="Engaging"),VLOOKUP(C6030,Products!$A$2:$C$8,3,FALSE),0)</f>
        <v>0</v>
      </c>
    </row>
    <row r="6031" spans="1:10" x14ac:dyDescent="0.25">
      <c r="A6031" t="s">
        <v>6198</v>
      </c>
      <c r="B6031" t="s">
        <v>140</v>
      </c>
      <c r="C6031" t="s">
        <v>122</v>
      </c>
      <c r="D6031" t="s">
        <v>12</v>
      </c>
      <c r="E6031" t="s">
        <v>138</v>
      </c>
      <c r="F6031" s="1">
        <v>42965</v>
      </c>
      <c r="G6031" s="1">
        <v>42979</v>
      </c>
      <c r="H6031">
        <v>4817</v>
      </c>
      <c r="I6031" t="str">
        <f>IF(COUNTIF(Products!$A$2:$A$8,C6031)=0,C6031,"")</f>
        <v/>
      </c>
      <c r="J6031">
        <f>IF(OR(E6031="Prospecting",E6031="Engaging"),VLOOKUP(C6031,Products!$A$2:$C$8,3,FALSE),0)</f>
        <v>0</v>
      </c>
    </row>
    <row r="6032" spans="1:10" x14ac:dyDescent="0.25">
      <c r="A6032" t="s">
        <v>6199</v>
      </c>
      <c r="B6032" t="s">
        <v>158</v>
      </c>
      <c r="C6032" t="s">
        <v>122</v>
      </c>
      <c r="D6032" t="s">
        <v>94</v>
      </c>
      <c r="E6032" t="s">
        <v>159</v>
      </c>
      <c r="F6032" s="1">
        <v>42965</v>
      </c>
      <c r="G6032" s="1">
        <v>42978</v>
      </c>
      <c r="H6032">
        <v>0</v>
      </c>
      <c r="I6032" t="str">
        <f>IF(COUNTIF(Products!$A$2:$A$8,C6032)=0,C6032,"")</f>
        <v/>
      </c>
      <c r="J6032">
        <f>IF(OR(E6032="Prospecting",E6032="Engaging"),VLOOKUP(C6032,Products!$A$2:$C$8,3,FALSE),0)</f>
        <v>0</v>
      </c>
    </row>
    <row r="6033" spans="1:10" x14ac:dyDescent="0.25">
      <c r="A6033" t="s">
        <v>6200</v>
      </c>
      <c r="B6033" t="s">
        <v>164</v>
      </c>
      <c r="C6033" t="s">
        <v>126</v>
      </c>
      <c r="D6033" t="s">
        <v>57</v>
      </c>
      <c r="E6033" t="s">
        <v>138</v>
      </c>
      <c r="F6033" s="1">
        <v>42965</v>
      </c>
      <c r="G6033" s="1">
        <v>42967</v>
      </c>
      <c r="H6033">
        <v>6529</v>
      </c>
      <c r="I6033" t="str">
        <f>IF(COUNTIF(Products!$A$2:$A$8,C6033)=0,C6033,"")</f>
        <v/>
      </c>
      <c r="J6033">
        <f>IF(OR(E6033="Prospecting",E6033="Engaging"),VLOOKUP(C6033,Products!$A$2:$C$8,3,FALSE),0)</f>
        <v>0</v>
      </c>
    </row>
    <row r="6034" spans="1:10" x14ac:dyDescent="0.25">
      <c r="A6034" t="s">
        <v>6201</v>
      </c>
      <c r="B6034" t="s">
        <v>303</v>
      </c>
      <c r="C6034" t="s">
        <v>122</v>
      </c>
      <c r="D6034" t="s">
        <v>91</v>
      </c>
      <c r="E6034" t="s">
        <v>159</v>
      </c>
      <c r="F6034" s="1">
        <v>42965</v>
      </c>
      <c r="G6034" s="1">
        <v>42972</v>
      </c>
      <c r="H6034">
        <v>0</v>
      </c>
      <c r="I6034" t="str">
        <f>IF(COUNTIF(Products!$A$2:$A$8,C6034)=0,C6034,"")</f>
        <v/>
      </c>
      <c r="J6034">
        <f>IF(OR(E6034="Prospecting",E6034="Engaging"),VLOOKUP(C6034,Products!$A$2:$C$8,3,FALSE),0)</f>
        <v>0</v>
      </c>
    </row>
    <row r="6035" spans="1:10" x14ac:dyDescent="0.25">
      <c r="A6035" t="s">
        <v>6202</v>
      </c>
      <c r="B6035" t="s">
        <v>180</v>
      </c>
      <c r="C6035" t="s">
        <v>122</v>
      </c>
      <c r="E6035" t="s">
        <v>155</v>
      </c>
      <c r="F6035" s="1">
        <v>42965</v>
      </c>
      <c r="I6035" t="str">
        <f>IF(COUNTIF(Products!$A$2:$A$8,C6035)=0,C6035,"")</f>
        <v/>
      </c>
      <c r="J6035">
        <f>IF(OR(E6035="Prospecting",E6035="Engaging"),VLOOKUP(C6035,Products!$A$2:$C$8,3,FALSE),0)</f>
        <v>4821</v>
      </c>
    </row>
    <row r="6036" spans="1:10" x14ac:dyDescent="0.25">
      <c r="A6036" t="s">
        <v>6203</v>
      </c>
      <c r="B6036" t="s">
        <v>191</v>
      </c>
      <c r="C6036" t="s">
        <v>120</v>
      </c>
      <c r="E6036" t="s">
        <v>155</v>
      </c>
      <c r="F6036" s="1">
        <v>42965</v>
      </c>
      <c r="I6036" t="str">
        <f>IF(COUNTIF(Products!$A$2:$A$8,C6036)=0,C6036,"")</f>
        <v/>
      </c>
      <c r="J6036">
        <f>IF(OR(E6036="Prospecting",E6036="Engaging"),VLOOKUP(C6036,Products!$A$2:$C$8,3,FALSE),0)</f>
        <v>550</v>
      </c>
    </row>
    <row r="6037" spans="1:10" x14ac:dyDescent="0.25">
      <c r="A6037" t="s">
        <v>6204</v>
      </c>
      <c r="B6037" t="s">
        <v>191</v>
      </c>
      <c r="C6037" t="s">
        <v>120</v>
      </c>
      <c r="D6037" t="s">
        <v>61</v>
      </c>
      <c r="E6037" t="s">
        <v>159</v>
      </c>
      <c r="F6037" s="1">
        <v>42965</v>
      </c>
      <c r="G6037" s="1">
        <v>43053</v>
      </c>
      <c r="H6037">
        <v>0</v>
      </c>
      <c r="I6037" t="str">
        <f>IF(COUNTIF(Products!$A$2:$A$8,C6037)=0,C6037,"")</f>
        <v/>
      </c>
      <c r="J6037">
        <f>IF(OR(E6037="Prospecting",E6037="Engaging"),VLOOKUP(C6037,Products!$A$2:$C$8,3,FALSE),0)</f>
        <v>0</v>
      </c>
    </row>
    <row r="6038" spans="1:10" x14ac:dyDescent="0.25">
      <c r="A6038" t="s">
        <v>6205</v>
      </c>
      <c r="B6038" t="s">
        <v>191</v>
      </c>
      <c r="C6038" t="s">
        <v>126</v>
      </c>
      <c r="D6038" t="s">
        <v>27</v>
      </c>
      <c r="E6038" t="s">
        <v>138</v>
      </c>
      <c r="F6038" s="1">
        <v>42965</v>
      </c>
      <c r="G6038" s="1">
        <v>43053</v>
      </c>
      <c r="H6038">
        <v>4454</v>
      </c>
      <c r="I6038" t="str">
        <f>IF(COUNTIF(Products!$A$2:$A$8,C6038)=0,C6038,"")</f>
        <v/>
      </c>
      <c r="J6038">
        <f>IF(OR(E6038="Prospecting",E6038="Engaging"),VLOOKUP(C6038,Products!$A$2:$C$8,3,FALSE),0)</f>
        <v>0</v>
      </c>
    </row>
    <row r="6039" spans="1:10" x14ac:dyDescent="0.25">
      <c r="A6039" t="s">
        <v>6206</v>
      </c>
      <c r="B6039" t="s">
        <v>150</v>
      </c>
      <c r="C6039" t="s">
        <v>127</v>
      </c>
      <c r="D6039" t="s">
        <v>23</v>
      </c>
      <c r="E6039" t="s">
        <v>138</v>
      </c>
      <c r="F6039" s="1">
        <v>42965</v>
      </c>
      <c r="G6039" s="1">
        <v>42992</v>
      </c>
      <c r="H6039">
        <v>1002</v>
      </c>
      <c r="I6039" t="str">
        <f>IF(COUNTIF(Products!$A$2:$A$8,C6039)=0,C6039,"")</f>
        <v/>
      </c>
      <c r="J6039">
        <f>IF(OR(E6039="Prospecting",E6039="Engaging"),VLOOKUP(C6039,Products!$A$2:$C$8,3,FALSE),0)</f>
        <v>0</v>
      </c>
    </row>
    <row r="6040" spans="1:10" x14ac:dyDescent="0.25">
      <c r="A6040" t="s">
        <v>6207</v>
      </c>
      <c r="B6040" t="s">
        <v>150</v>
      </c>
      <c r="C6040" t="s">
        <v>123</v>
      </c>
      <c r="D6040" t="s">
        <v>57</v>
      </c>
      <c r="E6040" t="s">
        <v>138</v>
      </c>
      <c r="F6040" s="1">
        <v>42965</v>
      </c>
      <c r="G6040" s="1">
        <v>43043</v>
      </c>
      <c r="H6040">
        <v>63</v>
      </c>
      <c r="I6040" t="str">
        <f>IF(COUNTIF(Products!$A$2:$A$8,C6040)=0,C6040,"")</f>
        <v/>
      </c>
      <c r="J6040">
        <f>IF(OR(E6040="Prospecting",E6040="Engaging"),VLOOKUP(C6040,Products!$A$2:$C$8,3,FALSE),0)</f>
        <v>0</v>
      </c>
    </row>
    <row r="6041" spans="1:10" x14ac:dyDescent="0.25">
      <c r="A6041" t="s">
        <v>6208</v>
      </c>
      <c r="B6041" t="s">
        <v>205</v>
      </c>
      <c r="C6041" t="s">
        <v>120</v>
      </c>
      <c r="D6041" t="s">
        <v>88</v>
      </c>
      <c r="E6041" t="s">
        <v>138</v>
      </c>
      <c r="F6041" s="1">
        <v>42965</v>
      </c>
      <c r="G6041" s="1">
        <v>43099</v>
      </c>
      <c r="H6041">
        <v>580</v>
      </c>
      <c r="I6041" t="str">
        <f>IF(COUNTIF(Products!$A$2:$A$8,C6041)=0,C6041,"")</f>
        <v/>
      </c>
      <c r="J6041">
        <f>IF(OR(E6041="Prospecting",E6041="Engaging"),VLOOKUP(C6041,Products!$A$2:$C$8,3,FALSE),0)</f>
        <v>0</v>
      </c>
    </row>
    <row r="6042" spans="1:10" x14ac:dyDescent="0.25">
      <c r="A6042" t="s">
        <v>6209</v>
      </c>
      <c r="B6042" t="s">
        <v>162</v>
      </c>
      <c r="C6042" t="s">
        <v>120</v>
      </c>
      <c r="D6042" t="s">
        <v>35</v>
      </c>
      <c r="E6042" t="s">
        <v>155</v>
      </c>
      <c r="F6042" s="1">
        <v>42965</v>
      </c>
      <c r="I6042" t="str">
        <f>IF(COUNTIF(Products!$A$2:$A$8,C6042)=0,C6042,"")</f>
        <v/>
      </c>
      <c r="J6042">
        <f>IF(OR(E6042="Prospecting",E6042="Engaging"),VLOOKUP(C6042,Products!$A$2:$C$8,3,FALSE),0)</f>
        <v>550</v>
      </c>
    </row>
    <row r="6043" spans="1:10" x14ac:dyDescent="0.25">
      <c r="A6043" t="s">
        <v>6210</v>
      </c>
      <c r="B6043" t="s">
        <v>148</v>
      </c>
      <c r="C6043" t="s">
        <v>125</v>
      </c>
      <c r="E6043" t="s">
        <v>155</v>
      </c>
      <c r="F6043" s="1">
        <v>42965</v>
      </c>
      <c r="I6043" t="str">
        <f>IF(COUNTIF(Products!$A$2:$A$8,C6043)=0,C6043,"")</f>
        <v/>
      </c>
      <c r="J6043">
        <f>IF(OR(E6043="Prospecting",E6043="Engaging"),VLOOKUP(C6043,Products!$A$2:$C$8,3,FALSE),0)</f>
        <v>3393</v>
      </c>
    </row>
    <row r="6044" spans="1:10" x14ac:dyDescent="0.25">
      <c r="A6044" t="s">
        <v>6211</v>
      </c>
      <c r="B6044" t="s">
        <v>177</v>
      </c>
      <c r="C6044" t="s">
        <v>123</v>
      </c>
      <c r="D6044" t="s">
        <v>106</v>
      </c>
      <c r="E6044" t="s">
        <v>138</v>
      </c>
      <c r="F6044" s="1">
        <v>42965</v>
      </c>
      <c r="G6044" s="1">
        <v>43076</v>
      </c>
      <c r="H6044">
        <v>49</v>
      </c>
      <c r="I6044" t="str">
        <f>IF(COUNTIF(Products!$A$2:$A$8,C6044)=0,C6044,"")</f>
        <v/>
      </c>
      <c r="J6044">
        <f>IF(OR(E6044="Prospecting",E6044="Engaging"),VLOOKUP(C6044,Products!$A$2:$C$8,3,FALSE),0)</f>
        <v>0</v>
      </c>
    </row>
    <row r="6045" spans="1:10" x14ac:dyDescent="0.25">
      <c r="A6045" t="s">
        <v>6212</v>
      </c>
      <c r="B6045" t="s">
        <v>222</v>
      </c>
      <c r="C6045" t="s">
        <v>126</v>
      </c>
      <c r="D6045" t="s">
        <v>73</v>
      </c>
      <c r="E6045" t="s">
        <v>138</v>
      </c>
      <c r="F6045" s="1">
        <v>42966</v>
      </c>
      <c r="G6045" s="1">
        <v>43072</v>
      </c>
      <c r="H6045">
        <v>5703</v>
      </c>
      <c r="I6045" t="str">
        <f>IF(COUNTIF(Products!$A$2:$A$8,C6045)=0,C6045,"")</f>
        <v/>
      </c>
      <c r="J6045">
        <f>IF(OR(E6045="Prospecting",E6045="Engaging"),VLOOKUP(C6045,Products!$A$2:$C$8,3,FALSE),0)</f>
        <v>0</v>
      </c>
    </row>
    <row r="6046" spans="1:10" x14ac:dyDescent="0.25">
      <c r="A6046" t="s">
        <v>6213</v>
      </c>
      <c r="B6046" t="s">
        <v>207</v>
      </c>
      <c r="C6046" t="s">
        <v>123</v>
      </c>
      <c r="D6046" t="s">
        <v>81</v>
      </c>
      <c r="E6046" t="s">
        <v>159</v>
      </c>
      <c r="F6046" s="1">
        <v>42966</v>
      </c>
      <c r="G6046" s="1">
        <v>42973</v>
      </c>
      <c r="H6046">
        <v>0</v>
      </c>
      <c r="I6046" t="str">
        <f>IF(COUNTIF(Products!$A$2:$A$8,C6046)=0,C6046,"")</f>
        <v/>
      </c>
      <c r="J6046">
        <f>IF(OR(E6046="Prospecting",E6046="Engaging"),VLOOKUP(C6046,Products!$A$2:$C$8,3,FALSE),0)</f>
        <v>0</v>
      </c>
    </row>
    <row r="6047" spans="1:10" x14ac:dyDescent="0.25">
      <c r="A6047" t="s">
        <v>6214</v>
      </c>
      <c r="B6047" t="s">
        <v>171</v>
      </c>
      <c r="C6047" t="s">
        <v>123</v>
      </c>
      <c r="E6047" t="s">
        <v>155</v>
      </c>
      <c r="F6047" s="1">
        <v>42966</v>
      </c>
      <c r="I6047" t="str">
        <f>IF(COUNTIF(Products!$A$2:$A$8,C6047)=0,C6047,"")</f>
        <v/>
      </c>
      <c r="J6047">
        <f>IF(OR(E6047="Prospecting",E6047="Engaging"),VLOOKUP(C6047,Products!$A$2:$C$8,3,FALSE),0)</f>
        <v>55</v>
      </c>
    </row>
    <row r="6048" spans="1:10" x14ac:dyDescent="0.25">
      <c r="A6048" t="s">
        <v>6215</v>
      </c>
      <c r="B6048" t="s">
        <v>140</v>
      </c>
      <c r="C6048" t="s">
        <v>120</v>
      </c>
      <c r="D6048" t="s">
        <v>42</v>
      </c>
      <c r="E6048" t="s">
        <v>159</v>
      </c>
      <c r="F6048" s="1">
        <v>42966</v>
      </c>
      <c r="G6048" s="1">
        <v>42969</v>
      </c>
      <c r="H6048">
        <v>0</v>
      </c>
      <c r="I6048" t="str">
        <f>IF(COUNTIF(Products!$A$2:$A$8,C6048)=0,C6048,"")</f>
        <v/>
      </c>
      <c r="J6048">
        <f>IF(OR(E6048="Prospecting",E6048="Engaging"),VLOOKUP(C6048,Products!$A$2:$C$8,3,FALSE),0)</f>
        <v>0</v>
      </c>
    </row>
    <row r="6049" spans="1:10" x14ac:dyDescent="0.25">
      <c r="A6049" t="s">
        <v>6216</v>
      </c>
      <c r="B6049" t="s">
        <v>140</v>
      </c>
      <c r="C6049" t="s">
        <v>125</v>
      </c>
      <c r="D6049" t="s">
        <v>36</v>
      </c>
      <c r="E6049" t="s">
        <v>159</v>
      </c>
      <c r="F6049" s="1">
        <v>42966</v>
      </c>
      <c r="G6049" s="1">
        <v>42973</v>
      </c>
      <c r="H6049">
        <v>0</v>
      </c>
      <c r="I6049" t="str">
        <f>IF(COUNTIF(Products!$A$2:$A$8,C6049)=0,C6049,"")</f>
        <v/>
      </c>
      <c r="J6049">
        <f>IF(OR(E6049="Prospecting",E6049="Engaging"),VLOOKUP(C6049,Products!$A$2:$C$8,3,FALSE),0)</f>
        <v>0</v>
      </c>
    </row>
    <row r="6050" spans="1:10" x14ac:dyDescent="0.25">
      <c r="A6050" t="s">
        <v>6217</v>
      </c>
      <c r="B6050" t="s">
        <v>224</v>
      </c>
      <c r="C6050" t="s">
        <v>122</v>
      </c>
      <c r="D6050" t="s">
        <v>67</v>
      </c>
      <c r="E6050" t="s">
        <v>159</v>
      </c>
      <c r="F6050" s="1">
        <v>42966</v>
      </c>
      <c r="G6050" s="1">
        <v>43050</v>
      </c>
      <c r="H6050">
        <v>0</v>
      </c>
      <c r="I6050" t="str">
        <f>IF(COUNTIF(Products!$A$2:$A$8,C6050)=0,C6050,"")</f>
        <v/>
      </c>
      <c r="J6050">
        <f>IF(OR(E6050="Prospecting",E6050="Engaging"),VLOOKUP(C6050,Products!$A$2:$C$8,3,FALSE),0)</f>
        <v>0</v>
      </c>
    </row>
    <row r="6051" spans="1:10" x14ac:dyDescent="0.25">
      <c r="A6051" t="s">
        <v>6218</v>
      </c>
      <c r="B6051" t="s">
        <v>303</v>
      </c>
      <c r="C6051" t="s">
        <v>127</v>
      </c>
      <c r="D6051" t="s">
        <v>46</v>
      </c>
      <c r="E6051" t="s">
        <v>138</v>
      </c>
      <c r="F6051" s="1">
        <v>42966</v>
      </c>
      <c r="G6051" s="1">
        <v>43070</v>
      </c>
      <c r="H6051">
        <v>1148</v>
      </c>
      <c r="I6051" t="str">
        <f>IF(COUNTIF(Products!$A$2:$A$8,C6051)=0,C6051,"")</f>
        <v/>
      </c>
      <c r="J6051">
        <f>IF(OR(E6051="Prospecting",E6051="Engaging"),VLOOKUP(C6051,Products!$A$2:$C$8,3,FALSE),0)</f>
        <v>0</v>
      </c>
    </row>
    <row r="6052" spans="1:10" x14ac:dyDescent="0.25">
      <c r="A6052" t="s">
        <v>6219</v>
      </c>
      <c r="B6052" t="s">
        <v>180</v>
      </c>
      <c r="C6052" t="s">
        <v>120</v>
      </c>
      <c r="D6052" t="s">
        <v>93</v>
      </c>
      <c r="E6052" t="s">
        <v>159</v>
      </c>
      <c r="F6052" s="1">
        <v>42966</v>
      </c>
      <c r="G6052" s="1">
        <v>42972</v>
      </c>
      <c r="H6052">
        <v>0</v>
      </c>
      <c r="I6052" t="str">
        <f>IF(COUNTIF(Products!$A$2:$A$8,C6052)=0,C6052,"")</f>
        <v/>
      </c>
      <c r="J6052">
        <f>IF(OR(E6052="Prospecting",E6052="Engaging"),VLOOKUP(C6052,Products!$A$2:$C$8,3,FALSE),0)</f>
        <v>0</v>
      </c>
    </row>
    <row r="6053" spans="1:10" x14ac:dyDescent="0.25">
      <c r="A6053" t="s">
        <v>6220</v>
      </c>
      <c r="B6053" t="s">
        <v>191</v>
      </c>
      <c r="C6053" t="s">
        <v>120</v>
      </c>
      <c r="D6053" t="s">
        <v>66</v>
      </c>
      <c r="E6053" t="s">
        <v>159</v>
      </c>
      <c r="F6053" s="1">
        <v>42966</v>
      </c>
      <c r="G6053" s="1">
        <v>42975</v>
      </c>
      <c r="H6053">
        <v>0</v>
      </c>
      <c r="I6053" t="str">
        <f>IF(COUNTIF(Products!$A$2:$A$8,C6053)=0,C6053,"")</f>
        <v/>
      </c>
      <c r="J6053">
        <f>IF(OR(E6053="Prospecting",E6053="Engaging"),VLOOKUP(C6053,Products!$A$2:$C$8,3,FALSE),0)</f>
        <v>0</v>
      </c>
    </row>
    <row r="6054" spans="1:10" x14ac:dyDescent="0.25">
      <c r="A6054" t="s">
        <v>6221</v>
      </c>
      <c r="B6054" t="s">
        <v>191</v>
      </c>
      <c r="C6054" t="s">
        <v>127</v>
      </c>
      <c r="D6054" t="s">
        <v>59</v>
      </c>
      <c r="E6054" t="s">
        <v>159</v>
      </c>
      <c r="F6054" s="1">
        <v>42966</v>
      </c>
      <c r="G6054" s="1">
        <v>43065</v>
      </c>
      <c r="H6054">
        <v>0</v>
      </c>
      <c r="I6054" t="str">
        <f>IF(COUNTIF(Products!$A$2:$A$8,C6054)=0,C6054,"")</f>
        <v/>
      </c>
      <c r="J6054">
        <f>IF(OR(E6054="Prospecting",E6054="Engaging"),VLOOKUP(C6054,Products!$A$2:$C$8,3,FALSE),0)</f>
        <v>0</v>
      </c>
    </row>
    <row r="6055" spans="1:10" x14ac:dyDescent="0.25">
      <c r="A6055" t="s">
        <v>6222</v>
      </c>
      <c r="B6055" t="s">
        <v>191</v>
      </c>
      <c r="C6055" t="s">
        <v>122</v>
      </c>
      <c r="D6055" t="s">
        <v>61</v>
      </c>
      <c r="E6055" t="s">
        <v>138</v>
      </c>
      <c r="F6055" s="1">
        <v>42966</v>
      </c>
      <c r="G6055" s="1">
        <v>43093</v>
      </c>
      <c r="H6055">
        <v>4009</v>
      </c>
      <c r="I6055" t="str">
        <f>IF(COUNTIF(Products!$A$2:$A$8,C6055)=0,C6055,"")</f>
        <v/>
      </c>
      <c r="J6055">
        <f>IF(OR(E6055="Prospecting",E6055="Engaging"),VLOOKUP(C6055,Products!$A$2:$C$8,3,FALSE),0)</f>
        <v>0</v>
      </c>
    </row>
    <row r="6056" spans="1:10" x14ac:dyDescent="0.25">
      <c r="A6056" t="s">
        <v>6223</v>
      </c>
      <c r="B6056" t="s">
        <v>217</v>
      </c>
      <c r="C6056" t="s">
        <v>125</v>
      </c>
      <c r="D6056" t="s">
        <v>85</v>
      </c>
      <c r="E6056" t="s">
        <v>138</v>
      </c>
      <c r="F6056" s="1">
        <v>42966</v>
      </c>
      <c r="G6056" s="1">
        <v>43041</v>
      </c>
      <c r="H6056">
        <v>3024</v>
      </c>
      <c r="I6056" t="str">
        <f>IF(COUNTIF(Products!$A$2:$A$8,C6056)=0,C6056,"")</f>
        <v/>
      </c>
      <c r="J6056">
        <f>IF(OR(E6056="Prospecting",E6056="Engaging"),VLOOKUP(C6056,Products!$A$2:$C$8,3,FALSE),0)</f>
        <v>0</v>
      </c>
    </row>
    <row r="6057" spans="1:10" x14ac:dyDescent="0.25">
      <c r="A6057" t="s">
        <v>6224</v>
      </c>
      <c r="B6057" t="s">
        <v>162</v>
      </c>
      <c r="C6057" t="s">
        <v>127</v>
      </c>
      <c r="D6057" t="s">
        <v>67</v>
      </c>
      <c r="E6057" t="s">
        <v>155</v>
      </c>
      <c r="F6057" s="1">
        <v>42966</v>
      </c>
      <c r="I6057" t="str">
        <f>IF(COUNTIF(Products!$A$2:$A$8,C6057)=0,C6057,"")</f>
        <v/>
      </c>
      <c r="J6057">
        <f>IF(OR(E6057="Prospecting",E6057="Engaging"),VLOOKUP(C6057,Products!$A$2:$C$8,3,FALSE),0)</f>
        <v>1096</v>
      </c>
    </row>
    <row r="6058" spans="1:10" x14ac:dyDescent="0.25">
      <c r="A6058" t="s">
        <v>6225</v>
      </c>
      <c r="B6058" t="s">
        <v>137</v>
      </c>
      <c r="C6058" t="s">
        <v>125</v>
      </c>
      <c r="D6058" t="s">
        <v>46</v>
      </c>
      <c r="E6058" t="s">
        <v>159</v>
      </c>
      <c r="F6058" s="1">
        <v>42966</v>
      </c>
      <c r="G6058" s="1">
        <v>43059</v>
      </c>
      <c r="H6058">
        <v>0</v>
      </c>
      <c r="I6058" t="str">
        <f>IF(COUNTIF(Products!$A$2:$A$8,C6058)=0,C6058,"")</f>
        <v/>
      </c>
      <c r="J6058">
        <f>IF(OR(E6058="Prospecting",E6058="Engaging"),VLOOKUP(C6058,Products!$A$2:$C$8,3,FALSE),0)</f>
        <v>0</v>
      </c>
    </row>
    <row r="6059" spans="1:10" x14ac:dyDescent="0.25">
      <c r="A6059" t="s">
        <v>6226</v>
      </c>
      <c r="B6059" t="s">
        <v>187</v>
      </c>
      <c r="C6059" t="s">
        <v>123</v>
      </c>
      <c r="D6059" t="s">
        <v>108</v>
      </c>
      <c r="E6059" t="s">
        <v>159</v>
      </c>
      <c r="F6059" s="1">
        <v>42966</v>
      </c>
      <c r="G6059" s="1">
        <v>43050</v>
      </c>
      <c r="H6059">
        <v>0</v>
      </c>
      <c r="I6059" t="str">
        <f>IF(COUNTIF(Products!$A$2:$A$8,C6059)=0,C6059,"")</f>
        <v/>
      </c>
      <c r="J6059">
        <f>IF(OR(E6059="Prospecting",E6059="Engaging"),VLOOKUP(C6059,Products!$A$2:$C$8,3,FALSE),0)</f>
        <v>0</v>
      </c>
    </row>
    <row r="6060" spans="1:10" x14ac:dyDescent="0.25">
      <c r="A6060" t="s">
        <v>6227</v>
      </c>
      <c r="B6060" t="s">
        <v>148</v>
      </c>
      <c r="C6060" t="s">
        <v>122</v>
      </c>
      <c r="D6060" t="s">
        <v>34</v>
      </c>
      <c r="E6060" t="s">
        <v>138</v>
      </c>
      <c r="F6060" s="1">
        <v>42966</v>
      </c>
      <c r="G6060" s="1">
        <v>43066</v>
      </c>
      <c r="H6060">
        <v>5058</v>
      </c>
      <c r="I6060" t="str">
        <f>IF(COUNTIF(Products!$A$2:$A$8,C6060)=0,C6060,"")</f>
        <v/>
      </c>
      <c r="J6060">
        <f>IF(OR(E6060="Prospecting",E6060="Engaging"),VLOOKUP(C6060,Products!$A$2:$C$8,3,FALSE),0)</f>
        <v>0</v>
      </c>
    </row>
    <row r="6061" spans="1:10" x14ac:dyDescent="0.25">
      <c r="A6061" t="s">
        <v>6228</v>
      </c>
      <c r="B6061" t="s">
        <v>144</v>
      </c>
      <c r="C6061" t="s">
        <v>120</v>
      </c>
      <c r="D6061" t="s">
        <v>23</v>
      </c>
      <c r="E6061" t="s">
        <v>159</v>
      </c>
      <c r="F6061" s="1">
        <v>42966</v>
      </c>
      <c r="G6061" s="1">
        <v>43064</v>
      </c>
      <c r="H6061">
        <v>0</v>
      </c>
      <c r="I6061" t="str">
        <f>IF(COUNTIF(Products!$A$2:$A$8,C6061)=0,C6061,"")</f>
        <v/>
      </c>
      <c r="J6061">
        <f>IF(OR(E6061="Prospecting",E6061="Engaging"),VLOOKUP(C6061,Products!$A$2:$C$8,3,FALSE),0)</f>
        <v>0</v>
      </c>
    </row>
    <row r="6062" spans="1:10" x14ac:dyDescent="0.25">
      <c r="A6062" t="s">
        <v>6229</v>
      </c>
      <c r="B6062" t="s">
        <v>222</v>
      </c>
      <c r="C6062" t="s">
        <v>122</v>
      </c>
      <c r="D6062" t="s">
        <v>80</v>
      </c>
      <c r="E6062" t="s">
        <v>159</v>
      </c>
      <c r="F6062" s="1">
        <v>42967</v>
      </c>
      <c r="G6062" s="1">
        <v>42980</v>
      </c>
      <c r="H6062">
        <v>0</v>
      </c>
      <c r="I6062" t="str">
        <f>IF(COUNTIF(Products!$A$2:$A$8,C6062)=0,C6062,"")</f>
        <v/>
      </c>
      <c r="J6062">
        <f>IF(OR(E6062="Prospecting",E6062="Engaging"),VLOOKUP(C6062,Products!$A$2:$C$8,3,FALSE),0)</f>
        <v>0</v>
      </c>
    </row>
    <row r="6063" spans="1:10" x14ac:dyDescent="0.25">
      <c r="A6063" t="s">
        <v>6230</v>
      </c>
      <c r="B6063" t="s">
        <v>207</v>
      </c>
      <c r="C6063" t="s">
        <v>120</v>
      </c>
      <c r="D6063" t="s">
        <v>19</v>
      </c>
      <c r="E6063" t="s">
        <v>138</v>
      </c>
      <c r="F6063" s="1">
        <v>42967</v>
      </c>
      <c r="G6063" s="1">
        <v>42989</v>
      </c>
      <c r="H6063">
        <v>566</v>
      </c>
      <c r="I6063" t="str">
        <f>IF(COUNTIF(Products!$A$2:$A$8,C6063)=0,C6063,"")</f>
        <v/>
      </c>
      <c r="J6063">
        <f>IF(OR(E6063="Prospecting",E6063="Engaging"),VLOOKUP(C6063,Products!$A$2:$C$8,3,FALSE),0)</f>
        <v>0</v>
      </c>
    </row>
    <row r="6064" spans="1:10" x14ac:dyDescent="0.25">
      <c r="A6064" t="s">
        <v>6231</v>
      </c>
      <c r="B6064" t="s">
        <v>207</v>
      </c>
      <c r="C6064" t="s">
        <v>120</v>
      </c>
      <c r="D6064" t="s">
        <v>35</v>
      </c>
      <c r="E6064" t="s">
        <v>138</v>
      </c>
      <c r="F6064" s="1">
        <v>42967</v>
      </c>
      <c r="G6064" s="1">
        <v>43041</v>
      </c>
      <c r="H6064">
        <v>578</v>
      </c>
      <c r="I6064" t="str">
        <f>IF(COUNTIF(Products!$A$2:$A$8,C6064)=0,C6064,"")</f>
        <v/>
      </c>
      <c r="J6064">
        <f>IF(OR(E6064="Prospecting",E6064="Engaging"),VLOOKUP(C6064,Products!$A$2:$C$8,3,FALSE),0)</f>
        <v>0</v>
      </c>
    </row>
    <row r="6065" spans="1:10" x14ac:dyDescent="0.25">
      <c r="A6065" t="s">
        <v>6232</v>
      </c>
      <c r="B6065" t="s">
        <v>140</v>
      </c>
      <c r="C6065" t="s">
        <v>120</v>
      </c>
      <c r="D6065" t="s">
        <v>103</v>
      </c>
      <c r="E6065" t="s">
        <v>138</v>
      </c>
      <c r="F6065" s="1">
        <v>42967</v>
      </c>
      <c r="G6065" s="1">
        <v>42977</v>
      </c>
      <c r="H6065">
        <v>620</v>
      </c>
      <c r="I6065" t="str">
        <f>IF(COUNTIF(Products!$A$2:$A$8,C6065)=0,C6065,"")</f>
        <v/>
      </c>
      <c r="J6065">
        <f>IF(OR(E6065="Prospecting",E6065="Engaging"),VLOOKUP(C6065,Products!$A$2:$C$8,3,FALSE),0)</f>
        <v>0</v>
      </c>
    </row>
    <row r="6066" spans="1:10" x14ac:dyDescent="0.25">
      <c r="A6066" t="s">
        <v>6233</v>
      </c>
      <c r="B6066" t="s">
        <v>140</v>
      </c>
      <c r="C6066" t="s">
        <v>122</v>
      </c>
      <c r="D6066" t="s">
        <v>42</v>
      </c>
      <c r="E6066" t="s">
        <v>138</v>
      </c>
      <c r="F6066" s="1">
        <v>42967</v>
      </c>
      <c r="G6066" s="1">
        <v>42981</v>
      </c>
      <c r="H6066">
        <v>4310</v>
      </c>
      <c r="I6066" t="str">
        <f>IF(COUNTIF(Products!$A$2:$A$8,C6066)=0,C6066,"")</f>
        <v/>
      </c>
      <c r="J6066">
        <f>IF(OR(E6066="Prospecting",E6066="Engaging"),VLOOKUP(C6066,Products!$A$2:$C$8,3,FALSE),0)</f>
        <v>0</v>
      </c>
    </row>
    <row r="6067" spans="1:10" x14ac:dyDescent="0.25">
      <c r="A6067" t="s">
        <v>6234</v>
      </c>
      <c r="B6067" t="s">
        <v>164</v>
      </c>
      <c r="C6067" t="s">
        <v>125</v>
      </c>
      <c r="D6067" t="s">
        <v>90</v>
      </c>
      <c r="E6067" t="s">
        <v>138</v>
      </c>
      <c r="F6067" s="1">
        <v>42967</v>
      </c>
      <c r="G6067" s="1">
        <v>42968</v>
      </c>
      <c r="H6067">
        <v>3448</v>
      </c>
      <c r="I6067" t="str">
        <f>IF(COUNTIF(Products!$A$2:$A$8,C6067)=0,C6067,"")</f>
        <v/>
      </c>
      <c r="J6067">
        <f>IF(OR(E6067="Prospecting",E6067="Engaging"),VLOOKUP(C6067,Products!$A$2:$C$8,3,FALSE),0)</f>
        <v>0</v>
      </c>
    </row>
    <row r="6068" spans="1:10" x14ac:dyDescent="0.25">
      <c r="A6068" t="s">
        <v>6235</v>
      </c>
      <c r="B6068" t="s">
        <v>154</v>
      </c>
      <c r="C6068" t="s">
        <v>120</v>
      </c>
      <c r="D6068" t="s">
        <v>60</v>
      </c>
      <c r="E6068" t="s">
        <v>159</v>
      </c>
      <c r="F6068" s="1">
        <v>42967</v>
      </c>
      <c r="G6068" s="1">
        <v>43067</v>
      </c>
      <c r="H6068">
        <v>0</v>
      </c>
      <c r="I6068" t="str">
        <f>IF(COUNTIF(Products!$A$2:$A$8,C6068)=0,C6068,"")</f>
        <v/>
      </c>
      <c r="J6068">
        <f>IF(OR(E6068="Prospecting",E6068="Engaging"),VLOOKUP(C6068,Products!$A$2:$C$8,3,FALSE),0)</f>
        <v>0</v>
      </c>
    </row>
    <row r="6069" spans="1:10" x14ac:dyDescent="0.25">
      <c r="A6069" t="s">
        <v>6236</v>
      </c>
      <c r="B6069" t="s">
        <v>180</v>
      </c>
      <c r="C6069" t="s">
        <v>125</v>
      </c>
      <c r="D6069" t="s">
        <v>107</v>
      </c>
      <c r="E6069" t="s">
        <v>138</v>
      </c>
      <c r="F6069" s="1">
        <v>42967</v>
      </c>
      <c r="G6069" s="1">
        <v>43058</v>
      </c>
      <c r="H6069">
        <v>3517</v>
      </c>
      <c r="I6069" t="str">
        <f>IF(COUNTIF(Products!$A$2:$A$8,C6069)=0,C6069,"")</f>
        <v/>
      </c>
      <c r="J6069">
        <f>IF(OR(E6069="Prospecting",E6069="Engaging"),VLOOKUP(C6069,Products!$A$2:$C$8,3,FALSE),0)</f>
        <v>0</v>
      </c>
    </row>
    <row r="6070" spans="1:10" x14ac:dyDescent="0.25">
      <c r="A6070" t="s">
        <v>6237</v>
      </c>
      <c r="B6070" t="s">
        <v>191</v>
      </c>
      <c r="C6070" t="s">
        <v>120</v>
      </c>
      <c r="E6070" t="s">
        <v>155</v>
      </c>
      <c r="F6070" s="1">
        <v>42967</v>
      </c>
      <c r="I6070" t="str">
        <f>IF(COUNTIF(Products!$A$2:$A$8,C6070)=0,C6070,"")</f>
        <v/>
      </c>
      <c r="J6070">
        <f>IF(OR(E6070="Prospecting",E6070="Engaging"),VLOOKUP(C6070,Products!$A$2:$C$8,3,FALSE),0)</f>
        <v>550</v>
      </c>
    </row>
    <row r="6071" spans="1:10" x14ac:dyDescent="0.25">
      <c r="A6071" t="s">
        <v>6238</v>
      </c>
      <c r="B6071" t="s">
        <v>191</v>
      </c>
      <c r="C6071" t="s">
        <v>127</v>
      </c>
      <c r="D6071" t="s">
        <v>71</v>
      </c>
      <c r="E6071" t="s">
        <v>155</v>
      </c>
      <c r="F6071" s="1">
        <v>42967</v>
      </c>
      <c r="I6071" t="str">
        <f>IF(COUNTIF(Products!$A$2:$A$8,C6071)=0,C6071,"")</f>
        <v/>
      </c>
      <c r="J6071">
        <f>IF(OR(E6071="Prospecting",E6071="Engaging"),VLOOKUP(C6071,Products!$A$2:$C$8,3,FALSE),0)</f>
        <v>1096</v>
      </c>
    </row>
    <row r="6072" spans="1:10" x14ac:dyDescent="0.25">
      <c r="A6072" t="s">
        <v>6239</v>
      </c>
      <c r="B6072" t="s">
        <v>162</v>
      </c>
      <c r="C6072" t="s">
        <v>122</v>
      </c>
      <c r="E6072" t="s">
        <v>155</v>
      </c>
      <c r="F6072" s="1">
        <v>42967</v>
      </c>
      <c r="I6072" t="str">
        <f>IF(COUNTIF(Products!$A$2:$A$8,C6072)=0,C6072,"")</f>
        <v/>
      </c>
      <c r="J6072">
        <f>IF(OR(E6072="Prospecting",E6072="Engaging"),VLOOKUP(C6072,Products!$A$2:$C$8,3,FALSE),0)</f>
        <v>4821</v>
      </c>
    </row>
    <row r="6073" spans="1:10" x14ac:dyDescent="0.25">
      <c r="A6073" t="s">
        <v>6240</v>
      </c>
      <c r="B6073" t="s">
        <v>162</v>
      </c>
      <c r="C6073" t="s">
        <v>122</v>
      </c>
      <c r="D6073" t="s">
        <v>67</v>
      </c>
      <c r="E6073" t="s">
        <v>138</v>
      </c>
      <c r="F6073" s="1">
        <v>42967</v>
      </c>
      <c r="G6073" s="1">
        <v>43094</v>
      </c>
      <c r="H6073">
        <v>3854</v>
      </c>
      <c r="I6073" t="str">
        <f>IF(COUNTIF(Products!$A$2:$A$8,C6073)=0,C6073,"")</f>
        <v/>
      </c>
      <c r="J6073">
        <f>IF(OR(E6073="Prospecting",E6073="Engaging"),VLOOKUP(C6073,Products!$A$2:$C$8,3,FALSE),0)</f>
        <v>0</v>
      </c>
    </row>
    <row r="6074" spans="1:10" x14ac:dyDescent="0.25">
      <c r="A6074" t="s">
        <v>6241</v>
      </c>
      <c r="B6074" t="s">
        <v>137</v>
      </c>
      <c r="C6074" t="s">
        <v>125</v>
      </c>
      <c r="D6074" t="s">
        <v>94</v>
      </c>
      <c r="E6074" t="s">
        <v>138</v>
      </c>
      <c r="F6074" s="1">
        <v>42967</v>
      </c>
      <c r="G6074" s="1">
        <v>43086</v>
      </c>
      <c r="H6074">
        <v>3894</v>
      </c>
      <c r="I6074" t="str">
        <f>IF(COUNTIF(Products!$A$2:$A$8,C6074)=0,C6074,"")</f>
        <v/>
      </c>
      <c r="J6074">
        <f>IF(OR(E6074="Prospecting",E6074="Engaging"),VLOOKUP(C6074,Products!$A$2:$C$8,3,FALSE),0)</f>
        <v>0</v>
      </c>
    </row>
    <row r="6075" spans="1:10" x14ac:dyDescent="0.25">
      <c r="A6075" t="s">
        <v>6242</v>
      </c>
      <c r="B6075" t="s">
        <v>148</v>
      </c>
      <c r="C6075" t="s">
        <v>123</v>
      </c>
      <c r="D6075" t="s">
        <v>73</v>
      </c>
      <c r="E6075" t="s">
        <v>155</v>
      </c>
      <c r="F6075" s="1">
        <v>42967</v>
      </c>
      <c r="I6075" t="str">
        <f>IF(COUNTIF(Products!$A$2:$A$8,C6075)=0,C6075,"")</f>
        <v/>
      </c>
      <c r="J6075">
        <f>IF(OR(E6075="Prospecting",E6075="Engaging"),VLOOKUP(C6075,Products!$A$2:$C$8,3,FALSE),0)</f>
        <v>55</v>
      </c>
    </row>
    <row r="6076" spans="1:10" x14ac:dyDescent="0.25">
      <c r="A6076" t="s">
        <v>6243</v>
      </c>
      <c r="B6076" t="s">
        <v>148</v>
      </c>
      <c r="C6076" t="s">
        <v>125</v>
      </c>
      <c r="D6076" t="s">
        <v>87</v>
      </c>
      <c r="E6076" t="s">
        <v>138</v>
      </c>
      <c r="F6076" s="1">
        <v>42967</v>
      </c>
      <c r="G6076" s="1">
        <v>43091</v>
      </c>
      <c r="H6076">
        <v>2833</v>
      </c>
      <c r="I6076" t="str">
        <f>IF(COUNTIF(Products!$A$2:$A$8,C6076)=0,C6076,"")</f>
        <v/>
      </c>
      <c r="J6076">
        <f>IF(OR(E6076="Prospecting",E6076="Engaging"),VLOOKUP(C6076,Products!$A$2:$C$8,3,FALSE),0)</f>
        <v>0</v>
      </c>
    </row>
    <row r="6077" spans="1:10" x14ac:dyDescent="0.25">
      <c r="A6077" t="s">
        <v>6244</v>
      </c>
      <c r="B6077" t="s">
        <v>177</v>
      </c>
      <c r="C6077" t="s">
        <v>125</v>
      </c>
      <c r="D6077" t="s">
        <v>106</v>
      </c>
      <c r="E6077" t="s">
        <v>159</v>
      </c>
      <c r="F6077" s="1">
        <v>42967</v>
      </c>
      <c r="G6077" s="1">
        <v>42984</v>
      </c>
      <c r="H6077">
        <v>0</v>
      </c>
      <c r="I6077" t="str">
        <f>IF(COUNTIF(Products!$A$2:$A$8,C6077)=0,C6077,"")</f>
        <v/>
      </c>
      <c r="J6077">
        <f>IF(OR(E6077="Prospecting",E6077="Engaging"),VLOOKUP(C6077,Products!$A$2:$C$8,3,FALSE),0)</f>
        <v>0</v>
      </c>
    </row>
    <row r="6078" spans="1:10" x14ac:dyDescent="0.25">
      <c r="A6078" t="s">
        <v>6245</v>
      </c>
      <c r="B6078" t="s">
        <v>146</v>
      </c>
      <c r="C6078" t="s">
        <v>123</v>
      </c>
      <c r="D6078" t="s">
        <v>33</v>
      </c>
      <c r="E6078" t="s">
        <v>138</v>
      </c>
      <c r="F6078" s="1">
        <v>42968</v>
      </c>
      <c r="G6078" s="1">
        <v>43042</v>
      </c>
      <c r="H6078">
        <v>54</v>
      </c>
      <c r="I6078" t="str">
        <f>IF(COUNTIF(Products!$A$2:$A$8,C6078)=0,C6078,"")</f>
        <v/>
      </c>
      <c r="J6078">
        <f>IF(OR(E6078="Prospecting",E6078="Engaging"),VLOOKUP(C6078,Products!$A$2:$C$8,3,FALSE),0)</f>
        <v>0</v>
      </c>
    </row>
    <row r="6079" spans="1:10" x14ac:dyDescent="0.25">
      <c r="A6079" t="s">
        <v>6246</v>
      </c>
      <c r="B6079" t="s">
        <v>222</v>
      </c>
      <c r="C6079" t="s">
        <v>127</v>
      </c>
      <c r="D6079" t="s">
        <v>27</v>
      </c>
      <c r="E6079" t="s">
        <v>155</v>
      </c>
      <c r="F6079" s="1">
        <v>42968</v>
      </c>
      <c r="I6079" t="str">
        <f>IF(COUNTIF(Products!$A$2:$A$8,C6079)=0,C6079,"")</f>
        <v/>
      </c>
      <c r="J6079">
        <f>IF(OR(E6079="Prospecting",E6079="Engaging"),VLOOKUP(C6079,Products!$A$2:$C$8,3,FALSE),0)</f>
        <v>1096</v>
      </c>
    </row>
    <row r="6080" spans="1:10" x14ac:dyDescent="0.25">
      <c r="A6080" t="s">
        <v>6247</v>
      </c>
      <c r="B6080" t="s">
        <v>140</v>
      </c>
      <c r="C6080" t="s">
        <v>127</v>
      </c>
      <c r="D6080" t="s">
        <v>26</v>
      </c>
      <c r="E6080" t="s">
        <v>159</v>
      </c>
      <c r="F6080" s="1">
        <v>42968</v>
      </c>
      <c r="G6080" s="1">
        <v>43066</v>
      </c>
      <c r="H6080">
        <v>0</v>
      </c>
      <c r="I6080" t="str">
        <f>IF(COUNTIF(Products!$A$2:$A$8,C6080)=0,C6080,"")</f>
        <v/>
      </c>
      <c r="J6080">
        <f>IF(OR(E6080="Prospecting",E6080="Engaging"),VLOOKUP(C6080,Products!$A$2:$C$8,3,FALSE),0)</f>
        <v>0</v>
      </c>
    </row>
    <row r="6081" spans="1:10" x14ac:dyDescent="0.25">
      <c r="A6081" t="s">
        <v>6248</v>
      </c>
      <c r="B6081" t="s">
        <v>140</v>
      </c>
      <c r="C6081" t="s">
        <v>120</v>
      </c>
      <c r="D6081" t="s">
        <v>46</v>
      </c>
      <c r="E6081" t="s">
        <v>138</v>
      </c>
      <c r="F6081" s="1">
        <v>42968</v>
      </c>
      <c r="G6081" s="1">
        <v>43051</v>
      </c>
      <c r="H6081">
        <v>509</v>
      </c>
      <c r="I6081" t="str">
        <f>IF(COUNTIF(Products!$A$2:$A$8,C6081)=0,C6081,"")</f>
        <v/>
      </c>
      <c r="J6081">
        <f>IF(OR(E6081="Prospecting",E6081="Engaging"),VLOOKUP(C6081,Products!$A$2:$C$8,3,FALSE),0)</f>
        <v>0</v>
      </c>
    </row>
    <row r="6082" spans="1:10" x14ac:dyDescent="0.25">
      <c r="A6082" t="s">
        <v>6249</v>
      </c>
      <c r="B6082" t="s">
        <v>158</v>
      </c>
      <c r="C6082" t="s">
        <v>125</v>
      </c>
      <c r="D6082" t="s">
        <v>104</v>
      </c>
      <c r="E6082" t="s">
        <v>138</v>
      </c>
      <c r="F6082" s="1">
        <v>42968</v>
      </c>
      <c r="G6082" s="1">
        <v>43075</v>
      </c>
      <c r="H6082">
        <v>3436</v>
      </c>
      <c r="I6082" t="str">
        <f>IF(COUNTIF(Products!$A$2:$A$8,C6082)=0,C6082,"")</f>
        <v/>
      </c>
      <c r="J6082">
        <f>IF(OR(E6082="Prospecting",E6082="Engaging"),VLOOKUP(C6082,Products!$A$2:$C$8,3,FALSE),0)</f>
        <v>0</v>
      </c>
    </row>
    <row r="6083" spans="1:10" x14ac:dyDescent="0.25">
      <c r="A6083" t="s">
        <v>6250</v>
      </c>
      <c r="B6083" t="s">
        <v>164</v>
      </c>
      <c r="C6083" t="s">
        <v>125</v>
      </c>
      <c r="D6083" t="s">
        <v>83</v>
      </c>
      <c r="E6083" t="s">
        <v>138</v>
      </c>
      <c r="F6083" s="1">
        <v>42968</v>
      </c>
      <c r="G6083" s="1">
        <v>43066</v>
      </c>
      <c r="H6083">
        <v>3514</v>
      </c>
      <c r="I6083" t="str">
        <f>IF(COUNTIF(Products!$A$2:$A$8,C6083)=0,C6083,"")</f>
        <v/>
      </c>
      <c r="J6083">
        <f>IF(OR(E6083="Prospecting",E6083="Engaging"),VLOOKUP(C6083,Products!$A$2:$C$8,3,FALSE),0)</f>
        <v>0</v>
      </c>
    </row>
    <row r="6084" spans="1:10" x14ac:dyDescent="0.25">
      <c r="A6084" t="s">
        <v>6251</v>
      </c>
      <c r="B6084" t="s">
        <v>303</v>
      </c>
      <c r="C6084" t="s">
        <v>120</v>
      </c>
      <c r="D6084" t="s">
        <v>85</v>
      </c>
      <c r="E6084" t="s">
        <v>138</v>
      </c>
      <c r="F6084" s="1">
        <v>42968</v>
      </c>
      <c r="G6084" s="1">
        <v>43099</v>
      </c>
      <c r="H6084">
        <v>611</v>
      </c>
      <c r="I6084" t="str">
        <f>IF(COUNTIF(Products!$A$2:$A$8,C6084)=0,C6084,"")</f>
        <v/>
      </c>
      <c r="J6084">
        <f>IF(OR(E6084="Prospecting",E6084="Engaging"),VLOOKUP(C6084,Products!$A$2:$C$8,3,FALSE),0)</f>
        <v>0</v>
      </c>
    </row>
    <row r="6085" spans="1:10" x14ac:dyDescent="0.25">
      <c r="A6085" t="s">
        <v>6252</v>
      </c>
      <c r="B6085" t="s">
        <v>180</v>
      </c>
      <c r="C6085" t="s">
        <v>127</v>
      </c>
      <c r="E6085" t="s">
        <v>155</v>
      </c>
      <c r="F6085" s="1">
        <v>42968</v>
      </c>
      <c r="I6085" t="str">
        <f>IF(COUNTIF(Products!$A$2:$A$8,C6085)=0,C6085,"")</f>
        <v/>
      </c>
      <c r="J6085">
        <f>IF(OR(E6085="Prospecting",E6085="Engaging"),VLOOKUP(C6085,Products!$A$2:$C$8,3,FALSE),0)</f>
        <v>1096</v>
      </c>
    </row>
    <row r="6086" spans="1:10" x14ac:dyDescent="0.25">
      <c r="A6086" t="s">
        <v>6253</v>
      </c>
      <c r="B6086" t="s">
        <v>191</v>
      </c>
      <c r="C6086" t="s">
        <v>123</v>
      </c>
      <c r="D6086" t="s">
        <v>34</v>
      </c>
      <c r="E6086" t="s">
        <v>138</v>
      </c>
      <c r="F6086" s="1">
        <v>42968</v>
      </c>
      <c r="G6086" s="1">
        <v>43047</v>
      </c>
      <c r="H6086">
        <v>58</v>
      </c>
      <c r="I6086" t="str">
        <f>IF(COUNTIF(Products!$A$2:$A$8,C6086)=0,C6086,"")</f>
        <v/>
      </c>
      <c r="J6086">
        <f>IF(OR(E6086="Prospecting",E6086="Engaging"),VLOOKUP(C6086,Products!$A$2:$C$8,3,FALSE),0)</f>
        <v>0</v>
      </c>
    </row>
    <row r="6087" spans="1:10" x14ac:dyDescent="0.25">
      <c r="A6087" t="s">
        <v>6254</v>
      </c>
      <c r="B6087" t="s">
        <v>217</v>
      </c>
      <c r="C6087" t="s">
        <v>125</v>
      </c>
      <c r="D6087" t="s">
        <v>42</v>
      </c>
      <c r="E6087" t="s">
        <v>159</v>
      </c>
      <c r="F6087" s="1">
        <v>42968</v>
      </c>
      <c r="G6087" s="1">
        <v>43056</v>
      </c>
      <c r="H6087">
        <v>0</v>
      </c>
      <c r="I6087" t="str">
        <f>IF(COUNTIF(Products!$A$2:$A$8,C6087)=0,C6087,"")</f>
        <v/>
      </c>
      <c r="J6087">
        <f>IF(OR(E6087="Prospecting",E6087="Engaging"),VLOOKUP(C6087,Products!$A$2:$C$8,3,FALSE),0)</f>
        <v>0</v>
      </c>
    </row>
    <row r="6088" spans="1:10" x14ac:dyDescent="0.25">
      <c r="A6088" t="s">
        <v>6255</v>
      </c>
      <c r="B6088" t="s">
        <v>217</v>
      </c>
      <c r="C6088" t="s">
        <v>120</v>
      </c>
      <c r="D6088" t="s">
        <v>96</v>
      </c>
      <c r="E6088" t="s">
        <v>138</v>
      </c>
      <c r="F6088" s="1">
        <v>42968</v>
      </c>
      <c r="G6088" s="1">
        <v>43082</v>
      </c>
      <c r="H6088">
        <v>513</v>
      </c>
      <c r="I6088" t="str">
        <f>IF(COUNTIF(Products!$A$2:$A$8,C6088)=0,C6088,"")</f>
        <v/>
      </c>
      <c r="J6088">
        <f>IF(OR(E6088="Prospecting",E6088="Engaging"),VLOOKUP(C6088,Products!$A$2:$C$8,3,FALSE),0)</f>
        <v>0</v>
      </c>
    </row>
    <row r="6089" spans="1:10" x14ac:dyDescent="0.25">
      <c r="A6089" t="s">
        <v>6256</v>
      </c>
      <c r="B6089" t="s">
        <v>150</v>
      </c>
      <c r="C6089" t="s">
        <v>123</v>
      </c>
      <c r="E6089" t="s">
        <v>155</v>
      </c>
      <c r="F6089" s="1">
        <v>42968</v>
      </c>
      <c r="I6089" t="str">
        <f>IF(COUNTIF(Products!$A$2:$A$8,C6089)=0,C6089,"")</f>
        <v/>
      </c>
      <c r="J6089">
        <f>IF(OR(E6089="Prospecting",E6089="Engaging"),VLOOKUP(C6089,Products!$A$2:$C$8,3,FALSE),0)</f>
        <v>55</v>
      </c>
    </row>
    <row r="6090" spans="1:10" x14ac:dyDescent="0.25">
      <c r="A6090" t="s">
        <v>6257</v>
      </c>
      <c r="B6090" t="s">
        <v>150</v>
      </c>
      <c r="C6090" t="s">
        <v>127</v>
      </c>
      <c r="D6090" t="s">
        <v>78</v>
      </c>
      <c r="E6090" t="s">
        <v>159</v>
      </c>
      <c r="F6090" s="1">
        <v>42968</v>
      </c>
      <c r="G6090" s="1">
        <v>42976</v>
      </c>
      <c r="H6090">
        <v>0</v>
      </c>
      <c r="I6090" t="str">
        <f>IF(COUNTIF(Products!$A$2:$A$8,C6090)=0,C6090,"")</f>
        <v/>
      </c>
      <c r="J6090">
        <f>IF(OR(E6090="Prospecting",E6090="Engaging"),VLOOKUP(C6090,Products!$A$2:$C$8,3,FALSE),0)</f>
        <v>0</v>
      </c>
    </row>
    <row r="6091" spans="1:10" x14ac:dyDescent="0.25">
      <c r="A6091" t="s">
        <v>6258</v>
      </c>
      <c r="B6091" t="s">
        <v>137</v>
      </c>
      <c r="C6091" t="s">
        <v>127</v>
      </c>
      <c r="D6091" t="s">
        <v>26</v>
      </c>
      <c r="E6091" t="s">
        <v>159</v>
      </c>
      <c r="F6091" s="1">
        <v>42968</v>
      </c>
      <c r="G6091" s="1">
        <v>43042</v>
      </c>
      <c r="H6091">
        <v>0</v>
      </c>
      <c r="I6091" t="str">
        <f>IF(COUNTIF(Products!$A$2:$A$8,C6091)=0,C6091,"")</f>
        <v/>
      </c>
      <c r="J6091">
        <f>IF(OR(E6091="Prospecting",E6091="Engaging"),VLOOKUP(C6091,Products!$A$2:$C$8,3,FALSE),0)</f>
        <v>0</v>
      </c>
    </row>
    <row r="6092" spans="1:10" x14ac:dyDescent="0.25">
      <c r="A6092" t="s">
        <v>6259</v>
      </c>
      <c r="B6092" t="s">
        <v>166</v>
      </c>
      <c r="C6092" t="s">
        <v>123</v>
      </c>
      <c r="D6092" t="s">
        <v>107</v>
      </c>
      <c r="E6092" t="s">
        <v>155</v>
      </c>
      <c r="F6092" s="1">
        <v>42968</v>
      </c>
      <c r="I6092" t="str">
        <f>IF(COUNTIF(Products!$A$2:$A$8,C6092)=0,C6092,"")</f>
        <v/>
      </c>
      <c r="J6092">
        <f>IF(OR(E6092="Prospecting",E6092="Engaging"),VLOOKUP(C6092,Products!$A$2:$C$8,3,FALSE),0)</f>
        <v>55</v>
      </c>
    </row>
    <row r="6093" spans="1:10" x14ac:dyDescent="0.25">
      <c r="A6093" t="s">
        <v>6260</v>
      </c>
      <c r="B6093" t="s">
        <v>169</v>
      </c>
      <c r="C6093" t="s">
        <v>123</v>
      </c>
      <c r="D6093" t="s">
        <v>104</v>
      </c>
      <c r="E6093" t="s">
        <v>138</v>
      </c>
      <c r="F6093" s="1">
        <v>42968</v>
      </c>
      <c r="G6093" s="1">
        <v>42986</v>
      </c>
      <c r="H6093">
        <v>54</v>
      </c>
      <c r="I6093" t="str">
        <f>IF(COUNTIF(Products!$A$2:$A$8,C6093)=0,C6093,"")</f>
        <v/>
      </c>
      <c r="J6093">
        <f>IF(OR(E6093="Prospecting",E6093="Engaging"),VLOOKUP(C6093,Products!$A$2:$C$8,3,FALSE),0)</f>
        <v>0</v>
      </c>
    </row>
    <row r="6094" spans="1:10" x14ac:dyDescent="0.25">
      <c r="A6094" t="s">
        <v>6261</v>
      </c>
      <c r="B6094" t="s">
        <v>148</v>
      </c>
      <c r="C6094" t="s">
        <v>123</v>
      </c>
      <c r="E6094" t="s">
        <v>155</v>
      </c>
      <c r="F6094" s="1">
        <v>42968</v>
      </c>
      <c r="I6094" t="str">
        <f>IF(COUNTIF(Products!$A$2:$A$8,C6094)=0,C6094,"")</f>
        <v/>
      </c>
      <c r="J6094">
        <f>IF(OR(E6094="Prospecting",E6094="Engaging"),VLOOKUP(C6094,Products!$A$2:$C$8,3,FALSE),0)</f>
        <v>55</v>
      </c>
    </row>
    <row r="6095" spans="1:10" x14ac:dyDescent="0.25">
      <c r="A6095" t="s">
        <v>6262</v>
      </c>
      <c r="B6095" t="s">
        <v>148</v>
      </c>
      <c r="C6095" t="s">
        <v>120</v>
      </c>
      <c r="D6095" t="s">
        <v>75</v>
      </c>
      <c r="E6095" t="s">
        <v>138</v>
      </c>
      <c r="F6095" s="1">
        <v>42968</v>
      </c>
      <c r="G6095" s="1">
        <v>43092</v>
      </c>
      <c r="H6095">
        <v>547</v>
      </c>
      <c r="I6095" t="str">
        <f>IF(COUNTIF(Products!$A$2:$A$8,C6095)=0,C6095,"")</f>
        <v/>
      </c>
      <c r="J6095">
        <f>IF(OR(E6095="Prospecting",E6095="Engaging"),VLOOKUP(C6095,Products!$A$2:$C$8,3,FALSE),0)</f>
        <v>0</v>
      </c>
    </row>
    <row r="6096" spans="1:10" x14ac:dyDescent="0.25">
      <c r="A6096" t="s">
        <v>6263</v>
      </c>
      <c r="B6096" t="s">
        <v>177</v>
      </c>
      <c r="C6096" t="s">
        <v>125</v>
      </c>
      <c r="D6096" t="s">
        <v>110</v>
      </c>
      <c r="E6096" t="s">
        <v>159</v>
      </c>
      <c r="F6096" s="1">
        <v>42968</v>
      </c>
      <c r="G6096" s="1">
        <v>43077</v>
      </c>
      <c r="H6096">
        <v>0</v>
      </c>
      <c r="I6096" t="str">
        <f>IF(COUNTIF(Products!$A$2:$A$8,C6096)=0,C6096,"")</f>
        <v/>
      </c>
      <c r="J6096">
        <f>IF(OR(E6096="Prospecting",E6096="Engaging"),VLOOKUP(C6096,Products!$A$2:$C$8,3,FALSE),0)</f>
        <v>0</v>
      </c>
    </row>
    <row r="6097" spans="1:10" x14ac:dyDescent="0.25">
      <c r="A6097" t="s">
        <v>6264</v>
      </c>
      <c r="B6097" t="s">
        <v>177</v>
      </c>
      <c r="C6097" t="s">
        <v>120</v>
      </c>
      <c r="D6097" t="s">
        <v>48</v>
      </c>
      <c r="E6097" t="s">
        <v>138</v>
      </c>
      <c r="F6097" s="1">
        <v>42968</v>
      </c>
      <c r="G6097" s="1">
        <v>42973</v>
      </c>
      <c r="H6097">
        <v>592</v>
      </c>
      <c r="I6097" t="str">
        <f>IF(COUNTIF(Products!$A$2:$A$8,C6097)=0,C6097,"")</f>
        <v/>
      </c>
      <c r="J6097">
        <f>IF(OR(E6097="Prospecting",E6097="Engaging"),VLOOKUP(C6097,Products!$A$2:$C$8,3,FALSE),0)</f>
        <v>0</v>
      </c>
    </row>
    <row r="6098" spans="1:10" x14ac:dyDescent="0.25">
      <c r="A6098" t="s">
        <v>6265</v>
      </c>
      <c r="B6098" t="s">
        <v>196</v>
      </c>
      <c r="C6098" t="s">
        <v>125</v>
      </c>
      <c r="D6098" t="s">
        <v>102</v>
      </c>
      <c r="E6098" t="s">
        <v>159</v>
      </c>
      <c r="F6098" s="1">
        <v>42968</v>
      </c>
      <c r="G6098" s="1">
        <v>43080</v>
      </c>
      <c r="H6098">
        <v>0</v>
      </c>
      <c r="I6098" t="str">
        <f>IF(COUNTIF(Products!$A$2:$A$8,C6098)=0,C6098,"")</f>
        <v/>
      </c>
      <c r="J6098">
        <f>IF(OR(E6098="Prospecting",E6098="Engaging"),VLOOKUP(C6098,Products!$A$2:$C$8,3,FALSE),0)</f>
        <v>0</v>
      </c>
    </row>
    <row r="6099" spans="1:10" x14ac:dyDescent="0.25">
      <c r="A6099" t="s">
        <v>6266</v>
      </c>
      <c r="B6099" t="s">
        <v>207</v>
      </c>
      <c r="C6099" t="s">
        <v>125</v>
      </c>
      <c r="E6099" t="s">
        <v>155</v>
      </c>
      <c r="F6099" s="1">
        <v>42969</v>
      </c>
      <c r="I6099" t="str">
        <f>IF(COUNTIF(Products!$A$2:$A$8,C6099)=0,C6099,"")</f>
        <v/>
      </c>
      <c r="J6099">
        <f>IF(OR(E6099="Prospecting",E6099="Engaging"),VLOOKUP(C6099,Products!$A$2:$C$8,3,FALSE),0)</f>
        <v>3393</v>
      </c>
    </row>
    <row r="6100" spans="1:10" x14ac:dyDescent="0.25">
      <c r="A6100" t="s">
        <v>6267</v>
      </c>
      <c r="B6100" t="s">
        <v>207</v>
      </c>
      <c r="C6100" t="s">
        <v>125</v>
      </c>
      <c r="D6100" t="s">
        <v>48</v>
      </c>
      <c r="E6100" t="s">
        <v>159</v>
      </c>
      <c r="F6100" s="1">
        <v>42969</v>
      </c>
      <c r="G6100" s="1">
        <v>43074</v>
      </c>
      <c r="H6100">
        <v>0</v>
      </c>
      <c r="I6100" t="str">
        <f>IF(COUNTIF(Products!$A$2:$A$8,C6100)=0,C6100,"")</f>
        <v/>
      </c>
      <c r="J6100">
        <f>IF(OR(E6100="Prospecting",E6100="Engaging"),VLOOKUP(C6100,Products!$A$2:$C$8,3,FALSE),0)</f>
        <v>0</v>
      </c>
    </row>
    <row r="6101" spans="1:10" x14ac:dyDescent="0.25">
      <c r="A6101" t="s">
        <v>6268</v>
      </c>
      <c r="B6101" t="s">
        <v>239</v>
      </c>
      <c r="C6101" t="s">
        <v>126</v>
      </c>
      <c r="D6101" t="s">
        <v>102</v>
      </c>
      <c r="E6101" t="s">
        <v>138</v>
      </c>
      <c r="F6101" s="1">
        <v>42969</v>
      </c>
      <c r="G6101" s="1">
        <v>43045</v>
      </c>
      <c r="H6101">
        <v>5529</v>
      </c>
      <c r="I6101" t="str">
        <f>IF(COUNTIF(Products!$A$2:$A$8,C6101)=0,C6101,"")</f>
        <v/>
      </c>
      <c r="J6101">
        <f>IF(OR(E6101="Prospecting",E6101="Engaging"),VLOOKUP(C6101,Products!$A$2:$C$8,3,FALSE),0)</f>
        <v>0</v>
      </c>
    </row>
    <row r="6102" spans="1:10" x14ac:dyDescent="0.25">
      <c r="A6102" t="s">
        <v>6269</v>
      </c>
      <c r="B6102" t="s">
        <v>239</v>
      </c>
      <c r="C6102" t="s">
        <v>122</v>
      </c>
      <c r="D6102" t="s">
        <v>50</v>
      </c>
      <c r="E6102" t="s">
        <v>138</v>
      </c>
      <c r="F6102" s="1">
        <v>42969</v>
      </c>
      <c r="G6102" s="1">
        <v>42980</v>
      </c>
      <c r="H6102">
        <v>5002</v>
      </c>
      <c r="I6102" t="str">
        <f>IF(COUNTIF(Products!$A$2:$A$8,C6102)=0,C6102,"")</f>
        <v/>
      </c>
      <c r="J6102">
        <f>IF(OR(E6102="Prospecting",E6102="Engaging"),VLOOKUP(C6102,Products!$A$2:$C$8,3,FALSE),0)</f>
        <v>0</v>
      </c>
    </row>
    <row r="6103" spans="1:10" x14ac:dyDescent="0.25">
      <c r="A6103" t="s">
        <v>6270</v>
      </c>
      <c r="B6103" t="s">
        <v>224</v>
      </c>
      <c r="C6103" t="s">
        <v>120</v>
      </c>
      <c r="D6103" t="s">
        <v>105</v>
      </c>
      <c r="E6103" t="s">
        <v>159</v>
      </c>
      <c r="F6103" s="1">
        <v>42969</v>
      </c>
      <c r="G6103" s="1">
        <v>42979</v>
      </c>
      <c r="H6103">
        <v>0</v>
      </c>
      <c r="I6103" t="str">
        <f>IF(COUNTIF(Products!$A$2:$A$8,C6103)=0,C6103,"")</f>
        <v/>
      </c>
      <c r="J6103">
        <f>IF(OR(E6103="Prospecting",E6103="Engaging"),VLOOKUP(C6103,Products!$A$2:$C$8,3,FALSE),0)</f>
        <v>0</v>
      </c>
    </row>
    <row r="6104" spans="1:10" x14ac:dyDescent="0.25">
      <c r="A6104" t="s">
        <v>6271</v>
      </c>
      <c r="B6104" t="s">
        <v>224</v>
      </c>
      <c r="C6104" t="s">
        <v>122</v>
      </c>
      <c r="D6104" t="s">
        <v>115</v>
      </c>
      <c r="E6104" t="s">
        <v>159</v>
      </c>
      <c r="F6104" s="1">
        <v>42969</v>
      </c>
      <c r="G6104" s="1">
        <v>43040</v>
      </c>
      <c r="H6104">
        <v>0</v>
      </c>
      <c r="I6104" t="str">
        <f>IF(COUNTIF(Products!$A$2:$A$8,C6104)=0,C6104,"")</f>
        <v/>
      </c>
      <c r="J6104">
        <f>IF(OR(E6104="Prospecting",E6104="Engaging"),VLOOKUP(C6104,Products!$A$2:$C$8,3,FALSE),0)</f>
        <v>0</v>
      </c>
    </row>
    <row r="6105" spans="1:10" x14ac:dyDescent="0.25">
      <c r="A6105" t="s">
        <v>6272</v>
      </c>
      <c r="B6105" t="s">
        <v>154</v>
      </c>
      <c r="C6105" t="s">
        <v>120</v>
      </c>
      <c r="D6105" t="s">
        <v>57</v>
      </c>
      <c r="E6105" t="s">
        <v>138</v>
      </c>
      <c r="F6105" s="1">
        <v>42969</v>
      </c>
      <c r="G6105" s="1">
        <v>43089</v>
      </c>
      <c r="H6105">
        <v>476</v>
      </c>
      <c r="I6105" t="str">
        <f>IF(COUNTIF(Products!$A$2:$A$8,C6105)=0,C6105,"")</f>
        <v/>
      </c>
      <c r="J6105">
        <f>IF(OR(E6105="Prospecting",E6105="Engaging"),VLOOKUP(C6105,Products!$A$2:$C$8,3,FALSE),0)</f>
        <v>0</v>
      </c>
    </row>
    <row r="6106" spans="1:10" x14ac:dyDescent="0.25">
      <c r="A6106" t="s">
        <v>6273</v>
      </c>
      <c r="B6106" t="s">
        <v>150</v>
      </c>
      <c r="C6106" t="s">
        <v>123</v>
      </c>
      <c r="D6106" t="s">
        <v>29</v>
      </c>
      <c r="E6106" t="s">
        <v>138</v>
      </c>
      <c r="F6106" s="1">
        <v>42969</v>
      </c>
      <c r="G6106" s="1">
        <v>43057</v>
      </c>
      <c r="H6106">
        <v>56</v>
      </c>
      <c r="I6106" t="str">
        <f>IF(COUNTIF(Products!$A$2:$A$8,C6106)=0,C6106,"")</f>
        <v/>
      </c>
      <c r="J6106">
        <f>IF(OR(E6106="Prospecting",E6106="Engaging"),VLOOKUP(C6106,Products!$A$2:$C$8,3,FALSE),0)</f>
        <v>0</v>
      </c>
    </row>
    <row r="6107" spans="1:10" x14ac:dyDescent="0.25">
      <c r="A6107" t="s">
        <v>6274</v>
      </c>
      <c r="B6107" t="s">
        <v>205</v>
      </c>
      <c r="C6107" t="s">
        <v>126</v>
      </c>
      <c r="D6107" t="s">
        <v>64</v>
      </c>
      <c r="E6107" t="s">
        <v>159</v>
      </c>
      <c r="F6107" s="1">
        <v>42969</v>
      </c>
      <c r="G6107" s="1">
        <v>42978</v>
      </c>
      <c r="H6107">
        <v>0</v>
      </c>
      <c r="I6107" t="str">
        <f>IF(COUNTIF(Products!$A$2:$A$8,C6107)=0,C6107,"")</f>
        <v/>
      </c>
      <c r="J6107">
        <f>IF(OR(E6107="Prospecting",E6107="Engaging"),VLOOKUP(C6107,Products!$A$2:$C$8,3,FALSE),0)</f>
        <v>0</v>
      </c>
    </row>
    <row r="6108" spans="1:10" x14ac:dyDescent="0.25">
      <c r="A6108" t="s">
        <v>6275</v>
      </c>
      <c r="B6108" t="s">
        <v>162</v>
      </c>
      <c r="C6108" t="s">
        <v>127</v>
      </c>
      <c r="D6108" t="s">
        <v>69</v>
      </c>
      <c r="E6108" t="s">
        <v>159</v>
      </c>
      <c r="F6108" s="1">
        <v>42969</v>
      </c>
      <c r="G6108" s="1">
        <v>43070</v>
      </c>
      <c r="H6108">
        <v>0</v>
      </c>
      <c r="I6108" t="str">
        <f>IF(COUNTIF(Products!$A$2:$A$8,C6108)=0,C6108,"")</f>
        <v/>
      </c>
      <c r="J6108">
        <f>IF(OR(E6108="Prospecting",E6108="Engaging"),VLOOKUP(C6108,Products!$A$2:$C$8,3,FALSE),0)</f>
        <v>0</v>
      </c>
    </row>
    <row r="6109" spans="1:10" x14ac:dyDescent="0.25">
      <c r="A6109" t="s">
        <v>6276</v>
      </c>
      <c r="B6109" t="s">
        <v>162</v>
      </c>
      <c r="C6109" t="s">
        <v>120</v>
      </c>
      <c r="D6109" t="s">
        <v>93</v>
      </c>
      <c r="E6109" t="s">
        <v>138</v>
      </c>
      <c r="F6109" s="1">
        <v>42969</v>
      </c>
      <c r="G6109" s="1">
        <v>43069</v>
      </c>
      <c r="H6109">
        <v>601</v>
      </c>
      <c r="I6109" t="str">
        <f>IF(COUNTIF(Products!$A$2:$A$8,C6109)=0,C6109,"")</f>
        <v/>
      </c>
      <c r="J6109">
        <f>IF(OR(E6109="Prospecting",E6109="Engaging"),VLOOKUP(C6109,Products!$A$2:$C$8,3,FALSE),0)</f>
        <v>0</v>
      </c>
    </row>
    <row r="6110" spans="1:10" x14ac:dyDescent="0.25">
      <c r="A6110" t="s">
        <v>6277</v>
      </c>
      <c r="B6110" t="s">
        <v>162</v>
      </c>
      <c r="C6110" t="s">
        <v>127</v>
      </c>
      <c r="D6110" t="s">
        <v>34</v>
      </c>
      <c r="E6110" t="s">
        <v>138</v>
      </c>
      <c r="F6110" s="1">
        <v>42969</v>
      </c>
      <c r="G6110" s="1">
        <v>43097</v>
      </c>
      <c r="H6110">
        <v>1005</v>
      </c>
      <c r="I6110" t="str">
        <f>IF(COUNTIF(Products!$A$2:$A$8,C6110)=0,C6110,"")</f>
        <v/>
      </c>
      <c r="J6110">
        <f>IF(OR(E6110="Prospecting",E6110="Engaging"),VLOOKUP(C6110,Products!$A$2:$C$8,3,FALSE),0)</f>
        <v>0</v>
      </c>
    </row>
    <row r="6111" spans="1:10" x14ac:dyDescent="0.25">
      <c r="A6111" t="s">
        <v>6278</v>
      </c>
      <c r="B6111" t="s">
        <v>137</v>
      </c>
      <c r="C6111" t="s">
        <v>126</v>
      </c>
      <c r="D6111" t="s">
        <v>77</v>
      </c>
      <c r="E6111" t="s">
        <v>138</v>
      </c>
      <c r="F6111" s="1">
        <v>42969</v>
      </c>
      <c r="G6111" s="1">
        <v>43050</v>
      </c>
      <c r="H6111">
        <v>4731</v>
      </c>
      <c r="I6111" t="str">
        <f>IF(COUNTIF(Products!$A$2:$A$8,C6111)=0,C6111,"")</f>
        <v/>
      </c>
      <c r="J6111">
        <f>IF(OR(E6111="Prospecting",E6111="Engaging"),VLOOKUP(C6111,Products!$A$2:$C$8,3,FALSE),0)</f>
        <v>0</v>
      </c>
    </row>
    <row r="6112" spans="1:10" x14ac:dyDescent="0.25">
      <c r="A6112" t="s">
        <v>6279</v>
      </c>
      <c r="B6112" t="s">
        <v>193</v>
      </c>
      <c r="C6112" t="s">
        <v>126</v>
      </c>
      <c r="D6112" t="s">
        <v>20</v>
      </c>
      <c r="E6112" t="s">
        <v>159</v>
      </c>
      <c r="F6112" s="1">
        <v>42969</v>
      </c>
      <c r="G6112" s="1">
        <v>43049</v>
      </c>
      <c r="H6112">
        <v>0</v>
      </c>
      <c r="I6112" t="str">
        <f>IF(COUNTIF(Products!$A$2:$A$8,C6112)=0,C6112,"")</f>
        <v/>
      </c>
      <c r="J6112">
        <f>IF(OR(E6112="Prospecting",E6112="Engaging"),VLOOKUP(C6112,Products!$A$2:$C$8,3,FALSE),0)</f>
        <v>0</v>
      </c>
    </row>
    <row r="6113" spans="1:10" x14ac:dyDescent="0.25">
      <c r="A6113" t="s">
        <v>6280</v>
      </c>
      <c r="B6113" t="s">
        <v>193</v>
      </c>
      <c r="C6113" t="s">
        <v>122</v>
      </c>
      <c r="D6113" t="s">
        <v>48</v>
      </c>
      <c r="E6113" t="s">
        <v>138</v>
      </c>
      <c r="F6113" s="1">
        <v>42969</v>
      </c>
      <c r="G6113" s="1">
        <v>42980</v>
      </c>
      <c r="H6113">
        <v>4649</v>
      </c>
      <c r="I6113" t="str">
        <f>IF(COUNTIF(Products!$A$2:$A$8,C6113)=0,C6113,"")</f>
        <v/>
      </c>
      <c r="J6113">
        <f>IF(OR(E6113="Prospecting",E6113="Engaging"),VLOOKUP(C6113,Products!$A$2:$C$8,3,FALSE),0)</f>
        <v>0</v>
      </c>
    </row>
    <row r="6114" spans="1:10" x14ac:dyDescent="0.25">
      <c r="A6114" t="s">
        <v>6281</v>
      </c>
      <c r="B6114" t="s">
        <v>187</v>
      </c>
      <c r="C6114" t="s">
        <v>122</v>
      </c>
      <c r="D6114" t="s">
        <v>105</v>
      </c>
      <c r="E6114" t="s">
        <v>138</v>
      </c>
      <c r="F6114" s="1">
        <v>42969</v>
      </c>
      <c r="G6114" s="1">
        <v>42979</v>
      </c>
      <c r="H6114">
        <v>4787</v>
      </c>
      <c r="I6114" t="str">
        <f>IF(COUNTIF(Products!$A$2:$A$8,C6114)=0,C6114,"")</f>
        <v/>
      </c>
      <c r="J6114">
        <f>IF(OR(E6114="Prospecting",E6114="Engaging"),VLOOKUP(C6114,Products!$A$2:$C$8,3,FALSE),0)</f>
        <v>0</v>
      </c>
    </row>
    <row r="6115" spans="1:10" x14ac:dyDescent="0.25">
      <c r="A6115" t="s">
        <v>6282</v>
      </c>
      <c r="B6115" t="s">
        <v>196</v>
      </c>
      <c r="C6115" t="s">
        <v>125</v>
      </c>
      <c r="E6115" t="s">
        <v>155</v>
      </c>
      <c r="F6115" s="1">
        <v>42969</v>
      </c>
      <c r="I6115" t="str">
        <f>IF(COUNTIF(Products!$A$2:$A$8,C6115)=0,C6115,"")</f>
        <v/>
      </c>
      <c r="J6115">
        <f>IF(OR(E6115="Prospecting",E6115="Engaging"),VLOOKUP(C6115,Products!$A$2:$C$8,3,FALSE),0)</f>
        <v>3393</v>
      </c>
    </row>
    <row r="6116" spans="1:10" x14ac:dyDescent="0.25">
      <c r="A6116" t="s">
        <v>6283</v>
      </c>
      <c r="B6116" t="s">
        <v>196</v>
      </c>
      <c r="C6116" t="s">
        <v>125</v>
      </c>
      <c r="D6116" t="s">
        <v>102</v>
      </c>
      <c r="E6116" t="s">
        <v>138</v>
      </c>
      <c r="F6116" s="1">
        <v>42969</v>
      </c>
      <c r="G6116" s="1">
        <v>43091</v>
      </c>
      <c r="H6116">
        <v>2994</v>
      </c>
      <c r="I6116" t="str">
        <f>IF(COUNTIF(Products!$A$2:$A$8,C6116)=0,C6116,"")</f>
        <v/>
      </c>
      <c r="J6116">
        <f>IF(OR(E6116="Prospecting",E6116="Engaging"),VLOOKUP(C6116,Products!$A$2:$C$8,3,FALSE),0)</f>
        <v>0</v>
      </c>
    </row>
    <row r="6117" spans="1:10" x14ac:dyDescent="0.25">
      <c r="A6117" t="s">
        <v>6284</v>
      </c>
      <c r="B6117" t="s">
        <v>144</v>
      </c>
      <c r="C6117" t="s">
        <v>127</v>
      </c>
      <c r="E6117" t="s">
        <v>155</v>
      </c>
      <c r="F6117" s="1">
        <v>42969</v>
      </c>
      <c r="I6117" t="str">
        <f>IF(COUNTIF(Products!$A$2:$A$8,C6117)=0,C6117,"")</f>
        <v/>
      </c>
      <c r="J6117">
        <f>IF(OR(E6117="Prospecting",E6117="Engaging"),VLOOKUP(C6117,Products!$A$2:$C$8,3,FALSE),0)</f>
        <v>1096</v>
      </c>
    </row>
    <row r="6118" spans="1:10" x14ac:dyDescent="0.25">
      <c r="A6118" t="s">
        <v>6285</v>
      </c>
      <c r="B6118" t="s">
        <v>144</v>
      </c>
      <c r="C6118" t="s">
        <v>122</v>
      </c>
      <c r="E6118" t="s">
        <v>155</v>
      </c>
      <c r="F6118" s="1">
        <v>42969</v>
      </c>
      <c r="I6118" t="str">
        <f>IF(COUNTIF(Products!$A$2:$A$8,C6118)=0,C6118,"")</f>
        <v/>
      </c>
      <c r="J6118">
        <f>IF(OR(E6118="Prospecting",E6118="Engaging"),VLOOKUP(C6118,Products!$A$2:$C$8,3,FALSE),0)</f>
        <v>4821</v>
      </c>
    </row>
    <row r="6119" spans="1:10" x14ac:dyDescent="0.25">
      <c r="A6119" t="s">
        <v>6286</v>
      </c>
      <c r="B6119" t="s">
        <v>146</v>
      </c>
      <c r="C6119" t="s">
        <v>125</v>
      </c>
      <c r="D6119" t="s">
        <v>46</v>
      </c>
      <c r="E6119" t="s">
        <v>159</v>
      </c>
      <c r="F6119" s="1">
        <v>42970</v>
      </c>
      <c r="G6119" s="1">
        <v>43047</v>
      </c>
      <c r="H6119">
        <v>0</v>
      </c>
      <c r="I6119" t="str">
        <f>IF(COUNTIF(Products!$A$2:$A$8,C6119)=0,C6119,"")</f>
        <v/>
      </c>
      <c r="J6119">
        <f>IF(OR(E6119="Prospecting",E6119="Engaging"),VLOOKUP(C6119,Products!$A$2:$C$8,3,FALSE),0)</f>
        <v>0</v>
      </c>
    </row>
    <row r="6120" spans="1:10" x14ac:dyDescent="0.25">
      <c r="A6120" t="s">
        <v>6287</v>
      </c>
      <c r="B6120" t="s">
        <v>146</v>
      </c>
      <c r="C6120" t="s">
        <v>123</v>
      </c>
      <c r="D6120" t="s">
        <v>27</v>
      </c>
      <c r="E6120" t="s">
        <v>138</v>
      </c>
      <c r="F6120" s="1">
        <v>42970</v>
      </c>
      <c r="G6120" s="1">
        <v>43053</v>
      </c>
      <c r="H6120">
        <v>58</v>
      </c>
      <c r="I6120" t="str">
        <f>IF(COUNTIF(Products!$A$2:$A$8,C6120)=0,C6120,"")</f>
        <v/>
      </c>
      <c r="J6120">
        <f>IF(OR(E6120="Prospecting",E6120="Engaging"),VLOOKUP(C6120,Products!$A$2:$C$8,3,FALSE),0)</f>
        <v>0</v>
      </c>
    </row>
    <row r="6121" spans="1:10" x14ac:dyDescent="0.25">
      <c r="A6121" t="s">
        <v>6288</v>
      </c>
      <c r="B6121" t="s">
        <v>222</v>
      </c>
      <c r="C6121" t="s">
        <v>125</v>
      </c>
      <c r="E6121" t="s">
        <v>155</v>
      </c>
      <c r="F6121" s="1">
        <v>42970</v>
      </c>
      <c r="I6121" t="str">
        <f>IF(COUNTIF(Products!$A$2:$A$8,C6121)=0,C6121,"")</f>
        <v/>
      </c>
      <c r="J6121">
        <f>IF(OR(E6121="Prospecting",E6121="Engaging"),VLOOKUP(C6121,Products!$A$2:$C$8,3,FALSE),0)</f>
        <v>3393</v>
      </c>
    </row>
    <row r="6122" spans="1:10" x14ac:dyDescent="0.25">
      <c r="A6122" t="s">
        <v>6289</v>
      </c>
      <c r="B6122" t="s">
        <v>264</v>
      </c>
      <c r="C6122" t="s">
        <v>127</v>
      </c>
      <c r="D6122" t="s">
        <v>12</v>
      </c>
      <c r="E6122" t="s">
        <v>138</v>
      </c>
      <c r="F6122" s="1">
        <v>42970</v>
      </c>
      <c r="G6122" s="1">
        <v>43052</v>
      </c>
      <c r="H6122">
        <v>1074</v>
      </c>
      <c r="I6122" t="str">
        <f>IF(COUNTIF(Products!$A$2:$A$8,C6122)=0,C6122,"")</f>
        <v/>
      </c>
      <c r="J6122">
        <f>IF(OR(E6122="Prospecting",E6122="Engaging"),VLOOKUP(C6122,Products!$A$2:$C$8,3,FALSE),0)</f>
        <v>0</v>
      </c>
    </row>
    <row r="6123" spans="1:10" x14ac:dyDescent="0.25">
      <c r="A6123" t="s">
        <v>6290</v>
      </c>
      <c r="B6123" t="s">
        <v>264</v>
      </c>
      <c r="C6123" t="s">
        <v>123</v>
      </c>
      <c r="D6123" t="s">
        <v>64</v>
      </c>
      <c r="E6123" t="s">
        <v>138</v>
      </c>
      <c r="F6123" s="1">
        <v>42970</v>
      </c>
      <c r="G6123" s="1">
        <v>42973</v>
      </c>
      <c r="H6123">
        <v>54</v>
      </c>
      <c r="I6123" t="str">
        <f>IF(COUNTIF(Products!$A$2:$A$8,C6123)=0,C6123,"")</f>
        <v/>
      </c>
      <c r="J6123">
        <f>IF(OR(E6123="Prospecting",E6123="Engaging"),VLOOKUP(C6123,Products!$A$2:$C$8,3,FALSE),0)</f>
        <v>0</v>
      </c>
    </row>
    <row r="6124" spans="1:10" x14ac:dyDescent="0.25">
      <c r="A6124" t="s">
        <v>6291</v>
      </c>
      <c r="B6124" t="s">
        <v>171</v>
      </c>
      <c r="C6124" t="s">
        <v>122</v>
      </c>
      <c r="E6124" t="s">
        <v>155</v>
      </c>
      <c r="F6124" s="1">
        <v>42970</v>
      </c>
      <c r="I6124" t="str">
        <f>IF(COUNTIF(Products!$A$2:$A$8,C6124)=0,C6124,"")</f>
        <v/>
      </c>
      <c r="J6124">
        <f>IF(OR(E6124="Prospecting",E6124="Engaging"),VLOOKUP(C6124,Products!$A$2:$C$8,3,FALSE),0)</f>
        <v>4821</v>
      </c>
    </row>
    <row r="6125" spans="1:10" x14ac:dyDescent="0.25">
      <c r="A6125" t="s">
        <v>6292</v>
      </c>
      <c r="B6125" t="s">
        <v>171</v>
      </c>
      <c r="C6125" t="s">
        <v>120</v>
      </c>
      <c r="D6125" t="s">
        <v>48</v>
      </c>
      <c r="E6125" t="s">
        <v>159</v>
      </c>
      <c r="F6125" s="1">
        <v>42970</v>
      </c>
      <c r="G6125" s="1">
        <v>43040</v>
      </c>
      <c r="H6125">
        <v>0</v>
      </c>
      <c r="I6125" t="str">
        <f>IF(COUNTIF(Products!$A$2:$A$8,C6125)=0,C6125,"")</f>
        <v/>
      </c>
      <c r="J6125">
        <f>IF(OR(E6125="Prospecting",E6125="Engaging"),VLOOKUP(C6125,Products!$A$2:$C$8,3,FALSE),0)</f>
        <v>0</v>
      </c>
    </row>
    <row r="6126" spans="1:10" x14ac:dyDescent="0.25">
      <c r="A6126" t="s">
        <v>6293</v>
      </c>
      <c r="B6126" t="s">
        <v>171</v>
      </c>
      <c r="C6126" t="s">
        <v>127</v>
      </c>
      <c r="D6126" t="s">
        <v>48</v>
      </c>
      <c r="E6126" t="s">
        <v>138</v>
      </c>
      <c r="F6126" s="1">
        <v>42970</v>
      </c>
      <c r="G6126" s="1">
        <v>43072</v>
      </c>
      <c r="H6126">
        <v>1054</v>
      </c>
      <c r="I6126" t="str">
        <f>IF(COUNTIF(Products!$A$2:$A$8,C6126)=0,C6126,"")</f>
        <v/>
      </c>
      <c r="J6126">
        <f>IF(OR(E6126="Prospecting",E6126="Engaging"),VLOOKUP(C6126,Products!$A$2:$C$8,3,FALSE),0)</f>
        <v>0</v>
      </c>
    </row>
    <row r="6127" spans="1:10" x14ac:dyDescent="0.25">
      <c r="A6127" t="s">
        <v>6294</v>
      </c>
      <c r="B6127" t="s">
        <v>140</v>
      </c>
      <c r="C6127" t="s">
        <v>122</v>
      </c>
      <c r="D6127" t="s">
        <v>12</v>
      </c>
      <c r="E6127" t="s">
        <v>138</v>
      </c>
      <c r="F6127" s="1">
        <v>42970</v>
      </c>
      <c r="G6127" s="1">
        <v>43053</v>
      </c>
      <c r="H6127">
        <v>4833</v>
      </c>
      <c r="I6127" t="str">
        <f>IF(COUNTIF(Products!$A$2:$A$8,C6127)=0,C6127,"")</f>
        <v/>
      </c>
      <c r="J6127">
        <f>IF(OR(E6127="Prospecting",E6127="Engaging"),VLOOKUP(C6127,Products!$A$2:$C$8,3,FALSE),0)</f>
        <v>0</v>
      </c>
    </row>
    <row r="6128" spans="1:10" x14ac:dyDescent="0.25">
      <c r="A6128" t="s">
        <v>6295</v>
      </c>
      <c r="B6128" t="s">
        <v>140</v>
      </c>
      <c r="C6128" t="s">
        <v>122</v>
      </c>
      <c r="D6128" t="s">
        <v>36</v>
      </c>
      <c r="E6128" t="s">
        <v>138</v>
      </c>
      <c r="F6128" s="1">
        <v>42970</v>
      </c>
      <c r="G6128" s="1">
        <v>43089</v>
      </c>
      <c r="H6128">
        <v>4744</v>
      </c>
      <c r="I6128" t="str">
        <f>IF(COUNTIF(Products!$A$2:$A$8,C6128)=0,C6128,"")</f>
        <v/>
      </c>
      <c r="J6128">
        <f>IF(OR(E6128="Prospecting",E6128="Engaging"),VLOOKUP(C6128,Products!$A$2:$C$8,3,FALSE),0)</f>
        <v>0</v>
      </c>
    </row>
    <row r="6129" spans="1:10" x14ac:dyDescent="0.25">
      <c r="A6129" t="s">
        <v>6296</v>
      </c>
      <c r="B6129" t="s">
        <v>198</v>
      </c>
      <c r="C6129" t="s">
        <v>125</v>
      </c>
      <c r="D6129" t="s">
        <v>84</v>
      </c>
      <c r="E6129" t="s">
        <v>159</v>
      </c>
      <c r="F6129" s="1">
        <v>42970</v>
      </c>
      <c r="G6129" s="1">
        <v>43042</v>
      </c>
      <c r="H6129">
        <v>0</v>
      </c>
      <c r="I6129" t="str">
        <f>IF(COUNTIF(Products!$A$2:$A$8,C6129)=0,C6129,"")</f>
        <v/>
      </c>
      <c r="J6129">
        <f>IF(OR(E6129="Prospecting",E6129="Engaging"),VLOOKUP(C6129,Products!$A$2:$C$8,3,FALSE),0)</f>
        <v>0</v>
      </c>
    </row>
    <row r="6130" spans="1:10" x14ac:dyDescent="0.25">
      <c r="A6130" t="s">
        <v>6297</v>
      </c>
      <c r="B6130" t="s">
        <v>154</v>
      </c>
      <c r="C6130" t="s">
        <v>120</v>
      </c>
      <c r="D6130" t="s">
        <v>71</v>
      </c>
      <c r="E6130" t="s">
        <v>138</v>
      </c>
      <c r="F6130" s="1">
        <v>42970</v>
      </c>
      <c r="G6130" s="1">
        <v>43068</v>
      </c>
      <c r="H6130">
        <v>508</v>
      </c>
      <c r="I6130" t="str">
        <f>IF(COUNTIF(Products!$A$2:$A$8,C6130)=0,C6130,"")</f>
        <v/>
      </c>
      <c r="J6130">
        <f>IF(OR(E6130="Prospecting",E6130="Engaging"),VLOOKUP(C6130,Products!$A$2:$C$8,3,FALSE),0)</f>
        <v>0</v>
      </c>
    </row>
    <row r="6131" spans="1:10" x14ac:dyDescent="0.25">
      <c r="A6131" t="s">
        <v>6298</v>
      </c>
      <c r="B6131" t="s">
        <v>303</v>
      </c>
      <c r="C6131" t="s">
        <v>123</v>
      </c>
      <c r="D6131" t="s">
        <v>55</v>
      </c>
      <c r="E6131" t="s">
        <v>138</v>
      </c>
      <c r="F6131" s="1">
        <v>42970</v>
      </c>
      <c r="G6131" s="1">
        <v>43058</v>
      </c>
      <c r="H6131">
        <v>57</v>
      </c>
      <c r="I6131" t="str">
        <f>IF(COUNTIF(Products!$A$2:$A$8,C6131)=0,C6131,"")</f>
        <v/>
      </c>
      <c r="J6131">
        <f>IF(OR(E6131="Prospecting",E6131="Engaging"),VLOOKUP(C6131,Products!$A$2:$C$8,3,FALSE),0)</f>
        <v>0</v>
      </c>
    </row>
    <row r="6132" spans="1:10" x14ac:dyDescent="0.25">
      <c r="A6132" t="s">
        <v>6299</v>
      </c>
      <c r="B6132" t="s">
        <v>180</v>
      </c>
      <c r="C6132" t="s">
        <v>120</v>
      </c>
      <c r="D6132" t="s">
        <v>72</v>
      </c>
      <c r="E6132" t="s">
        <v>155</v>
      </c>
      <c r="F6132" s="1">
        <v>42970</v>
      </c>
      <c r="I6132" t="str">
        <f>IF(COUNTIF(Products!$A$2:$A$8,C6132)=0,C6132,"")</f>
        <v/>
      </c>
      <c r="J6132">
        <f>IF(OR(E6132="Prospecting",E6132="Engaging"),VLOOKUP(C6132,Products!$A$2:$C$8,3,FALSE),0)</f>
        <v>550</v>
      </c>
    </row>
    <row r="6133" spans="1:10" x14ac:dyDescent="0.25">
      <c r="A6133" t="s">
        <v>6300</v>
      </c>
      <c r="B6133" t="s">
        <v>191</v>
      </c>
      <c r="C6133" t="s">
        <v>127</v>
      </c>
      <c r="D6133" t="s">
        <v>66</v>
      </c>
      <c r="E6133" t="s">
        <v>159</v>
      </c>
      <c r="F6133" s="1">
        <v>42970</v>
      </c>
      <c r="G6133" s="1">
        <v>42991</v>
      </c>
      <c r="H6133">
        <v>0</v>
      </c>
      <c r="I6133" t="str">
        <f>IF(COUNTIF(Products!$A$2:$A$8,C6133)=0,C6133,"")</f>
        <v/>
      </c>
      <c r="J6133">
        <f>IF(OR(E6133="Prospecting",E6133="Engaging"),VLOOKUP(C6133,Products!$A$2:$C$8,3,FALSE),0)</f>
        <v>0</v>
      </c>
    </row>
    <row r="6134" spans="1:10" x14ac:dyDescent="0.25">
      <c r="A6134" t="s">
        <v>6301</v>
      </c>
      <c r="B6134" t="s">
        <v>191</v>
      </c>
      <c r="C6134" t="s">
        <v>122</v>
      </c>
      <c r="D6134" t="s">
        <v>90</v>
      </c>
      <c r="E6134" t="s">
        <v>138</v>
      </c>
      <c r="F6134" s="1">
        <v>42970</v>
      </c>
      <c r="G6134" s="1">
        <v>43054</v>
      </c>
      <c r="H6134">
        <v>5280</v>
      </c>
      <c r="I6134" t="str">
        <f>IF(COUNTIF(Products!$A$2:$A$8,C6134)=0,C6134,"")</f>
        <v/>
      </c>
      <c r="J6134">
        <f>IF(OR(E6134="Prospecting",E6134="Engaging"),VLOOKUP(C6134,Products!$A$2:$C$8,3,FALSE),0)</f>
        <v>0</v>
      </c>
    </row>
    <row r="6135" spans="1:10" x14ac:dyDescent="0.25">
      <c r="A6135" t="s">
        <v>6302</v>
      </c>
      <c r="B6135" t="s">
        <v>191</v>
      </c>
      <c r="C6135" t="s">
        <v>123</v>
      </c>
      <c r="D6135" t="s">
        <v>100</v>
      </c>
      <c r="E6135" t="s">
        <v>138</v>
      </c>
      <c r="F6135" s="1">
        <v>42970</v>
      </c>
      <c r="G6135" s="1">
        <v>42972</v>
      </c>
      <c r="H6135">
        <v>62</v>
      </c>
      <c r="I6135" t="str">
        <f>IF(COUNTIF(Products!$A$2:$A$8,C6135)=0,C6135,"")</f>
        <v/>
      </c>
      <c r="J6135">
        <f>IF(OR(E6135="Prospecting",E6135="Engaging"),VLOOKUP(C6135,Products!$A$2:$C$8,3,FALSE),0)</f>
        <v>0</v>
      </c>
    </row>
    <row r="6136" spans="1:10" x14ac:dyDescent="0.25">
      <c r="A6136" t="s">
        <v>6303</v>
      </c>
      <c r="B6136" t="s">
        <v>217</v>
      </c>
      <c r="C6136" t="s">
        <v>125</v>
      </c>
      <c r="D6136" t="s">
        <v>61</v>
      </c>
      <c r="E6136" t="s">
        <v>159</v>
      </c>
      <c r="F6136" s="1">
        <v>42970</v>
      </c>
      <c r="G6136" s="1">
        <v>43046</v>
      </c>
      <c r="H6136">
        <v>0</v>
      </c>
      <c r="I6136" t="str">
        <f>IF(COUNTIF(Products!$A$2:$A$8,C6136)=0,C6136,"")</f>
        <v/>
      </c>
      <c r="J6136">
        <f>IF(OR(E6136="Prospecting",E6136="Engaging"),VLOOKUP(C6136,Products!$A$2:$C$8,3,FALSE),0)</f>
        <v>0</v>
      </c>
    </row>
    <row r="6137" spans="1:10" x14ac:dyDescent="0.25">
      <c r="A6137" t="s">
        <v>6304</v>
      </c>
      <c r="B6137" t="s">
        <v>217</v>
      </c>
      <c r="C6137" t="s">
        <v>120</v>
      </c>
      <c r="D6137" t="s">
        <v>32</v>
      </c>
      <c r="E6137" t="s">
        <v>138</v>
      </c>
      <c r="F6137" s="1">
        <v>42970</v>
      </c>
      <c r="G6137" s="1">
        <v>43060</v>
      </c>
      <c r="H6137">
        <v>528</v>
      </c>
      <c r="I6137" t="str">
        <f>IF(COUNTIF(Products!$A$2:$A$8,C6137)=0,C6137,"")</f>
        <v/>
      </c>
      <c r="J6137">
        <f>IF(OR(E6137="Prospecting",E6137="Engaging"),VLOOKUP(C6137,Products!$A$2:$C$8,3,FALSE),0)</f>
        <v>0</v>
      </c>
    </row>
    <row r="6138" spans="1:10" x14ac:dyDescent="0.25">
      <c r="A6138" t="s">
        <v>6305</v>
      </c>
      <c r="B6138" t="s">
        <v>162</v>
      </c>
      <c r="C6138" t="s">
        <v>127</v>
      </c>
      <c r="D6138" t="s">
        <v>71</v>
      </c>
      <c r="E6138" t="s">
        <v>138</v>
      </c>
      <c r="F6138" s="1">
        <v>42970</v>
      </c>
      <c r="G6138" s="1">
        <v>42974</v>
      </c>
      <c r="H6138">
        <v>993</v>
      </c>
      <c r="I6138" t="str">
        <f>IF(COUNTIF(Products!$A$2:$A$8,C6138)=0,C6138,"")</f>
        <v/>
      </c>
      <c r="J6138">
        <f>IF(OR(E6138="Prospecting",E6138="Engaging"),VLOOKUP(C6138,Products!$A$2:$C$8,3,FALSE),0)</f>
        <v>0</v>
      </c>
    </row>
    <row r="6139" spans="1:10" x14ac:dyDescent="0.25">
      <c r="A6139" t="s">
        <v>6306</v>
      </c>
      <c r="B6139" t="s">
        <v>162</v>
      </c>
      <c r="C6139" t="s">
        <v>127</v>
      </c>
      <c r="D6139" t="s">
        <v>109</v>
      </c>
      <c r="E6139" t="s">
        <v>138</v>
      </c>
      <c r="F6139" s="1">
        <v>42970</v>
      </c>
      <c r="G6139" s="1">
        <v>42988</v>
      </c>
      <c r="H6139">
        <v>1121</v>
      </c>
      <c r="I6139" t="str">
        <f>IF(COUNTIF(Products!$A$2:$A$8,C6139)=0,C6139,"")</f>
        <v/>
      </c>
      <c r="J6139">
        <f>IF(OR(E6139="Prospecting",E6139="Engaging"),VLOOKUP(C6139,Products!$A$2:$C$8,3,FALSE),0)</f>
        <v>0</v>
      </c>
    </row>
    <row r="6140" spans="1:10" x14ac:dyDescent="0.25">
      <c r="A6140" t="s">
        <v>6307</v>
      </c>
      <c r="B6140" t="s">
        <v>162</v>
      </c>
      <c r="C6140" t="s">
        <v>126</v>
      </c>
      <c r="D6140" t="s">
        <v>39</v>
      </c>
      <c r="E6140" t="s">
        <v>138</v>
      </c>
      <c r="F6140" s="1">
        <v>42970</v>
      </c>
      <c r="G6140" s="1">
        <v>43072</v>
      </c>
      <c r="H6140">
        <v>5110</v>
      </c>
      <c r="I6140" t="str">
        <f>IF(COUNTIF(Products!$A$2:$A$8,C6140)=0,C6140,"")</f>
        <v/>
      </c>
      <c r="J6140">
        <f>IF(OR(E6140="Prospecting",E6140="Engaging"),VLOOKUP(C6140,Products!$A$2:$C$8,3,FALSE),0)</f>
        <v>0</v>
      </c>
    </row>
    <row r="6141" spans="1:10" x14ac:dyDescent="0.25">
      <c r="A6141" t="s">
        <v>6308</v>
      </c>
      <c r="B6141" t="s">
        <v>137</v>
      </c>
      <c r="C6141" t="s">
        <v>123</v>
      </c>
      <c r="D6141" t="s">
        <v>28</v>
      </c>
      <c r="E6141" t="s">
        <v>138</v>
      </c>
      <c r="F6141" s="1">
        <v>42970</v>
      </c>
      <c r="G6141" s="1">
        <v>43082</v>
      </c>
      <c r="H6141">
        <v>51</v>
      </c>
      <c r="I6141" t="str">
        <f>IF(COUNTIF(Products!$A$2:$A$8,C6141)=0,C6141,"")</f>
        <v/>
      </c>
      <c r="J6141">
        <f>IF(OR(E6141="Prospecting",E6141="Engaging"),VLOOKUP(C6141,Products!$A$2:$C$8,3,FALSE),0)</f>
        <v>0</v>
      </c>
    </row>
    <row r="6142" spans="1:10" x14ac:dyDescent="0.25">
      <c r="A6142" t="s">
        <v>6309</v>
      </c>
      <c r="B6142" t="s">
        <v>152</v>
      </c>
      <c r="C6142" t="s">
        <v>120</v>
      </c>
      <c r="D6142" t="s">
        <v>64</v>
      </c>
      <c r="E6142" t="s">
        <v>159</v>
      </c>
      <c r="F6142" s="1">
        <v>42970</v>
      </c>
      <c r="G6142" s="1">
        <v>42983</v>
      </c>
      <c r="H6142">
        <v>0</v>
      </c>
      <c r="I6142" t="str">
        <f>IF(COUNTIF(Products!$A$2:$A$8,C6142)=0,C6142,"")</f>
        <v/>
      </c>
      <c r="J6142">
        <f>IF(OR(E6142="Prospecting",E6142="Engaging"),VLOOKUP(C6142,Products!$A$2:$C$8,3,FALSE),0)</f>
        <v>0</v>
      </c>
    </row>
    <row r="6143" spans="1:10" x14ac:dyDescent="0.25">
      <c r="A6143" t="s">
        <v>6310</v>
      </c>
      <c r="B6143" t="s">
        <v>187</v>
      </c>
      <c r="C6143" t="s">
        <v>126</v>
      </c>
      <c r="D6143" t="s">
        <v>67</v>
      </c>
      <c r="E6143" t="s">
        <v>159</v>
      </c>
      <c r="F6143" s="1">
        <v>42970</v>
      </c>
      <c r="G6143" s="1">
        <v>43100</v>
      </c>
      <c r="H6143">
        <v>0</v>
      </c>
      <c r="I6143" t="str">
        <f>IF(COUNTIF(Products!$A$2:$A$8,C6143)=0,C6143,"")</f>
        <v/>
      </c>
      <c r="J6143">
        <f>IF(OR(E6143="Prospecting",E6143="Engaging"),VLOOKUP(C6143,Products!$A$2:$C$8,3,FALSE),0)</f>
        <v>0</v>
      </c>
    </row>
    <row r="6144" spans="1:10" x14ac:dyDescent="0.25">
      <c r="A6144" t="s">
        <v>6311</v>
      </c>
      <c r="B6144" t="s">
        <v>187</v>
      </c>
      <c r="C6144" t="s">
        <v>125</v>
      </c>
      <c r="D6144" t="s">
        <v>92</v>
      </c>
      <c r="E6144" t="s">
        <v>159</v>
      </c>
      <c r="F6144" s="1">
        <v>42970</v>
      </c>
      <c r="G6144" s="1">
        <v>43067</v>
      </c>
      <c r="H6144">
        <v>0</v>
      </c>
      <c r="I6144" t="str">
        <f>IF(COUNTIF(Products!$A$2:$A$8,C6144)=0,C6144,"")</f>
        <v/>
      </c>
      <c r="J6144">
        <f>IF(OR(E6144="Prospecting",E6144="Engaging"),VLOOKUP(C6144,Products!$A$2:$C$8,3,FALSE),0)</f>
        <v>0</v>
      </c>
    </row>
    <row r="6145" spans="1:10" x14ac:dyDescent="0.25">
      <c r="A6145" t="s">
        <v>6312</v>
      </c>
      <c r="B6145" t="s">
        <v>169</v>
      </c>
      <c r="C6145" t="s">
        <v>123</v>
      </c>
      <c r="D6145" t="s">
        <v>116</v>
      </c>
      <c r="E6145" t="s">
        <v>159</v>
      </c>
      <c r="F6145" s="1">
        <v>42970</v>
      </c>
      <c r="G6145" s="1">
        <v>42983</v>
      </c>
      <c r="H6145">
        <v>0</v>
      </c>
      <c r="I6145" t="str">
        <f>IF(COUNTIF(Products!$A$2:$A$8,C6145)=0,C6145,"")</f>
        <v/>
      </c>
      <c r="J6145">
        <f>IF(OR(E6145="Prospecting",E6145="Engaging"),VLOOKUP(C6145,Products!$A$2:$C$8,3,FALSE),0)</f>
        <v>0</v>
      </c>
    </row>
    <row r="6146" spans="1:10" x14ac:dyDescent="0.25">
      <c r="A6146" t="s">
        <v>6313</v>
      </c>
      <c r="B6146" t="s">
        <v>148</v>
      </c>
      <c r="C6146" t="s">
        <v>120</v>
      </c>
      <c r="E6146" t="s">
        <v>155</v>
      </c>
      <c r="F6146" s="1">
        <v>42970</v>
      </c>
      <c r="I6146" t="str">
        <f>IF(COUNTIF(Products!$A$2:$A$8,C6146)=0,C6146,"")</f>
        <v/>
      </c>
      <c r="J6146">
        <f>IF(OR(E6146="Prospecting",E6146="Engaging"),VLOOKUP(C6146,Products!$A$2:$C$8,3,FALSE),0)</f>
        <v>550</v>
      </c>
    </row>
    <row r="6147" spans="1:10" x14ac:dyDescent="0.25">
      <c r="A6147" t="s">
        <v>6314</v>
      </c>
      <c r="B6147" t="s">
        <v>148</v>
      </c>
      <c r="C6147" t="s">
        <v>123</v>
      </c>
      <c r="D6147" t="s">
        <v>64</v>
      </c>
      <c r="E6147" t="s">
        <v>155</v>
      </c>
      <c r="F6147" s="1">
        <v>42970</v>
      </c>
      <c r="I6147" t="str">
        <f>IF(COUNTIF(Products!$A$2:$A$8,C6147)=0,C6147,"")</f>
        <v/>
      </c>
      <c r="J6147">
        <f>IF(OR(E6147="Prospecting",E6147="Engaging"),VLOOKUP(C6147,Products!$A$2:$C$8,3,FALSE),0)</f>
        <v>55</v>
      </c>
    </row>
    <row r="6148" spans="1:10" x14ac:dyDescent="0.25">
      <c r="A6148" t="s">
        <v>6315</v>
      </c>
      <c r="B6148" t="s">
        <v>177</v>
      </c>
      <c r="C6148" t="s">
        <v>122</v>
      </c>
      <c r="E6148" t="s">
        <v>155</v>
      </c>
      <c r="F6148" s="1">
        <v>42970</v>
      </c>
      <c r="I6148" t="str">
        <f>IF(COUNTIF(Products!$A$2:$A$8,C6148)=0,C6148,"")</f>
        <v/>
      </c>
      <c r="J6148">
        <f>IF(OR(E6148="Prospecting",E6148="Engaging"),VLOOKUP(C6148,Products!$A$2:$C$8,3,FALSE),0)</f>
        <v>4821</v>
      </c>
    </row>
    <row r="6149" spans="1:10" x14ac:dyDescent="0.25">
      <c r="A6149" t="s">
        <v>6316</v>
      </c>
      <c r="B6149" t="s">
        <v>177</v>
      </c>
      <c r="C6149" t="s">
        <v>120</v>
      </c>
      <c r="D6149" t="s">
        <v>48</v>
      </c>
      <c r="E6149" t="s">
        <v>138</v>
      </c>
      <c r="F6149" s="1">
        <v>42970</v>
      </c>
      <c r="G6149" s="1">
        <v>43077</v>
      </c>
      <c r="H6149">
        <v>542</v>
      </c>
      <c r="I6149" t="str">
        <f>IF(COUNTIF(Products!$A$2:$A$8,C6149)=0,C6149,"")</f>
        <v/>
      </c>
      <c r="J6149">
        <f>IF(OR(E6149="Prospecting",E6149="Engaging"),VLOOKUP(C6149,Products!$A$2:$C$8,3,FALSE),0)</f>
        <v>0</v>
      </c>
    </row>
    <row r="6150" spans="1:10" x14ac:dyDescent="0.25">
      <c r="A6150" t="s">
        <v>6317</v>
      </c>
      <c r="B6150" t="s">
        <v>177</v>
      </c>
      <c r="C6150" t="s">
        <v>120</v>
      </c>
      <c r="D6150" t="s">
        <v>110</v>
      </c>
      <c r="E6150" t="s">
        <v>138</v>
      </c>
      <c r="F6150" s="1">
        <v>42970</v>
      </c>
      <c r="G6150" s="1">
        <v>43090</v>
      </c>
      <c r="H6150">
        <v>576</v>
      </c>
      <c r="I6150" t="str">
        <f>IF(COUNTIF(Products!$A$2:$A$8,C6150)=0,C6150,"")</f>
        <v/>
      </c>
      <c r="J6150">
        <f>IF(OR(E6150="Prospecting",E6150="Engaging"),VLOOKUP(C6150,Products!$A$2:$C$8,3,FALSE),0)</f>
        <v>0</v>
      </c>
    </row>
    <row r="6151" spans="1:10" x14ac:dyDescent="0.25">
      <c r="A6151" t="s">
        <v>6318</v>
      </c>
      <c r="B6151" t="s">
        <v>196</v>
      </c>
      <c r="C6151" t="s">
        <v>126</v>
      </c>
      <c r="D6151" t="s">
        <v>35</v>
      </c>
      <c r="E6151" t="s">
        <v>159</v>
      </c>
      <c r="F6151" s="1">
        <v>42970</v>
      </c>
      <c r="G6151" s="1">
        <v>42978</v>
      </c>
      <c r="H6151">
        <v>0</v>
      </c>
      <c r="I6151" t="str">
        <f>IF(COUNTIF(Products!$A$2:$A$8,C6151)=0,C6151,"")</f>
        <v/>
      </c>
      <c r="J6151">
        <f>IF(OR(E6151="Prospecting",E6151="Engaging"),VLOOKUP(C6151,Products!$A$2:$C$8,3,FALSE),0)</f>
        <v>0</v>
      </c>
    </row>
    <row r="6152" spans="1:10" x14ac:dyDescent="0.25">
      <c r="A6152" t="s">
        <v>6319</v>
      </c>
      <c r="B6152" t="s">
        <v>207</v>
      </c>
      <c r="C6152" t="s">
        <v>122</v>
      </c>
      <c r="E6152" t="s">
        <v>155</v>
      </c>
      <c r="F6152" s="1">
        <v>42971</v>
      </c>
      <c r="I6152" t="str">
        <f>IF(COUNTIF(Products!$A$2:$A$8,C6152)=0,C6152,"")</f>
        <v/>
      </c>
      <c r="J6152">
        <f>IF(OR(E6152="Prospecting",E6152="Engaging"),VLOOKUP(C6152,Products!$A$2:$C$8,3,FALSE),0)</f>
        <v>4821</v>
      </c>
    </row>
    <row r="6153" spans="1:10" x14ac:dyDescent="0.25">
      <c r="A6153" t="s">
        <v>6320</v>
      </c>
      <c r="B6153" t="s">
        <v>171</v>
      </c>
      <c r="C6153" t="s">
        <v>127</v>
      </c>
      <c r="D6153" t="s">
        <v>94</v>
      </c>
      <c r="E6153" t="s">
        <v>155</v>
      </c>
      <c r="F6153" s="1">
        <v>42971</v>
      </c>
      <c r="I6153" t="str">
        <f>IF(COUNTIF(Products!$A$2:$A$8,C6153)=0,C6153,"")</f>
        <v/>
      </c>
      <c r="J6153">
        <f>IF(OR(E6153="Prospecting",E6153="Engaging"),VLOOKUP(C6153,Products!$A$2:$C$8,3,FALSE),0)</f>
        <v>1096</v>
      </c>
    </row>
    <row r="6154" spans="1:10" x14ac:dyDescent="0.25">
      <c r="A6154" t="s">
        <v>6321</v>
      </c>
      <c r="B6154" t="s">
        <v>171</v>
      </c>
      <c r="C6154" t="s">
        <v>126</v>
      </c>
      <c r="E6154" t="s">
        <v>155</v>
      </c>
      <c r="F6154" s="1">
        <v>42971</v>
      </c>
      <c r="I6154" t="str">
        <f>IF(COUNTIF(Products!$A$2:$A$8,C6154)=0,C6154,"")</f>
        <v/>
      </c>
      <c r="J6154">
        <f>IF(OR(E6154="Prospecting",E6154="Engaging"),VLOOKUP(C6154,Products!$A$2:$C$8,3,FALSE),0)</f>
        <v>5482</v>
      </c>
    </row>
    <row r="6155" spans="1:10" x14ac:dyDescent="0.25">
      <c r="A6155" t="s">
        <v>6322</v>
      </c>
      <c r="B6155" t="s">
        <v>224</v>
      </c>
      <c r="C6155" t="s">
        <v>122</v>
      </c>
      <c r="D6155" t="s">
        <v>115</v>
      </c>
      <c r="E6155" t="s">
        <v>159</v>
      </c>
      <c r="F6155" s="1">
        <v>42971</v>
      </c>
      <c r="G6155" s="1">
        <v>43067</v>
      </c>
      <c r="H6155">
        <v>0</v>
      </c>
      <c r="I6155" t="str">
        <f>IF(COUNTIF(Products!$A$2:$A$8,C6155)=0,C6155,"")</f>
        <v/>
      </c>
      <c r="J6155">
        <f>IF(OR(E6155="Prospecting",E6155="Engaging"),VLOOKUP(C6155,Products!$A$2:$C$8,3,FALSE),0)</f>
        <v>0</v>
      </c>
    </row>
    <row r="6156" spans="1:10" x14ac:dyDescent="0.25">
      <c r="A6156" t="s">
        <v>6323</v>
      </c>
      <c r="B6156" t="s">
        <v>154</v>
      </c>
      <c r="C6156" t="s">
        <v>120</v>
      </c>
      <c r="D6156" t="s">
        <v>114</v>
      </c>
      <c r="E6156" t="s">
        <v>159</v>
      </c>
      <c r="F6156" s="1">
        <v>42971</v>
      </c>
      <c r="G6156" s="1">
        <v>43093</v>
      </c>
      <c r="H6156">
        <v>0</v>
      </c>
      <c r="I6156" t="str">
        <f>IF(COUNTIF(Products!$A$2:$A$8,C6156)=0,C6156,"")</f>
        <v/>
      </c>
      <c r="J6156">
        <f>IF(OR(E6156="Prospecting",E6156="Engaging"),VLOOKUP(C6156,Products!$A$2:$C$8,3,FALSE),0)</f>
        <v>0</v>
      </c>
    </row>
    <row r="6157" spans="1:10" x14ac:dyDescent="0.25">
      <c r="A6157" t="s">
        <v>6324</v>
      </c>
      <c r="B6157" t="s">
        <v>154</v>
      </c>
      <c r="C6157" t="s">
        <v>120</v>
      </c>
      <c r="D6157" t="s">
        <v>61</v>
      </c>
      <c r="E6157" t="s">
        <v>138</v>
      </c>
      <c r="F6157" s="1">
        <v>42971</v>
      </c>
      <c r="G6157" s="1">
        <v>42977</v>
      </c>
      <c r="H6157">
        <v>551</v>
      </c>
      <c r="I6157" t="str">
        <f>IF(COUNTIF(Products!$A$2:$A$8,C6157)=0,C6157,"")</f>
        <v/>
      </c>
      <c r="J6157">
        <f>IF(OR(E6157="Prospecting",E6157="Engaging"),VLOOKUP(C6157,Products!$A$2:$C$8,3,FALSE),0)</f>
        <v>0</v>
      </c>
    </row>
    <row r="6158" spans="1:10" x14ac:dyDescent="0.25">
      <c r="A6158" t="s">
        <v>6325</v>
      </c>
      <c r="B6158" t="s">
        <v>180</v>
      </c>
      <c r="C6158" t="s">
        <v>122</v>
      </c>
      <c r="E6158" t="s">
        <v>155</v>
      </c>
      <c r="F6158" s="1">
        <v>42971</v>
      </c>
      <c r="I6158" t="str">
        <f>IF(COUNTIF(Products!$A$2:$A$8,C6158)=0,C6158,"")</f>
        <v/>
      </c>
      <c r="J6158">
        <f>IF(OR(E6158="Prospecting",E6158="Engaging"),VLOOKUP(C6158,Products!$A$2:$C$8,3,FALSE),0)</f>
        <v>4821</v>
      </c>
    </row>
    <row r="6159" spans="1:10" x14ac:dyDescent="0.25">
      <c r="A6159" t="s">
        <v>6326</v>
      </c>
      <c r="B6159" t="s">
        <v>180</v>
      </c>
      <c r="C6159" t="s">
        <v>120</v>
      </c>
      <c r="D6159" t="s">
        <v>93</v>
      </c>
      <c r="E6159" t="s">
        <v>138</v>
      </c>
      <c r="F6159" s="1">
        <v>42971</v>
      </c>
      <c r="G6159" s="1">
        <v>42988</v>
      </c>
      <c r="H6159">
        <v>597</v>
      </c>
      <c r="I6159" t="str">
        <f>IF(COUNTIF(Products!$A$2:$A$8,C6159)=0,C6159,"")</f>
        <v/>
      </c>
      <c r="J6159">
        <f>IF(OR(E6159="Prospecting",E6159="Engaging"),VLOOKUP(C6159,Products!$A$2:$C$8,3,FALSE),0)</f>
        <v>0</v>
      </c>
    </row>
    <row r="6160" spans="1:10" x14ac:dyDescent="0.25">
      <c r="A6160" t="s">
        <v>6327</v>
      </c>
      <c r="B6160" t="s">
        <v>191</v>
      </c>
      <c r="C6160" t="s">
        <v>127</v>
      </c>
      <c r="D6160" t="s">
        <v>72</v>
      </c>
      <c r="E6160" t="s">
        <v>138</v>
      </c>
      <c r="F6160" s="1">
        <v>42971</v>
      </c>
      <c r="G6160" s="1">
        <v>43052</v>
      </c>
      <c r="H6160">
        <v>948</v>
      </c>
      <c r="I6160" t="str">
        <f>IF(COUNTIF(Products!$A$2:$A$8,C6160)=0,C6160,"")</f>
        <v/>
      </c>
      <c r="J6160">
        <f>IF(OR(E6160="Prospecting",E6160="Engaging"),VLOOKUP(C6160,Products!$A$2:$C$8,3,FALSE),0)</f>
        <v>0</v>
      </c>
    </row>
    <row r="6161" spans="1:10" x14ac:dyDescent="0.25">
      <c r="A6161" t="s">
        <v>6328</v>
      </c>
      <c r="B6161" t="s">
        <v>191</v>
      </c>
      <c r="C6161" t="s">
        <v>123</v>
      </c>
      <c r="D6161" t="s">
        <v>114</v>
      </c>
      <c r="E6161" t="s">
        <v>138</v>
      </c>
      <c r="F6161" s="1">
        <v>42971</v>
      </c>
      <c r="G6161" s="1">
        <v>43087</v>
      </c>
      <c r="H6161">
        <v>62</v>
      </c>
      <c r="I6161" t="str">
        <f>IF(COUNTIF(Products!$A$2:$A$8,C6161)=0,C6161,"")</f>
        <v/>
      </c>
      <c r="J6161">
        <f>IF(OR(E6161="Prospecting",E6161="Engaging"),VLOOKUP(C6161,Products!$A$2:$C$8,3,FALSE),0)</f>
        <v>0</v>
      </c>
    </row>
    <row r="6162" spans="1:10" x14ac:dyDescent="0.25">
      <c r="A6162" t="s">
        <v>6329</v>
      </c>
      <c r="B6162" t="s">
        <v>150</v>
      </c>
      <c r="C6162" t="s">
        <v>125</v>
      </c>
      <c r="D6162" t="s">
        <v>90</v>
      </c>
      <c r="E6162" t="s">
        <v>138</v>
      </c>
      <c r="F6162" s="1">
        <v>42971</v>
      </c>
      <c r="G6162" s="1">
        <v>43077</v>
      </c>
      <c r="H6162">
        <v>4139</v>
      </c>
      <c r="I6162" t="str">
        <f>IF(COUNTIF(Products!$A$2:$A$8,C6162)=0,C6162,"")</f>
        <v/>
      </c>
      <c r="J6162">
        <f>IF(OR(E6162="Prospecting",E6162="Engaging"),VLOOKUP(C6162,Products!$A$2:$C$8,3,FALSE),0)</f>
        <v>0</v>
      </c>
    </row>
    <row r="6163" spans="1:10" x14ac:dyDescent="0.25">
      <c r="A6163" t="s">
        <v>6330</v>
      </c>
      <c r="B6163" t="s">
        <v>205</v>
      </c>
      <c r="C6163" t="s">
        <v>126</v>
      </c>
      <c r="D6163" t="s">
        <v>30</v>
      </c>
      <c r="E6163" t="s">
        <v>138</v>
      </c>
      <c r="F6163" s="1">
        <v>42971</v>
      </c>
      <c r="G6163" s="1">
        <v>43042</v>
      </c>
      <c r="H6163">
        <v>6322</v>
      </c>
      <c r="I6163" t="str">
        <f>IF(COUNTIF(Products!$A$2:$A$8,C6163)=0,C6163,"")</f>
        <v/>
      </c>
      <c r="J6163">
        <f>IF(OR(E6163="Prospecting",E6163="Engaging"),VLOOKUP(C6163,Products!$A$2:$C$8,3,FALSE),0)</f>
        <v>0</v>
      </c>
    </row>
    <row r="6164" spans="1:10" x14ac:dyDescent="0.25">
      <c r="A6164" t="s">
        <v>6331</v>
      </c>
      <c r="B6164" t="s">
        <v>162</v>
      </c>
      <c r="C6164" t="s">
        <v>120</v>
      </c>
      <c r="D6164" t="s">
        <v>69</v>
      </c>
      <c r="E6164" t="s">
        <v>159</v>
      </c>
      <c r="F6164" s="1">
        <v>42971</v>
      </c>
      <c r="G6164" s="1">
        <v>42978</v>
      </c>
      <c r="H6164">
        <v>0</v>
      </c>
      <c r="I6164" t="str">
        <f>IF(COUNTIF(Products!$A$2:$A$8,C6164)=0,C6164,"")</f>
        <v/>
      </c>
      <c r="J6164">
        <f>IF(OR(E6164="Prospecting",E6164="Engaging"),VLOOKUP(C6164,Products!$A$2:$C$8,3,FALSE),0)</f>
        <v>0</v>
      </c>
    </row>
    <row r="6165" spans="1:10" x14ac:dyDescent="0.25">
      <c r="A6165" t="s">
        <v>6332</v>
      </c>
      <c r="B6165" t="s">
        <v>152</v>
      </c>
      <c r="C6165" t="s">
        <v>123</v>
      </c>
      <c r="D6165" t="s">
        <v>42</v>
      </c>
      <c r="E6165" t="s">
        <v>159</v>
      </c>
      <c r="F6165" s="1">
        <v>42971</v>
      </c>
      <c r="G6165" s="1">
        <v>42978</v>
      </c>
      <c r="H6165">
        <v>0</v>
      </c>
      <c r="I6165" t="str">
        <f>IF(COUNTIF(Products!$A$2:$A$8,C6165)=0,C6165,"")</f>
        <v/>
      </c>
      <c r="J6165">
        <f>IF(OR(E6165="Prospecting",E6165="Engaging"),VLOOKUP(C6165,Products!$A$2:$C$8,3,FALSE),0)</f>
        <v>0</v>
      </c>
    </row>
    <row r="6166" spans="1:10" x14ac:dyDescent="0.25">
      <c r="A6166" t="s">
        <v>6333</v>
      </c>
      <c r="B6166" t="s">
        <v>193</v>
      </c>
      <c r="C6166" t="s">
        <v>126</v>
      </c>
      <c r="D6166" t="s">
        <v>67</v>
      </c>
      <c r="E6166" t="s">
        <v>138</v>
      </c>
      <c r="F6166" s="1">
        <v>42971</v>
      </c>
      <c r="G6166" s="1">
        <v>42980</v>
      </c>
      <c r="H6166">
        <v>5415</v>
      </c>
      <c r="I6166" t="str">
        <f>IF(COUNTIF(Products!$A$2:$A$8,C6166)=0,C6166,"")</f>
        <v/>
      </c>
      <c r="J6166">
        <f>IF(OR(E6166="Prospecting",E6166="Engaging"),VLOOKUP(C6166,Products!$A$2:$C$8,3,FALSE),0)</f>
        <v>0</v>
      </c>
    </row>
    <row r="6167" spans="1:10" x14ac:dyDescent="0.25">
      <c r="A6167" t="s">
        <v>6334</v>
      </c>
      <c r="B6167" t="s">
        <v>166</v>
      </c>
      <c r="C6167" t="s">
        <v>120</v>
      </c>
      <c r="D6167" t="s">
        <v>41</v>
      </c>
      <c r="E6167" t="s">
        <v>138</v>
      </c>
      <c r="F6167" s="1">
        <v>42971</v>
      </c>
      <c r="G6167" s="1">
        <v>43056</v>
      </c>
      <c r="H6167">
        <v>432</v>
      </c>
      <c r="I6167" t="str">
        <f>IF(COUNTIF(Products!$A$2:$A$8,C6167)=0,C6167,"")</f>
        <v/>
      </c>
      <c r="J6167">
        <f>IF(OR(E6167="Prospecting",E6167="Engaging"),VLOOKUP(C6167,Products!$A$2:$C$8,3,FALSE),0)</f>
        <v>0</v>
      </c>
    </row>
    <row r="6168" spans="1:10" x14ac:dyDescent="0.25">
      <c r="A6168" t="s">
        <v>6335</v>
      </c>
      <c r="B6168" t="s">
        <v>166</v>
      </c>
      <c r="C6168" t="s">
        <v>123</v>
      </c>
      <c r="D6168" t="s">
        <v>27</v>
      </c>
      <c r="E6168" t="s">
        <v>138</v>
      </c>
      <c r="F6168" s="1">
        <v>42971</v>
      </c>
      <c r="G6168" s="1">
        <v>42977</v>
      </c>
      <c r="H6168">
        <v>53</v>
      </c>
      <c r="I6168" t="str">
        <f>IF(COUNTIF(Products!$A$2:$A$8,C6168)=0,C6168,"")</f>
        <v/>
      </c>
      <c r="J6168">
        <f>IF(OR(E6168="Prospecting",E6168="Engaging"),VLOOKUP(C6168,Products!$A$2:$C$8,3,FALSE),0)</f>
        <v>0</v>
      </c>
    </row>
    <row r="6169" spans="1:10" x14ac:dyDescent="0.25">
      <c r="A6169" t="s">
        <v>6336</v>
      </c>
      <c r="B6169" t="s">
        <v>169</v>
      </c>
      <c r="C6169" t="s">
        <v>123</v>
      </c>
      <c r="D6169" t="s">
        <v>89</v>
      </c>
      <c r="E6169" t="s">
        <v>138</v>
      </c>
      <c r="F6169" s="1">
        <v>42971</v>
      </c>
      <c r="G6169" s="1">
        <v>42981</v>
      </c>
      <c r="H6169">
        <v>57</v>
      </c>
      <c r="I6169" t="str">
        <f>IF(COUNTIF(Products!$A$2:$A$8,C6169)=0,C6169,"")</f>
        <v/>
      </c>
      <c r="J6169">
        <f>IF(OR(E6169="Prospecting",E6169="Engaging"),VLOOKUP(C6169,Products!$A$2:$C$8,3,FALSE),0)</f>
        <v>0</v>
      </c>
    </row>
    <row r="6170" spans="1:10" x14ac:dyDescent="0.25">
      <c r="A6170" t="s">
        <v>6337</v>
      </c>
      <c r="B6170" t="s">
        <v>169</v>
      </c>
      <c r="C6170" t="s">
        <v>123</v>
      </c>
      <c r="D6170" t="s">
        <v>96</v>
      </c>
      <c r="E6170" t="s">
        <v>138</v>
      </c>
      <c r="F6170" s="1">
        <v>42971</v>
      </c>
      <c r="G6170" s="1">
        <v>43078</v>
      </c>
      <c r="H6170">
        <v>56</v>
      </c>
      <c r="I6170" t="str">
        <f>IF(COUNTIF(Products!$A$2:$A$8,C6170)=0,C6170,"")</f>
        <v/>
      </c>
      <c r="J6170">
        <f>IF(OR(E6170="Prospecting",E6170="Engaging"),VLOOKUP(C6170,Products!$A$2:$C$8,3,FALSE),0)</f>
        <v>0</v>
      </c>
    </row>
    <row r="6171" spans="1:10" x14ac:dyDescent="0.25">
      <c r="A6171" t="s">
        <v>6338</v>
      </c>
      <c r="B6171" t="s">
        <v>177</v>
      </c>
      <c r="C6171" t="s">
        <v>123</v>
      </c>
      <c r="D6171" t="s">
        <v>37</v>
      </c>
      <c r="E6171" t="s">
        <v>138</v>
      </c>
      <c r="F6171" s="1">
        <v>42971</v>
      </c>
      <c r="G6171" s="1">
        <v>42981</v>
      </c>
      <c r="H6171">
        <v>55</v>
      </c>
      <c r="I6171" t="str">
        <f>IF(COUNTIF(Products!$A$2:$A$8,C6171)=0,C6171,"")</f>
        <v/>
      </c>
      <c r="J6171">
        <f>IF(OR(E6171="Prospecting",E6171="Engaging"),VLOOKUP(C6171,Products!$A$2:$C$8,3,FALSE),0)</f>
        <v>0</v>
      </c>
    </row>
    <row r="6172" spans="1:10" x14ac:dyDescent="0.25">
      <c r="A6172" t="s">
        <v>6339</v>
      </c>
      <c r="B6172" t="s">
        <v>177</v>
      </c>
      <c r="C6172" t="s">
        <v>125</v>
      </c>
      <c r="D6172" t="s">
        <v>7</v>
      </c>
      <c r="E6172" t="s">
        <v>138</v>
      </c>
      <c r="F6172" s="1">
        <v>42971</v>
      </c>
      <c r="G6172" s="1">
        <v>42972</v>
      </c>
      <c r="H6172">
        <v>3146</v>
      </c>
      <c r="I6172" t="str">
        <f>IF(COUNTIF(Products!$A$2:$A$8,C6172)=0,C6172,"")</f>
        <v/>
      </c>
      <c r="J6172">
        <f>IF(OR(E6172="Prospecting",E6172="Engaging"),VLOOKUP(C6172,Products!$A$2:$C$8,3,FALSE),0)</f>
        <v>0</v>
      </c>
    </row>
    <row r="6173" spans="1:10" x14ac:dyDescent="0.25">
      <c r="A6173" t="s">
        <v>6340</v>
      </c>
      <c r="B6173" t="s">
        <v>144</v>
      </c>
      <c r="C6173" t="s">
        <v>120</v>
      </c>
      <c r="E6173" t="s">
        <v>155</v>
      </c>
      <c r="F6173" s="1">
        <v>42971</v>
      </c>
      <c r="I6173" t="str">
        <f>IF(COUNTIF(Products!$A$2:$A$8,C6173)=0,C6173,"")</f>
        <v/>
      </c>
      <c r="J6173">
        <f>IF(OR(E6173="Prospecting",E6173="Engaging"),VLOOKUP(C6173,Products!$A$2:$C$8,3,FALSE),0)</f>
        <v>550</v>
      </c>
    </row>
    <row r="6174" spans="1:10" x14ac:dyDescent="0.25">
      <c r="A6174" t="s">
        <v>6341</v>
      </c>
      <c r="B6174" t="s">
        <v>146</v>
      </c>
      <c r="C6174" t="s">
        <v>123</v>
      </c>
      <c r="D6174" t="s">
        <v>94</v>
      </c>
      <c r="E6174" t="s">
        <v>138</v>
      </c>
      <c r="F6174" s="1">
        <v>42972</v>
      </c>
      <c r="G6174" s="1">
        <v>43042</v>
      </c>
      <c r="H6174">
        <v>67</v>
      </c>
      <c r="I6174" t="str">
        <f>IF(COUNTIF(Products!$A$2:$A$8,C6174)=0,C6174,"")</f>
        <v/>
      </c>
      <c r="J6174">
        <f>IF(OR(E6174="Prospecting",E6174="Engaging"),VLOOKUP(C6174,Products!$A$2:$C$8,3,FALSE),0)</f>
        <v>0</v>
      </c>
    </row>
    <row r="6175" spans="1:10" x14ac:dyDescent="0.25">
      <c r="A6175" t="s">
        <v>6342</v>
      </c>
      <c r="B6175" t="s">
        <v>207</v>
      </c>
      <c r="C6175" t="s">
        <v>120</v>
      </c>
      <c r="D6175" t="s">
        <v>67</v>
      </c>
      <c r="E6175" t="s">
        <v>159</v>
      </c>
      <c r="F6175" s="1">
        <v>42972</v>
      </c>
      <c r="G6175" s="1">
        <v>43042</v>
      </c>
      <c r="H6175">
        <v>0</v>
      </c>
      <c r="I6175" t="str">
        <f>IF(COUNTIF(Products!$A$2:$A$8,C6175)=0,C6175,"")</f>
        <v/>
      </c>
      <c r="J6175">
        <f>IF(OR(E6175="Prospecting",E6175="Engaging"),VLOOKUP(C6175,Products!$A$2:$C$8,3,FALSE),0)</f>
        <v>0</v>
      </c>
    </row>
    <row r="6176" spans="1:10" x14ac:dyDescent="0.25">
      <c r="A6176" t="s">
        <v>6343</v>
      </c>
      <c r="B6176" t="s">
        <v>207</v>
      </c>
      <c r="C6176" t="s">
        <v>125</v>
      </c>
      <c r="D6176" t="s">
        <v>48</v>
      </c>
      <c r="E6176" t="s">
        <v>138</v>
      </c>
      <c r="F6176" s="1">
        <v>42972</v>
      </c>
      <c r="G6176" s="1">
        <v>43073</v>
      </c>
      <c r="H6176">
        <v>2613</v>
      </c>
      <c r="I6176" t="str">
        <f>IF(COUNTIF(Products!$A$2:$A$8,C6176)=0,C6176,"")</f>
        <v/>
      </c>
      <c r="J6176">
        <f>IF(OR(E6176="Prospecting",E6176="Engaging"),VLOOKUP(C6176,Products!$A$2:$C$8,3,FALSE),0)</f>
        <v>0</v>
      </c>
    </row>
    <row r="6177" spans="1:10" x14ac:dyDescent="0.25">
      <c r="A6177" t="s">
        <v>6344</v>
      </c>
      <c r="B6177" t="s">
        <v>239</v>
      </c>
      <c r="C6177" t="s">
        <v>126</v>
      </c>
      <c r="E6177" t="s">
        <v>155</v>
      </c>
      <c r="F6177" s="1">
        <v>42972</v>
      </c>
      <c r="I6177" t="str">
        <f>IF(COUNTIF(Products!$A$2:$A$8,C6177)=0,C6177,"")</f>
        <v/>
      </c>
      <c r="J6177">
        <f>IF(OR(E6177="Prospecting",E6177="Engaging"),VLOOKUP(C6177,Products!$A$2:$C$8,3,FALSE),0)</f>
        <v>5482</v>
      </c>
    </row>
    <row r="6178" spans="1:10" x14ac:dyDescent="0.25">
      <c r="A6178" t="s">
        <v>6345</v>
      </c>
      <c r="B6178" t="s">
        <v>239</v>
      </c>
      <c r="C6178" t="s">
        <v>127</v>
      </c>
      <c r="D6178" t="s">
        <v>110</v>
      </c>
      <c r="E6178" t="s">
        <v>138</v>
      </c>
      <c r="F6178" s="1">
        <v>42972</v>
      </c>
      <c r="G6178" s="1">
        <v>43041</v>
      </c>
      <c r="H6178">
        <v>977</v>
      </c>
      <c r="I6178" t="str">
        <f>IF(COUNTIF(Products!$A$2:$A$8,C6178)=0,C6178,"")</f>
        <v/>
      </c>
      <c r="J6178">
        <f>IF(OR(E6178="Prospecting",E6178="Engaging"),VLOOKUP(C6178,Products!$A$2:$C$8,3,FALSE),0)</f>
        <v>0</v>
      </c>
    </row>
    <row r="6179" spans="1:10" x14ac:dyDescent="0.25">
      <c r="A6179" t="s">
        <v>6346</v>
      </c>
      <c r="B6179" t="s">
        <v>171</v>
      </c>
      <c r="C6179" t="s">
        <v>127</v>
      </c>
      <c r="D6179" t="s">
        <v>91</v>
      </c>
      <c r="E6179" t="s">
        <v>155</v>
      </c>
      <c r="F6179" s="1">
        <v>42972</v>
      </c>
      <c r="I6179" t="str">
        <f>IF(COUNTIF(Products!$A$2:$A$8,C6179)=0,C6179,"")</f>
        <v/>
      </c>
      <c r="J6179">
        <f>IF(OR(E6179="Prospecting",E6179="Engaging"),VLOOKUP(C6179,Products!$A$2:$C$8,3,FALSE),0)</f>
        <v>1096</v>
      </c>
    </row>
    <row r="6180" spans="1:10" x14ac:dyDescent="0.25">
      <c r="A6180" t="s">
        <v>6347</v>
      </c>
      <c r="B6180" t="s">
        <v>171</v>
      </c>
      <c r="C6180" t="s">
        <v>125</v>
      </c>
      <c r="D6180" t="s">
        <v>20</v>
      </c>
      <c r="E6180" t="s">
        <v>159</v>
      </c>
      <c r="F6180" s="1">
        <v>42972</v>
      </c>
      <c r="G6180" s="1">
        <v>43064</v>
      </c>
      <c r="H6180">
        <v>0</v>
      </c>
      <c r="I6180" t="str">
        <f>IF(COUNTIF(Products!$A$2:$A$8,C6180)=0,C6180,"")</f>
        <v/>
      </c>
      <c r="J6180">
        <f>IF(OR(E6180="Prospecting",E6180="Engaging"),VLOOKUP(C6180,Products!$A$2:$C$8,3,FALSE),0)</f>
        <v>0</v>
      </c>
    </row>
    <row r="6181" spans="1:10" x14ac:dyDescent="0.25">
      <c r="A6181" t="s">
        <v>6348</v>
      </c>
      <c r="B6181" t="s">
        <v>171</v>
      </c>
      <c r="C6181" t="s">
        <v>122</v>
      </c>
      <c r="D6181" t="s">
        <v>50</v>
      </c>
      <c r="E6181" t="s">
        <v>138</v>
      </c>
      <c r="F6181" s="1">
        <v>42972</v>
      </c>
      <c r="G6181" s="1">
        <v>42985</v>
      </c>
      <c r="H6181">
        <v>4445</v>
      </c>
      <c r="I6181" t="str">
        <f>IF(COUNTIF(Products!$A$2:$A$8,C6181)=0,C6181,"")</f>
        <v/>
      </c>
      <c r="J6181">
        <f>IF(OR(E6181="Prospecting",E6181="Engaging"),VLOOKUP(C6181,Products!$A$2:$C$8,3,FALSE),0)</f>
        <v>0</v>
      </c>
    </row>
    <row r="6182" spans="1:10" x14ac:dyDescent="0.25">
      <c r="A6182" t="s">
        <v>6349</v>
      </c>
      <c r="B6182" t="s">
        <v>224</v>
      </c>
      <c r="C6182" t="s">
        <v>127</v>
      </c>
      <c r="D6182" t="s">
        <v>35</v>
      </c>
      <c r="E6182" t="s">
        <v>159</v>
      </c>
      <c r="F6182" s="1">
        <v>42972</v>
      </c>
      <c r="G6182" s="1">
        <v>43057</v>
      </c>
      <c r="H6182">
        <v>0</v>
      </c>
      <c r="I6182" t="str">
        <f>IF(COUNTIF(Products!$A$2:$A$8,C6182)=0,C6182,"")</f>
        <v/>
      </c>
      <c r="J6182">
        <f>IF(OR(E6182="Prospecting",E6182="Engaging"),VLOOKUP(C6182,Products!$A$2:$C$8,3,FALSE),0)</f>
        <v>0</v>
      </c>
    </row>
    <row r="6183" spans="1:10" x14ac:dyDescent="0.25">
      <c r="A6183" t="s">
        <v>6350</v>
      </c>
      <c r="B6183" t="s">
        <v>198</v>
      </c>
      <c r="C6183" t="s">
        <v>123</v>
      </c>
      <c r="D6183" t="s">
        <v>115</v>
      </c>
      <c r="E6183" t="s">
        <v>138</v>
      </c>
      <c r="F6183" s="1">
        <v>42972</v>
      </c>
      <c r="G6183" s="1">
        <v>43098</v>
      </c>
      <c r="H6183">
        <v>54</v>
      </c>
      <c r="I6183" t="str">
        <f>IF(COUNTIF(Products!$A$2:$A$8,C6183)=0,C6183,"")</f>
        <v/>
      </c>
      <c r="J6183">
        <f>IF(OR(E6183="Prospecting",E6183="Engaging"),VLOOKUP(C6183,Products!$A$2:$C$8,3,FALSE),0)</f>
        <v>0</v>
      </c>
    </row>
    <row r="6184" spans="1:10" x14ac:dyDescent="0.25">
      <c r="A6184" t="s">
        <v>6351</v>
      </c>
      <c r="B6184" t="s">
        <v>164</v>
      </c>
      <c r="C6184" t="s">
        <v>125</v>
      </c>
      <c r="D6184" t="s">
        <v>71</v>
      </c>
      <c r="E6184" t="s">
        <v>138</v>
      </c>
      <c r="F6184" s="1">
        <v>42972</v>
      </c>
      <c r="G6184" s="1">
        <v>43070</v>
      </c>
      <c r="H6184">
        <v>3331</v>
      </c>
      <c r="I6184" t="str">
        <f>IF(COUNTIF(Products!$A$2:$A$8,C6184)=0,C6184,"")</f>
        <v/>
      </c>
      <c r="J6184">
        <f>IF(OR(E6184="Prospecting",E6184="Engaging"),VLOOKUP(C6184,Products!$A$2:$C$8,3,FALSE),0)</f>
        <v>0</v>
      </c>
    </row>
    <row r="6185" spans="1:10" x14ac:dyDescent="0.25">
      <c r="A6185" t="s">
        <v>6352</v>
      </c>
      <c r="B6185" t="s">
        <v>303</v>
      </c>
      <c r="C6185" t="s">
        <v>120</v>
      </c>
      <c r="D6185" t="s">
        <v>36</v>
      </c>
      <c r="E6185" t="s">
        <v>138</v>
      </c>
      <c r="F6185" s="1">
        <v>42972</v>
      </c>
      <c r="G6185" s="1">
        <v>42983</v>
      </c>
      <c r="H6185">
        <v>474</v>
      </c>
      <c r="I6185" t="str">
        <f>IF(COUNTIF(Products!$A$2:$A$8,C6185)=0,C6185,"")</f>
        <v/>
      </c>
      <c r="J6185">
        <f>IF(OR(E6185="Prospecting",E6185="Engaging"),VLOOKUP(C6185,Products!$A$2:$C$8,3,FALSE),0)</f>
        <v>0</v>
      </c>
    </row>
    <row r="6186" spans="1:10" x14ac:dyDescent="0.25">
      <c r="A6186" t="s">
        <v>6353</v>
      </c>
      <c r="B6186" t="s">
        <v>180</v>
      </c>
      <c r="C6186" t="s">
        <v>127</v>
      </c>
      <c r="D6186" t="s">
        <v>17</v>
      </c>
      <c r="E6186" t="s">
        <v>159</v>
      </c>
      <c r="F6186" s="1">
        <v>42972</v>
      </c>
      <c r="G6186" s="1">
        <v>42978</v>
      </c>
      <c r="H6186">
        <v>0</v>
      </c>
      <c r="I6186" t="str">
        <f>IF(COUNTIF(Products!$A$2:$A$8,C6186)=0,C6186,"")</f>
        <v/>
      </c>
      <c r="J6186">
        <f>IF(OR(E6186="Prospecting",E6186="Engaging"),VLOOKUP(C6186,Products!$A$2:$C$8,3,FALSE),0)</f>
        <v>0</v>
      </c>
    </row>
    <row r="6187" spans="1:10" x14ac:dyDescent="0.25">
      <c r="A6187" t="s">
        <v>6354</v>
      </c>
      <c r="B6187" t="s">
        <v>180</v>
      </c>
      <c r="C6187" t="s">
        <v>127</v>
      </c>
      <c r="D6187" t="s">
        <v>27</v>
      </c>
      <c r="E6187" t="s">
        <v>138</v>
      </c>
      <c r="F6187" s="1">
        <v>42972</v>
      </c>
      <c r="G6187" s="1">
        <v>43052</v>
      </c>
      <c r="H6187">
        <v>994</v>
      </c>
      <c r="I6187" t="str">
        <f>IF(COUNTIF(Products!$A$2:$A$8,C6187)=0,C6187,"")</f>
        <v/>
      </c>
      <c r="J6187">
        <f>IF(OR(E6187="Prospecting",E6187="Engaging"),VLOOKUP(C6187,Products!$A$2:$C$8,3,FALSE),0)</f>
        <v>0</v>
      </c>
    </row>
    <row r="6188" spans="1:10" x14ac:dyDescent="0.25">
      <c r="A6188" t="s">
        <v>6355</v>
      </c>
      <c r="B6188" t="s">
        <v>180</v>
      </c>
      <c r="C6188" t="s">
        <v>126</v>
      </c>
      <c r="D6188" t="s">
        <v>93</v>
      </c>
      <c r="E6188" t="s">
        <v>138</v>
      </c>
      <c r="F6188" s="1">
        <v>42972</v>
      </c>
      <c r="G6188" s="1">
        <v>43062</v>
      </c>
      <c r="H6188">
        <v>4773</v>
      </c>
      <c r="I6188" t="str">
        <f>IF(COUNTIF(Products!$A$2:$A$8,C6188)=0,C6188,"")</f>
        <v/>
      </c>
      <c r="J6188">
        <f>IF(OR(E6188="Prospecting",E6188="Engaging"),VLOOKUP(C6188,Products!$A$2:$C$8,3,FALSE),0)</f>
        <v>0</v>
      </c>
    </row>
    <row r="6189" spans="1:10" x14ac:dyDescent="0.25">
      <c r="A6189" t="s">
        <v>6356</v>
      </c>
      <c r="B6189" t="s">
        <v>217</v>
      </c>
      <c r="C6189" t="s">
        <v>123</v>
      </c>
      <c r="D6189" t="s">
        <v>30</v>
      </c>
      <c r="E6189" t="s">
        <v>159</v>
      </c>
      <c r="F6189" s="1">
        <v>42972</v>
      </c>
      <c r="G6189" s="1">
        <v>43064</v>
      </c>
      <c r="H6189">
        <v>0</v>
      </c>
      <c r="I6189" t="str">
        <f>IF(COUNTIF(Products!$A$2:$A$8,C6189)=0,C6189,"")</f>
        <v/>
      </c>
      <c r="J6189">
        <f>IF(OR(E6189="Prospecting",E6189="Engaging"),VLOOKUP(C6189,Products!$A$2:$C$8,3,FALSE),0)</f>
        <v>0</v>
      </c>
    </row>
    <row r="6190" spans="1:10" x14ac:dyDescent="0.25">
      <c r="A6190" t="s">
        <v>6357</v>
      </c>
      <c r="B6190" t="s">
        <v>150</v>
      </c>
      <c r="C6190" t="s">
        <v>127</v>
      </c>
      <c r="E6190" t="s">
        <v>155</v>
      </c>
      <c r="F6190" s="1">
        <v>42972</v>
      </c>
      <c r="I6190" t="str">
        <f>IF(COUNTIF(Products!$A$2:$A$8,C6190)=0,C6190,"")</f>
        <v/>
      </c>
      <c r="J6190">
        <f>IF(OR(E6190="Prospecting",E6190="Engaging"),VLOOKUP(C6190,Products!$A$2:$C$8,3,FALSE),0)</f>
        <v>1096</v>
      </c>
    </row>
    <row r="6191" spans="1:10" x14ac:dyDescent="0.25">
      <c r="A6191" t="s">
        <v>6358</v>
      </c>
      <c r="B6191" t="s">
        <v>152</v>
      </c>
      <c r="C6191" t="s">
        <v>127</v>
      </c>
      <c r="D6191" t="s">
        <v>94</v>
      </c>
      <c r="E6191" t="s">
        <v>159</v>
      </c>
      <c r="F6191" s="1">
        <v>42972</v>
      </c>
      <c r="G6191" s="1">
        <v>42977</v>
      </c>
      <c r="H6191">
        <v>0</v>
      </c>
      <c r="I6191" t="str">
        <f>IF(COUNTIF(Products!$A$2:$A$8,C6191)=0,C6191,"")</f>
        <v/>
      </c>
      <c r="J6191">
        <f>IF(OR(E6191="Prospecting",E6191="Engaging"),VLOOKUP(C6191,Products!$A$2:$C$8,3,FALSE),0)</f>
        <v>0</v>
      </c>
    </row>
    <row r="6192" spans="1:10" x14ac:dyDescent="0.25">
      <c r="A6192" t="s">
        <v>6359</v>
      </c>
      <c r="B6192" t="s">
        <v>152</v>
      </c>
      <c r="C6192" t="s">
        <v>123</v>
      </c>
      <c r="D6192" t="s">
        <v>85</v>
      </c>
      <c r="E6192" t="s">
        <v>138</v>
      </c>
      <c r="F6192" s="1">
        <v>42972</v>
      </c>
      <c r="G6192" s="1">
        <v>43061</v>
      </c>
      <c r="H6192">
        <v>63</v>
      </c>
      <c r="I6192" t="str">
        <f>IF(COUNTIF(Products!$A$2:$A$8,C6192)=0,C6192,"")</f>
        <v/>
      </c>
      <c r="J6192">
        <f>IF(OR(E6192="Prospecting",E6192="Engaging"),VLOOKUP(C6192,Products!$A$2:$C$8,3,FALSE),0)</f>
        <v>0</v>
      </c>
    </row>
    <row r="6193" spans="1:10" x14ac:dyDescent="0.25">
      <c r="A6193" t="s">
        <v>6360</v>
      </c>
      <c r="B6193" t="s">
        <v>166</v>
      </c>
      <c r="C6193" t="s">
        <v>126</v>
      </c>
      <c r="D6193" t="s">
        <v>60</v>
      </c>
      <c r="E6193" t="s">
        <v>138</v>
      </c>
      <c r="F6193" s="1">
        <v>42972</v>
      </c>
      <c r="G6193" s="1">
        <v>42991</v>
      </c>
      <c r="H6193">
        <v>6391</v>
      </c>
      <c r="I6193" t="str">
        <f>IF(COUNTIF(Products!$A$2:$A$8,C6193)=0,C6193,"")</f>
        <v/>
      </c>
      <c r="J6193">
        <f>IF(OR(E6193="Prospecting",E6193="Engaging"),VLOOKUP(C6193,Products!$A$2:$C$8,3,FALSE),0)</f>
        <v>0</v>
      </c>
    </row>
    <row r="6194" spans="1:10" x14ac:dyDescent="0.25">
      <c r="A6194" t="s">
        <v>6361</v>
      </c>
      <c r="B6194" t="s">
        <v>187</v>
      </c>
      <c r="C6194" t="s">
        <v>123</v>
      </c>
      <c r="D6194" t="s">
        <v>37</v>
      </c>
      <c r="E6194" t="s">
        <v>138</v>
      </c>
      <c r="F6194" s="1">
        <v>42972</v>
      </c>
      <c r="G6194" s="1">
        <v>43084</v>
      </c>
      <c r="H6194">
        <v>58</v>
      </c>
      <c r="I6194" t="str">
        <f>IF(COUNTIF(Products!$A$2:$A$8,C6194)=0,C6194,"")</f>
        <v/>
      </c>
      <c r="J6194">
        <f>IF(OR(E6194="Prospecting",E6194="Engaging"),VLOOKUP(C6194,Products!$A$2:$C$8,3,FALSE),0)</f>
        <v>0</v>
      </c>
    </row>
    <row r="6195" spans="1:10" x14ac:dyDescent="0.25">
      <c r="A6195" t="s">
        <v>6362</v>
      </c>
      <c r="B6195" t="s">
        <v>169</v>
      </c>
      <c r="C6195" t="s">
        <v>123</v>
      </c>
      <c r="D6195" t="s">
        <v>42</v>
      </c>
      <c r="E6195" t="s">
        <v>138</v>
      </c>
      <c r="F6195" s="1">
        <v>42972</v>
      </c>
      <c r="G6195" s="1">
        <v>43073</v>
      </c>
      <c r="H6195">
        <v>54</v>
      </c>
      <c r="I6195" t="str">
        <f>IF(COUNTIF(Products!$A$2:$A$8,C6195)=0,C6195,"")</f>
        <v/>
      </c>
      <c r="J6195">
        <f>IF(OR(E6195="Prospecting",E6195="Engaging"),VLOOKUP(C6195,Products!$A$2:$C$8,3,FALSE),0)</f>
        <v>0</v>
      </c>
    </row>
    <row r="6196" spans="1:10" x14ac:dyDescent="0.25">
      <c r="A6196" t="s">
        <v>6363</v>
      </c>
      <c r="B6196" t="s">
        <v>148</v>
      </c>
      <c r="C6196" t="s">
        <v>126</v>
      </c>
      <c r="D6196" t="s">
        <v>82</v>
      </c>
      <c r="E6196" t="s">
        <v>159</v>
      </c>
      <c r="F6196" s="1">
        <v>42972</v>
      </c>
      <c r="G6196" s="1">
        <v>43061</v>
      </c>
      <c r="H6196">
        <v>0</v>
      </c>
      <c r="I6196" t="str">
        <f>IF(COUNTIF(Products!$A$2:$A$8,C6196)=0,C6196,"")</f>
        <v/>
      </c>
      <c r="J6196">
        <f>IF(OR(E6196="Prospecting",E6196="Engaging"),VLOOKUP(C6196,Products!$A$2:$C$8,3,FALSE),0)</f>
        <v>0</v>
      </c>
    </row>
    <row r="6197" spans="1:10" x14ac:dyDescent="0.25">
      <c r="A6197" t="s">
        <v>6364</v>
      </c>
      <c r="B6197" t="s">
        <v>148</v>
      </c>
      <c r="C6197" t="s">
        <v>126</v>
      </c>
      <c r="D6197" t="s">
        <v>87</v>
      </c>
      <c r="E6197" t="s">
        <v>138</v>
      </c>
      <c r="F6197" s="1">
        <v>42972</v>
      </c>
      <c r="G6197" s="1">
        <v>43060</v>
      </c>
      <c r="H6197">
        <v>5129</v>
      </c>
      <c r="I6197" t="str">
        <f>IF(COUNTIF(Products!$A$2:$A$8,C6197)=0,C6197,"")</f>
        <v/>
      </c>
      <c r="J6197">
        <f>IF(OR(E6197="Prospecting",E6197="Engaging"),VLOOKUP(C6197,Products!$A$2:$C$8,3,FALSE),0)</f>
        <v>0</v>
      </c>
    </row>
    <row r="6198" spans="1:10" x14ac:dyDescent="0.25">
      <c r="A6198" t="s">
        <v>6365</v>
      </c>
      <c r="B6198" t="s">
        <v>177</v>
      </c>
      <c r="C6198" t="s">
        <v>123</v>
      </c>
      <c r="D6198" t="s">
        <v>106</v>
      </c>
      <c r="E6198" t="s">
        <v>155</v>
      </c>
      <c r="F6198" s="1">
        <v>42972</v>
      </c>
      <c r="I6198" t="str">
        <f>IF(COUNTIF(Products!$A$2:$A$8,C6198)=0,C6198,"")</f>
        <v/>
      </c>
      <c r="J6198">
        <f>IF(OR(E6198="Prospecting",E6198="Engaging"),VLOOKUP(C6198,Products!$A$2:$C$8,3,FALSE),0)</f>
        <v>55</v>
      </c>
    </row>
    <row r="6199" spans="1:10" x14ac:dyDescent="0.25">
      <c r="A6199" t="s">
        <v>6366</v>
      </c>
      <c r="B6199" t="s">
        <v>177</v>
      </c>
      <c r="C6199" t="s">
        <v>125</v>
      </c>
      <c r="D6199" t="s">
        <v>48</v>
      </c>
      <c r="E6199" t="s">
        <v>159</v>
      </c>
      <c r="F6199" s="1">
        <v>42972</v>
      </c>
      <c r="G6199" s="1">
        <v>42977</v>
      </c>
      <c r="H6199">
        <v>0</v>
      </c>
      <c r="I6199" t="str">
        <f>IF(COUNTIF(Products!$A$2:$A$8,C6199)=0,C6199,"")</f>
        <v/>
      </c>
      <c r="J6199">
        <f>IF(OR(E6199="Prospecting",E6199="Engaging"),VLOOKUP(C6199,Products!$A$2:$C$8,3,FALSE),0)</f>
        <v>0</v>
      </c>
    </row>
    <row r="6200" spans="1:10" x14ac:dyDescent="0.25">
      <c r="A6200" t="s">
        <v>6367</v>
      </c>
      <c r="B6200" t="s">
        <v>144</v>
      </c>
      <c r="C6200" t="s">
        <v>127</v>
      </c>
      <c r="D6200" t="s">
        <v>71</v>
      </c>
      <c r="E6200" t="s">
        <v>155</v>
      </c>
      <c r="F6200" s="1">
        <v>42972</v>
      </c>
      <c r="I6200" t="str">
        <f>IF(COUNTIF(Products!$A$2:$A$8,C6200)=0,C6200,"")</f>
        <v/>
      </c>
      <c r="J6200">
        <f>IF(OR(E6200="Prospecting",E6200="Engaging"),VLOOKUP(C6200,Products!$A$2:$C$8,3,FALSE),0)</f>
        <v>1096</v>
      </c>
    </row>
    <row r="6201" spans="1:10" x14ac:dyDescent="0.25">
      <c r="A6201" t="s">
        <v>6368</v>
      </c>
      <c r="B6201" t="s">
        <v>144</v>
      </c>
      <c r="C6201" t="s">
        <v>122</v>
      </c>
      <c r="D6201" t="s">
        <v>27</v>
      </c>
      <c r="E6201" t="s">
        <v>155</v>
      </c>
      <c r="F6201" s="1">
        <v>42972</v>
      </c>
      <c r="I6201" t="str">
        <f>IF(COUNTIF(Products!$A$2:$A$8,C6201)=0,C6201,"")</f>
        <v/>
      </c>
      <c r="J6201">
        <f>IF(OR(E6201="Prospecting",E6201="Engaging"),VLOOKUP(C6201,Products!$A$2:$C$8,3,FALSE),0)</f>
        <v>4821</v>
      </c>
    </row>
    <row r="6202" spans="1:10" x14ac:dyDescent="0.25">
      <c r="A6202" t="s">
        <v>6369</v>
      </c>
      <c r="B6202" t="s">
        <v>144</v>
      </c>
      <c r="C6202" t="s">
        <v>120</v>
      </c>
      <c r="D6202" t="s">
        <v>60</v>
      </c>
      <c r="E6202" t="s">
        <v>138</v>
      </c>
      <c r="F6202" s="1">
        <v>42972</v>
      </c>
      <c r="G6202" s="1">
        <v>43058</v>
      </c>
      <c r="H6202">
        <v>454</v>
      </c>
      <c r="I6202" t="str">
        <f>IF(COUNTIF(Products!$A$2:$A$8,C6202)=0,C6202,"")</f>
        <v/>
      </c>
      <c r="J6202">
        <f>IF(OR(E6202="Prospecting",E6202="Engaging"),VLOOKUP(C6202,Products!$A$2:$C$8,3,FALSE),0)</f>
        <v>0</v>
      </c>
    </row>
    <row r="6203" spans="1:10" x14ac:dyDescent="0.25">
      <c r="A6203" t="s">
        <v>6370</v>
      </c>
      <c r="B6203" t="s">
        <v>146</v>
      </c>
      <c r="C6203" t="s">
        <v>126</v>
      </c>
      <c r="D6203" t="s">
        <v>14</v>
      </c>
      <c r="E6203" t="s">
        <v>138</v>
      </c>
      <c r="F6203" s="1">
        <v>42973</v>
      </c>
      <c r="G6203" s="1">
        <v>43041</v>
      </c>
      <c r="H6203">
        <v>6659</v>
      </c>
      <c r="I6203" t="str">
        <f>IF(COUNTIF(Products!$A$2:$A$8,C6203)=0,C6203,"")</f>
        <v/>
      </c>
      <c r="J6203">
        <f>IF(OR(E6203="Prospecting",E6203="Engaging"),VLOOKUP(C6203,Products!$A$2:$C$8,3,FALSE),0)</f>
        <v>0</v>
      </c>
    </row>
    <row r="6204" spans="1:10" x14ac:dyDescent="0.25">
      <c r="A6204" t="s">
        <v>6371</v>
      </c>
      <c r="B6204" t="s">
        <v>207</v>
      </c>
      <c r="C6204" t="s">
        <v>120</v>
      </c>
      <c r="D6204" t="s">
        <v>16</v>
      </c>
      <c r="E6204" t="s">
        <v>138</v>
      </c>
      <c r="F6204" s="1">
        <v>42973</v>
      </c>
      <c r="G6204" s="1">
        <v>42986</v>
      </c>
      <c r="H6204">
        <v>572</v>
      </c>
      <c r="I6204" t="str">
        <f>IF(COUNTIF(Products!$A$2:$A$8,C6204)=0,C6204,"")</f>
        <v/>
      </c>
      <c r="J6204">
        <f>IF(OR(E6204="Prospecting",E6204="Engaging"),VLOOKUP(C6204,Products!$A$2:$C$8,3,FALSE),0)</f>
        <v>0</v>
      </c>
    </row>
    <row r="6205" spans="1:10" x14ac:dyDescent="0.25">
      <c r="A6205" t="s">
        <v>6372</v>
      </c>
      <c r="B6205" t="s">
        <v>239</v>
      </c>
      <c r="C6205" t="s">
        <v>127</v>
      </c>
      <c r="D6205" t="s">
        <v>20</v>
      </c>
      <c r="E6205" t="s">
        <v>138</v>
      </c>
      <c r="F6205" s="1">
        <v>42973</v>
      </c>
      <c r="G6205" s="1">
        <v>43058</v>
      </c>
      <c r="H6205">
        <v>1046</v>
      </c>
      <c r="I6205" t="str">
        <f>IF(COUNTIF(Products!$A$2:$A$8,C6205)=0,C6205,"")</f>
        <v/>
      </c>
      <c r="J6205">
        <f>IF(OR(E6205="Prospecting",E6205="Engaging"),VLOOKUP(C6205,Products!$A$2:$C$8,3,FALSE),0)</f>
        <v>0</v>
      </c>
    </row>
    <row r="6206" spans="1:10" x14ac:dyDescent="0.25">
      <c r="A6206" t="s">
        <v>6373</v>
      </c>
      <c r="B6206" t="s">
        <v>171</v>
      </c>
      <c r="C6206" t="s">
        <v>127</v>
      </c>
      <c r="E6206" t="s">
        <v>155</v>
      </c>
      <c r="F6206" s="1">
        <v>42973</v>
      </c>
      <c r="I6206" t="str">
        <f>IF(COUNTIF(Products!$A$2:$A$8,C6206)=0,C6206,"")</f>
        <v/>
      </c>
      <c r="J6206">
        <f>IF(OR(E6206="Prospecting",E6206="Engaging"),VLOOKUP(C6206,Products!$A$2:$C$8,3,FALSE),0)</f>
        <v>1096</v>
      </c>
    </row>
    <row r="6207" spans="1:10" x14ac:dyDescent="0.25">
      <c r="A6207" t="s">
        <v>6374</v>
      </c>
      <c r="B6207" t="s">
        <v>224</v>
      </c>
      <c r="C6207" t="s">
        <v>125</v>
      </c>
      <c r="D6207" t="s">
        <v>50</v>
      </c>
      <c r="E6207" t="s">
        <v>138</v>
      </c>
      <c r="F6207" s="1">
        <v>42973</v>
      </c>
      <c r="G6207" s="1">
        <v>43070</v>
      </c>
      <c r="H6207">
        <v>3281</v>
      </c>
      <c r="I6207" t="str">
        <f>IF(COUNTIF(Products!$A$2:$A$8,C6207)=0,C6207,"")</f>
        <v/>
      </c>
      <c r="J6207">
        <f>IF(OR(E6207="Prospecting",E6207="Engaging"),VLOOKUP(C6207,Products!$A$2:$C$8,3,FALSE),0)</f>
        <v>0</v>
      </c>
    </row>
    <row r="6208" spans="1:10" x14ac:dyDescent="0.25">
      <c r="A6208" t="s">
        <v>6375</v>
      </c>
      <c r="B6208" t="s">
        <v>158</v>
      </c>
      <c r="C6208" t="s">
        <v>123</v>
      </c>
      <c r="D6208" t="s">
        <v>95</v>
      </c>
      <c r="E6208" t="s">
        <v>159</v>
      </c>
      <c r="F6208" s="1">
        <v>42973</v>
      </c>
      <c r="G6208" s="1">
        <v>42983</v>
      </c>
      <c r="H6208">
        <v>0</v>
      </c>
      <c r="I6208" t="str">
        <f>IF(COUNTIF(Products!$A$2:$A$8,C6208)=0,C6208,"")</f>
        <v/>
      </c>
      <c r="J6208">
        <f>IF(OR(E6208="Prospecting",E6208="Engaging"),VLOOKUP(C6208,Products!$A$2:$C$8,3,FALSE),0)</f>
        <v>0</v>
      </c>
    </row>
    <row r="6209" spans="1:10" x14ac:dyDescent="0.25">
      <c r="A6209" t="s">
        <v>6376</v>
      </c>
      <c r="B6209" t="s">
        <v>164</v>
      </c>
      <c r="C6209" t="s">
        <v>125</v>
      </c>
      <c r="D6209" t="s">
        <v>93</v>
      </c>
      <c r="E6209" t="s">
        <v>138</v>
      </c>
      <c r="F6209" s="1">
        <v>42973</v>
      </c>
      <c r="G6209" s="1">
        <v>42988</v>
      </c>
      <c r="H6209">
        <v>3462</v>
      </c>
      <c r="I6209" t="str">
        <f>IF(COUNTIF(Products!$A$2:$A$8,C6209)=0,C6209,"")</f>
        <v/>
      </c>
      <c r="J6209">
        <f>IF(OR(E6209="Prospecting",E6209="Engaging"),VLOOKUP(C6209,Products!$A$2:$C$8,3,FALSE),0)</f>
        <v>0</v>
      </c>
    </row>
    <row r="6210" spans="1:10" x14ac:dyDescent="0.25">
      <c r="A6210" t="s">
        <v>6377</v>
      </c>
      <c r="B6210" t="s">
        <v>154</v>
      </c>
      <c r="C6210" t="s">
        <v>126</v>
      </c>
      <c r="D6210" t="s">
        <v>90</v>
      </c>
      <c r="E6210" t="s">
        <v>138</v>
      </c>
      <c r="F6210" s="1">
        <v>42973</v>
      </c>
      <c r="G6210" s="1">
        <v>42984</v>
      </c>
      <c r="H6210">
        <v>6029</v>
      </c>
      <c r="I6210" t="str">
        <f>IF(COUNTIF(Products!$A$2:$A$8,C6210)=0,C6210,"")</f>
        <v/>
      </c>
      <c r="J6210">
        <f>IF(OR(E6210="Prospecting",E6210="Engaging"),VLOOKUP(C6210,Products!$A$2:$C$8,3,FALSE),0)</f>
        <v>0</v>
      </c>
    </row>
    <row r="6211" spans="1:10" x14ac:dyDescent="0.25">
      <c r="A6211" t="s">
        <v>6378</v>
      </c>
      <c r="B6211" t="s">
        <v>180</v>
      </c>
      <c r="C6211" t="s">
        <v>126</v>
      </c>
      <c r="D6211" t="s">
        <v>71</v>
      </c>
      <c r="E6211" t="s">
        <v>155</v>
      </c>
      <c r="F6211" s="1">
        <v>42973</v>
      </c>
      <c r="I6211" t="str">
        <f>IF(COUNTIF(Products!$A$2:$A$8,C6211)=0,C6211,"")</f>
        <v/>
      </c>
      <c r="J6211">
        <f>IF(OR(E6211="Prospecting",E6211="Engaging"),VLOOKUP(C6211,Products!$A$2:$C$8,3,FALSE),0)</f>
        <v>5482</v>
      </c>
    </row>
    <row r="6212" spans="1:10" x14ac:dyDescent="0.25">
      <c r="A6212" t="s">
        <v>6379</v>
      </c>
      <c r="B6212" t="s">
        <v>180</v>
      </c>
      <c r="C6212" t="s">
        <v>120</v>
      </c>
      <c r="D6212" t="s">
        <v>44</v>
      </c>
      <c r="E6212" t="s">
        <v>138</v>
      </c>
      <c r="F6212" s="1">
        <v>42973</v>
      </c>
      <c r="G6212" s="1">
        <v>43073</v>
      </c>
      <c r="H6212">
        <v>566</v>
      </c>
      <c r="I6212" t="str">
        <f>IF(COUNTIF(Products!$A$2:$A$8,C6212)=0,C6212,"")</f>
        <v/>
      </c>
      <c r="J6212">
        <f>IF(OR(E6212="Prospecting",E6212="Engaging"),VLOOKUP(C6212,Products!$A$2:$C$8,3,FALSE),0)</f>
        <v>0</v>
      </c>
    </row>
    <row r="6213" spans="1:10" x14ac:dyDescent="0.25">
      <c r="A6213" t="s">
        <v>6380</v>
      </c>
      <c r="B6213" t="s">
        <v>191</v>
      </c>
      <c r="C6213" t="s">
        <v>122</v>
      </c>
      <c r="D6213" t="s">
        <v>38</v>
      </c>
      <c r="E6213" t="s">
        <v>159</v>
      </c>
      <c r="F6213" s="1">
        <v>42973</v>
      </c>
      <c r="G6213" s="1">
        <v>43047</v>
      </c>
      <c r="H6213">
        <v>0</v>
      </c>
      <c r="I6213" t="str">
        <f>IF(COUNTIF(Products!$A$2:$A$8,C6213)=0,C6213,"")</f>
        <v/>
      </c>
      <c r="J6213">
        <f>IF(OR(E6213="Prospecting",E6213="Engaging"),VLOOKUP(C6213,Products!$A$2:$C$8,3,FALSE),0)</f>
        <v>0</v>
      </c>
    </row>
    <row r="6214" spans="1:10" x14ac:dyDescent="0.25">
      <c r="A6214" t="s">
        <v>6381</v>
      </c>
      <c r="B6214" t="s">
        <v>137</v>
      </c>
      <c r="C6214" t="s">
        <v>123</v>
      </c>
      <c r="D6214" t="s">
        <v>91</v>
      </c>
      <c r="E6214" t="s">
        <v>159</v>
      </c>
      <c r="F6214" s="1">
        <v>42973</v>
      </c>
      <c r="G6214" s="1">
        <v>43051</v>
      </c>
      <c r="H6214">
        <v>0</v>
      </c>
      <c r="I6214" t="str">
        <f>IF(COUNTIF(Products!$A$2:$A$8,C6214)=0,C6214,"")</f>
        <v/>
      </c>
      <c r="J6214">
        <f>IF(OR(E6214="Prospecting",E6214="Engaging"),VLOOKUP(C6214,Products!$A$2:$C$8,3,FALSE),0)</f>
        <v>0</v>
      </c>
    </row>
    <row r="6215" spans="1:10" x14ac:dyDescent="0.25">
      <c r="A6215" t="s">
        <v>6382</v>
      </c>
      <c r="B6215" t="s">
        <v>137</v>
      </c>
      <c r="C6215" t="s">
        <v>127</v>
      </c>
      <c r="D6215" t="s">
        <v>64</v>
      </c>
      <c r="E6215" t="s">
        <v>138</v>
      </c>
      <c r="F6215" s="1">
        <v>42973</v>
      </c>
      <c r="G6215" s="1">
        <v>43052</v>
      </c>
      <c r="H6215">
        <v>1042</v>
      </c>
      <c r="I6215" t="str">
        <f>IF(COUNTIF(Products!$A$2:$A$8,C6215)=0,C6215,"")</f>
        <v/>
      </c>
      <c r="J6215">
        <f>IF(OR(E6215="Prospecting",E6215="Engaging"),VLOOKUP(C6215,Products!$A$2:$C$8,3,FALSE),0)</f>
        <v>0</v>
      </c>
    </row>
    <row r="6216" spans="1:10" x14ac:dyDescent="0.25">
      <c r="A6216" t="s">
        <v>6383</v>
      </c>
      <c r="B6216" t="s">
        <v>193</v>
      </c>
      <c r="C6216" t="s">
        <v>120</v>
      </c>
      <c r="D6216" t="s">
        <v>10</v>
      </c>
      <c r="E6216" t="s">
        <v>138</v>
      </c>
      <c r="F6216" s="1">
        <v>42973</v>
      </c>
      <c r="G6216" s="1">
        <v>43046</v>
      </c>
      <c r="H6216">
        <v>539</v>
      </c>
      <c r="I6216" t="str">
        <f>IF(COUNTIF(Products!$A$2:$A$8,C6216)=0,C6216,"")</f>
        <v/>
      </c>
      <c r="J6216">
        <f>IF(OR(E6216="Prospecting",E6216="Engaging"),VLOOKUP(C6216,Products!$A$2:$C$8,3,FALSE),0)</f>
        <v>0</v>
      </c>
    </row>
    <row r="6217" spans="1:10" x14ac:dyDescent="0.25">
      <c r="A6217" t="s">
        <v>6384</v>
      </c>
      <c r="B6217" t="s">
        <v>166</v>
      </c>
      <c r="C6217" t="s">
        <v>123</v>
      </c>
      <c r="E6217" t="s">
        <v>155</v>
      </c>
      <c r="F6217" s="1">
        <v>42973</v>
      </c>
      <c r="I6217" t="str">
        <f>IF(COUNTIF(Products!$A$2:$A$8,C6217)=0,C6217,"")</f>
        <v/>
      </c>
      <c r="J6217">
        <f>IF(OR(E6217="Prospecting",E6217="Engaging"),VLOOKUP(C6217,Products!$A$2:$C$8,3,FALSE),0)</f>
        <v>55</v>
      </c>
    </row>
    <row r="6218" spans="1:10" x14ac:dyDescent="0.25">
      <c r="A6218" t="s">
        <v>6385</v>
      </c>
      <c r="B6218" t="s">
        <v>166</v>
      </c>
      <c r="C6218" t="s">
        <v>123</v>
      </c>
      <c r="D6218" t="s">
        <v>67</v>
      </c>
      <c r="E6218" t="s">
        <v>138</v>
      </c>
      <c r="F6218" s="1">
        <v>42973</v>
      </c>
      <c r="G6218" s="1">
        <v>43055</v>
      </c>
      <c r="H6218">
        <v>56</v>
      </c>
      <c r="I6218" t="str">
        <f>IF(COUNTIF(Products!$A$2:$A$8,C6218)=0,C6218,"")</f>
        <v/>
      </c>
      <c r="J6218">
        <f>IF(OR(E6218="Prospecting",E6218="Engaging"),VLOOKUP(C6218,Products!$A$2:$C$8,3,FALSE),0)</f>
        <v>0</v>
      </c>
    </row>
    <row r="6219" spans="1:10" x14ac:dyDescent="0.25">
      <c r="A6219" t="s">
        <v>6386</v>
      </c>
      <c r="B6219" t="s">
        <v>169</v>
      </c>
      <c r="C6219" t="s">
        <v>123</v>
      </c>
      <c r="D6219" t="s">
        <v>55</v>
      </c>
      <c r="E6219" t="s">
        <v>138</v>
      </c>
      <c r="F6219" s="1">
        <v>42973</v>
      </c>
      <c r="G6219" s="1">
        <v>43067</v>
      </c>
      <c r="H6219">
        <v>60</v>
      </c>
      <c r="I6219" t="str">
        <f>IF(COUNTIF(Products!$A$2:$A$8,C6219)=0,C6219,"")</f>
        <v/>
      </c>
      <c r="J6219">
        <f>IF(OR(E6219="Prospecting",E6219="Engaging"),VLOOKUP(C6219,Products!$A$2:$C$8,3,FALSE),0)</f>
        <v>0</v>
      </c>
    </row>
    <row r="6220" spans="1:10" x14ac:dyDescent="0.25">
      <c r="A6220" t="s">
        <v>6387</v>
      </c>
      <c r="B6220" t="s">
        <v>148</v>
      </c>
      <c r="C6220" t="s">
        <v>123</v>
      </c>
      <c r="D6220" t="s">
        <v>90</v>
      </c>
      <c r="E6220" t="s">
        <v>159</v>
      </c>
      <c r="F6220" s="1">
        <v>42973</v>
      </c>
      <c r="G6220" s="1">
        <v>42974</v>
      </c>
      <c r="H6220">
        <v>0</v>
      </c>
      <c r="I6220" t="str">
        <f>IF(COUNTIF(Products!$A$2:$A$8,C6220)=0,C6220,"")</f>
        <v/>
      </c>
      <c r="J6220">
        <f>IF(OR(E6220="Prospecting",E6220="Engaging"),VLOOKUP(C6220,Products!$A$2:$C$8,3,FALSE),0)</f>
        <v>0</v>
      </c>
    </row>
    <row r="6221" spans="1:10" x14ac:dyDescent="0.25">
      <c r="A6221" t="s">
        <v>6388</v>
      </c>
      <c r="B6221" t="s">
        <v>148</v>
      </c>
      <c r="C6221" t="s">
        <v>125</v>
      </c>
      <c r="D6221" t="s">
        <v>100</v>
      </c>
      <c r="E6221" t="s">
        <v>138</v>
      </c>
      <c r="F6221" s="1">
        <v>42973</v>
      </c>
      <c r="G6221" s="1">
        <v>43043</v>
      </c>
      <c r="H6221">
        <v>3966</v>
      </c>
      <c r="I6221" t="str">
        <f>IF(COUNTIF(Products!$A$2:$A$8,C6221)=0,C6221,"")</f>
        <v/>
      </c>
      <c r="J6221">
        <f>IF(OR(E6221="Prospecting",E6221="Engaging"),VLOOKUP(C6221,Products!$A$2:$C$8,3,FALSE),0)</f>
        <v>0</v>
      </c>
    </row>
    <row r="6222" spans="1:10" x14ac:dyDescent="0.25">
      <c r="A6222" t="s">
        <v>6389</v>
      </c>
      <c r="B6222" t="s">
        <v>177</v>
      </c>
      <c r="C6222" t="s">
        <v>123</v>
      </c>
      <c r="D6222" t="s">
        <v>19</v>
      </c>
      <c r="E6222" t="s">
        <v>159</v>
      </c>
      <c r="F6222" s="1">
        <v>42973</v>
      </c>
      <c r="G6222" s="1">
        <v>42974</v>
      </c>
      <c r="H6222">
        <v>0</v>
      </c>
      <c r="I6222" t="str">
        <f>IF(COUNTIF(Products!$A$2:$A$8,C6222)=0,C6222,"")</f>
        <v/>
      </c>
      <c r="J6222">
        <f>IF(OR(E6222="Prospecting",E6222="Engaging"),VLOOKUP(C6222,Products!$A$2:$C$8,3,FALSE),0)</f>
        <v>0</v>
      </c>
    </row>
    <row r="6223" spans="1:10" x14ac:dyDescent="0.25">
      <c r="A6223" t="s">
        <v>6390</v>
      </c>
      <c r="B6223" t="s">
        <v>196</v>
      </c>
      <c r="C6223" t="s">
        <v>120</v>
      </c>
      <c r="D6223" t="s">
        <v>105</v>
      </c>
      <c r="E6223" t="s">
        <v>138</v>
      </c>
      <c r="F6223" s="1">
        <v>42973</v>
      </c>
      <c r="G6223" s="1">
        <v>43062</v>
      </c>
      <c r="H6223">
        <v>471</v>
      </c>
      <c r="I6223" t="str">
        <f>IF(COUNTIF(Products!$A$2:$A$8,C6223)=0,C6223,"")</f>
        <v/>
      </c>
      <c r="J6223">
        <f>IF(OR(E6223="Prospecting",E6223="Engaging"),VLOOKUP(C6223,Products!$A$2:$C$8,3,FALSE),0)</f>
        <v>0</v>
      </c>
    </row>
    <row r="6224" spans="1:10" x14ac:dyDescent="0.25">
      <c r="A6224" t="s">
        <v>6391</v>
      </c>
      <c r="B6224" t="s">
        <v>144</v>
      </c>
      <c r="C6224" t="s">
        <v>122</v>
      </c>
      <c r="E6224" t="s">
        <v>155</v>
      </c>
      <c r="F6224" s="1">
        <v>42973</v>
      </c>
      <c r="I6224" t="str">
        <f>IF(COUNTIF(Products!$A$2:$A$8,C6224)=0,C6224,"")</f>
        <v/>
      </c>
      <c r="J6224">
        <f>IF(OR(E6224="Prospecting",E6224="Engaging"),VLOOKUP(C6224,Products!$A$2:$C$8,3,FALSE),0)</f>
        <v>4821</v>
      </c>
    </row>
    <row r="6225" spans="1:10" x14ac:dyDescent="0.25">
      <c r="A6225" t="s">
        <v>6392</v>
      </c>
      <c r="B6225" t="s">
        <v>146</v>
      </c>
      <c r="C6225" t="s">
        <v>120</v>
      </c>
      <c r="D6225" t="s">
        <v>22</v>
      </c>
      <c r="E6225" t="s">
        <v>138</v>
      </c>
      <c r="F6225" s="1">
        <v>42974</v>
      </c>
      <c r="G6225" s="1">
        <v>42983</v>
      </c>
      <c r="H6225">
        <v>597</v>
      </c>
      <c r="I6225" t="str">
        <f>IF(COUNTIF(Products!$A$2:$A$8,C6225)=0,C6225,"")</f>
        <v/>
      </c>
      <c r="J6225">
        <f>IF(OR(E6225="Prospecting",E6225="Engaging"),VLOOKUP(C6225,Products!$A$2:$C$8,3,FALSE),0)</f>
        <v>0</v>
      </c>
    </row>
    <row r="6226" spans="1:10" x14ac:dyDescent="0.25">
      <c r="A6226" t="s">
        <v>6393</v>
      </c>
      <c r="B6226" t="s">
        <v>146</v>
      </c>
      <c r="C6226" t="s">
        <v>123</v>
      </c>
      <c r="D6226" t="s">
        <v>27</v>
      </c>
      <c r="E6226" t="s">
        <v>138</v>
      </c>
      <c r="F6226" s="1">
        <v>42974</v>
      </c>
      <c r="G6226" s="1">
        <v>43053</v>
      </c>
      <c r="H6226">
        <v>53</v>
      </c>
      <c r="I6226" t="str">
        <f>IF(COUNTIF(Products!$A$2:$A$8,C6226)=0,C6226,"")</f>
        <v/>
      </c>
      <c r="J6226">
        <f>IF(OR(E6226="Prospecting",E6226="Engaging"),VLOOKUP(C6226,Products!$A$2:$C$8,3,FALSE),0)</f>
        <v>0</v>
      </c>
    </row>
    <row r="6227" spans="1:10" x14ac:dyDescent="0.25">
      <c r="A6227" t="s">
        <v>6394</v>
      </c>
      <c r="B6227" t="s">
        <v>146</v>
      </c>
      <c r="C6227" t="s">
        <v>123</v>
      </c>
      <c r="D6227" t="s">
        <v>36</v>
      </c>
      <c r="E6227" t="s">
        <v>138</v>
      </c>
      <c r="F6227" s="1">
        <v>42974</v>
      </c>
      <c r="G6227" s="1">
        <v>42991</v>
      </c>
      <c r="H6227">
        <v>59</v>
      </c>
      <c r="I6227" t="str">
        <f>IF(COUNTIF(Products!$A$2:$A$8,C6227)=0,C6227,"")</f>
        <v/>
      </c>
      <c r="J6227">
        <f>IF(OR(E6227="Prospecting",E6227="Engaging"),VLOOKUP(C6227,Products!$A$2:$C$8,3,FALSE),0)</f>
        <v>0</v>
      </c>
    </row>
    <row r="6228" spans="1:10" x14ac:dyDescent="0.25">
      <c r="A6228" t="s">
        <v>6395</v>
      </c>
      <c r="B6228" t="s">
        <v>207</v>
      </c>
      <c r="C6228" t="s">
        <v>127</v>
      </c>
      <c r="D6228" t="s">
        <v>109</v>
      </c>
      <c r="E6228" t="s">
        <v>155</v>
      </c>
      <c r="F6228" s="1">
        <v>42974</v>
      </c>
      <c r="I6228" t="str">
        <f>IF(COUNTIF(Products!$A$2:$A$8,C6228)=0,C6228,"")</f>
        <v/>
      </c>
      <c r="J6228">
        <f>IF(OR(E6228="Prospecting",E6228="Engaging"),VLOOKUP(C6228,Products!$A$2:$C$8,3,FALSE),0)</f>
        <v>1096</v>
      </c>
    </row>
    <row r="6229" spans="1:10" x14ac:dyDescent="0.25">
      <c r="A6229" t="s">
        <v>6396</v>
      </c>
      <c r="B6229" t="s">
        <v>207</v>
      </c>
      <c r="C6229" t="s">
        <v>120</v>
      </c>
      <c r="D6229" t="s">
        <v>20</v>
      </c>
      <c r="E6229" t="s">
        <v>138</v>
      </c>
      <c r="F6229" s="1">
        <v>42974</v>
      </c>
      <c r="G6229" s="1">
        <v>43077</v>
      </c>
      <c r="H6229">
        <v>606</v>
      </c>
      <c r="I6229" t="str">
        <f>IF(COUNTIF(Products!$A$2:$A$8,C6229)=0,C6229,"")</f>
        <v/>
      </c>
      <c r="J6229">
        <f>IF(OR(E6229="Prospecting",E6229="Engaging"),VLOOKUP(C6229,Products!$A$2:$C$8,3,FALSE),0)</f>
        <v>0</v>
      </c>
    </row>
    <row r="6230" spans="1:10" x14ac:dyDescent="0.25">
      <c r="A6230" t="s">
        <v>6397</v>
      </c>
      <c r="B6230" t="s">
        <v>239</v>
      </c>
      <c r="C6230" t="s">
        <v>126</v>
      </c>
      <c r="D6230" t="s">
        <v>72</v>
      </c>
      <c r="E6230" t="s">
        <v>155</v>
      </c>
      <c r="F6230" s="1">
        <v>42974</v>
      </c>
      <c r="I6230" t="str">
        <f>IF(COUNTIF(Products!$A$2:$A$8,C6230)=0,C6230,"")</f>
        <v/>
      </c>
      <c r="J6230">
        <f>IF(OR(E6230="Prospecting",E6230="Engaging"),VLOOKUP(C6230,Products!$A$2:$C$8,3,FALSE),0)</f>
        <v>5482</v>
      </c>
    </row>
    <row r="6231" spans="1:10" x14ac:dyDescent="0.25">
      <c r="A6231" t="s">
        <v>6398</v>
      </c>
      <c r="B6231" t="s">
        <v>224</v>
      </c>
      <c r="C6231" t="s">
        <v>127</v>
      </c>
      <c r="D6231" t="s">
        <v>67</v>
      </c>
      <c r="E6231" t="s">
        <v>159</v>
      </c>
      <c r="F6231" s="1">
        <v>42974</v>
      </c>
      <c r="G6231" s="1">
        <v>43059</v>
      </c>
      <c r="H6231">
        <v>0</v>
      </c>
      <c r="I6231" t="str">
        <f>IF(COUNTIF(Products!$A$2:$A$8,C6231)=0,C6231,"")</f>
        <v/>
      </c>
      <c r="J6231">
        <f>IF(OR(E6231="Prospecting",E6231="Engaging"),VLOOKUP(C6231,Products!$A$2:$C$8,3,FALSE),0)</f>
        <v>0</v>
      </c>
    </row>
    <row r="6232" spans="1:10" x14ac:dyDescent="0.25">
      <c r="A6232" t="s">
        <v>6399</v>
      </c>
      <c r="B6232" t="s">
        <v>224</v>
      </c>
      <c r="C6232" t="s">
        <v>122</v>
      </c>
      <c r="D6232" t="s">
        <v>115</v>
      </c>
      <c r="E6232" t="s">
        <v>138</v>
      </c>
      <c r="F6232" s="1">
        <v>42974</v>
      </c>
      <c r="G6232" s="1">
        <v>43064</v>
      </c>
      <c r="H6232">
        <v>5305</v>
      </c>
      <c r="I6232" t="str">
        <f>IF(COUNTIF(Products!$A$2:$A$8,C6232)=0,C6232,"")</f>
        <v/>
      </c>
      <c r="J6232">
        <f>IF(OR(E6232="Prospecting",E6232="Engaging"),VLOOKUP(C6232,Products!$A$2:$C$8,3,FALSE),0)</f>
        <v>0</v>
      </c>
    </row>
    <row r="6233" spans="1:10" x14ac:dyDescent="0.25">
      <c r="A6233" t="s">
        <v>6400</v>
      </c>
      <c r="B6233" t="s">
        <v>164</v>
      </c>
      <c r="C6233" t="s">
        <v>127</v>
      </c>
      <c r="D6233" t="s">
        <v>114</v>
      </c>
      <c r="E6233" t="s">
        <v>159</v>
      </c>
      <c r="F6233" s="1">
        <v>42974</v>
      </c>
      <c r="G6233" s="1">
        <v>43041</v>
      </c>
      <c r="H6233">
        <v>0</v>
      </c>
      <c r="I6233" t="str">
        <f>IF(COUNTIF(Products!$A$2:$A$8,C6233)=0,C6233,"")</f>
        <v/>
      </c>
      <c r="J6233">
        <f>IF(OR(E6233="Prospecting",E6233="Engaging"),VLOOKUP(C6233,Products!$A$2:$C$8,3,FALSE),0)</f>
        <v>0</v>
      </c>
    </row>
    <row r="6234" spans="1:10" x14ac:dyDescent="0.25">
      <c r="A6234" t="s">
        <v>6401</v>
      </c>
      <c r="B6234" t="s">
        <v>180</v>
      </c>
      <c r="C6234" t="s">
        <v>122</v>
      </c>
      <c r="E6234" t="s">
        <v>155</v>
      </c>
      <c r="F6234" s="1">
        <v>42974</v>
      </c>
      <c r="I6234" t="str">
        <f>IF(COUNTIF(Products!$A$2:$A$8,C6234)=0,C6234,"")</f>
        <v/>
      </c>
      <c r="J6234">
        <f>IF(OR(E6234="Prospecting",E6234="Engaging"),VLOOKUP(C6234,Products!$A$2:$C$8,3,FALSE),0)</f>
        <v>4821</v>
      </c>
    </row>
    <row r="6235" spans="1:10" x14ac:dyDescent="0.25">
      <c r="A6235" t="s">
        <v>6402</v>
      </c>
      <c r="B6235" t="s">
        <v>180</v>
      </c>
      <c r="C6235" t="s">
        <v>123</v>
      </c>
      <c r="E6235" t="s">
        <v>155</v>
      </c>
      <c r="F6235" s="1">
        <v>42974</v>
      </c>
      <c r="I6235" t="str">
        <f>IF(COUNTIF(Products!$A$2:$A$8,C6235)=0,C6235,"")</f>
        <v/>
      </c>
      <c r="J6235">
        <f>IF(OR(E6235="Prospecting",E6235="Engaging"),VLOOKUP(C6235,Products!$A$2:$C$8,3,FALSE),0)</f>
        <v>55</v>
      </c>
    </row>
    <row r="6236" spans="1:10" x14ac:dyDescent="0.25">
      <c r="A6236" t="s">
        <v>6403</v>
      </c>
      <c r="B6236" t="s">
        <v>180</v>
      </c>
      <c r="C6236" t="s">
        <v>120</v>
      </c>
      <c r="D6236" t="s">
        <v>67</v>
      </c>
      <c r="E6236" t="s">
        <v>159</v>
      </c>
      <c r="F6236" s="1">
        <v>42974</v>
      </c>
      <c r="G6236" s="1">
        <v>43055</v>
      </c>
      <c r="H6236">
        <v>0</v>
      </c>
      <c r="I6236" t="str">
        <f>IF(COUNTIF(Products!$A$2:$A$8,C6236)=0,C6236,"")</f>
        <v/>
      </c>
      <c r="J6236">
        <f>IF(OR(E6236="Prospecting",E6236="Engaging"),VLOOKUP(C6236,Products!$A$2:$C$8,3,FALSE),0)</f>
        <v>0</v>
      </c>
    </row>
    <row r="6237" spans="1:10" x14ac:dyDescent="0.25">
      <c r="A6237" t="s">
        <v>6404</v>
      </c>
      <c r="B6237" t="s">
        <v>180</v>
      </c>
      <c r="C6237" t="s">
        <v>120</v>
      </c>
      <c r="D6237" t="s">
        <v>57</v>
      </c>
      <c r="E6237" t="s">
        <v>138</v>
      </c>
      <c r="F6237" s="1">
        <v>42974</v>
      </c>
      <c r="G6237" s="1">
        <v>42987</v>
      </c>
      <c r="H6237">
        <v>596</v>
      </c>
      <c r="I6237" t="str">
        <f>IF(COUNTIF(Products!$A$2:$A$8,C6237)=0,C6237,"")</f>
        <v/>
      </c>
      <c r="J6237">
        <f>IF(OR(E6237="Prospecting",E6237="Engaging"),VLOOKUP(C6237,Products!$A$2:$C$8,3,FALSE),0)</f>
        <v>0</v>
      </c>
    </row>
    <row r="6238" spans="1:10" x14ac:dyDescent="0.25">
      <c r="A6238" t="s">
        <v>6405</v>
      </c>
      <c r="B6238" t="s">
        <v>191</v>
      </c>
      <c r="C6238" t="s">
        <v>120</v>
      </c>
      <c r="D6238" t="s">
        <v>93</v>
      </c>
      <c r="E6238" t="s">
        <v>138</v>
      </c>
      <c r="F6238" s="1">
        <v>42974</v>
      </c>
      <c r="G6238" s="1">
        <v>43043</v>
      </c>
      <c r="H6238">
        <v>545</v>
      </c>
      <c r="I6238" t="str">
        <f>IF(COUNTIF(Products!$A$2:$A$8,C6238)=0,C6238,"")</f>
        <v/>
      </c>
      <c r="J6238">
        <f>IF(OR(E6238="Prospecting",E6238="Engaging"),VLOOKUP(C6238,Products!$A$2:$C$8,3,FALSE),0)</f>
        <v>0</v>
      </c>
    </row>
    <row r="6239" spans="1:10" x14ac:dyDescent="0.25">
      <c r="A6239" t="s">
        <v>6406</v>
      </c>
      <c r="B6239" t="s">
        <v>150</v>
      </c>
      <c r="C6239" t="s">
        <v>120</v>
      </c>
      <c r="D6239" t="s">
        <v>71</v>
      </c>
      <c r="E6239" t="s">
        <v>138</v>
      </c>
      <c r="F6239" s="1">
        <v>42974</v>
      </c>
      <c r="G6239" s="1">
        <v>42976</v>
      </c>
      <c r="H6239">
        <v>548</v>
      </c>
      <c r="I6239" t="str">
        <f>IF(COUNTIF(Products!$A$2:$A$8,C6239)=0,C6239,"")</f>
        <v/>
      </c>
      <c r="J6239">
        <f>IF(OR(E6239="Prospecting",E6239="Engaging"),VLOOKUP(C6239,Products!$A$2:$C$8,3,FALSE),0)</f>
        <v>0</v>
      </c>
    </row>
    <row r="6240" spans="1:10" x14ac:dyDescent="0.25">
      <c r="A6240" t="s">
        <v>6407</v>
      </c>
      <c r="B6240" t="s">
        <v>205</v>
      </c>
      <c r="C6240" t="s">
        <v>125</v>
      </c>
      <c r="D6240" t="s">
        <v>42</v>
      </c>
      <c r="E6240" t="s">
        <v>159</v>
      </c>
      <c r="F6240" s="1">
        <v>42974</v>
      </c>
      <c r="G6240" s="1">
        <v>43084</v>
      </c>
      <c r="H6240">
        <v>0</v>
      </c>
      <c r="I6240" t="str">
        <f>IF(COUNTIF(Products!$A$2:$A$8,C6240)=0,C6240,"")</f>
        <v/>
      </c>
      <c r="J6240">
        <f>IF(OR(E6240="Prospecting",E6240="Engaging"),VLOOKUP(C6240,Products!$A$2:$C$8,3,FALSE),0)</f>
        <v>0</v>
      </c>
    </row>
    <row r="6241" spans="1:10" x14ac:dyDescent="0.25">
      <c r="A6241" t="s">
        <v>6408</v>
      </c>
      <c r="B6241" t="s">
        <v>193</v>
      </c>
      <c r="C6241" t="s">
        <v>120</v>
      </c>
      <c r="D6241" t="s">
        <v>105</v>
      </c>
      <c r="E6241" t="s">
        <v>138</v>
      </c>
      <c r="F6241" s="1">
        <v>42974</v>
      </c>
      <c r="G6241" s="1">
        <v>42999</v>
      </c>
      <c r="H6241">
        <v>415</v>
      </c>
      <c r="I6241" t="str">
        <f>IF(COUNTIF(Products!$A$2:$A$8,C6241)=0,C6241,"")</f>
        <v/>
      </c>
      <c r="J6241">
        <f>IF(OR(E6241="Prospecting",E6241="Engaging"),VLOOKUP(C6241,Products!$A$2:$C$8,3,FALSE),0)</f>
        <v>0</v>
      </c>
    </row>
    <row r="6242" spans="1:10" x14ac:dyDescent="0.25">
      <c r="A6242" t="s">
        <v>6409</v>
      </c>
      <c r="B6242" t="s">
        <v>148</v>
      </c>
      <c r="C6242" t="s">
        <v>122</v>
      </c>
      <c r="D6242" t="s">
        <v>93</v>
      </c>
      <c r="E6242" t="s">
        <v>138</v>
      </c>
      <c r="F6242" s="1">
        <v>42974</v>
      </c>
      <c r="G6242" s="1">
        <v>42975</v>
      </c>
      <c r="H6242">
        <v>3754</v>
      </c>
      <c r="I6242" t="str">
        <f>IF(COUNTIF(Products!$A$2:$A$8,C6242)=0,C6242,"")</f>
        <v/>
      </c>
      <c r="J6242">
        <f>IF(OR(E6242="Prospecting",E6242="Engaging"),VLOOKUP(C6242,Products!$A$2:$C$8,3,FALSE),0)</f>
        <v>0</v>
      </c>
    </row>
    <row r="6243" spans="1:10" x14ac:dyDescent="0.25">
      <c r="A6243" t="s">
        <v>6410</v>
      </c>
      <c r="B6243" t="s">
        <v>144</v>
      </c>
      <c r="C6243" t="s">
        <v>120</v>
      </c>
      <c r="E6243" t="s">
        <v>155</v>
      </c>
      <c r="F6243" s="1">
        <v>42974</v>
      </c>
      <c r="I6243" t="str">
        <f>IF(COUNTIF(Products!$A$2:$A$8,C6243)=0,C6243,"")</f>
        <v/>
      </c>
      <c r="J6243">
        <f>IF(OR(E6243="Prospecting",E6243="Engaging"),VLOOKUP(C6243,Products!$A$2:$C$8,3,FALSE),0)</f>
        <v>550</v>
      </c>
    </row>
    <row r="6244" spans="1:10" x14ac:dyDescent="0.25">
      <c r="A6244" t="s">
        <v>6411</v>
      </c>
      <c r="B6244" t="s">
        <v>144</v>
      </c>
      <c r="C6244" t="s">
        <v>120</v>
      </c>
      <c r="E6244" t="s">
        <v>155</v>
      </c>
      <c r="F6244" s="1">
        <v>42974</v>
      </c>
      <c r="I6244" t="str">
        <f>IF(COUNTIF(Products!$A$2:$A$8,C6244)=0,C6244,"")</f>
        <v/>
      </c>
      <c r="J6244">
        <f>IF(OR(E6244="Prospecting",E6244="Engaging"),VLOOKUP(C6244,Products!$A$2:$C$8,3,FALSE),0)</f>
        <v>550</v>
      </c>
    </row>
    <row r="6245" spans="1:10" x14ac:dyDescent="0.25">
      <c r="A6245" t="s">
        <v>6412</v>
      </c>
      <c r="B6245" t="s">
        <v>144</v>
      </c>
      <c r="C6245" t="s">
        <v>120</v>
      </c>
      <c r="D6245" t="s">
        <v>83</v>
      </c>
      <c r="E6245" t="s">
        <v>138</v>
      </c>
      <c r="F6245" s="1">
        <v>42974</v>
      </c>
      <c r="G6245" s="1">
        <v>43068</v>
      </c>
      <c r="H6245">
        <v>498</v>
      </c>
      <c r="I6245" t="str">
        <f>IF(COUNTIF(Products!$A$2:$A$8,C6245)=0,C6245,"")</f>
        <v/>
      </c>
      <c r="J6245">
        <f>IF(OR(E6245="Prospecting",E6245="Engaging"),VLOOKUP(C6245,Products!$A$2:$C$8,3,FALSE),0)</f>
        <v>0</v>
      </c>
    </row>
    <row r="6246" spans="1:10" x14ac:dyDescent="0.25">
      <c r="A6246" t="s">
        <v>6413</v>
      </c>
      <c r="B6246" t="s">
        <v>222</v>
      </c>
      <c r="C6246" t="s">
        <v>120</v>
      </c>
      <c r="D6246" t="s">
        <v>27</v>
      </c>
      <c r="E6246" t="s">
        <v>138</v>
      </c>
      <c r="F6246" s="1">
        <v>42975</v>
      </c>
      <c r="G6246" s="1">
        <v>43090</v>
      </c>
      <c r="H6246">
        <v>489</v>
      </c>
      <c r="I6246" t="str">
        <f>IF(COUNTIF(Products!$A$2:$A$8,C6246)=0,C6246,"")</f>
        <v/>
      </c>
      <c r="J6246">
        <f>IF(OR(E6246="Prospecting",E6246="Engaging"),VLOOKUP(C6246,Products!$A$2:$C$8,3,FALSE),0)</f>
        <v>0</v>
      </c>
    </row>
    <row r="6247" spans="1:10" x14ac:dyDescent="0.25">
      <c r="A6247" t="s">
        <v>6414</v>
      </c>
      <c r="B6247" t="s">
        <v>222</v>
      </c>
      <c r="C6247" t="s">
        <v>127</v>
      </c>
      <c r="D6247" t="s">
        <v>80</v>
      </c>
      <c r="E6247" t="s">
        <v>138</v>
      </c>
      <c r="F6247" s="1">
        <v>42975</v>
      </c>
      <c r="G6247" s="1">
        <v>42983</v>
      </c>
      <c r="H6247">
        <v>1022</v>
      </c>
      <c r="I6247" t="str">
        <f>IF(COUNTIF(Products!$A$2:$A$8,C6247)=0,C6247,"")</f>
        <v/>
      </c>
      <c r="J6247">
        <f>IF(OR(E6247="Prospecting",E6247="Engaging"),VLOOKUP(C6247,Products!$A$2:$C$8,3,FALSE),0)</f>
        <v>0</v>
      </c>
    </row>
    <row r="6248" spans="1:10" x14ac:dyDescent="0.25">
      <c r="A6248" t="s">
        <v>6415</v>
      </c>
      <c r="B6248" t="s">
        <v>239</v>
      </c>
      <c r="C6248" t="s">
        <v>126</v>
      </c>
      <c r="D6248" t="s">
        <v>7</v>
      </c>
      <c r="E6248" t="s">
        <v>159</v>
      </c>
      <c r="F6248" s="1">
        <v>42975</v>
      </c>
      <c r="G6248" s="1">
        <v>43046</v>
      </c>
      <c r="H6248">
        <v>0</v>
      </c>
      <c r="I6248" t="str">
        <f>IF(COUNTIF(Products!$A$2:$A$8,C6248)=0,C6248,"")</f>
        <v/>
      </c>
      <c r="J6248">
        <f>IF(OR(E6248="Prospecting",E6248="Engaging"),VLOOKUP(C6248,Products!$A$2:$C$8,3,FALSE),0)</f>
        <v>0</v>
      </c>
    </row>
    <row r="6249" spans="1:10" x14ac:dyDescent="0.25">
      <c r="A6249" t="s">
        <v>6416</v>
      </c>
      <c r="B6249" t="s">
        <v>140</v>
      </c>
      <c r="C6249" t="s">
        <v>120</v>
      </c>
      <c r="D6249" t="s">
        <v>22</v>
      </c>
      <c r="E6249" t="s">
        <v>138</v>
      </c>
      <c r="F6249" s="1">
        <v>42975</v>
      </c>
      <c r="G6249" s="1">
        <v>42989</v>
      </c>
      <c r="H6249">
        <v>525</v>
      </c>
      <c r="I6249" t="str">
        <f>IF(COUNTIF(Products!$A$2:$A$8,C6249)=0,C6249,"")</f>
        <v/>
      </c>
      <c r="J6249">
        <f>IF(OR(E6249="Prospecting",E6249="Engaging"),VLOOKUP(C6249,Products!$A$2:$C$8,3,FALSE),0)</f>
        <v>0</v>
      </c>
    </row>
    <row r="6250" spans="1:10" x14ac:dyDescent="0.25">
      <c r="A6250" t="s">
        <v>6417</v>
      </c>
      <c r="B6250" t="s">
        <v>140</v>
      </c>
      <c r="C6250" t="s">
        <v>127</v>
      </c>
      <c r="D6250" t="s">
        <v>26</v>
      </c>
      <c r="E6250" t="s">
        <v>138</v>
      </c>
      <c r="F6250" s="1">
        <v>42975</v>
      </c>
      <c r="G6250" s="1">
        <v>42985</v>
      </c>
      <c r="H6250">
        <v>1252</v>
      </c>
      <c r="I6250" t="str">
        <f>IF(COUNTIF(Products!$A$2:$A$8,C6250)=0,C6250,"")</f>
        <v/>
      </c>
      <c r="J6250">
        <f>IF(OR(E6250="Prospecting",E6250="Engaging"),VLOOKUP(C6250,Products!$A$2:$C$8,3,FALSE),0)</f>
        <v>0</v>
      </c>
    </row>
    <row r="6251" spans="1:10" x14ac:dyDescent="0.25">
      <c r="A6251" t="s">
        <v>6418</v>
      </c>
      <c r="B6251" t="s">
        <v>173</v>
      </c>
      <c r="C6251" t="s">
        <v>122</v>
      </c>
      <c r="E6251" t="s">
        <v>155</v>
      </c>
      <c r="F6251" s="1">
        <v>42975</v>
      </c>
      <c r="I6251" t="str">
        <f>IF(COUNTIF(Products!$A$2:$A$8,C6251)=0,C6251,"")</f>
        <v/>
      </c>
      <c r="J6251">
        <f>IF(OR(E6251="Prospecting",E6251="Engaging"),VLOOKUP(C6251,Products!$A$2:$C$8,3,FALSE),0)</f>
        <v>4821</v>
      </c>
    </row>
    <row r="6252" spans="1:10" x14ac:dyDescent="0.25">
      <c r="A6252" t="s">
        <v>6419</v>
      </c>
      <c r="B6252" t="s">
        <v>158</v>
      </c>
      <c r="C6252" t="s">
        <v>125</v>
      </c>
      <c r="D6252" t="s">
        <v>30</v>
      </c>
      <c r="E6252" t="s">
        <v>159</v>
      </c>
      <c r="F6252" s="1">
        <v>42975</v>
      </c>
      <c r="G6252" s="1">
        <v>43064</v>
      </c>
      <c r="H6252">
        <v>0</v>
      </c>
      <c r="I6252" t="str">
        <f>IF(COUNTIF(Products!$A$2:$A$8,C6252)=0,C6252,"")</f>
        <v/>
      </c>
      <c r="J6252">
        <f>IF(OR(E6252="Prospecting",E6252="Engaging"),VLOOKUP(C6252,Products!$A$2:$C$8,3,FALSE),0)</f>
        <v>0</v>
      </c>
    </row>
    <row r="6253" spans="1:10" x14ac:dyDescent="0.25">
      <c r="A6253" t="s">
        <v>6420</v>
      </c>
      <c r="B6253" t="s">
        <v>158</v>
      </c>
      <c r="C6253" t="s">
        <v>123</v>
      </c>
      <c r="D6253" t="s">
        <v>28</v>
      </c>
      <c r="E6253" t="s">
        <v>138</v>
      </c>
      <c r="F6253" s="1">
        <v>42975</v>
      </c>
      <c r="G6253" s="1">
        <v>42989</v>
      </c>
      <c r="H6253">
        <v>63</v>
      </c>
      <c r="I6253" t="str">
        <f>IF(COUNTIF(Products!$A$2:$A$8,C6253)=0,C6253,"")</f>
        <v/>
      </c>
      <c r="J6253">
        <f>IF(OR(E6253="Prospecting",E6253="Engaging"),VLOOKUP(C6253,Products!$A$2:$C$8,3,FALSE),0)</f>
        <v>0</v>
      </c>
    </row>
    <row r="6254" spans="1:10" x14ac:dyDescent="0.25">
      <c r="A6254" t="s">
        <v>6421</v>
      </c>
      <c r="B6254" t="s">
        <v>164</v>
      </c>
      <c r="C6254" t="s">
        <v>123</v>
      </c>
      <c r="D6254" t="s">
        <v>66</v>
      </c>
      <c r="E6254" t="s">
        <v>159</v>
      </c>
      <c r="F6254" s="1">
        <v>42975</v>
      </c>
      <c r="G6254" s="1">
        <v>43050</v>
      </c>
      <c r="H6254">
        <v>0</v>
      </c>
      <c r="I6254" t="str">
        <f>IF(COUNTIF(Products!$A$2:$A$8,C6254)=0,C6254,"")</f>
        <v/>
      </c>
      <c r="J6254">
        <f>IF(OR(E6254="Prospecting",E6254="Engaging"),VLOOKUP(C6254,Products!$A$2:$C$8,3,FALSE),0)</f>
        <v>0</v>
      </c>
    </row>
    <row r="6255" spans="1:10" x14ac:dyDescent="0.25">
      <c r="A6255" t="s">
        <v>6422</v>
      </c>
      <c r="B6255" t="s">
        <v>180</v>
      </c>
      <c r="C6255" t="s">
        <v>120</v>
      </c>
      <c r="D6255" t="s">
        <v>114</v>
      </c>
      <c r="E6255" t="s">
        <v>138</v>
      </c>
      <c r="F6255" s="1">
        <v>42975</v>
      </c>
      <c r="G6255" s="1">
        <v>43097</v>
      </c>
      <c r="H6255">
        <v>474</v>
      </c>
      <c r="I6255" t="str">
        <f>IF(COUNTIF(Products!$A$2:$A$8,C6255)=0,C6255,"")</f>
        <v/>
      </c>
      <c r="J6255">
        <f>IF(OR(E6255="Prospecting",E6255="Engaging"),VLOOKUP(C6255,Products!$A$2:$C$8,3,FALSE),0)</f>
        <v>0</v>
      </c>
    </row>
    <row r="6256" spans="1:10" x14ac:dyDescent="0.25">
      <c r="A6256" t="s">
        <v>6423</v>
      </c>
      <c r="B6256" t="s">
        <v>180</v>
      </c>
      <c r="C6256" t="s">
        <v>127</v>
      </c>
      <c r="D6256" t="s">
        <v>107</v>
      </c>
      <c r="E6256" t="s">
        <v>138</v>
      </c>
      <c r="F6256" s="1">
        <v>42975</v>
      </c>
      <c r="G6256" s="1">
        <v>43058</v>
      </c>
      <c r="H6256">
        <v>1132</v>
      </c>
      <c r="I6256" t="str">
        <f>IF(COUNTIF(Products!$A$2:$A$8,C6256)=0,C6256,"")</f>
        <v/>
      </c>
      <c r="J6256">
        <f>IF(OR(E6256="Prospecting",E6256="Engaging"),VLOOKUP(C6256,Products!$A$2:$C$8,3,FALSE),0)</f>
        <v>0</v>
      </c>
    </row>
    <row r="6257" spans="1:10" x14ac:dyDescent="0.25">
      <c r="A6257" t="s">
        <v>6424</v>
      </c>
      <c r="B6257" t="s">
        <v>217</v>
      </c>
      <c r="C6257" t="s">
        <v>127</v>
      </c>
      <c r="D6257" t="s">
        <v>77</v>
      </c>
      <c r="E6257" t="s">
        <v>159</v>
      </c>
      <c r="F6257" s="1">
        <v>42975</v>
      </c>
      <c r="G6257" s="1">
        <v>42992</v>
      </c>
      <c r="H6257">
        <v>0</v>
      </c>
      <c r="I6257" t="str">
        <f>IF(COUNTIF(Products!$A$2:$A$8,C6257)=0,C6257,"")</f>
        <v/>
      </c>
      <c r="J6257">
        <f>IF(OR(E6257="Prospecting",E6257="Engaging"),VLOOKUP(C6257,Products!$A$2:$C$8,3,FALSE),0)</f>
        <v>0</v>
      </c>
    </row>
    <row r="6258" spans="1:10" x14ac:dyDescent="0.25">
      <c r="A6258" t="s">
        <v>6425</v>
      </c>
      <c r="B6258" t="s">
        <v>217</v>
      </c>
      <c r="C6258" t="s">
        <v>127</v>
      </c>
      <c r="D6258" t="s">
        <v>30</v>
      </c>
      <c r="E6258" t="s">
        <v>138</v>
      </c>
      <c r="F6258" s="1">
        <v>42975</v>
      </c>
      <c r="G6258" s="1">
        <v>43051</v>
      </c>
      <c r="H6258">
        <v>1215</v>
      </c>
      <c r="I6258" t="str">
        <f>IF(COUNTIF(Products!$A$2:$A$8,C6258)=0,C6258,"")</f>
        <v/>
      </c>
      <c r="J6258">
        <f>IF(OR(E6258="Prospecting",E6258="Engaging"),VLOOKUP(C6258,Products!$A$2:$C$8,3,FALSE),0)</f>
        <v>0</v>
      </c>
    </row>
    <row r="6259" spans="1:10" x14ac:dyDescent="0.25">
      <c r="A6259" t="s">
        <v>6426</v>
      </c>
      <c r="B6259" t="s">
        <v>150</v>
      </c>
      <c r="C6259" t="s">
        <v>127</v>
      </c>
      <c r="D6259" t="s">
        <v>67</v>
      </c>
      <c r="E6259" t="s">
        <v>138</v>
      </c>
      <c r="F6259" s="1">
        <v>42975</v>
      </c>
      <c r="G6259" s="1">
        <v>43005</v>
      </c>
      <c r="H6259">
        <v>1081</v>
      </c>
      <c r="I6259" t="str">
        <f>IF(COUNTIF(Products!$A$2:$A$8,C6259)=0,C6259,"")</f>
        <v/>
      </c>
      <c r="J6259">
        <f>IF(OR(E6259="Prospecting",E6259="Engaging"),VLOOKUP(C6259,Products!$A$2:$C$8,3,FALSE),0)</f>
        <v>0</v>
      </c>
    </row>
    <row r="6260" spans="1:10" x14ac:dyDescent="0.25">
      <c r="A6260" t="s">
        <v>6427</v>
      </c>
      <c r="B6260" t="s">
        <v>150</v>
      </c>
      <c r="C6260" t="s">
        <v>123</v>
      </c>
      <c r="D6260" t="s">
        <v>41</v>
      </c>
      <c r="E6260" t="s">
        <v>138</v>
      </c>
      <c r="F6260" s="1">
        <v>42975</v>
      </c>
      <c r="G6260" s="1">
        <v>43046</v>
      </c>
      <c r="H6260">
        <v>49</v>
      </c>
      <c r="I6260" t="str">
        <f>IF(COUNTIF(Products!$A$2:$A$8,C6260)=0,C6260,"")</f>
        <v/>
      </c>
      <c r="J6260">
        <f>IF(OR(E6260="Prospecting",E6260="Engaging"),VLOOKUP(C6260,Products!$A$2:$C$8,3,FALSE),0)</f>
        <v>0</v>
      </c>
    </row>
    <row r="6261" spans="1:10" x14ac:dyDescent="0.25">
      <c r="A6261" t="s">
        <v>6428</v>
      </c>
      <c r="B6261" t="s">
        <v>162</v>
      </c>
      <c r="C6261" t="s">
        <v>120</v>
      </c>
      <c r="D6261" t="s">
        <v>61</v>
      </c>
      <c r="E6261" t="s">
        <v>138</v>
      </c>
      <c r="F6261" s="1">
        <v>42975</v>
      </c>
      <c r="G6261" s="1">
        <v>42992</v>
      </c>
      <c r="H6261">
        <v>653</v>
      </c>
      <c r="I6261" t="str">
        <f>IF(COUNTIF(Products!$A$2:$A$8,C6261)=0,C6261,"")</f>
        <v/>
      </c>
      <c r="J6261">
        <f>IF(OR(E6261="Prospecting",E6261="Engaging"),VLOOKUP(C6261,Products!$A$2:$C$8,3,FALSE),0)</f>
        <v>0</v>
      </c>
    </row>
    <row r="6262" spans="1:10" x14ac:dyDescent="0.25">
      <c r="A6262" t="s">
        <v>6429</v>
      </c>
      <c r="B6262" t="s">
        <v>137</v>
      </c>
      <c r="C6262" t="s">
        <v>127</v>
      </c>
      <c r="D6262" t="s">
        <v>89</v>
      </c>
      <c r="E6262" t="s">
        <v>159</v>
      </c>
      <c r="F6262" s="1">
        <v>42975</v>
      </c>
      <c r="G6262" s="1">
        <v>43069</v>
      </c>
      <c r="H6262">
        <v>0</v>
      </c>
      <c r="I6262" t="str">
        <f>IF(COUNTIF(Products!$A$2:$A$8,C6262)=0,C6262,"")</f>
        <v/>
      </c>
      <c r="J6262">
        <f>IF(OR(E6262="Prospecting",E6262="Engaging"),VLOOKUP(C6262,Products!$A$2:$C$8,3,FALSE),0)</f>
        <v>0</v>
      </c>
    </row>
    <row r="6263" spans="1:10" x14ac:dyDescent="0.25">
      <c r="A6263" t="s">
        <v>6430</v>
      </c>
      <c r="B6263" t="s">
        <v>137</v>
      </c>
      <c r="C6263" t="s">
        <v>125</v>
      </c>
      <c r="D6263" t="s">
        <v>51</v>
      </c>
      <c r="E6263" t="s">
        <v>159</v>
      </c>
      <c r="F6263" s="1">
        <v>42975</v>
      </c>
      <c r="G6263" s="1">
        <v>43066</v>
      </c>
      <c r="H6263">
        <v>0</v>
      </c>
      <c r="I6263" t="str">
        <f>IF(COUNTIF(Products!$A$2:$A$8,C6263)=0,C6263,"")</f>
        <v/>
      </c>
      <c r="J6263">
        <f>IF(OR(E6263="Prospecting",E6263="Engaging"),VLOOKUP(C6263,Products!$A$2:$C$8,3,FALSE),0)</f>
        <v>0</v>
      </c>
    </row>
    <row r="6264" spans="1:10" x14ac:dyDescent="0.25">
      <c r="A6264" t="s">
        <v>6431</v>
      </c>
      <c r="B6264" t="s">
        <v>152</v>
      </c>
      <c r="C6264" t="s">
        <v>127</v>
      </c>
      <c r="D6264" t="s">
        <v>89</v>
      </c>
      <c r="E6264" t="s">
        <v>138</v>
      </c>
      <c r="F6264" s="1">
        <v>42975</v>
      </c>
      <c r="G6264" s="1">
        <v>42991</v>
      </c>
      <c r="H6264">
        <v>1105</v>
      </c>
      <c r="I6264" t="str">
        <f>IF(COUNTIF(Products!$A$2:$A$8,C6264)=0,C6264,"")</f>
        <v/>
      </c>
      <c r="J6264">
        <f>IF(OR(E6264="Prospecting",E6264="Engaging"),VLOOKUP(C6264,Products!$A$2:$C$8,3,FALSE),0)</f>
        <v>0</v>
      </c>
    </row>
    <row r="6265" spans="1:10" x14ac:dyDescent="0.25">
      <c r="A6265" t="s">
        <v>6432</v>
      </c>
      <c r="B6265" t="s">
        <v>193</v>
      </c>
      <c r="C6265" t="s">
        <v>127</v>
      </c>
      <c r="D6265" t="s">
        <v>102</v>
      </c>
      <c r="E6265" t="s">
        <v>138</v>
      </c>
      <c r="F6265" s="1">
        <v>42975</v>
      </c>
      <c r="G6265" s="1">
        <v>42999</v>
      </c>
      <c r="H6265">
        <v>948</v>
      </c>
      <c r="I6265" t="str">
        <f>IF(COUNTIF(Products!$A$2:$A$8,C6265)=0,C6265,"")</f>
        <v/>
      </c>
      <c r="J6265">
        <f>IF(OR(E6265="Prospecting",E6265="Engaging"),VLOOKUP(C6265,Products!$A$2:$C$8,3,FALSE),0)</f>
        <v>0</v>
      </c>
    </row>
    <row r="6266" spans="1:10" x14ac:dyDescent="0.25">
      <c r="A6266" t="s">
        <v>6433</v>
      </c>
      <c r="B6266" t="s">
        <v>148</v>
      </c>
      <c r="C6266" t="s">
        <v>125</v>
      </c>
      <c r="D6266" t="s">
        <v>114</v>
      </c>
      <c r="E6266" t="s">
        <v>159</v>
      </c>
      <c r="F6266" s="1">
        <v>42975</v>
      </c>
      <c r="G6266" s="1">
        <v>42988</v>
      </c>
      <c r="H6266">
        <v>0</v>
      </c>
      <c r="I6266" t="str">
        <f>IF(COUNTIF(Products!$A$2:$A$8,C6266)=0,C6266,"")</f>
        <v/>
      </c>
      <c r="J6266">
        <f>IF(OR(E6266="Prospecting",E6266="Engaging"),VLOOKUP(C6266,Products!$A$2:$C$8,3,FALSE),0)</f>
        <v>0</v>
      </c>
    </row>
    <row r="6267" spans="1:10" x14ac:dyDescent="0.25">
      <c r="A6267" t="s">
        <v>6434</v>
      </c>
      <c r="B6267" t="s">
        <v>177</v>
      </c>
      <c r="C6267" t="s">
        <v>123</v>
      </c>
      <c r="D6267" t="s">
        <v>19</v>
      </c>
      <c r="E6267" t="s">
        <v>159</v>
      </c>
      <c r="F6267" s="1">
        <v>42975</v>
      </c>
      <c r="G6267" s="1">
        <v>43050</v>
      </c>
      <c r="H6267">
        <v>0</v>
      </c>
      <c r="I6267" t="str">
        <f>IF(COUNTIF(Products!$A$2:$A$8,C6267)=0,C6267,"")</f>
        <v/>
      </c>
      <c r="J6267">
        <f>IF(OR(E6267="Prospecting",E6267="Engaging"),VLOOKUP(C6267,Products!$A$2:$C$8,3,FALSE),0)</f>
        <v>0</v>
      </c>
    </row>
    <row r="6268" spans="1:10" x14ac:dyDescent="0.25">
      <c r="A6268" t="s">
        <v>6435</v>
      </c>
      <c r="B6268" t="s">
        <v>146</v>
      </c>
      <c r="C6268" t="s">
        <v>127</v>
      </c>
      <c r="D6268" t="s">
        <v>96</v>
      </c>
      <c r="E6268" t="s">
        <v>159</v>
      </c>
      <c r="F6268" s="1">
        <v>42976</v>
      </c>
      <c r="G6268" s="1">
        <v>42983</v>
      </c>
      <c r="H6268">
        <v>0</v>
      </c>
      <c r="I6268" t="str">
        <f>IF(COUNTIF(Products!$A$2:$A$8,C6268)=0,C6268,"")</f>
        <v/>
      </c>
      <c r="J6268">
        <f>IF(OR(E6268="Prospecting",E6268="Engaging"),VLOOKUP(C6268,Products!$A$2:$C$8,3,FALSE),0)</f>
        <v>0</v>
      </c>
    </row>
    <row r="6269" spans="1:10" x14ac:dyDescent="0.25">
      <c r="A6269" t="s">
        <v>6436</v>
      </c>
      <c r="B6269" t="s">
        <v>146</v>
      </c>
      <c r="C6269" t="s">
        <v>123</v>
      </c>
      <c r="D6269" t="s">
        <v>55</v>
      </c>
      <c r="E6269" t="s">
        <v>138</v>
      </c>
      <c r="F6269" s="1">
        <v>42976</v>
      </c>
      <c r="G6269" s="1">
        <v>43072</v>
      </c>
      <c r="H6269">
        <v>44</v>
      </c>
      <c r="I6269" t="str">
        <f>IF(COUNTIF(Products!$A$2:$A$8,C6269)=0,C6269,"")</f>
        <v/>
      </c>
      <c r="J6269">
        <f>IF(OR(E6269="Prospecting",E6269="Engaging"),VLOOKUP(C6269,Products!$A$2:$C$8,3,FALSE),0)</f>
        <v>0</v>
      </c>
    </row>
    <row r="6270" spans="1:10" x14ac:dyDescent="0.25">
      <c r="A6270" t="s">
        <v>6437</v>
      </c>
      <c r="B6270" t="s">
        <v>207</v>
      </c>
      <c r="C6270" t="s">
        <v>127</v>
      </c>
      <c r="D6270" t="s">
        <v>87</v>
      </c>
      <c r="E6270" t="s">
        <v>155</v>
      </c>
      <c r="F6270" s="1">
        <v>42976</v>
      </c>
      <c r="I6270" t="str">
        <f>IF(COUNTIF(Products!$A$2:$A$8,C6270)=0,C6270,"")</f>
        <v/>
      </c>
      <c r="J6270">
        <f>IF(OR(E6270="Prospecting",E6270="Engaging"),VLOOKUP(C6270,Products!$A$2:$C$8,3,FALSE),0)</f>
        <v>1096</v>
      </c>
    </row>
    <row r="6271" spans="1:10" x14ac:dyDescent="0.25">
      <c r="A6271" t="s">
        <v>6438</v>
      </c>
      <c r="B6271" t="s">
        <v>207</v>
      </c>
      <c r="C6271" t="s">
        <v>122</v>
      </c>
      <c r="D6271" t="s">
        <v>81</v>
      </c>
      <c r="E6271" t="s">
        <v>138</v>
      </c>
      <c r="F6271" s="1">
        <v>42976</v>
      </c>
      <c r="G6271" s="1">
        <v>43054</v>
      </c>
      <c r="H6271">
        <v>4343</v>
      </c>
      <c r="I6271" t="str">
        <f>IF(COUNTIF(Products!$A$2:$A$8,C6271)=0,C6271,"")</f>
        <v/>
      </c>
      <c r="J6271">
        <f>IF(OR(E6271="Prospecting",E6271="Engaging"),VLOOKUP(C6271,Products!$A$2:$C$8,3,FALSE),0)</f>
        <v>0</v>
      </c>
    </row>
    <row r="6272" spans="1:10" x14ac:dyDescent="0.25">
      <c r="A6272" t="s">
        <v>6439</v>
      </c>
      <c r="B6272" t="s">
        <v>264</v>
      </c>
      <c r="C6272" t="s">
        <v>126</v>
      </c>
      <c r="D6272" t="s">
        <v>104</v>
      </c>
      <c r="E6272" t="s">
        <v>138</v>
      </c>
      <c r="F6272" s="1">
        <v>42976</v>
      </c>
      <c r="G6272" s="1">
        <v>42991</v>
      </c>
      <c r="H6272">
        <v>5096</v>
      </c>
      <c r="I6272" t="str">
        <f>IF(COUNTIF(Products!$A$2:$A$8,C6272)=0,C6272,"")</f>
        <v/>
      </c>
      <c r="J6272">
        <f>IF(OR(E6272="Prospecting",E6272="Engaging"),VLOOKUP(C6272,Products!$A$2:$C$8,3,FALSE),0)</f>
        <v>0</v>
      </c>
    </row>
    <row r="6273" spans="1:10" x14ac:dyDescent="0.25">
      <c r="A6273" t="s">
        <v>6440</v>
      </c>
      <c r="B6273" t="s">
        <v>264</v>
      </c>
      <c r="C6273" t="s">
        <v>126</v>
      </c>
      <c r="D6273" t="s">
        <v>77</v>
      </c>
      <c r="E6273" t="s">
        <v>138</v>
      </c>
      <c r="F6273" s="1">
        <v>42976</v>
      </c>
      <c r="G6273" s="1">
        <v>43008</v>
      </c>
      <c r="H6273">
        <v>4994</v>
      </c>
      <c r="I6273" t="str">
        <f>IF(COUNTIF(Products!$A$2:$A$8,C6273)=0,C6273,"")</f>
        <v/>
      </c>
      <c r="J6273">
        <f>IF(OR(E6273="Prospecting",E6273="Engaging"),VLOOKUP(C6273,Products!$A$2:$C$8,3,FALSE),0)</f>
        <v>0</v>
      </c>
    </row>
    <row r="6274" spans="1:10" x14ac:dyDescent="0.25">
      <c r="A6274" t="s">
        <v>6441</v>
      </c>
      <c r="B6274" t="s">
        <v>239</v>
      </c>
      <c r="C6274" t="s">
        <v>127</v>
      </c>
      <c r="D6274" t="s">
        <v>35</v>
      </c>
      <c r="E6274" t="s">
        <v>138</v>
      </c>
      <c r="F6274" s="1">
        <v>42976</v>
      </c>
      <c r="G6274" s="1">
        <v>43070</v>
      </c>
      <c r="H6274">
        <v>1251</v>
      </c>
      <c r="I6274" t="str">
        <f>IF(COUNTIF(Products!$A$2:$A$8,C6274)=0,C6274,"")</f>
        <v/>
      </c>
      <c r="J6274">
        <f>IF(OR(E6274="Prospecting",E6274="Engaging"),VLOOKUP(C6274,Products!$A$2:$C$8,3,FALSE),0)</f>
        <v>0</v>
      </c>
    </row>
    <row r="6275" spans="1:10" x14ac:dyDescent="0.25">
      <c r="A6275" t="s">
        <v>6442</v>
      </c>
      <c r="B6275" t="s">
        <v>224</v>
      </c>
      <c r="C6275" t="s">
        <v>120</v>
      </c>
      <c r="D6275" t="s">
        <v>50</v>
      </c>
      <c r="E6275" t="s">
        <v>138</v>
      </c>
      <c r="F6275" s="1">
        <v>42976</v>
      </c>
      <c r="G6275" s="1">
        <v>43050</v>
      </c>
      <c r="H6275">
        <v>602</v>
      </c>
      <c r="I6275" t="str">
        <f>IF(COUNTIF(Products!$A$2:$A$8,C6275)=0,C6275,"")</f>
        <v/>
      </c>
      <c r="J6275">
        <f>IF(OR(E6275="Prospecting",E6275="Engaging"),VLOOKUP(C6275,Products!$A$2:$C$8,3,FALSE),0)</f>
        <v>0</v>
      </c>
    </row>
    <row r="6276" spans="1:10" x14ac:dyDescent="0.25">
      <c r="A6276" t="s">
        <v>6443</v>
      </c>
      <c r="B6276" t="s">
        <v>224</v>
      </c>
      <c r="C6276" t="s">
        <v>120</v>
      </c>
      <c r="D6276" t="s">
        <v>98</v>
      </c>
      <c r="E6276" t="s">
        <v>138</v>
      </c>
      <c r="F6276" s="1">
        <v>42976</v>
      </c>
      <c r="G6276" s="1">
        <v>42986</v>
      </c>
      <c r="H6276">
        <v>600</v>
      </c>
      <c r="I6276" t="str">
        <f>IF(COUNTIF(Products!$A$2:$A$8,C6276)=0,C6276,"")</f>
        <v/>
      </c>
      <c r="J6276">
        <f>IF(OR(E6276="Prospecting",E6276="Engaging"),VLOOKUP(C6276,Products!$A$2:$C$8,3,FALSE),0)</f>
        <v>0</v>
      </c>
    </row>
    <row r="6277" spans="1:10" x14ac:dyDescent="0.25">
      <c r="A6277" t="s">
        <v>6444</v>
      </c>
      <c r="B6277" t="s">
        <v>224</v>
      </c>
      <c r="C6277" t="s">
        <v>120</v>
      </c>
      <c r="D6277" t="s">
        <v>110</v>
      </c>
      <c r="E6277" t="s">
        <v>138</v>
      </c>
      <c r="F6277" s="1">
        <v>42976</v>
      </c>
      <c r="G6277" s="1">
        <v>42987</v>
      </c>
      <c r="H6277">
        <v>595</v>
      </c>
      <c r="I6277" t="str">
        <f>IF(COUNTIF(Products!$A$2:$A$8,C6277)=0,C6277,"")</f>
        <v/>
      </c>
      <c r="J6277">
        <f>IF(OR(E6277="Prospecting",E6277="Engaging"),VLOOKUP(C6277,Products!$A$2:$C$8,3,FALSE),0)</f>
        <v>0</v>
      </c>
    </row>
    <row r="6278" spans="1:10" x14ac:dyDescent="0.25">
      <c r="A6278" t="s">
        <v>6445</v>
      </c>
      <c r="B6278" t="s">
        <v>173</v>
      </c>
      <c r="C6278" t="s">
        <v>123</v>
      </c>
      <c r="D6278" t="s">
        <v>41</v>
      </c>
      <c r="E6278" t="s">
        <v>159</v>
      </c>
      <c r="F6278" s="1">
        <v>42976</v>
      </c>
      <c r="G6278" s="1">
        <v>43064</v>
      </c>
      <c r="H6278">
        <v>0</v>
      </c>
      <c r="I6278" t="str">
        <f>IF(COUNTIF(Products!$A$2:$A$8,C6278)=0,C6278,"")</f>
        <v/>
      </c>
      <c r="J6278">
        <f>IF(OR(E6278="Prospecting",E6278="Engaging"),VLOOKUP(C6278,Products!$A$2:$C$8,3,FALSE),0)</f>
        <v>0</v>
      </c>
    </row>
    <row r="6279" spans="1:10" x14ac:dyDescent="0.25">
      <c r="A6279" t="s">
        <v>6446</v>
      </c>
      <c r="B6279" t="s">
        <v>158</v>
      </c>
      <c r="C6279" t="s">
        <v>122</v>
      </c>
      <c r="D6279" t="s">
        <v>26</v>
      </c>
      <c r="E6279" t="s">
        <v>159</v>
      </c>
      <c r="F6279" s="1">
        <v>42976</v>
      </c>
      <c r="G6279" s="1">
        <v>43040</v>
      </c>
      <c r="H6279">
        <v>0</v>
      </c>
      <c r="I6279" t="str">
        <f>IF(COUNTIF(Products!$A$2:$A$8,C6279)=0,C6279,"")</f>
        <v/>
      </c>
      <c r="J6279">
        <f>IF(OR(E6279="Prospecting",E6279="Engaging"),VLOOKUP(C6279,Products!$A$2:$C$8,3,FALSE),0)</f>
        <v>0</v>
      </c>
    </row>
    <row r="6280" spans="1:10" x14ac:dyDescent="0.25">
      <c r="A6280" t="s">
        <v>6447</v>
      </c>
      <c r="B6280" t="s">
        <v>164</v>
      </c>
      <c r="C6280" t="s">
        <v>125</v>
      </c>
      <c r="D6280" t="s">
        <v>61</v>
      </c>
      <c r="E6280" t="s">
        <v>138</v>
      </c>
      <c r="F6280" s="1">
        <v>42976</v>
      </c>
      <c r="G6280" s="1">
        <v>43100</v>
      </c>
      <c r="H6280">
        <v>3064</v>
      </c>
      <c r="I6280" t="str">
        <f>IF(COUNTIF(Products!$A$2:$A$8,C6280)=0,C6280,"")</f>
        <v/>
      </c>
      <c r="J6280">
        <f>IF(OR(E6280="Prospecting",E6280="Engaging"),VLOOKUP(C6280,Products!$A$2:$C$8,3,FALSE),0)</f>
        <v>0</v>
      </c>
    </row>
    <row r="6281" spans="1:10" x14ac:dyDescent="0.25">
      <c r="A6281" t="s">
        <v>6448</v>
      </c>
      <c r="B6281" t="s">
        <v>150</v>
      </c>
      <c r="C6281" t="s">
        <v>125</v>
      </c>
      <c r="D6281" t="s">
        <v>65</v>
      </c>
      <c r="E6281" t="s">
        <v>155</v>
      </c>
      <c r="F6281" s="1">
        <v>42976</v>
      </c>
      <c r="I6281" t="str">
        <f>IF(COUNTIF(Products!$A$2:$A$8,C6281)=0,C6281,"")</f>
        <v/>
      </c>
      <c r="J6281">
        <f>IF(OR(E6281="Prospecting",E6281="Engaging"),VLOOKUP(C6281,Products!$A$2:$C$8,3,FALSE),0)</f>
        <v>3393</v>
      </c>
    </row>
    <row r="6282" spans="1:10" x14ac:dyDescent="0.25">
      <c r="A6282" t="s">
        <v>6449</v>
      </c>
      <c r="B6282" t="s">
        <v>137</v>
      </c>
      <c r="C6282" t="s">
        <v>123</v>
      </c>
      <c r="D6282" t="s">
        <v>88</v>
      </c>
      <c r="E6282" t="s">
        <v>159</v>
      </c>
      <c r="F6282" s="1">
        <v>42976</v>
      </c>
      <c r="G6282" s="1">
        <v>43055</v>
      </c>
      <c r="H6282">
        <v>0</v>
      </c>
      <c r="I6282" t="str">
        <f>IF(COUNTIF(Products!$A$2:$A$8,C6282)=0,C6282,"")</f>
        <v/>
      </c>
      <c r="J6282">
        <f>IF(OR(E6282="Prospecting",E6282="Engaging"),VLOOKUP(C6282,Products!$A$2:$C$8,3,FALSE),0)</f>
        <v>0</v>
      </c>
    </row>
    <row r="6283" spans="1:10" x14ac:dyDescent="0.25">
      <c r="A6283" t="s">
        <v>6450</v>
      </c>
      <c r="B6283" t="s">
        <v>152</v>
      </c>
      <c r="C6283" t="s">
        <v>125</v>
      </c>
      <c r="D6283" t="s">
        <v>116</v>
      </c>
      <c r="E6283" t="s">
        <v>159</v>
      </c>
      <c r="F6283" s="1">
        <v>42976</v>
      </c>
      <c r="G6283" s="1">
        <v>43067</v>
      </c>
      <c r="H6283">
        <v>0</v>
      </c>
      <c r="I6283" t="str">
        <f>IF(COUNTIF(Products!$A$2:$A$8,C6283)=0,C6283,"")</f>
        <v/>
      </c>
      <c r="J6283">
        <f>IF(OR(E6283="Prospecting",E6283="Engaging"),VLOOKUP(C6283,Products!$A$2:$C$8,3,FALSE),0)</f>
        <v>0</v>
      </c>
    </row>
    <row r="6284" spans="1:10" x14ac:dyDescent="0.25">
      <c r="A6284" t="s">
        <v>6451</v>
      </c>
      <c r="B6284" t="s">
        <v>193</v>
      </c>
      <c r="C6284" t="s">
        <v>126</v>
      </c>
      <c r="D6284" t="s">
        <v>7</v>
      </c>
      <c r="E6284" t="s">
        <v>138</v>
      </c>
      <c r="F6284" s="1">
        <v>42976</v>
      </c>
      <c r="G6284" s="1">
        <v>43094</v>
      </c>
      <c r="H6284">
        <v>5790</v>
      </c>
      <c r="I6284" t="str">
        <f>IF(COUNTIF(Products!$A$2:$A$8,C6284)=0,C6284,"")</f>
        <v/>
      </c>
      <c r="J6284">
        <f>IF(OR(E6284="Prospecting",E6284="Engaging"),VLOOKUP(C6284,Products!$A$2:$C$8,3,FALSE),0)</f>
        <v>0</v>
      </c>
    </row>
    <row r="6285" spans="1:10" x14ac:dyDescent="0.25">
      <c r="A6285" t="s">
        <v>6452</v>
      </c>
      <c r="B6285" t="s">
        <v>187</v>
      </c>
      <c r="C6285" t="s">
        <v>122</v>
      </c>
      <c r="D6285" t="s">
        <v>106</v>
      </c>
      <c r="E6285" t="s">
        <v>138</v>
      </c>
      <c r="F6285" s="1">
        <v>42976</v>
      </c>
      <c r="G6285" s="1">
        <v>42983</v>
      </c>
      <c r="H6285">
        <v>5688</v>
      </c>
      <c r="I6285" t="str">
        <f>IF(COUNTIF(Products!$A$2:$A$8,C6285)=0,C6285,"")</f>
        <v/>
      </c>
      <c r="J6285">
        <f>IF(OR(E6285="Prospecting",E6285="Engaging"),VLOOKUP(C6285,Products!$A$2:$C$8,3,FALSE),0)</f>
        <v>0</v>
      </c>
    </row>
    <row r="6286" spans="1:10" x14ac:dyDescent="0.25">
      <c r="A6286" t="s">
        <v>6453</v>
      </c>
      <c r="B6286" t="s">
        <v>169</v>
      </c>
      <c r="C6286" t="s">
        <v>120</v>
      </c>
      <c r="D6286" t="s">
        <v>22</v>
      </c>
      <c r="E6286" t="s">
        <v>138</v>
      </c>
      <c r="F6286" s="1">
        <v>42976</v>
      </c>
      <c r="G6286" s="1">
        <v>43041</v>
      </c>
      <c r="H6286">
        <v>672</v>
      </c>
      <c r="I6286" t="str">
        <f>IF(COUNTIF(Products!$A$2:$A$8,C6286)=0,C6286,"")</f>
        <v/>
      </c>
      <c r="J6286">
        <f>IF(OR(E6286="Prospecting",E6286="Engaging"),VLOOKUP(C6286,Products!$A$2:$C$8,3,FALSE),0)</f>
        <v>0</v>
      </c>
    </row>
    <row r="6287" spans="1:10" x14ac:dyDescent="0.25">
      <c r="A6287" t="s">
        <v>6454</v>
      </c>
      <c r="B6287" t="s">
        <v>169</v>
      </c>
      <c r="C6287" t="s">
        <v>123</v>
      </c>
      <c r="D6287" t="s">
        <v>14</v>
      </c>
      <c r="E6287" t="s">
        <v>138</v>
      </c>
      <c r="F6287" s="1">
        <v>42976</v>
      </c>
      <c r="G6287" s="1">
        <v>43077</v>
      </c>
      <c r="H6287">
        <v>62</v>
      </c>
      <c r="I6287" t="str">
        <f>IF(COUNTIF(Products!$A$2:$A$8,C6287)=0,C6287,"")</f>
        <v/>
      </c>
      <c r="J6287">
        <f>IF(OR(E6287="Prospecting",E6287="Engaging"),VLOOKUP(C6287,Products!$A$2:$C$8,3,FALSE),0)</f>
        <v>0</v>
      </c>
    </row>
    <row r="6288" spans="1:10" x14ac:dyDescent="0.25">
      <c r="A6288" t="s">
        <v>6455</v>
      </c>
      <c r="B6288" t="s">
        <v>148</v>
      </c>
      <c r="C6288" t="s">
        <v>122</v>
      </c>
      <c r="D6288" t="s">
        <v>38</v>
      </c>
      <c r="E6288" t="s">
        <v>138</v>
      </c>
      <c r="F6288" s="1">
        <v>42976</v>
      </c>
      <c r="G6288" s="1">
        <v>43088</v>
      </c>
      <c r="H6288">
        <v>4577</v>
      </c>
      <c r="I6288" t="str">
        <f>IF(COUNTIF(Products!$A$2:$A$8,C6288)=0,C6288,"")</f>
        <v/>
      </c>
      <c r="J6288">
        <f>IF(OR(E6288="Prospecting",E6288="Engaging"),VLOOKUP(C6288,Products!$A$2:$C$8,3,FALSE),0)</f>
        <v>0</v>
      </c>
    </row>
    <row r="6289" spans="1:10" x14ac:dyDescent="0.25">
      <c r="A6289" t="s">
        <v>6456</v>
      </c>
      <c r="B6289" t="s">
        <v>177</v>
      </c>
      <c r="C6289" t="s">
        <v>120</v>
      </c>
      <c r="E6289" t="s">
        <v>155</v>
      </c>
      <c r="F6289" s="1">
        <v>42976</v>
      </c>
      <c r="I6289" t="str">
        <f>IF(COUNTIF(Products!$A$2:$A$8,C6289)=0,C6289,"")</f>
        <v/>
      </c>
      <c r="J6289">
        <f>IF(OR(E6289="Prospecting",E6289="Engaging"),VLOOKUP(C6289,Products!$A$2:$C$8,3,FALSE),0)</f>
        <v>550</v>
      </c>
    </row>
    <row r="6290" spans="1:10" x14ac:dyDescent="0.25">
      <c r="A6290" t="s">
        <v>6457</v>
      </c>
      <c r="B6290" t="s">
        <v>146</v>
      </c>
      <c r="C6290" t="s">
        <v>123</v>
      </c>
      <c r="D6290" t="s">
        <v>46</v>
      </c>
      <c r="E6290" t="s">
        <v>159</v>
      </c>
      <c r="F6290" s="1">
        <v>42977</v>
      </c>
      <c r="G6290" s="1">
        <v>43058</v>
      </c>
      <c r="H6290">
        <v>0</v>
      </c>
      <c r="I6290" t="str">
        <f>IF(COUNTIF(Products!$A$2:$A$8,C6290)=0,C6290,"")</f>
        <v/>
      </c>
      <c r="J6290">
        <f>IF(OR(E6290="Prospecting",E6290="Engaging"),VLOOKUP(C6290,Products!$A$2:$C$8,3,FALSE),0)</f>
        <v>0</v>
      </c>
    </row>
    <row r="6291" spans="1:10" x14ac:dyDescent="0.25">
      <c r="A6291" t="s">
        <v>6458</v>
      </c>
      <c r="B6291" t="s">
        <v>146</v>
      </c>
      <c r="C6291" t="s">
        <v>127</v>
      </c>
      <c r="D6291" t="s">
        <v>77</v>
      </c>
      <c r="E6291" t="s">
        <v>138</v>
      </c>
      <c r="F6291" s="1">
        <v>42977</v>
      </c>
      <c r="G6291" s="1">
        <v>43095</v>
      </c>
      <c r="H6291">
        <v>1118</v>
      </c>
      <c r="I6291" t="str">
        <f>IF(COUNTIF(Products!$A$2:$A$8,C6291)=0,C6291,"")</f>
        <v/>
      </c>
      <c r="J6291">
        <f>IF(OR(E6291="Prospecting",E6291="Engaging"),VLOOKUP(C6291,Products!$A$2:$C$8,3,FALSE),0)</f>
        <v>0</v>
      </c>
    </row>
    <row r="6292" spans="1:10" x14ac:dyDescent="0.25">
      <c r="A6292" t="s">
        <v>6459</v>
      </c>
      <c r="B6292" t="s">
        <v>146</v>
      </c>
      <c r="C6292" t="s">
        <v>123</v>
      </c>
      <c r="D6292" t="s">
        <v>95</v>
      </c>
      <c r="E6292" t="s">
        <v>138</v>
      </c>
      <c r="F6292" s="1">
        <v>42977</v>
      </c>
      <c r="G6292" s="1">
        <v>42986</v>
      </c>
      <c r="H6292">
        <v>55</v>
      </c>
      <c r="I6292" t="str">
        <f>IF(COUNTIF(Products!$A$2:$A$8,C6292)=0,C6292,"")</f>
        <v/>
      </c>
      <c r="J6292">
        <f>IF(OR(E6292="Prospecting",E6292="Engaging"),VLOOKUP(C6292,Products!$A$2:$C$8,3,FALSE),0)</f>
        <v>0</v>
      </c>
    </row>
    <row r="6293" spans="1:10" x14ac:dyDescent="0.25">
      <c r="A6293" t="s">
        <v>6460</v>
      </c>
      <c r="B6293" t="s">
        <v>222</v>
      </c>
      <c r="C6293" t="s">
        <v>122</v>
      </c>
      <c r="D6293" t="s">
        <v>48</v>
      </c>
      <c r="E6293" t="s">
        <v>138</v>
      </c>
      <c r="F6293" s="1">
        <v>42977</v>
      </c>
      <c r="G6293" s="1">
        <v>43090</v>
      </c>
      <c r="H6293">
        <v>5052</v>
      </c>
      <c r="I6293" t="str">
        <f>IF(COUNTIF(Products!$A$2:$A$8,C6293)=0,C6293,"")</f>
        <v/>
      </c>
      <c r="J6293">
        <f>IF(OR(E6293="Prospecting",E6293="Engaging"),VLOOKUP(C6293,Products!$A$2:$C$8,3,FALSE),0)</f>
        <v>0</v>
      </c>
    </row>
    <row r="6294" spans="1:10" x14ac:dyDescent="0.25">
      <c r="A6294" t="s">
        <v>6461</v>
      </c>
      <c r="B6294" t="s">
        <v>222</v>
      </c>
      <c r="C6294" t="s">
        <v>122</v>
      </c>
      <c r="D6294" t="s">
        <v>115</v>
      </c>
      <c r="E6294" t="s">
        <v>138</v>
      </c>
      <c r="F6294" s="1">
        <v>42977</v>
      </c>
      <c r="G6294" s="1">
        <v>42982</v>
      </c>
      <c r="H6294">
        <v>4023</v>
      </c>
      <c r="I6294" t="str">
        <f>IF(COUNTIF(Products!$A$2:$A$8,C6294)=0,C6294,"")</f>
        <v/>
      </c>
      <c r="J6294">
        <f>IF(OR(E6294="Prospecting",E6294="Engaging"),VLOOKUP(C6294,Products!$A$2:$C$8,3,FALSE),0)</f>
        <v>0</v>
      </c>
    </row>
    <row r="6295" spans="1:10" x14ac:dyDescent="0.25">
      <c r="A6295" t="s">
        <v>6462</v>
      </c>
      <c r="B6295" t="s">
        <v>207</v>
      </c>
      <c r="C6295" t="s">
        <v>123</v>
      </c>
      <c r="E6295" t="s">
        <v>155</v>
      </c>
      <c r="F6295" s="1">
        <v>42977</v>
      </c>
      <c r="I6295" t="str">
        <f>IF(COUNTIF(Products!$A$2:$A$8,C6295)=0,C6295,"")</f>
        <v/>
      </c>
      <c r="J6295">
        <f>IF(OR(E6295="Prospecting",E6295="Engaging"),VLOOKUP(C6295,Products!$A$2:$C$8,3,FALSE),0)</f>
        <v>55</v>
      </c>
    </row>
    <row r="6296" spans="1:10" x14ac:dyDescent="0.25">
      <c r="A6296" t="s">
        <v>6463</v>
      </c>
      <c r="B6296" t="s">
        <v>207</v>
      </c>
      <c r="C6296" t="s">
        <v>123</v>
      </c>
      <c r="D6296" t="s">
        <v>65</v>
      </c>
      <c r="E6296" t="s">
        <v>138</v>
      </c>
      <c r="F6296" s="1">
        <v>42977</v>
      </c>
      <c r="G6296" s="1">
        <v>42986</v>
      </c>
      <c r="H6296">
        <v>57</v>
      </c>
      <c r="I6296" t="str">
        <f>IF(COUNTIF(Products!$A$2:$A$8,C6296)=0,C6296,"")</f>
        <v/>
      </c>
      <c r="J6296">
        <f>IF(OR(E6296="Prospecting",E6296="Engaging"),VLOOKUP(C6296,Products!$A$2:$C$8,3,FALSE),0)</f>
        <v>0</v>
      </c>
    </row>
    <row r="6297" spans="1:10" x14ac:dyDescent="0.25">
      <c r="A6297" t="s">
        <v>6464</v>
      </c>
      <c r="B6297" t="s">
        <v>239</v>
      </c>
      <c r="C6297" t="s">
        <v>123</v>
      </c>
      <c r="D6297" t="s">
        <v>50</v>
      </c>
      <c r="E6297" t="s">
        <v>138</v>
      </c>
      <c r="F6297" s="1">
        <v>42977</v>
      </c>
      <c r="G6297" s="1">
        <v>43062</v>
      </c>
      <c r="H6297">
        <v>59</v>
      </c>
      <c r="I6297" t="str">
        <f>IF(COUNTIF(Products!$A$2:$A$8,C6297)=0,C6297,"")</f>
        <v/>
      </c>
      <c r="J6297">
        <f>IF(OR(E6297="Prospecting",E6297="Engaging"),VLOOKUP(C6297,Products!$A$2:$C$8,3,FALSE),0)</f>
        <v>0</v>
      </c>
    </row>
    <row r="6298" spans="1:10" x14ac:dyDescent="0.25">
      <c r="A6298" t="s">
        <v>6465</v>
      </c>
      <c r="B6298" t="s">
        <v>171</v>
      </c>
      <c r="C6298" t="s">
        <v>123</v>
      </c>
      <c r="D6298" t="s">
        <v>108</v>
      </c>
      <c r="E6298" t="s">
        <v>159</v>
      </c>
      <c r="F6298" s="1">
        <v>42977</v>
      </c>
      <c r="G6298" s="1">
        <v>43057</v>
      </c>
      <c r="H6298">
        <v>0</v>
      </c>
      <c r="I6298" t="str">
        <f>IF(COUNTIF(Products!$A$2:$A$8,C6298)=0,C6298,"")</f>
        <v/>
      </c>
      <c r="J6298">
        <f>IF(OR(E6298="Prospecting",E6298="Engaging"),VLOOKUP(C6298,Products!$A$2:$C$8,3,FALSE),0)</f>
        <v>0</v>
      </c>
    </row>
    <row r="6299" spans="1:10" x14ac:dyDescent="0.25">
      <c r="A6299" t="s">
        <v>6466</v>
      </c>
      <c r="B6299" t="s">
        <v>171</v>
      </c>
      <c r="C6299" t="s">
        <v>122</v>
      </c>
      <c r="D6299" t="s">
        <v>68</v>
      </c>
      <c r="E6299" t="s">
        <v>138</v>
      </c>
      <c r="F6299" s="1">
        <v>42977</v>
      </c>
      <c r="G6299" s="1">
        <v>42985</v>
      </c>
      <c r="H6299">
        <v>5544</v>
      </c>
      <c r="I6299" t="str">
        <f>IF(COUNTIF(Products!$A$2:$A$8,C6299)=0,C6299,"")</f>
        <v/>
      </c>
      <c r="J6299">
        <f>IF(OR(E6299="Prospecting",E6299="Engaging"),VLOOKUP(C6299,Products!$A$2:$C$8,3,FALSE),0)</f>
        <v>0</v>
      </c>
    </row>
    <row r="6300" spans="1:10" x14ac:dyDescent="0.25">
      <c r="A6300" t="s">
        <v>6467</v>
      </c>
      <c r="B6300" t="s">
        <v>140</v>
      </c>
      <c r="C6300" t="s">
        <v>122</v>
      </c>
      <c r="D6300" t="s">
        <v>77</v>
      </c>
      <c r="E6300" t="s">
        <v>159</v>
      </c>
      <c r="F6300" s="1">
        <v>42977</v>
      </c>
      <c r="G6300" s="1">
        <v>43054</v>
      </c>
      <c r="H6300">
        <v>0</v>
      </c>
      <c r="I6300" t="str">
        <f>IF(COUNTIF(Products!$A$2:$A$8,C6300)=0,C6300,"")</f>
        <v/>
      </c>
      <c r="J6300">
        <f>IF(OR(E6300="Prospecting",E6300="Engaging"),VLOOKUP(C6300,Products!$A$2:$C$8,3,FALSE),0)</f>
        <v>0</v>
      </c>
    </row>
    <row r="6301" spans="1:10" x14ac:dyDescent="0.25">
      <c r="A6301" t="s">
        <v>6468</v>
      </c>
      <c r="B6301" t="s">
        <v>140</v>
      </c>
      <c r="C6301" t="s">
        <v>123</v>
      </c>
      <c r="D6301" t="s">
        <v>104</v>
      </c>
      <c r="E6301" t="s">
        <v>159</v>
      </c>
      <c r="F6301" s="1">
        <v>42977</v>
      </c>
      <c r="G6301" s="1">
        <v>42978</v>
      </c>
      <c r="H6301">
        <v>0</v>
      </c>
      <c r="I6301" t="str">
        <f>IF(COUNTIF(Products!$A$2:$A$8,C6301)=0,C6301,"")</f>
        <v/>
      </c>
      <c r="J6301">
        <f>IF(OR(E6301="Prospecting",E6301="Engaging"),VLOOKUP(C6301,Products!$A$2:$C$8,3,FALSE),0)</f>
        <v>0</v>
      </c>
    </row>
    <row r="6302" spans="1:10" x14ac:dyDescent="0.25">
      <c r="A6302" t="s">
        <v>6469</v>
      </c>
      <c r="B6302" t="s">
        <v>140</v>
      </c>
      <c r="C6302" t="s">
        <v>122</v>
      </c>
      <c r="D6302" t="s">
        <v>27</v>
      </c>
      <c r="E6302" t="s">
        <v>138</v>
      </c>
      <c r="F6302" s="1">
        <v>42977</v>
      </c>
      <c r="G6302" s="1">
        <v>42996</v>
      </c>
      <c r="H6302">
        <v>4598</v>
      </c>
      <c r="I6302" t="str">
        <f>IF(COUNTIF(Products!$A$2:$A$8,C6302)=0,C6302,"")</f>
        <v/>
      </c>
      <c r="J6302">
        <f>IF(OR(E6302="Prospecting",E6302="Engaging"),VLOOKUP(C6302,Products!$A$2:$C$8,3,FALSE),0)</f>
        <v>0</v>
      </c>
    </row>
    <row r="6303" spans="1:10" x14ac:dyDescent="0.25">
      <c r="A6303" t="s">
        <v>6470</v>
      </c>
      <c r="B6303" t="s">
        <v>140</v>
      </c>
      <c r="C6303" t="s">
        <v>122</v>
      </c>
      <c r="D6303" t="s">
        <v>28</v>
      </c>
      <c r="E6303" t="s">
        <v>138</v>
      </c>
      <c r="F6303" s="1">
        <v>42977</v>
      </c>
      <c r="G6303" s="1">
        <v>42988</v>
      </c>
      <c r="H6303">
        <v>5008</v>
      </c>
      <c r="I6303" t="str">
        <f>IF(COUNTIF(Products!$A$2:$A$8,C6303)=0,C6303,"")</f>
        <v/>
      </c>
      <c r="J6303">
        <f>IF(OR(E6303="Prospecting",E6303="Engaging"),VLOOKUP(C6303,Products!$A$2:$C$8,3,FALSE),0)</f>
        <v>0</v>
      </c>
    </row>
    <row r="6304" spans="1:10" x14ac:dyDescent="0.25">
      <c r="A6304" t="s">
        <v>6471</v>
      </c>
      <c r="B6304" t="s">
        <v>140</v>
      </c>
      <c r="C6304" t="s">
        <v>122</v>
      </c>
      <c r="D6304" t="s">
        <v>95</v>
      </c>
      <c r="E6304" t="s">
        <v>138</v>
      </c>
      <c r="F6304" s="1">
        <v>42977</v>
      </c>
      <c r="G6304" s="1">
        <v>43078</v>
      </c>
      <c r="H6304">
        <v>3932</v>
      </c>
      <c r="I6304" t="str">
        <f>IF(COUNTIF(Products!$A$2:$A$8,C6304)=0,C6304,"")</f>
        <v/>
      </c>
      <c r="J6304">
        <f>IF(OR(E6304="Prospecting",E6304="Engaging"),VLOOKUP(C6304,Products!$A$2:$C$8,3,FALSE),0)</f>
        <v>0</v>
      </c>
    </row>
    <row r="6305" spans="1:10" x14ac:dyDescent="0.25">
      <c r="A6305" t="s">
        <v>6472</v>
      </c>
      <c r="B6305" t="s">
        <v>224</v>
      </c>
      <c r="C6305" t="s">
        <v>127</v>
      </c>
      <c r="D6305" t="s">
        <v>111</v>
      </c>
      <c r="E6305" t="s">
        <v>138</v>
      </c>
      <c r="F6305" s="1">
        <v>42977</v>
      </c>
      <c r="G6305" s="1">
        <v>43098</v>
      </c>
      <c r="H6305">
        <v>1166</v>
      </c>
      <c r="I6305" t="str">
        <f>IF(COUNTIF(Products!$A$2:$A$8,C6305)=0,C6305,"")</f>
        <v/>
      </c>
      <c r="J6305">
        <f>IF(OR(E6305="Prospecting",E6305="Engaging"),VLOOKUP(C6305,Products!$A$2:$C$8,3,FALSE),0)</f>
        <v>0</v>
      </c>
    </row>
    <row r="6306" spans="1:10" x14ac:dyDescent="0.25">
      <c r="A6306" t="s">
        <v>6473</v>
      </c>
      <c r="B6306" t="s">
        <v>158</v>
      </c>
      <c r="C6306" t="s">
        <v>127</v>
      </c>
      <c r="D6306" t="s">
        <v>88</v>
      </c>
      <c r="E6306" t="s">
        <v>159</v>
      </c>
      <c r="F6306" s="1">
        <v>42977</v>
      </c>
      <c r="G6306" s="1">
        <v>43075</v>
      </c>
      <c r="H6306">
        <v>0</v>
      </c>
      <c r="I6306" t="str">
        <f>IF(COUNTIF(Products!$A$2:$A$8,C6306)=0,C6306,"")</f>
        <v/>
      </c>
      <c r="J6306">
        <f>IF(OR(E6306="Prospecting",E6306="Engaging"),VLOOKUP(C6306,Products!$A$2:$C$8,3,FALSE),0)</f>
        <v>0</v>
      </c>
    </row>
    <row r="6307" spans="1:10" x14ac:dyDescent="0.25">
      <c r="A6307" t="s">
        <v>6474</v>
      </c>
      <c r="B6307" t="s">
        <v>164</v>
      </c>
      <c r="C6307" t="s">
        <v>127</v>
      </c>
      <c r="D6307" t="s">
        <v>29</v>
      </c>
      <c r="E6307" t="s">
        <v>138</v>
      </c>
      <c r="F6307" s="1">
        <v>42977</v>
      </c>
      <c r="G6307" s="1">
        <v>42984</v>
      </c>
      <c r="H6307">
        <v>1195</v>
      </c>
      <c r="I6307" t="str">
        <f>IF(COUNTIF(Products!$A$2:$A$8,C6307)=0,C6307,"")</f>
        <v/>
      </c>
      <c r="J6307">
        <f>IF(OR(E6307="Prospecting",E6307="Engaging"),VLOOKUP(C6307,Products!$A$2:$C$8,3,FALSE),0)</f>
        <v>0</v>
      </c>
    </row>
    <row r="6308" spans="1:10" x14ac:dyDescent="0.25">
      <c r="A6308" t="s">
        <v>6475</v>
      </c>
      <c r="B6308" t="s">
        <v>154</v>
      </c>
      <c r="C6308" t="s">
        <v>123</v>
      </c>
      <c r="D6308" t="s">
        <v>107</v>
      </c>
      <c r="E6308" t="s">
        <v>159</v>
      </c>
      <c r="F6308" s="1">
        <v>42977</v>
      </c>
      <c r="G6308" s="1">
        <v>43043</v>
      </c>
      <c r="H6308">
        <v>0</v>
      </c>
      <c r="I6308" t="str">
        <f>IF(COUNTIF(Products!$A$2:$A$8,C6308)=0,C6308,"")</f>
        <v/>
      </c>
      <c r="J6308">
        <f>IF(OR(E6308="Prospecting",E6308="Engaging"),VLOOKUP(C6308,Products!$A$2:$C$8,3,FALSE),0)</f>
        <v>0</v>
      </c>
    </row>
    <row r="6309" spans="1:10" x14ac:dyDescent="0.25">
      <c r="A6309" t="s">
        <v>6476</v>
      </c>
      <c r="B6309" t="s">
        <v>303</v>
      </c>
      <c r="C6309" t="s">
        <v>120</v>
      </c>
      <c r="D6309" t="s">
        <v>51</v>
      </c>
      <c r="E6309" t="s">
        <v>138</v>
      </c>
      <c r="F6309" s="1">
        <v>42977</v>
      </c>
      <c r="G6309" s="1">
        <v>43092</v>
      </c>
      <c r="H6309">
        <v>551</v>
      </c>
      <c r="I6309" t="str">
        <f>IF(COUNTIF(Products!$A$2:$A$8,C6309)=0,C6309,"")</f>
        <v/>
      </c>
      <c r="J6309">
        <f>IF(OR(E6309="Prospecting",E6309="Engaging"),VLOOKUP(C6309,Products!$A$2:$C$8,3,FALSE),0)</f>
        <v>0</v>
      </c>
    </row>
    <row r="6310" spans="1:10" x14ac:dyDescent="0.25">
      <c r="A6310" t="s">
        <v>6477</v>
      </c>
      <c r="B6310" t="s">
        <v>303</v>
      </c>
      <c r="C6310" t="s">
        <v>120</v>
      </c>
      <c r="D6310" t="s">
        <v>53</v>
      </c>
      <c r="E6310" t="s">
        <v>138</v>
      </c>
      <c r="F6310" s="1">
        <v>42977</v>
      </c>
      <c r="G6310" s="1">
        <v>42986</v>
      </c>
      <c r="H6310">
        <v>623</v>
      </c>
      <c r="I6310" t="str">
        <f>IF(COUNTIF(Products!$A$2:$A$8,C6310)=0,C6310,"")</f>
        <v/>
      </c>
      <c r="J6310">
        <f>IF(OR(E6310="Prospecting",E6310="Engaging"),VLOOKUP(C6310,Products!$A$2:$C$8,3,FALSE),0)</f>
        <v>0</v>
      </c>
    </row>
    <row r="6311" spans="1:10" x14ac:dyDescent="0.25">
      <c r="A6311" t="s">
        <v>6478</v>
      </c>
      <c r="B6311" t="s">
        <v>191</v>
      </c>
      <c r="C6311" t="s">
        <v>122</v>
      </c>
      <c r="D6311" t="s">
        <v>67</v>
      </c>
      <c r="E6311" t="s">
        <v>159</v>
      </c>
      <c r="F6311" s="1">
        <v>42977</v>
      </c>
      <c r="G6311" s="1">
        <v>43055</v>
      </c>
      <c r="H6311">
        <v>0</v>
      </c>
      <c r="I6311" t="str">
        <f>IF(COUNTIF(Products!$A$2:$A$8,C6311)=0,C6311,"")</f>
        <v/>
      </c>
      <c r="J6311">
        <f>IF(OR(E6311="Prospecting",E6311="Engaging"),VLOOKUP(C6311,Products!$A$2:$C$8,3,FALSE),0)</f>
        <v>0</v>
      </c>
    </row>
    <row r="6312" spans="1:10" x14ac:dyDescent="0.25">
      <c r="A6312" t="s">
        <v>6479</v>
      </c>
      <c r="B6312" t="s">
        <v>191</v>
      </c>
      <c r="C6312" t="s">
        <v>123</v>
      </c>
      <c r="D6312" t="s">
        <v>82</v>
      </c>
      <c r="E6312" t="s">
        <v>159</v>
      </c>
      <c r="F6312" s="1">
        <v>42977</v>
      </c>
      <c r="G6312" s="1">
        <v>43044</v>
      </c>
      <c r="H6312">
        <v>0</v>
      </c>
      <c r="I6312" t="str">
        <f>IF(COUNTIF(Products!$A$2:$A$8,C6312)=0,C6312,"")</f>
        <v/>
      </c>
      <c r="J6312">
        <f>IF(OR(E6312="Prospecting",E6312="Engaging"),VLOOKUP(C6312,Products!$A$2:$C$8,3,FALSE),0)</f>
        <v>0</v>
      </c>
    </row>
    <row r="6313" spans="1:10" x14ac:dyDescent="0.25">
      <c r="A6313" t="s">
        <v>6480</v>
      </c>
      <c r="B6313" t="s">
        <v>217</v>
      </c>
      <c r="C6313" t="s">
        <v>123</v>
      </c>
      <c r="D6313" t="s">
        <v>51</v>
      </c>
      <c r="E6313" t="s">
        <v>159</v>
      </c>
      <c r="F6313" s="1">
        <v>42977</v>
      </c>
      <c r="G6313" s="1">
        <v>42988</v>
      </c>
      <c r="H6313">
        <v>0</v>
      </c>
      <c r="I6313" t="str">
        <f>IF(COUNTIF(Products!$A$2:$A$8,C6313)=0,C6313,"")</f>
        <v/>
      </c>
      <c r="J6313">
        <f>IF(OR(E6313="Prospecting",E6313="Engaging"),VLOOKUP(C6313,Products!$A$2:$C$8,3,FALSE),0)</f>
        <v>0</v>
      </c>
    </row>
    <row r="6314" spans="1:10" x14ac:dyDescent="0.25">
      <c r="A6314" t="s">
        <v>6481</v>
      </c>
      <c r="B6314" t="s">
        <v>150</v>
      </c>
      <c r="C6314" t="s">
        <v>123</v>
      </c>
      <c r="E6314" t="s">
        <v>155</v>
      </c>
      <c r="F6314" s="1">
        <v>42977</v>
      </c>
      <c r="I6314" t="str">
        <f>IF(COUNTIF(Products!$A$2:$A$8,C6314)=0,C6314,"")</f>
        <v/>
      </c>
      <c r="J6314">
        <f>IF(OR(E6314="Prospecting",E6314="Engaging"),VLOOKUP(C6314,Products!$A$2:$C$8,3,FALSE),0)</f>
        <v>55</v>
      </c>
    </row>
    <row r="6315" spans="1:10" x14ac:dyDescent="0.25">
      <c r="A6315" t="s">
        <v>6482</v>
      </c>
      <c r="B6315" t="s">
        <v>150</v>
      </c>
      <c r="C6315" t="s">
        <v>120</v>
      </c>
      <c r="D6315" t="s">
        <v>71</v>
      </c>
      <c r="E6315" t="s">
        <v>159</v>
      </c>
      <c r="F6315" s="1">
        <v>42977</v>
      </c>
      <c r="G6315" s="1">
        <v>42997</v>
      </c>
      <c r="H6315">
        <v>0</v>
      </c>
      <c r="I6315" t="str">
        <f>IF(COUNTIF(Products!$A$2:$A$8,C6315)=0,C6315,"")</f>
        <v/>
      </c>
      <c r="J6315">
        <f>IF(OR(E6315="Prospecting",E6315="Engaging"),VLOOKUP(C6315,Products!$A$2:$C$8,3,FALSE),0)</f>
        <v>0</v>
      </c>
    </row>
    <row r="6316" spans="1:10" x14ac:dyDescent="0.25">
      <c r="A6316" t="s">
        <v>6483</v>
      </c>
      <c r="B6316" t="s">
        <v>150</v>
      </c>
      <c r="C6316" t="s">
        <v>122</v>
      </c>
      <c r="D6316" t="s">
        <v>107</v>
      </c>
      <c r="E6316" t="s">
        <v>138</v>
      </c>
      <c r="F6316" s="1">
        <v>42977</v>
      </c>
      <c r="G6316" s="1">
        <v>42993</v>
      </c>
      <c r="H6316">
        <v>4592</v>
      </c>
      <c r="I6316" t="str">
        <f>IF(COUNTIF(Products!$A$2:$A$8,C6316)=0,C6316,"")</f>
        <v/>
      </c>
      <c r="J6316">
        <f>IF(OR(E6316="Prospecting",E6316="Engaging"),VLOOKUP(C6316,Products!$A$2:$C$8,3,FALSE),0)</f>
        <v>0</v>
      </c>
    </row>
    <row r="6317" spans="1:10" x14ac:dyDescent="0.25">
      <c r="A6317" t="s">
        <v>6484</v>
      </c>
      <c r="B6317" t="s">
        <v>205</v>
      </c>
      <c r="C6317" t="s">
        <v>120</v>
      </c>
      <c r="D6317" t="s">
        <v>27</v>
      </c>
      <c r="E6317" t="s">
        <v>138</v>
      </c>
      <c r="F6317" s="1">
        <v>42977</v>
      </c>
      <c r="G6317" s="1">
        <v>43091</v>
      </c>
      <c r="H6317">
        <v>555</v>
      </c>
      <c r="I6317" t="str">
        <f>IF(COUNTIF(Products!$A$2:$A$8,C6317)=0,C6317,"")</f>
        <v/>
      </c>
      <c r="J6317">
        <f>IF(OR(E6317="Prospecting",E6317="Engaging"),VLOOKUP(C6317,Products!$A$2:$C$8,3,FALSE),0)</f>
        <v>0</v>
      </c>
    </row>
    <row r="6318" spans="1:10" x14ac:dyDescent="0.25">
      <c r="A6318" t="s">
        <v>6485</v>
      </c>
      <c r="B6318" t="s">
        <v>205</v>
      </c>
      <c r="C6318" t="s">
        <v>125</v>
      </c>
      <c r="D6318" t="s">
        <v>36</v>
      </c>
      <c r="E6318" t="s">
        <v>138</v>
      </c>
      <c r="F6318" s="1">
        <v>42977</v>
      </c>
      <c r="G6318" s="1">
        <v>43053</v>
      </c>
      <c r="H6318">
        <v>3703</v>
      </c>
      <c r="I6318" t="str">
        <f>IF(COUNTIF(Products!$A$2:$A$8,C6318)=0,C6318,"")</f>
        <v/>
      </c>
      <c r="J6318">
        <f>IF(OR(E6318="Prospecting",E6318="Engaging"),VLOOKUP(C6318,Products!$A$2:$C$8,3,FALSE),0)</f>
        <v>0</v>
      </c>
    </row>
    <row r="6319" spans="1:10" x14ac:dyDescent="0.25">
      <c r="A6319" t="s">
        <v>6486</v>
      </c>
      <c r="B6319" t="s">
        <v>162</v>
      </c>
      <c r="C6319" t="s">
        <v>127</v>
      </c>
      <c r="D6319" t="s">
        <v>90</v>
      </c>
      <c r="E6319" t="s">
        <v>138</v>
      </c>
      <c r="F6319" s="1">
        <v>42977</v>
      </c>
      <c r="G6319" s="1">
        <v>43082</v>
      </c>
      <c r="H6319">
        <v>942</v>
      </c>
      <c r="I6319" t="str">
        <f>IF(COUNTIF(Products!$A$2:$A$8,C6319)=0,C6319,"")</f>
        <v/>
      </c>
      <c r="J6319">
        <f>IF(OR(E6319="Prospecting",E6319="Engaging"),VLOOKUP(C6319,Products!$A$2:$C$8,3,FALSE),0)</f>
        <v>0</v>
      </c>
    </row>
    <row r="6320" spans="1:10" x14ac:dyDescent="0.25">
      <c r="A6320" t="s">
        <v>6487</v>
      </c>
      <c r="B6320" t="s">
        <v>162</v>
      </c>
      <c r="C6320" t="s">
        <v>126</v>
      </c>
      <c r="D6320" t="s">
        <v>59</v>
      </c>
      <c r="E6320" t="s">
        <v>138</v>
      </c>
      <c r="F6320" s="1">
        <v>42977</v>
      </c>
      <c r="G6320" s="1">
        <v>43077</v>
      </c>
      <c r="H6320">
        <v>6489</v>
      </c>
      <c r="I6320" t="str">
        <f>IF(COUNTIF(Products!$A$2:$A$8,C6320)=0,C6320,"")</f>
        <v/>
      </c>
      <c r="J6320">
        <f>IF(OR(E6320="Prospecting",E6320="Engaging"),VLOOKUP(C6320,Products!$A$2:$C$8,3,FALSE),0)</f>
        <v>0</v>
      </c>
    </row>
    <row r="6321" spans="1:10" x14ac:dyDescent="0.25">
      <c r="A6321" t="s">
        <v>6488</v>
      </c>
      <c r="B6321" t="s">
        <v>152</v>
      </c>
      <c r="C6321" t="s">
        <v>122</v>
      </c>
      <c r="D6321" t="s">
        <v>22</v>
      </c>
      <c r="E6321" t="s">
        <v>159</v>
      </c>
      <c r="F6321" s="1">
        <v>42977</v>
      </c>
      <c r="G6321" s="1">
        <v>43059</v>
      </c>
      <c r="H6321">
        <v>0</v>
      </c>
      <c r="I6321" t="str">
        <f>IF(COUNTIF(Products!$A$2:$A$8,C6321)=0,C6321,"")</f>
        <v/>
      </c>
      <c r="J6321">
        <f>IF(OR(E6321="Prospecting",E6321="Engaging"),VLOOKUP(C6321,Products!$A$2:$C$8,3,FALSE),0)</f>
        <v>0</v>
      </c>
    </row>
    <row r="6322" spans="1:10" x14ac:dyDescent="0.25">
      <c r="A6322" t="s">
        <v>6489</v>
      </c>
      <c r="B6322" t="s">
        <v>166</v>
      </c>
      <c r="C6322" t="s">
        <v>123</v>
      </c>
      <c r="E6322" t="s">
        <v>155</v>
      </c>
      <c r="F6322" s="1">
        <v>42977</v>
      </c>
      <c r="I6322" t="str">
        <f>IF(COUNTIF(Products!$A$2:$A$8,C6322)=0,C6322,"")</f>
        <v/>
      </c>
      <c r="J6322">
        <f>IF(OR(E6322="Prospecting",E6322="Engaging"),VLOOKUP(C6322,Products!$A$2:$C$8,3,FALSE),0)</f>
        <v>55</v>
      </c>
    </row>
    <row r="6323" spans="1:10" x14ac:dyDescent="0.25">
      <c r="A6323" t="s">
        <v>6490</v>
      </c>
      <c r="B6323" t="s">
        <v>166</v>
      </c>
      <c r="C6323" t="s">
        <v>123</v>
      </c>
      <c r="D6323" t="s">
        <v>100</v>
      </c>
      <c r="E6323" t="s">
        <v>138</v>
      </c>
      <c r="F6323" s="1">
        <v>42977</v>
      </c>
      <c r="G6323" s="1">
        <v>43056</v>
      </c>
      <c r="H6323">
        <v>63</v>
      </c>
      <c r="I6323" t="str">
        <f>IF(COUNTIF(Products!$A$2:$A$8,C6323)=0,C6323,"")</f>
        <v/>
      </c>
      <c r="J6323">
        <f>IF(OR(E6323="Prospecting",E6323="Engaging"),VLOOKUP(C6323,Products!$A$2:$C$8,3,FALSE),0)</f>
        <v>0</v>
      </c>
    </row>
    <row r="6324" spans="1:10" x14ac:dyDescent="0.25">
      <c r="A6324" t="s">
        <v>6491</v>
      </c>
      <c r="B6324" t="s">
        <v>187</v>
      </c>
      <c r="C6324" t="s">
        <v>122</v>
      </c>
      <c r="D6324" t="s">
        <v>20</v>
      </c>
      <c r="E6324" t="s">
        <v>138</v>
      </c>
      <c r="F6324" s="1">
        <v>42977</v>
      </c>
      <c r="G6324" s="1">
        <v>43077</v>
      </c>
      <c r="H6324">
        <v>3974</v>
      </c>
      <c r="I6324" t="str">
        <f>IF(COUNTIF(Products!$A$2:$A$8,C6324)=0,C6324,"")</f>
        <v/>
      </c>
      <c r="J6324">
        <f>IF(OR(E6324="Prospecting",E6324="Engaging"),VLOOKUP(C6324,Products!$A$2:$C$8,3,FALSE),0)</f>
        <v>0</v>
      </c>
    </row>
    <row r="6325" spans="1:10" x14ac:dyDescent="0.25">
      <c r="A6325" t="s">
        <v>6492</v>
      </c>
      <c r="B6325" t="s">
        <v>169</v>
      </c>
      <c r="C6325" t="s">
        <v>123</v>
      </c>
      <c r="D6325" t="s">
        <v>28</v>
      </c>
      <c r="E6325" t="s">
        <v>138</v>
      </c>
      <c r="F6325" s="1">
        <v>42977</v>
      </c>
      <c r="G6325" s="1">
        <v>43055</v>
      </c>
      <c r="H6325">
        <v>66</v>
      </c>
      <c r="I6325" t="str">
        <f>IF(COUNTIF(Products!$A$2:$A$8,C6325)=0,C6325,"")</f>
        <v/>
      </c>
      <c r="J6325">
        <f>IF(OR(E6325="Prospecting",E6325="Engaging"),VLOOKUP(C6325,Products!$A$2:$C$8,3,FALSE),0)</f>
        <v>0</v>
      </c>
    </row>
    <row r="6326" spans="1:10" x14ac:dyDescent="0.25">
      <c r="A6326" t="s">
        <v>6493</v>
      </c>
      <c r="B6326" t="s">
        <v>148</v>
      </c>
      <c r="C6326" t="s">
        <v>120</v>
      </c>
      <c r="D6326" t="s">
        <v>44</v>
      </c>
      <c r="E6326" t="s">
        <v>138</v>
      </c>
      <c r="F6326" s="1">
        <v>42977</v>
      </c>
      <c r="G6326" s="1">
        <v>43083</v>
      </c>
      <c r="H6326">
        <v>532</v>
      </c>
      <c r="I6326" t="str">
        <f>IF(COUNTIF(Products!$A$2:$A$8,C6326)=0,C6326,"")</f>
        <v/>
      </c>
      <c r="J6326">
        <f>IF(OR(E6326="Prospecting",E6326="Engaging"),VLOOKUP(C6326,Products!$A$2:$C$8,3,FALSE),0)</f>
        <v>0</v>
      </c>
    </row>
    <row r="6327" spans="1:10" x14ac:dyDescent="0.25">
      <c r="A6327" t="s">
        <v>6494</v>
      </c>
      <c r="B6327" t="s">
        <v>177</v>
      </c>
      <c r="C6327" t="s">
        <v>123</v>
      </c>
      <c r="E6327" t="s">
        <v>155</v>
      </c>
      <c r="F6327" s="1">
        <v>42977</v>
      </c>
      <c r="I6327" t="str">
        <f>IF(COUNTIF(Products!$A$2:$A$8,C6327)=0,C6327,"")</f>
        <v/>
      </c>
      <c r="J6327">
        <f>IF(OR(E6327="Prospecting",E6327="Engaging"),VLOOKUP(C6327,Products!$A$2:$C$8,3,FALSE),0)</f>
        <v>55</v>
      </c>
    </row>
    <row r="6328" spans="1:10" x14ac:dyDescent="0.25">
      <c r="A6328" t="s">
        <v>6495</v>
      </c>
      <c r="B6328" t="s">
        <v>144</v>
      </c>
      <c r="C6328" t="s">
        <v>120</v>
      </c>
      <c r="D6328" t="s">
        <v>29</v>
      </c>
      <c r="E6328" t="s">
        <v>138</v>
      </c>
      <c r="F6328" s="1">
        <v>42977</v>
      </c>
      <c r="G6328" s="1">
        <v>43090</v>
      </c>
      <c r="H6328">
        <v>503</v>
      </c>
      <c r="I6328" t="str">
        <f>IF(COUNTIF(Products!$A$2:$A$8,C6328)=0,C6328,"")</f>
        <v/>
      </c>
      <c r="J6328">
        <f>IF(OR(E6328="Prospecting",E6328="Engaging"),VLOOKUP(C6328,Products!$A$2:$C$8,3,FALSE),0)</f>
        <v>0</v>
      </c>
    </row>
    <row r="6329" spans="1:10" x14ac:dyDescent="0.25">
      <c r="A6329" t="s">
        <v>6496</v>
      </c>
      <c r="B6329" t="s">
        <v>146</v>
      </c>
      <c r="C6329" t="s">
        <v>120</v>
      </c>
      <c r="D6329" t="s">
        <v>116</v>
      </c>
      <c r="E6329" t="s">
        <v>138</v>
      </c>
      <c r="F6329" s="1">
        <v>42978</v>
      </c>
      <c r="G6329" s="1">
        <v>43063</v>
      </c>
      <c r="H6329">
        <v>594</v>
      </c>
      <c r="I6329" t="str">
        <f>IF(COUNTIF(Products!$A$2:$A$8,C6329)=0,C6329,"")</f>
        <v/>
      </c>
      <c r="J6329">
        <f>IF(OR(E6329="Prospecting",E6329="Engaging"),VLOOKUP(C6329,Products!$A$2:$C$8,3,FALSE),0)</f>
        <v>0</v>
      </c>
    </row>
    <row r="6330" spans="1:10" x14ac:dyDescent="0.25">
      <c r="A6330" t="s">
        <v>6497</v>
      </c>
      <c r="B6330" t="s">
        <v>222</v>
      </c>
      <c r="C6330" t="s">
        <v>120</v>
      </c>
      <c r="E6330" t="s">
        <v>155</v>
      </c>
      <c r="F6330" s="1">
        <v>42978</v>
      </c>
      <c r="I6330" t="str">
        <f>IF(COUNTIF(Products!$A$2:$A$8,C6330)=0,C6330,"")</f>
        <v/>
      </c>
      <c r="J6330">
        <f>IF(OR(E6330="Prospecting",E6330="Engaging"),VLOOKUP(C6330,Products!$A$2:$C$8,3,FALSE),0)</f>
        <v>550</v>
      </c>
    </row>
    <row r="6331" spans="1:10" x14ac:dyDescent="0.25">
      <c r="A6331" t="s">
        <v>6498</v>
      </c>
      <c r="B6331" t="s">
        <v>207</v>
      </c>
      <c r="C6331" t="s">
        <v>122</v>
      </c>
      <c r="D6331" t="s">
        <v>48</v>
      </c>
      <c r="E6331" t="s">
        <v>138</v>
      </c>
      <c r="F6331" s="1">
        <v>42978</v>
      </c>
      <c r="G6331" s="1">
        <v>42980</v>
      </c>
      <c r="H6331">
        <v>4958</v>
      </c>
      <c r="I6331" t="str">
        <f>IF(COUNTIF(Products!$A$2:$A$8,C6331)=0,C6331,"")</f>
        <v/>
      </c>
      <c r="J6331">
        <f>IF(OR(E6331="Prospecting",E6331="Engaging"),VLOOKUP(C6331,Products!$A$2:$C$8,3,FALSE),0)</f>
        <v>0</v>
      </c>
    </row>
    <row r="6332" spans="1:10" x14ac:dyDescent="0.25">
      <c r="A6332" t="s">
        <v>6499</v>
      </c>
      <c r="B6332" t="s">
        <v>207</v>
      </c>
      <c r="C6332" t="s">
        <v>122</v>
      </c>
      <c r="D6332" t="s">
        <v>73</v>
      </c>
      <c r="E6332" t="s">
        <v>138</v>
      </c>
      <c r="F6332" s="1">
        <v>42978</v>
      </c>
      <c r="G6332" s="1">
        <v>43069</v>
      </c>
      <c r="H6332">
        <v>4201</v>
      </c>
      <c r="I6332" t="str">
        <f>IF(COUNTIF(Products!$A$2:$A$8,C6332)=0,C6332,"")</f>
        <v/>
      </c>
      <c r="J6332">
        <f>IF(OR(E6332="Prospecting",E6332="Engaging"),VLOOKUP(C6332,Products!$A$2:$C$8,3,FALSE),0)</f>
        <v>0</v>
      </c>
    </row>
    <row r="6333" spans="1:10" x14ac:dyDescent="0.25">
      <c r="A6333" t="s">
        <v>6500</v>
      </c>
      <c r="B6333" t="s">
        <v>264</v>
      </c>
      <c r="C6333" t="s">
        <v>123</v>
      </c>
      <c r="D6333" t="s">
        <v>96</v>
      </c>
      <c r="E6333" t="s">
        <v>159</v>
      </c>
      <c r="F6333" s="1">
        <v>42978</v>
      </c>
      <c r="G6333" s="1">
        <v>42991</v>
      </c>
      <c r="H6333">
        <v>0</v>
      </c>
      <c r="I6333" t="str">
        <f>IF(COUNTIF(Products!$A$2:$A$8,C6333)=0,C6333,"")</f>
        <v/>
      </c>
      <c r="J6333">
        <f>IF(OR(E6333="Prospecting",E6333="Engaging"),VLOOKUP(C6333,Products!$A$2:$C$8,3,FALSE),0)</f>
        <v>0</v>
      </c>
    </row>
    <row r="6334" spans="1:10" x14ac:dyDescent="0.25">
      <c r="A6334" t="s">
        <v>6501</v>
      </c>
      <c r="B6334" t="s">
        <v>239</v>
      </c>
      <c r="C6334" t="s">
        <v>125</v>
      </c>
      <c r="D6334" t="s">
        <v>84</v>
      </c>
      <c r="E6334" t="s">
        <v>159</v>
      </c>
      <c r="F6334" s="1">
        <v>42978</v>
      </c>
      <c r="G6334" s="1">
        <v>43052</v>
      </c>
      <c r="H6334">
        <v>0</v>
      </c>
      <c r="I6334" t="str">
        <f>IF(COUNTIF(Products!$A$2:$A$8,C6334)=0,C6334,"")</f>
        <v/>
      </c>
      <c r="J6334">
        <f>IF(OR(E6334="Prospecting",E6334="Engaging"),VLOOKUP(C6334,Products!$A$2:$C$8,3,FALSE),0)</f>
        <v>0</v>
      </c>
    </row>
    <row r="6335" spans="1:10" x14ac:dyDescent="0.25">
      <c r="A6335" t="s">
        <v>6502</v>
      </c>
      <c r="B6335" t="s">
        <v>171</v>
      </c>
      <c r="C6335" t="s">
        <v>126</v>
      </c>
      <c r="D6335" t="s">
        <v>73</v>
      </c>
      <c r="E6335" t="s">
        <v>159</v>
      </c>
      <c r="F6335" s="1">
        <v>42978</v>
      </c>
      <c r="G6335" s="1">
        <v>43045</v>
      </c>
      <c r="H6335">
        <v>0</v>
      </c>
      <c r="I6335" t="str">
        <f>IF(COUNTIF(Products!$A$2:$A$8,C6335)=0,C6335,"")</f>
        <v/>
      </c>
      <c r="J6335">
        <f>IF(OR(E6335="Prospecting",E6335="Engaging"),VLOOKUP(C6335,Products!$A$2:$C$8,3,FALSE),0)</f>
        <v>0</v>
      </c>
    </row>
    <row r="6336" spans="1:10" x14ac:dyDescent="0.25">
      <c r="A6336" t="s">
        <v>6503</v>
      </c>
      <c r="B6336" t="s">
        <v>140</v>
      </c>
      <c r="C6336" t="s">
        <v>126</v>
      </c>
      <c r="D6336" t="s">
        <v>42</v>
      </c>
      <c r="E6336" t="s">
        <v>138</v>
      </c>
      <c r="F6336" s="1">
        <v>42978</v>
      </c>
      <c r="G6336" s="1">
        <v>42988</v>
      </c>
      <c r="H6336">
        <v>5293</v>
      </c>
      <c r="I6336" t="str">
        <f>IF(COUNTIF(Products!$A$2:$A$8,C6336)=0,C6336,"")</f>
        <v/>
      </c>
      <c r="J6336">
        <f>IF(OR(E6336="Prospecting",E6336="Engaging"),VLOOKUP(C6336,Products!$A$2:$C$8,3,FALSE),0)</f>
        <v>0</v>
      </c>
    </row>
    <row r="6337" spans="1:10" x14ac:dyDescent="0.25">
      <c r="A6337" t="s">
        <v>6504</v>
      </c>
      <c r="B6337" t="s">
        <v>224</v>
      </c>
      <c r="C6337" t="s">
        <v>125</v>
      </c>
      <c r="D6337" t="s">
        <v>48</v>
      </c>
      <c r="E6337" t="s">
        <v>138</v>
      </c>
      <c r="F6337" s="1">
        <v>42978</v>
      </c>
      <c r="G6337" s="1">
        <v>43065</v>
      </c>
      <c r="H6337">
        <v>4456</v>
      </c>
      <c r="I6337" t="str">
        <f>IF(COUNTIF(Products!$A$2:$A$8,C6337)=0,C6337,"")</f>
        <v/>
      </c>
      <c r="J6337">
        <f>IF(OR(E6337="Prospecting",E6337="Engaging"),VLOOKUP(C6337,Products!$A$2:$C$8,3,FALSE),0)</f>
        <v>0</v>
      </c>
    </row>
    <row r="6338" spans="1:10" x14ac:dyDescent="0.25">
      <c r="A6338" t="s">
        <v>6505</v>
      </c>
      <c r="B6338" t="s">
        <v>164</v>
      </c>
      <c r="C6338" t="s">
        <v>127</v>
      </c>
      <c r="D6338" t="s">
        <v>78</v>
      </c>
      <c r="E6338" t="s">
        <v>159</v>
      </c>
      <c r="F6338" s="1">
        <v>42978</v>
      </c>
      <c r="G6338" s="1">
        <v>43057</v>
      </c>
      <c r="H6338">
        <v>0</v>
      </c>
      <c r="I6338" t="str">
        <f>IF(COUNTIF(Products!$A$2:$A$8,C6338)=0,C6338,"")</f>
        <v/>
      </c>
      <c r="J6338">
        <f>IF(OR(E6338="Prospecting",E6338="Engaging"),VLOOKUP(C6338,Products!$A$2:$C$8,3,FALSE),0)</f>
        <v>0</v>
      </c>
    </row>
    <row r="6339" spans="1:10" x14ac:dyDescent="0.25">
      <c r="A6339" t="s">
        <v>6506</v>
      </c>
      <c r="B6339" t="s">
        <v>303</v>
      </c>
      <c r="C6339" t="s">
        <v>122</v>
      </c>
      <c r="D6339" t="s">
        <v>53</v>
      </c>
      <c r="E6339" t="s">
        <v>159</v>
      </c>
      <c r="F6339" s="1">
        <v>42978</v>
      </c>
      <c r="G6339" s="1">
        <v>43057</v>
      </c>
      <c r="H6339">
        <v>0</v>
      </c>
      <c r="I6339" t="str">
        <f>IF(COUNTIF(Products!$A$2:$A$8,C6339)=0,C6339,"")</f>
        <v/>
      </c>
      <c r="J6339">
        <f>IF(OR(E6339="Prospecting",E6339="Engaging"),VLOOKUP(C6339,Products!$A$2:$C$8,3,FALSE),0)</f>
        <v>0</v>
      </c>
    </row>
    <row r="6340" spans="1:10" x14ac:dyDescent="0.25">
      <c r="A6340" t="s">
        <v>6507</v>
      </c>
      <c r="B6340" t="s">
        <v>303</v>
      </c>
      <c r="C6340" t="s">
        <v>120</v>
      </c>
      <c r="D6340" t="s">
        <v>53</v>
      </c>
      <c r="E6340" t="s">
        <v>138</v>
      </c>
      <c r="F6340" s="1">
        <v>42978</v>
      </c>
      <c r="G6340" s="1">
        <v>43089</v>
      </c>
      <c r="H6340">
        <v>525</v>
      </c>
      <c r="I6340" t="str">
        <f>IF(COUNTIF(Products!$A$2:$A$8,C6340)=0,C6340,"")</f>
        <v/>
      </c>
      <c r="J6340">
        <f>IF(OR(E6340="Prospecting",E6340="Engaging"),VLOOKUP(C6340,Products!$A$2:$C$8,3,FALSE),0)</f>
        <v>0</v>
      </c>
    </row>
    <row r="6341" spans="1:10" x14ac:dyDescent="0.25">
      <c r="A6341" t="s">
        <v>6508</v>
      </c>
      <c r="B6341" t="s">
        <v>180</v>
      </c>
      <c r="C6341" t="s">
        <v>122</v>
      </c>
      <c r="D6341" t="s">
        <v>81</v>
      </c>
      <c r="E6341" t="s">
        <v>155</v>
      </c>
      <c r="F6341" s="1">
        <v>42978</v>
      </c>
      <c r="I6341" t="str">
        <f>IF(COUNTIF(Products!$A$2:$A$8,C6341)=0,C6341,"")</f>
        <v/>
      </c>
      <c r="J6341">
        <f>IF(OR(E6341="Prospecting",E6341="Engaging"),VLOOKUP(C6341,Products!$A$2:$C$8,3,FALSE),0)</f>
        <v>4821</v>
      </c>
    </row>
    <row r="6342" spans="1:10" x14ac:dyDescent="0.25">
      <c r="A6342" t="s">
        <v>6509</v>
      </c>
      <c r="B6342" t="s">
        <v>191</v>
      </c>
      <c r="C6342" t="s">
        <v>120</v>
      </c>
      <c r="D6342" t="s">
        <v>42</v>
      </c>
      <c r="E6342" t="s">
        <v>155</v>
      </c>
      <c r="F6342" s="1">
        <v>42978</v>
      </c>
      <c r="I6342" t="str">
        <f>IF(COUNTIF(Products!$A$2:$A$8,C6342)=0,C6342,"")</f>
        <v/>
      </c>
      <c r="J6342">
        <f>IF(OR(E6342="Prospecting",E6342="Engaging"),VLOOKUP(C6342,Products!$A$2:$C$8,3,FALSE),0)</f>
        <v>550</v>
      </c>
    </row>
    <row r="6343" spans="1:10" x14ac:dyDescent="0.25">
      <c r="A6343" t="s">
        <v>6510</v>
      </c>
      <c r="B6343" t="s">
        <v>191</v>
      </c>
      <c r="C6343" t="s">
        <v>122</v>
      </c>
      <c r="E6343" t="s">
        <v>155</v>
      </c>
      <c r="F6343" s="1">
        <v>42978</v>
      </c>
      <c r="I6343" t="str">
        <f>IF(COUNTIF(Products!$A$2:$A$8,C6343)=0,C6343,"")</f>
        <v/>
      </c>
      <c r="J6343">
        <f>IF(OR(E6343="Prospecting",E6343="Engaging"),VLOOKUP(C6343,Products!$A$2:$C$8,3,FALSE),0)</f>
        <v>4821</v>
      </c>
    </row>
    <row r="6344" spans="1:10" x14ac:dyDescent="0.25">
      <c r="A6344" t="s">
        <v>6511</v>
      </c>
      <c r="B6344" t="s">
        <v>205</v>
      </c>
      <c r="C6344" t="s">
        <v>126</v>
      </c>
      <c r="D6344" t="s">
        <v>36</v>
      </c>
      <c r="E6344" t="s">
        <v>138</v>
      </c>
      <c r="F6344" s="1">
        <v>42978</v>
      </c>
      <c r="G6344" s="1">
        <v>42994</v>
      </c>
      <c r="H6344">
        <v>4809</v>
      </c>
      <c r="I6344" t="str">
        <f>IF(COUNTIF(Products!$A$2:$A$8,C6344)=0,C6344,"")</f>
        <v/>
      </c>
      <c r="J6344">
        <f>IF(OR(E6344="Prospecting",E6344="Engaging"),VLOOKUP(C6344,Products!$A$2:$C$8,3,FALSE),0)</f>
        <v>0</v>
      </c>
    </row>
    <row r="6345" spans="1:10" x14ac:dyDescent="0.25">
      <c r="A6345" t="s">
        <v>6512</v>
      </c>
      <c r="B6345" t="s">
        <v>162</v>
      </c>
      <c r="C6345" t="s">
        <v>127</v>
      </c>
      <c r="E6345" t="s">
        <v>155</v>
      </c>
      <c r="F6345" s="1">
        <v>42978</v>
      </c>
      <c r="I6345" t="str">
        <f>IF(COUNTIF(Products!$A$2:$A$8,C6345)=0,C6345,"")</f>
        <v/>
      </c>
      <c r="J6345">
        <f>IF(OR(E6345="Prospecting",E6345="Engaging"),VLOOKUP(C6345,Products!$A$2:$C$8,3,FALSE),0)</f>
        <v>1096</v>
      </c>
    </row>
    <row r="6346" spans="1:10" x14ac:dyDescent="0.25">
      <c r="A6346" t="s">
        <v>6513</v>
      </c>
      <c r="B6346" t="s">
        <v>137</v>
      </c>
      <c r="C6346" t="s">
        <v>127</v>
      </c>
      <c r="D6346" t="s">
        <v>77</v>
      </c>
      <c r="E6346" t="s">
        <v>138</v>
      </c>
      <c r="F6346" s="1">
        <v>42978</v>
      </c>
      <c r="G6346" s="1">
        <v>43086</v>
      </c>
      <c r="H6346">
        <v>1374</v>
      </c>
      <c r="I6346" t="str">
        <f>IF(COUNTIF(Products!$A$2:$A$8,C6346)=0,C6346,"")</f>
        <v/>
      </c>
      <c r="J6346">
        <f>IF(OR(E6346="Prospecting",E6346="Engaging"),VLOOKUP(C6346,Products!$A$2:$C$8,3,FALSE),0)</f>
        <v>0</v>
      </c>
    </row>
    <row r="6347" spans="1:10" x14ac:dyDescent="0.25">
      <c r="A6347" t="s">
        <v>6514</v>
      </c>
      <c r="B6347" t="s">
        <v>137</v>
      </c>
      <c r="C6347" t="s">
        <v>123</v>
      </c>
      <c r="D6347" t="s">
        <v>91</v>
      </c>
      <c r="E6347" t="s">
        <v>138</v>
      </c>
      <c r="F6347" s="1">
        <v>42978</v>
      </c>
      <c r="G6347" s="1">
        <v>43047</v>
      </c>
      <c r="H6347">
        <v>57</v>
      </c>
      <c r="I6347" t="str">
        <f>IF(COUNTIF(Products!$A$2:$A$8,C6347)=0,C6347,"")</f>
        <v/>
      </c>
      <c r="J6347">
        <f>IF(OR(E6347="Prospecting",E6347="Engaging"),VLOOKUP(C6347,Products!$A$2:$C$8,3,FALSE),0)</f>
        <v>0</v>
      </c>
    </row>
    <row r="6348" spans="1:10" x14ac:dyDescent="0.25">
      <c r="A6348" t="s">
        <v>6515</v>
      </c>
      <c r="B6348" t="s">
        <v>187</v>
      </c>
      <c r="C6348" t="s">
        <v>120</v>
      </c>
      <c r="E6348" t="s">
        <v>155</v>
      </c>
      <c r="F6348" s="1">
        <v>42978</v>
      </c>
      <c r="I6348" t="str">
        <f>IF(COUNTIF(Products!$A$2:$A$8,C6348)=0,C6348,"")</f>
        <v/>
      </c>
      <c r="J6348">
        <f>IF(OR(E6348="Prospecting",E6348="Engaging"),VLOOKUP(C6348,Products!$A$2:$C$8,3,FALSE),0)</f>
        <v>550</v>
      </c>
    </row>
    <row r="6349" spans="1:10" x14ac:dyDescent="0.25">
      <c r="A6349" t="s">
        <v>6516</v>
      </c>
      <c r="B6349" t="s">
        <v>169</v>
      </c>
      <c r="C6349" t="s">
        <v>120</v>
      </c>
      <c r="D6349" t="s">
        <v>116</v>
      </c>
      <c r="E6349" t="s">
        <v>138</v>
      </c>
      <c r="F6349" s="1">
        <v>42978</v>
      </c>
      <c r="G6349" s="1">
        <v>42993</v>
      </c>
      <c r="H6349">
        <v>552</v>
      </c>
      <c r="I6349" t="str">
        <f>IF(COUNTIF(Products!$A$2:$A$8,C6349)=0,C6349,"")</f>
        <v/>
      </c>
      <c r="J6349">
        <f>IF(OR(E6349="Prospecting",E6349="Engaging"),VLOOKUP(C6349,Products!$A$2:$C$8,3,FALSE),0)</f>
        <v>0</v>
      </c>
    </row>
    <row r="6350" spans="1:10" x14ac:dyDescent="0.25">
      <c r="A6350" t="s">
        <v>6517</v>
      </c>
      <c r="B6350" t="s">
        <v>169</v>
      </c>
      <c r="C6350" t="s">
        <v>123</v>
      </c>
      <c r="D6350" t="s">
        <v>103</v>
      </c>
      <c r="E6350" t="s">
        <v>138</v>
      </c>
      <c r="F6350" s="1">
        <v>42978</v>
      </c>
      <c r="G6350" s="1">
        <v>42981</v>
      </c>
      <c r="H6350">
        <v>59</v>
      </c>
      <c r="I6350" t="str">
        <f>IF(COUNTIF(Products!$A$2:$A$8,C6350)=0,C6350,"")</f>
        <v/>
      </c>
      <c r="J6350">
        <f>IF(OR(E6350="Prospecting",E6350="Engaging"),VLOOKUP(C6350,Products!$A$2:$C$8,3,FALSE),0)</f>
        <v>0</v>
      </c>
    </row>
    <row r="6351" spans="1:10" x14ac:dyDescent="0.25">
      <c r="A6351" t="s">
        <v>6518</v>
      </c>
      <c r="B6351" t="s">
        <v>169</v>
      </c>
      <c r="C6351" t="s">
        <v>125</v>
      </c>
      <c r="D6351" t="s">
        <v>12</v>
      </c>
      <c r="E6351" t="s">
        <v>138</v>
      </c>
      <c r="F6351" s="1">
        <v>42978</v>
      </c>
      <c r="G6351" s="1">
        <v>43008</v>
      </c>
      <c r="H6351">
        <v>4011</v>
      </c>
      <c r="I6351" t="str">
        <f>IF(COUNTIF(Products!$A$2:$A$8,C6351)=0,C6351,"")</f>
        <v/>
      </c>
      <c r="J6351">
        <f>IF(OR(E6351="Prospecting",E6351="Engaging"),VLOOKUP(C6351,Products!$A$2:$C$8,3,FALSE),0)</f>
        <v>0</v>
      </c>
    </row>
    <row r="6352" spans="1:10" x14ac:dyDescent="0.25">
      <c r="A6352" t="s">
        <v>6519</v>
      </c>
      <c r="B6352" t="s">
        <v>148</v>
      </c>
      <c r="C6352" t="s">
        <v>120</v>
      </c>
      <c r="E6352" t="s">
        <v>155</v>
      </c>
      <c r="F6352" s="1">
        <v>42978</v>
      </c>
      <c r="I6352" t="str">
        <f>IF(COUNTIF(Products!$A$2:$A$8,C6352)=0,C6352,"")</f>
        <v/>
      </c>
      <c r="J6352">
        <f>IF(OR(E6352="Prospecting",E6352="Engaging"),VLOOKUP(C6352,Products!$A$2:$C$8,3,FALSE),0)</f>
        <v>550</v>
      </c>
    </row>
    <row r="6353" spans="1:10" x14ac:dyDescent="0.25">
      <c r="A6353" t="s">
        <v>6520</v>
      </c>
      <c r="B6353" t="s">
        <v>148</v>
      </c>
      <c r="C6353" t="s">
        <v>123</v>
      </c>
      <c r="D6353" t="s">
        <v>87</v>
      </c>
      <c r="E6353" t="s">
        <v>138</v>
      </c>
      <c r="F6353" s="1">
        <v>42978</v>
      </c>
      <c r="G6353" s="1">
        <v>43089</v>
      </c>
      <c r="H6353">
        <v>54</v>
      </c>
      <c r="I6353" t="str">
        <f>IF(COUNTIF(Products!$A$2:$A$8,C6353)=0,C6353,"")</f>
        <v/>
      </c>
      <c r="J6353">
        <f>IF(OR(E6353="Prospecting",E6353="Engaging"),VLOOKUP(C6353,Products!$A$2:$C$8,3,FALSE),0)</f>
        <v>0</v>
      </c>
    </row>
    <row r="6354" spans="1:10" x14ac:dyDescent="0.25">
      <c r="A6354" t="s">
        <v>6521</v>
      </c>
      <c r="B6354" t="s">
        <v>148</v>
      </c>
      <c r="C6354" t="s">
        <v>125</v>
      </c>
      <c r="D6354" t="s">
        <v>57</v>
      </c>
      <c r="E6354" t="s">
        <v>138</v>
      </c>
      <c r="F6354" s="1">
        <v>42978</v>
      </c>
      <c r="G6354" s="1">
        <v>42985</v>
      </c>
      <c r="H6354">
        <v>3337</v>
      </c>
      <c r="I6354" t="str">
        <f>IF(COUNTIF(Products!$A$2:$A$8,C6354)=0,C6354,"")</f>
        <v/>
      </c>
      <c r="J6354">
        <f>IF(OR(E6354="Prospecting",E6354="Engaging"),VLOOKUP(C6354,Products!$A$2:$C$8,3,FALSE),0)</f>
        <v>0</v>
      </c>
    </row>
    <row r="6355" spans="1:10" x14ac:dyDescent="0.25">
      <c r="A6355" t="s">
        <v>6522</v>
      </c>
      <c r="B6355" t="s">
        <v>177</v>
      </c>
      <c r="C6355" t="s">
        <v>123</v>
      </c>
      <c r="D6355" t="s">
        <v>110</v>
      </c>
      <c r="E6355" t="s">
        <v>138</v>
      </c>
      <c r="F6355" s="1">
        <v>42978</v>
      </c>
      <c r="G6355" s="1">
        <v>43000</v>
      </c>
      <c r="H6355">
        <v>60</v>
      </c>
      <c r="I6355" t="str">
        <f>IF(COUNTIF(Products!$A$2:$A$8,C6355)=0,C6355,"")</f>
        <v/>
      </c>
      <c r="J6355">
        <f>IF(OR(E6355="Prospecting",E6355="Engaging"),VLOOKUP(C6355,Products!$A$2:$C$8,3,FALSE),0)</f>
        <v>0</v>
      </c>
    </row>
    <row r="6356" spans="1:10" x14ac:dyDescent="0.25">
      <c r="A6356" t="s">
        <v>6523</v>
      </c>
      <c r="B6356" t="s">
        <v>144</v>
      </c>
      <c r="C6356" t="s">
        <v>120</v>
      </c>
      <c r="E6356" t="s">
        <v>155</v>
      </c>
      <c r="F6356" s="1">
        <v>42978</v>
      </c>
      <c r="I6356" t="str">
        <f>IF(COUNTIF(Products!$A$2:$A$8,C6356)=0,C6356,"")</f>
        <v/>
      </c>
      <c r="J6356">
        <f>IF(OR(E6356="Prospecting",E6356="Engaging"),VLOOKUP(C6356,Products!$A$2:$C$8,3,FALSE),0)</f>
        <v>550</v>
      </c>
    </row>
    <row r="6357" spans="1:10" x14ac:dyDescent="0.25">
      <c r="A6357" t="s">
        <v>6524</v>
      </c>
      <c r="B6357" t="s">
        <v>144</v>
      </c>
      <c r="C6357" t="s">
        <v>127</v>
      </c>
      <c r="D6357" t="s">
        <v>17</v>
      </c>
      <c r="E6357" t="s">
        <v>138</v>
      </c>
      <c r="F6357" s="1">
        <v>42978</v>
      </c>
      <c r="G6357" s="1">
        <v>43058</v>
      </c>
      <c r="H6357">
        <v>1011</v>
      </c>
      <c r="I6357" t="str">
        <f>IF(COUNTIF(Products!$A$2:$A$8,C6357)=0,C6357,"")</f>
        <v/>
      </c>
      <c r="J6357">
        <f>IF(OR(E6357="Prospecting",E6357="Engaging"),VLOOKUP(C6357,Products!$A$2:$C$8,3,FALSE),0)</f>
        <v>0</v>
      </c>
    </row>
    <row r="6358" spans="1:10" x14ac:dyDescent="0.25">
      <c r="A6358" t="s">
        <v>6525</v>
      </c>
      <c r="B6358" t="s">
        <v>146</v>
      </c>
      <c r="C6358" t="s">
        <v>120</v>
      </c>
      <c r="D6358" t="s">
        <v>94</v>
      </c>
      <c r="E6358" t="s">
        <v>138</v>
      </c>
      <c r="F6358" s="1">
        <v>42979</v>
      </c>
      <c r="G6358" s="1">
        <v>43072</v>
      </c>
      <c r="H6358">
        <v>514</v>
      </c>
      <c r="I6358" t="str">
        <f>IF(COUNTIF(Products!$A$2:$A$8,C6358)=0,C6358,"")</f>
        <v/>
      </c>
      <c r="J6358">
        <f>IF(OR(E6358="Prospecting",E6358="Engaging"),VLOOKUP(C6358,Products!$A$2:$C$8,3,FALSE),0)</f>
        <v>0</v>
      </c>
    </row>
    <row r="6359" spans="1:10" x14ac:dyDescent="0.25">
      <c r="A6359" t="s">
        <v>6526</v>
      </c>
      <c r="B6359" t="s">
        <v>146</v>
      </c>
      <c r="C6359" t="s">
        <v>127</v>
      </c>
      <c r="D6359" t="s">
        <v>96</v>
      </c>
      <c r="E6359" t="s">
        <v>138</v>
      </c>
      <c r="F6359" s="1">
        <v>42979</v>
      </c>
      <c r="G6359" s="1">
        <v>43052</v>
      </c>
      <c r="H6359">
        <v>1060</v>
      </c>
      <c r="I6359" t="str">
        <f>IF(COUNTIF(Products!$A$2:$A$8,C6359)=0,C6359,"")</f>
        <v/>
      </c>
      <c r="J6359">
        <f>IF(OR(E6359="Prospecting",E6359="Engaging"),VLOOKUP(C6359,Products!$A$2:$C$8,3,FALSE),0)</f>
        <v>0</v>
      </c>
    </row>
    <row r="6360" spans="1:10" x14ac:dyDescent="0.25">
      <c r="A6360" t="s">
        <v>6527</v>
      </c>
      <c r="B6360" t="s">
        <v>146</v>
      </c>
      <c r="C6360" t="s">
        <v>123</v>
      </c>
      <c r="D6360" t="s">
        <v>104</v>
      </c>
      <c r="E6360" t="s">
        <v>138</v>
      </c>
      <c r="F6360" s="1">
        <v>42979</v>
      </c>
      <c r="G6360" s="1">
        <v>43047</v>
      </c>
      <c r="H6360">
        <v>58</v>
      </c>
      <c r="I6360" t="str">
        <f>IF(COUNTIF(Products!$A$2:$A$8,C6360)=0,C6360,"")</f>
        <v/>
      </c>
      <c r="J6360">
        <f>IF(OR(E6360="Prospecting",E6360="Engaging"),VLOOKUP(C6360,Products!$A$2:$C$8,3,FALSE),0)</f>
        <v>0</v>
      </c>
    </row>
    <row r="6361" spans="1:10" x14ac:dyDescent="0.25">
      <c r="A6361" t="s">
        <v>6528</v>
      </c>
      <c r="B6361" t="s">
        <v>207</v>
      </c>
      <c r="C6361" t="s">
        <v>122</v>
      </c>
      <c r="D6361" t="s">
        <v>115</v>
      </c>
      <c r="E6361" t="s">
        <v>155</v>
      </c>
      <c r="F6361" s="1">
        <v>42979</v>
      </c>
      <c r="I6361" t="str">
        <f>IF(COUNTIF(Products!$A$2:$A$8,C6361)=0,C6361,"")</f>
        <v/>
      </c>
      <c r="J6361">
        <f>IF(OR(E6361="Prospecting",E6361="Engaging"),VLOOKUP(C6361,Products!$A$2:$C$8,3,FALSE),0)</f>
        <v>4821</v>
      </c>
    </row>
    <row r="6362" spans="1:10" x14ac:dyDescent="0.25">
      <c r="A6362" t="s">
        <v>6529</v>
      </c>
      <c r="B6362" t="s">
        <v>264</v>
      </c>
      <c r="C6362" t="s">
        <v>125</v>
      </c>
      <c r="D6362" t="s">
        <v>64</v>
      </c>
      <c r="E6362" t="s">
        <v>159</v>
      </c>
      <c r="F6362" s="1">
        <v>42979</v>
      </c>
      <c r="G6362" s="1">
        <v>43070</v>
      </c>
      <c r="H6362">
        <v>0</v>
      </c>
      <c r="I6362" t="str">
        <f>IF(COUNTIF(Products!$A$2:$A$8,C6362)=0,C6362,"")</f>
        <v/>
      </c>
      <c r="J6362">
        <f>IF(OR(E6362="Prospecting",E6362="Engaging"),VLOOKUP(C6362,Products!$A$2:$C$8,3,FALSE),0)</f>
        <v>0</v>
      </c>
    </row>
    <row r="6363" spans="1:10" x14ac:dyDescent="0.25">
      <c r="A6363" t="s">
        <v>6530</v>
      </c>
      <c r="B6363" t="s">
        <v>239</v>
      </c>
      <c r="C6363" t="s">
        <v>126</v>
      </c>
      <c r="D6363" t="s">
        <v>56</v>
      </c>
      <c r="E6363" t="s">
        <v>155</v>
      </c>
      <c r="F6363" s="1">
        <v>42979</v>
      </c>
      <c r="I6363" t="str">
        <f>IF(COUNTIF(Products!$A$2:$A$8,C6363)=0,C6363,"")</f>
        <v/>
      </c>
      <c r="J6363">
        <f>IF(OR(E6363="Prospecting",E6363="Engaging"),VLOOKUP(C6363,Products!$A$2:$C$8,3,FALSE),0)</f>
        <v>5482</v>
      </c>
    </row>
    <row r="6364" spans="1:10" x14ac:dyDescent="0.25">
      <c r="A6364" t="s">
        <v>6531</v>
      </c>
      <c r="B6364" t="s">
        <v>140</v>
      </c>
      <c r="C6364" t="s">
        <v>122</v>
      </c>
      <c r="D6364" t="s">
        <v>64</v>
      </c>
      <c r="E6364" t="s">
        <v>159</v>
      </c>
      <c r="F6364" s="1">
        <v>42979</v>
      </c>
      <c r="G6364" s="1">
        <v>42995</v>
      </c>
      <c r="H6364">
        <v>0</v>
      </c>
      <c r="I6364" t="str">
        <f>IF(COUNTIF(Products!$A$2:$A$8,C6364)=0,C6364,"")</f>
        <v/>
      </c>
      <c r="J6364">
        <f>IF(OR(E6364="Prospecting",E6364="Engaging"),VLOOKUP(C6364,Products!$A$2:$C$8,3,FALSE),0)</f>
        <v>0</v>
      </c>
    </row>
    <row r="6365" spans="1:10" x14ac:dyDescent="0.25">
      <c r="A6365" t="s">
        <v>6532</v>
      </c>
      <c r="B6365" t="s">
        <v>140</v>
      </c>
      <c r="C6365" t="s">
        <v>122</v>
      </c>
      <c r="D6365" t="s">
        <v>22</v>
      </c>
      <c r="E6365" t="s">
        <v>138</v>
      </c>
      <c r="F6365" s="1">
        <v>42979</v>
      </c>
      <c r="G6365" s="1">
        <v>42990</v>
      </c>
      <c r="H6365">
        <v>4375</v>
      </c>
      <c r="I6365" t="str">
        <f>IF(COUNTIF(Products!$A$2:$A$8,C6365)=0,C6365,"")</f>
        <v/>
      </c>
      <c r="J6365">
        <f>IF(OR(E6365="Prospecting",E6365="Engaging"),VLOOKUP(C6365,Products!$A$2:$C$8,3,FALSE),0)</f>
        <v>0</v>
      </c>
    </row>
    <row r="6366" spans="1:10" x14ac:dyDescent="0.25">
      <c r="A6366" t="s">
        <v>6533</v>
      </c>
      <c r="B6366" t="s">
        <v>140</v>
      </c>
      <c r="C6366" t="s">
        <v>122</v>
      </c>
      <c r="D6366" t="s">
        <v>89</v>
      </c>
      <c r="E6366" t="s">
        <v>138</v>
      </c>
      <c r="F6366" s="1">
        <v>42979</v>
      </c>
      <c r="G6366" s="1">
        <v>43073</v>
      </c>
      <c r="H6366">
        <v>4819</v>
      </c>
      <c r="I6366" t="str">
        <f>IF(COUNTIF(Products!$A$2:$A$8,C6366)=0,C6366,"")</f>
        <v/>
      </c>
      <c r="J6366">
        <f>IF(OR(E6366="Prospecting",E6366="Engaging"),VLOOKUP(C6366,Products!$A$2:$C$8,3,FALSE),0)</f>
        <v>0</v>
      </c>
    </row>
    <row r="6367" spans="1:10" x14ac:dyDescent="0.25">
      <c r="A6367" t="s">
        <v>6534</v>
      </c>
      <c r="B6367" t="s">
        <v>173</v>
      </c>
      <c r="C6367" t="s">
        <v>123</v>
      </c>
      <c r="E6367" t="s">
        <v>155</v>
      </c>
      <c r="F6367" s="1">
        <v>42979</v>
      </c>
      <c r="I6367" t="str">
        <f>IF(COUNTIF(Products!$A$2:$A$8,C6367)=0,C6367,"")</f>
        <v/>
      </c>
      <c r="J6367">
        <f>IF(OR(E6367="Prospecting",E6367="Engaging"),VLOOKUP(C6367,Products!$A$2:$C$8,3,FALSE),0)</f>
        <v>55</v>
      </c>
    </row>
    <row r="6368" spans="1:10" x14ac:dyDescent="0.25">
      <c r="A6368" t="s">
        <v>6535</v>
      </c>
      <c r="B6368" t="s">
        <v>158</v>
      </c>
      <c r="C6368" t="s">
        <v>122</v>
      </c>
      <c r="D6368" t="s">
        <v>94</v>
      </c>
      <c r="E6368" t="s">
        <v>138</v>
      </c>
      <c r="F6368" s="1">
        <v>42979</v>
      </c>
      <c r="G6368" s="1">
        <v>43043</v>
      </c>
      <c r="H6368">
        <v>5729</v>
      </c>
      <c r="I6368" t="str">
        <f>IF(COUNTIF(Products!$A$2:$A$8,C6368)=0,C6368,"")</f>
        <v/>
      </c>
      <c r="J6368">
        <f>IF(OR(E6368="Prospecting",E6368="Engaging"),VLOOKUP(C6368,Products!$A$2:$C$8,3,FALSE),0)</f>
        <v>0</v>
      </c>
    </row>
    <row r="6369" spans="1:10" x14ac:dyDescent="0.25">
      <c r="A6369" t="s">
        <v>6536</v>
      </c>
      <c r="B6369" t="s">
        <v>158</v>
      </c>
      <c r="C6369" t="s">
        <v>125</v>
      </c>
      <c r="D6369" t="s">
        <v>77</v>
      </c>
      <c r="E6369" t="s">
        <v>138</v>
      </c>
      <c r="F6369" s="1">
        <v>42979</v>
      </c>
      <c r="G6369" s="1">
        <v>43045</v>
      </c>
      <c r="H6369">
        <v>3447</v>
      </c>
      <c r="I6369" t="str">
        <f>IF(COUNTIF(Products!$A$2:$A$8,C6369)=0,C6369,"")</f>
        <v/>
      </c>
      <c r="J6369">
        <f>IF(OR(E6369="Prospecting",E6369="Engaging"),VLOOKUP(C6369,Products!$A$2:$C$8,3,FALSE),0)</f>
        <v>0</v>
      </c>
    </row>
    <row r="6370" spans="1:10" x14ac:dyDescent="0.25">
      <c r="A6370" t="s">
        <v>6537</v>
      </c>
      <c r="B6370" t="s">
        <v>154</v>
      </c>
      <c r="C6370" t="s">
        <v>126</v>
      </c>
      <c r="E6370" t="s">
        <v>155</v>
      </c>
      <c r="F6370" s="1">
        <v>42979</v>
      </c>
      <c r="I6370" t="str">
        <f>IF(COUNTIF(Products!$A$2:$A$8,C6370)=0,C6370,"")</f>
        <v/>
      </c>
      <c r="J6370">
        <f>IF(OR(E6370="Prospecting",E6370="Engaging"),VLOOKUP(C6370,Products!$A$2:$C$8,3,FALSE),0)</f>
        <v>5482</v>
      </c>
    </row>
    <row r="6371" spans="1:10" x14ac:dyDescent="0.25">
      <c r="A6371" t="s">
        <v>6538</v>
      </c>
      <c r="B6371" t="s">
        <v>154</v>
      </c>
      <c r="C6371" t="s">
        <v>126</v>
      </c>
      <c r="D6371" t="s">
        <v>34</v>
      </c>
      <c r="E6371" t="s">
        <v>138</v>
      </c>
      <c r="F6371" s="1">
        <v>42979</v>
      </c>
      <c r="G6371" s="1">
        <v>43052</v>
      </c>
      <c r="H6371">
        <v>6101</v>
      </c>
      <c r="I6371" t="str">
        <f>IF(COUNTIF(Products!$A$2:$A$8,C6371)=0,C6371,"")</f>
        <v/>
      </c>
      <c r="J6371">
        <f>IF(OR(E6371="Prospecting",E6371="Engaging"),VLOOKUP(C6371,Products!$A$2:$C$8,3,FALSE),0)</f>
        <v>0</v>
      </c>
    </row>
    <row r="6372" spans="1:10" x14ac:dyDescent="0.25">
      <c r="A6372" t="s">
        <v>6539</v>
      </c>
      <c r="B6372" t="s">
        <v>180</v>
      </c>
      <c r="C6372" t="s">
        <v>127</v>
      </c>
      <c r="D6372" t="s">
        <v>66</v>
      </c>
      <c r="E6372" t="s">
        <v>138</v>
      </c>
      <c r="F6372" s="1">
        <v>42979</v>
      </c>
      <c r="G6372" s="1">
        <v>42996</v>
      </c>
      <c r="H6372">
        <v>1088</v>
      </c>
      <c r="I6372" t="str">
        <f>IF(COUNTIF(Products!$A$2:$A$8,C6372)=0,C6372,"")</f>
        <v/>
      </c>
      <c r="J6372">
        <f>IF(OR(E6372="Prospecting",E6372="Engaging"),VLOOKUP(C6372,Products!$A$2:$C$8,3,FALSE),0)</f>
        <v>0</v>
      </c>
    </row>
    <row r="6373" spans="1:10" x14ac:dyDescent="0.25">
      <c r="A6373" t="s">
        <v>6540</v>
      </c>
      <c r="B6373" t="s">
        <v>180</v>
      </c>
      <c r="C6373" t="s">
        <v>126</v>
      </c>
      <c r="D6373" t="s">
        <v>100</v>
      </c>
      <c r="E6373" t="s">
        <v>138</v>
      </c>
      <c r="F6373" s="1">
        <v>42979</v>
      </c>
      <c r="G6373" s="1">
        <v>42995</v>
      </c>
      <c r="H6373">
        <v>5431</v>
      </c>
      <c r="I6373" t="str">
        <f>IF(COUNTIF(Products!$A$2:$A$8,C6373)=0,C6373,"")</f>
        <v/>
      </c>
      <c r="J6373">
        <f>IF(OR(E6373="Prospecting",E6373="Engaging"),VLOOKUP(C6373,Products!$A$2:$C$8,3,FALSE),0)</f>
        <v>0</v>
      </c>
    </row>
    <row r="6374" spans="1:10" x14ac:dyDescent="0.25">
      <c r="A6374" t="s">
        <v>6541</v>
      </c>
      <c r="B6374" t="s">
        <v>180</v>
      </c>
      <c r="C6374" t="s">
        <v>123</v>
      </c>
      <c r="D6374" t="s">
        <v>61</v>
      </c>
      <c r="E6374" t="s">
        <v>138</v>
      </c>
      <c r="F6374" s="1">
        <v>42979</v>
      </c>
      <c r="G6374" s="1">
        <v>43082</v>
      </c>
      <c r="H6374">
        <v>50</v>
      </c>
      <c r="I6374" t="str">
        <f>IF(COUNTIF(Products!$A$2:$A$8,C6374)=0,C6374,"")</f>
        <v/>
      </c>
      <c r="J6374">
        <f>IF(OR(E6374="Prospecting",E6374="Engaging"),VLOOKUP(C6374,Products!$A$2:$C$8,3,FALSE),0)</f>
        <v>0</v>
      </c>
    </row>
    <row r="6375" spans="1:10" x14ac:dyDescent="0.25">
      <c r="A6375" t="s">
        <v>6542</v>
      </c>
      <c r="B6375" t="s">
        <v>180</v>
      </c>
      <c r="C6375" t="s">
        <v>123</v>
      </c>
      <c r="D6375" t="s">
        <v>69</v>
      </c>
      <c r="E6375" t="s">
        <v>138</v>
      </c>
      <c r="F6375" s="1">
        <v>42979</v>
      </c>
      <c r="G6375" s="1">
        <v>43064</v>
      </c>
      <c r="H6375">
        <v>62</v>
      </c>
      <c r="I6375" t="str">
        <f>IF(COUNTIF(Products!$A$2:$A$8,C6375)=0,C6375,"")</f>
        <v/>
      </c>
      <c r="J6375">
        <f>IF(OR(E6375="Prospecting",E6375="Engaging"),VLOOKUP(C6375,Products!$A$2:$C$8,3,FALSE),0)</f>
        <v>0</v>
      </c>
    </row>
    <row r="6376" spans="1:10" x14ac:dyDescent="0.25">
      <c r="A6376" t="s">
        <v>6543</v>
      </c>
      <c r="B6376" t="s">
        <v>191</v>
      </c>
      <c r="C6376" t="s">
        <v>123</v>
      </c>
      <c r="D6376" t="s">
        <v>114</v>
      </c>
      <c r="E6376" t="s">
        <v>138</v>
      </c>
      <c r="F6376" s="1">
        <v>42979</v>
      </c>
      <c r="G6376" s="1">
        <v>43068</v>
      </c>
      <c r="H6376">
        <v>57</v>
      </c>
      <c r="I6376" t="str">
        <f>IF(COUNTIF(Products!$A$2:$A$8,C6376)=0,C6376,"")</f>
        <v/>
      </c>
      <c r="J6376">
        <f>IF(OR(E6376="Prospecting",E6376="Engaging"),VLOOKUP(C6376,Products!$A$2:$C$8,3,FALSE),0)</f>
        <v>0</v>
      </c>
    </row>
    <row r="6377" spans="1:10" x14ac:dyDescent="0.25">
      <c r="A6377" t="s">
        <v>6544</v>
      </c>
      <c r="B6377" t="s">
        <v>152</v>
      </c>
      <c r="C6377" t="s">
        <v>127</v>
      </c>
      <c r="D6377" t="s">
        <v>116</v>
      </c>
      <c r="E6377" t="s">
        <v>138</v>
      </c>
      <c r="F6377" s="1">
        <v>42979</v>
      </c>
      <c r="G6377" s="1">
        <v>42992</v>
      </c>
      <c r="H6377">
        <v>1098</v>
      </c>
      <c r="I6377" t="str">
        <f>IF(COUNTIF(Products!$A$2:$A$8,C6377)=0,C6377,"")</f>
        <v/>
      </c>
      <c r="J6377">
        <f>IF(OR(E6377="Prospecting",E6377="Engaging"),VLOOKUP(C6377,Products!$A$2:$C$8,3,FALSE),0)</f>
        <v>0</v>
      </c>
    </row>
    <row r="6378" spans="1:10" x14ac:dyDescent="0.25">
      <c r="A6378" t="s">
        <v>6545</v>
      </c>
      <c r="B6378" t="s">
        <v>187</v>
      </c>
      <c r="C6378" t="s">
        <v>127</v>
      </c>
      <c r="D6378" t="s">
        <v>105</v>
      </c>
      <c r="E6378" t="s">
        <v>138</v>
      </c>
      <c r="F6378" s="1">
        <v>42979</v>
      </c>
      <c r="G6378" s="1">
        <v>43055</v>
      </c>
      <c r="H6378">
        <v>975</v>
      </c>
      <c r="I6378" t="str">
        <f>IF(COUNTIF(Products!$A$2:$A$8,C6378)=0,C6378,"")</f>
        <v/>
      </c>
      <c r="J6378">
        <f>IF(OR(E6378="Prospecting",E6378="Engaging"),VLOOKUP(C6378,Products!$A$2:$C$8,3,FALSE),0)</f>
        <v>0</v>
      </c>
    </row>
    <row r="6379" spans="1:10" x14ac:dyDescent="0.25">
      <c r="A6379" t="s">
        <v>6546</v>
      </c>
      <c r="B6379" t="s">
        <v>187</v>
      </c>
      <c r="C6379" t="s">
        <v>123</v>
      </c>
      <c r="D6379" t="s">
        <v>84</v>
      </c>
      <c r="E6379" t="s">
        <v>138</v>
      </c>
      <c r="F6379" s="1">
        <v>42979</v>
      </c>
      <c r="G6379" s="1">
        <v>43044</v>
      </c>
      <c r="H6379">
        <v>56</v>
      </c>
      <c r="I6379" t="str">
        <f>IF(COUNTIF(Products!$A$2:$A$8,C6379)=0,C6379,"")</f>
        <v/>
      </c>
      <c r="J6379">
        <f>IF(OR(E6379="Prospecting",E6379="Engaging"),VLOOKUP(C6379,Products!$A$2:$C$8,3,FALSE),0)</f>
        <v>0</v>
      </c>
    </row>
    <row r="6380" spans="1:10" x14ac:dyDescent="0.25">
      <c r="A6380" t="s">
        <v>6547</v>
      </c>
      <c r="B6380" t="s">
        <v>169</v>
      </c>
      <c r="C6380" t="s">
        <v>123</v>
      </c>
      <c r="D6380" t="s">
        <v>53</v>
      </c>
      <c r="E6380" t="s">
        <v>138</v>
      </c>
      <c r="F6380" s="1">
        <v>42979</v>
      </c>
      <c r="G6380" s="1">
        <v>42992</v>
      </c>
      <c r="H6380">
        <v>63</v>
      </c>
      <c r="I6380" t="str">
        <f>IF(COUNTIF(Products!$A$2:$A$8,C6380)=0,C6380,"")</f>
        <v/>
      </c>
      <c r="J6380">
        <f>IF(OR(E6380="Prospecting",E6380="Engaging"),VLOOKUP(C6380,Products!$A$2:$C$8,3,FALSE),0)</f>
        <v>0</v>
      </c>
    </row>
    <row r="6381" spans="1:10" x14ac:dyDescent="0.25">
      <c r="A6381" t="s">
        <v>6548</v>
      </c>
      <c r="B6381" t="s">
        <v>169</v>
      </c>
      <c r="C6381" t="s">
        <v>123</v>
      </c>
      <c r="D6381" t="s">
        <v>64</v>
      </c>
      <c r="E6381" t="s">
        <v>138</v>
      </c>
      <c r="F6381" s="1">
        <v>42979</v>
      </c>
      <c r="G6381" s="1">
        <v>42989</v>
      </c>
      <c r="H6381">
        <v>61</v>
      </c>
      <c r="I6381" t="str">
        <f>IF(COUNTIF(Products!$A$2:$A$8,C6381)=0,C6381,"")</f>
        <v/>
      </c>
      <c r="J6381">
        <f>IF(OR(E6381="Prospecting",E6381="Engaging"),VLOOKUP(C6381,Products!$A$2:$C$8,3,FALSE),0)</f>
        <v>0</v>
      </c>
    </row>
    <row r="6382" spans="1:10" x14ac:dyDescent="0.25">
      <c r="A6382" t="s">
        <v>6549</v>
      </c>
      <c r="B6382" t="s">
        <v>144</v>
      </c>
      <c r="C6382" t="s">
        <v>120</v>
      </c>
      <c r="D6382" t="s">
        <v>71</v>
      </c>
      <c r="E6382" t="s">
        <v>138</v>
      </c>
      <c r="F6382" s="1">
        <v>42979</v>
      </c>
      <c r="G6382" s="1">
        <v>43072</v>
      </c>
      <c r="H6382">
        <v>614</v>
      </c>
      <c r="I6382" t="str">
        <f>IF(COUNTIF(Products!$A$2:$A$8,C6382)=0,C6382,"")</f>
        <v/>
      </c>
      <c r="J6382">
        <f>IF(OR(E6382="Prospecting",E6382="Engaging"),VLOOKUP(C6382,Products!$A$2:$C$8,3,FALSE),0)</f>
        <v>0</v>
      </c>
    </row>
    <row r="6383" spans="1:10" x14ac:dyDescent="0.25">
      <c r="A6383" t="s">
        <v>6550</v>
      </c>
      <c r="B6383" t="s">
        <v>146</v>
      </c>
      <c r="C6383" t="s">
        <v>123</v>
      </c>
      <c r="D6383" t="s">
        <v>55</v>
      </c>
      <c r="E6383" t="s">
        <v>159</v>
      </c>
      <c r="F6383" s="1">
        <v>42980</v>
      </c>
      <c r="G6383" s="1">
        <v>43043</v>
      </c>
      <c r="H6383">
        <v>0</v>
      </c>
      <c r="I6383" t="str">
        <f>IF(COUNTIF(Products!$A$2:$A$8,C6383)=0,C6383,"")</f>
        <v/>
      </c>
      <c r="J6383">
        <f>IF(OR(E6383="Prospecting",E6383="Engaging"),VLOOKUP(C6383,Products!$A$2:$C$8,3,FALSE),0)</f>
        <v>0</v>
      </c>
    </row>
    <row r="6384" spans="1:10" x14ac:dyDescent="0.25">
      <c r="A6384" t="s">
        <v>6551</v>
      </c>
      <c r="B6384" t="s">
        <v>140</v>
      </c>
      <c r="C6384" t="s">
        <v>122</v>
      </c>
      <c r="D6384" t="s">
        <v>12</v>
      </c>
      <c r="E6384" t="s">
        <v>159</v>
      </c>
      <c r="F6384" s="1">
        <v>42980</v>
      </c>
      <c r="G6384" s="1">
        <v>43082</v>
      </c>
      <c r="H6384">
        <v>0</v>
      </c>
      <c r="I6384" t="str">
        <f>IF(COUNTIF(Products!$A$2:$A$8,C6384)=0,C6384,"")</f>
        <v/>
      </c>
      <c r="J6384">
        <f>IF(OR(E6384="Prospecting",E6384="Engaging"),VLOOKUP(C6384,Products!$A$2:$C$8,3,FALSE),0)</f>
        <v>0</v>
      </c>
    </row>
    <row r="6385" spans="1:10" x14ac:dyDescent="0.25">
      <c r="A6385" t="s">
        <v>6552</v>
      </c>
      <c r="B6385" t="s">
        <v>173</v>
      </c>
      <c r="C6385" t="s">
        <v>126</v>
      </c>
      <c r="D6385" t="s">
        <v>82</v>
      </c>
      <c r="E6385" t="s">
        <v>155</v>
      </c>
      <c r="F6385" s="1">
        <v>42980</v>
      </c>
      <c r="I6385" t="str">
        <f>IF(COUNTIF(Products!$A$2:$A$8,C6385)=0,C6385,"")</f>
        <v/>
      </c>
      <c r="J6385">
        <f>IF(OR(E6385="Prospecting",E6385="Engaging"),VLOOKUP(C6385,Products!$A$2:$C$8,3,FALSE),0)</f>
        <v>5482</v>
      </c>
    </row>
    <row r="6386" spans="1:10" x14ac:dyDescent="0.25">
      <c r="A6386" t="s">
        <v>6553</v>
      </c>
      <c r="B6386" t="s">
        <v>198</v>
      </c>
      <c r="C6386" t="s">
        <v>123</v>
      </c>
      <c r="D6386" t="s">
        <v>7</v>
      </c>
      <c r="E6386" t="s">
        <v>138</v>
      </c>
      <c r="F6386" s="1">
        <v>42980</v>
      </c>
      <c r="G6386" s="1">
        <v>42995</v>
      </c>
      <c r="H6386">
        <v>57</v>
      </c>
      <c r="I6386" t="str">
        <f>IF(COUNTIF(Products!$A$2:$A$8,C6386)=0,C6386,"")</f>
        <v/>
      </c>
      <c r="J6386">
        <f>IF(OR(E6386="Prospecting",E6386="Engaging"),VLOOKUP(C6386,Products!$A$2:$C$8,3,FALSE),0)</f>
        <v>0</v>
      </c>
    </row>
    <row r="6387" spans="1:10" x14ac:dyDescent="0.25">
      <c r="A6387" t="s">
        <v>6554</v>
      </c>
      <c r="B6387" t="s">
        <v>158</v>
      </c>
      <c r="C6387" t="s">
        <v>123</v>
      </c>
      <c r="D6387" t="s">
        <v>33</v>
      </c>
      <c r="E6387" t="s">
        <v>138</v>
      </c>
      <c r="F6387" s="1">
        <v>42980</v>
      </c>
      <c r="G6387" s="1">
        <v>43073</v>
      </c>
      <c r="H6387">
        <v>58</v>
      </c>
      <c r="I6387" t="str">
        <f>IF(COUNTIF(Products!$A$2:$A$8,C6387)=0,C6387,"")</f>
        <v/>
      </c>
      <c r="J6387">
        <f>IF(OR(E6387="Prospecting",E6387="Engaging"),VLOOKUP(C6387,Products!$A$2:$C$8,3,FALSE),0)</f>
        <v>0</v>
      </c>
    </row>
    <row r="6388" spans="1:10" x14ac:dyDescent="0.25">
      <c r="A6388" t="s">
        <v>6555</v>
      </c>
      <c r="B6388" t="s">
        <v>164</v>
      </c>
      <c r="C6388" t="s">
        <v>127</v>
      </c>
      <c r="D6388" t="s">
        <v>60</v>
      </c>
      <c r="E6388" t="s">
        <v>159</v>
      </c>
      <c r="F6388" s="1">
        <v>42980</v>
      </c>
      <c r="G6388" s="1">
        <v>43089</v>
      </c>
      <c r="H6388">
        <v>0</v>
      </c>
      <c r="I6388" t="str">
        <f>IF(COUNTIF(Products!$A$2:$A$8,C6388)=0,C6388,"")</f>
        <v/>
      </c>
      <c r="J6388">
        <f>IF(OR(E6388="Prospecting",E6388="Engaging"),VLOOKUP(C6388,Products!$A$2:$C$8,3,FALSE),0)</f>
        <v>0</v>
      </c>
    </row>
    <row r="6389" spans="1:10" x14ac:dyDescent="0.25">
      <c r="A6389" t="s">
        <v>6556</v>
      </c>
      <c r="B6389" t="s">
        <v>164</v>
      </c>
      <c r="C6389" t="s">
        <v>125</v>
      </c>
      <c r="D6389" t="s">
        <v>56</v>
      </c>
      <c r="E6389" t="s">
        <v>138</v>
      </c>
      <c r="F6389" s="1">
        <v>42980</v>
      </c>
      <c r="G6389" s="1">
        <v>43084</v>
      </c>
      <c r="H6389">
        <v>3482</v>
      </c>
      <c r="I6389" t="str">
        <f>IF(COUNTIF(Products!$A$2:$A$8,C6389)=0,C6389,"")</f>
        <v/>
      </c>
      <c r="J6389">
        <f>IF(OR(E6389="Prospecting",E6389="Engaging"),VLOOKUP(C6389,Products!$A$2:$C$8,3,FALSE),0)</f>
        <v>0</v>
      </c>
    </row>
    <row r="6390" spans="1:10" x14ac:dyDescent="0.25">
      <c r="A6390" t="s">
        <v>6557</v>
      </c>
      <c r="B6390" t="s">
        <v>154</v>
      </c>
      <c r="C6390" t="s">
        <v>126</v>
      </c>
      <c r="D6390" t="s">
        <v>60</v>
      </c>
      <c r="E6390" t="s">
        <v>159</v>
      </c>
      <c r="F6390" s="1">
        <v>42980</v>
      </c>
      <c r="G6390" s="1">
        <v>43044</v>
      </c>
      <c r="H6390">
        <v>0</v>
      </c>
      <c r="I6390" t="str">
        <f>IF(COUNTIF(Products!$A$2:$A$8,C6390)=0,C6390,"")</f>
        <v/>
      </c>
      <c r="J6390">
        <f>IF(OR(E6390="Prospecting",E6390="Engaging"),VLOOKUP(C6390,Products!$A$2:$C$8,3,FALSE),0)</f>
        <v>0</v>
      </c>
    </row>
    <row r="6391" spans="1:10" x14ac:dyDescent="0.25">
      <c r="A6391" t="s">
        <v>6558</v>
      </c>
      <c r="B6391" t="s">
        <v>154</v>
      </c>
      <c r="C6391" t="s">
        <v>126</v>
      </c>
      <c r="D6391" t="s">
        <v>93</v>
      </c>
      <c r="E6391" t="s">
        <v>159</v>
      </c>
      <c r="F6391" s="1">
        <v>42980</v>
      </c>
      <c r="G6391" s="1">
        <v>43050</v>
      </c>
      <c r="H6391">
        <v>0</v>
      </c>
      <c r="I6391" t="str">
        <f>IF(COUNTIF(Products!$A$2:$A$8,C6391)=0,C6391,"")</f>
        <v/>
      </c>
      <c r="J6391">
        <f>IF(OR(E6391="Prospecting",E6391="Engaging"),VLOOKUP(C6391,Products!$A$2:$C$8,3,FALSE),0)</f>
        <v>0</v>
      </c>
    </row>
    <row r="6392" spans="1:10" x14ac:dyDescent="0.25">
      <c r="A6392" t="s">
        <v>6559</v>
      </c>
      <c r="B6392" t="s">
        <v>154</v>
      </c>
      <c r="C6392" t="s">
        <v>120</v>
      </c>
      <c r="D6392" t="s">
        <v>83</v>
      </c>
      <c r="E6392" t="s">
        <v>138</v>
      </c>
      <c r="F6392" s="1">
        <v>42980</v>
      </c>
      <c r="G6392" s="1">
        <v>43063</v>
      </c>
      <c r="H6392">
        <v>529</v>
      </c>
      <c r="I6392" t="str">
        <f>IF(COUNTIF(Products!$A$2:$A$8,C6392)=0,C6392,"")</f>
        <v/>
      </c>
      <c r="J6392">
        <f>IF(OR(E6392="Prospecting",E6392="Engaging"),VLOOKUP(C6392,Products!$A$2:$C$8,3,FALSE),0)</f>
        <v>0</v>
      </c>
    </row>
    <row r="6393" spans="1:10" x14ac:dyDescent="0.25">
      <c r="A6393" t="s">
        <v>6560</v>
      </c>
      <c r="B6393" t="s">
        <v>191</v>
      </c>
      <c r="C6393" t="s">
        <v>125</v>
      </c>
      <c r="D6393" t="s">
        <v>17</v>
      </c>
      <c r="E6393" t="s">
        <v>159</v>
      </c>
      <c r="F6393" s="1">
        <v>42980</v>
      </c>
      <c r="G6393" s="1">
        <v>43063</v>
      </c>
      <c r="H6393">
        <v>0</v>
      </c>
      <c r="I6393" t="str">
        <f>IF(COUNTIF(Products!$A$2:$A$8,C6393)=0,C6393,"")</f>
        <v/>
      </c>
      <c r="J6393">
        <f>IF(OR(E6393="Prospecting",E6393="Engaging"),VLOOKUP(C6393,Products!$A$2:$C$8,3,FALSE),0)</f>
        <v>0</v>
      </c>
    </row>
    <row r="6394" spans="1:10" x14ac:dyDescent="0.25">
      <c r="A6394" t="s">
        <v>6561</v>
      </c>
      <c r="B6394" t="s">
        <v>191</v>
      </c>
      <c r="C6394" t="s">
        <v>120</v>
      </c>
      <c r="D6394" t="s">
        <v>83</v>
      </c>
      <c r="E6394" t="s">
        <v>138</v>
      </c>
      <c r="F6394" s="1">
        <v>42980</v>
      </c>
      <c r="G6394" s="1">
        <v>43047</v>
      </c>
      <c r="H6394">
        <v>505</v>
      </c>
      <c r="I6394" t="str">
        <f>IF(COUNTIF(Products!$A$2:$A$8,C6394)=0,C6394,"")</f>
        <v/>
      </c>
      <c r="J6394">
        <f>IF(OR(E6394="Prospecting",E6394="Engaging"),VLOOKUP(C6394,Products!$A$2:$C$8,3,FALSE),0)</f>
        <v>0</v>
      </c>
    </row>
    <row r="6395" spans="1:10" x14ac:dyDescent="0.25">
      <c r="A6395" t="s">
        <v>6562</v>
      </c>
      <c r="B6395" t="s">
        <v>150</v>
      </c>
      <c r="C6395" t="s">
        <v>120</v>
      </c>
      <c r="D6395" t="s">
        <v>41</v>
      </c>
      <c r="E6395" t="s">
        <v>138</v>
      </c>
      <c r="F6395" s="1">
        <v>42980</v>
      </c>
      <c r="G6395" s="1">
        <v>43096</v>
      </c>
      <c r="H6395">
        <v>456</v>
      </c>
      <c r="I6395" t="str">
        <f>IF(COUNTIF(Products!$A$2:$A$8,C6395)=0,C6395,"")</f>
        <v/>
      </c>
      <c r="J6395">
        <f>IF(OR(E6395="Prospecting",E6395="Engaging"),VLOOKUP(C6395,Products!$A$2:$C$8,3,FALSE),0)</f>
        <v>0</v>
      </c>
    </row>
    <row r="6396" spans="1:10" x14ac:dyDescent="0.25">
      <c r="A6396" t="s">
        <v>6563</v>
      </c>
      <c r="B6396" t="s">
        <v>205</v>
      </c>
      <c r="C6396" t="s">
        <v>127</v>
      </c>
      <c r="D6396" t="s">
        <v>14</v>
      </c>
      <c r="E6396" t="s">
        <v>159</v>
      </c>
      <c r="F6396" s="1">
        <v>42980</v>
      </c>
      <c r="G6396" s="1">
        <v>43082</v>
      </c>
      <c r="H6396">
        <v>0</v>
      </c>
      <c r="I6396" t="str">
        <f>IF(COUNTIF(Products!$A$2:$A$8,C6396)=0,C6396,"")</f>
        <v/>
      </c>
      <c r="J6396">
        <f>IF(OR(E6396="Prospecting",E6396="Engaging"),VLOOKUP(C6396,Products!$A$2:$C$8,3,FALSE),0)</f>
        <v>0</v>
      </c>
    </row>
    <row r="6397" spans="1:10" x14ac:dyDescent="0.25">
      <c r="A6397" t="s">
        <v>6564</v>
      </c>
      <c r="B6397" t="s">
        <v>205</v>
      </c>
      <c r="C6397" t="s">
        <v>127</v>
      </c>
      <c r="D6397" t="s">
        <v>94</v>
      </c>
      <c r="E6397" t="s">
        <v>159</v>
      </c>
      <c r="F6397" s="1">
        <v>42980</v>
      </c>
      <c r="G6397" s="1">
        <v>43068</v>
      </c>
      <c r="H6397">
        <v>0</v>
      </c>
      <c r="I6397" t="str">
        <f>IF(COUNTIF(Products!$A$2:$A$8,C6397)=0,C6397,"")</f>
        <v/>
      </c>
      <c r="J6397">
        <f>IF(OR(E6397="Prospecting",E6397="Engaging"),VLOOKUP(C6397,Products!$A$2:$C$8,3,FALSE),0)</f>
        <v>0</v>
      </c>
    </row>
    <row r="6398" spans="1:10" x14ac:dyDescent="0.25">
      <c r="A6398" t="s">
        <v>6565</v>
      </c>
      <c r="B6398" t="s">
        <v>169</v>
      </c>
      <c r="C6398" t="s">
        <v>120</v>
      </c>
      <c r="D6398" t="s">
        <v>53</v>
      </c>
      <c r="E6398" t="s">
        <v>159</v>
      </c>
      <c r="F6398" s="1">
        <v>42980</v>
      </c>
      <c r="G6398" s="1">
        <v>43050</v>
      </c>
      <c r="H6398">
        <v>0</v>
      </c>
      <c r="I6398" t="str">
        <f>IF(COUNTIF(Products!$A$2:$A$8,C6398)=0,C6398,"")</f>
        <v/>
      </c>
      <c r="J6398">
        <f>IF(OR(E6398="Prospecting",E6398="Engaging"),VLOOKUP(C6398,Products!$A$2:$C$8,3,FALSE),0)</f>
        <v>0</v>
      </c>
    </row>
    <row r="6399" spans="1:10" x14ac:dyDescent="0.25">
      <c r="A6399" t="s">
        <v>6566</v>
      </c>
      <c r="B6399" t="s">
        <v>169</v>
      </c>
      <c r="C6399" t="s">
        <v>123</v>
      </c>
      <c r="D6399" t="s">
        <v>61</v>
      </c>
      <c r="E6399" t="s">
        <v>159</v>
      </c>
      <c r="F6399" s="1">
        <v>42980</v>
      </c>
      <c r="G6399" s="1">
        <v>43069</v>
      </c>
      <c r="H6399">
        <v>0</v>
      </c>
      <c r="I6399" t="str">
        <f>IF(COUNTIF(Products!$A$2:$A$8,C6399)=0,C6399,"")</f>
        <v/>
      </c>
      <c r="J6399">
        <f>IF(OR(E6399="Prospecting",E6399="Engaging"),VLOOKUP(C6399,Products!$A$2:$C$8,3,FALSE),0)</f>
        <v>0</v>
      </c>
    </row>
    <row r="6400" spans="1:10" x14ac:dyDescent="0.25">
      <c r="A6400" t="s">
        <v>6567</v>
      </c>
      <c r="B6400" t="s">
        <v>148</v>
      </c>
      <c r="C6400" t="s">
        <v>120</v>
      </c>
      <c r="D6400" t="s">
        <v>72</v>
      </c>
      <c r="E6400" t="s">
        <v>138</v>
      </c>
      <c r="F6400" s="1">
        <v>42980</v>
      </c>
      <c r="G6400" s="1">
        <v>42994</v>
      </c>
      <c r="H6400">
        <v>555</v>
      </c>
      <c r="I6400" t="str">
        <f>IF(COUNTIF(Products!$A$2:$A$8,C6400)=0,C6400,"")</f>
        <v/>
      </c>
      <c r="J6400">
        <f>IF(OR(E6400="Prospecting",E6400="Engaging"),VLOOKUP(C6400,Products!$A$2:$C$8,3,FALSE),0)</f>
        <v>0</v>
      </c>
    </row>
    <row r="6401" spans="1:10" x14ac:dyDescent="0.25">
      <c r="A6401" t="s">
        <v>6568</v>
      </c>
      <c r="B6401" t="s">
        <v>148</v>
      </c>
      <c r="C6401" t="s">
        <v>123</v>
      </c>
      <c r="D6401" t="s">
        <v>69</v>
      </c>
      <c r="E6401" t="s">
        <v>138</v>
      </c>
      <c r="F6401" s="1">
        <v>42980</v>
      </c>
      <c r="G6401" s="1">
        <v>43001</v>
      </c>
      <c r="H6401">
        <v>47</v>
      </c>
      <c r="I6401" t="str">
        <f>IF(COUNTIF(Products!$A$2:$A$8,C6401)=0,C6401,"")</f>
        <v/>
      </c>
      <c r="J6401">
        <f>IF(OR(E6401="Prospecting",E6401="Engaging"),VLOOKUP(C6401,Products!$A$2:$C$8,3,FALSE),0)</f>
        <v>0</v>
      </c>
    </row>
    <row r="6402" spans="1:10" x14ac:dyDescent="0.25">
      <c r="A6402" t="s">
        <v>6569</v>
      </c>
      <c r="B6402" t="s">
        <v>144</v>
      </c>
      <c r="C6402" t="s">
        <v>126</v>
      </c>
      <c r="E6402" t="s">
        <v>155</v>
      </c>
      <c r="F6402" s="1">
        <v>42980</v>
      </c>
      <c r="I6402" t="str">
        <f>IF(COUNTIF(Products!$A$2:$A$8,C6402)=0,C6402,"")</f>
        <v/>
      </c>
      <c r="J6402">
        <f>IF(OR(E6402="Prospecting",E6402="Engaging"),VLOOKUP(C6402,Products!$A$2:$C$8,3,FALSE),0)</f>
        <v>5482</v>
      </c>
    </row>
    <row r="6403" spans="1:10" x14ac:dyDescent="0.25">
      <c r="A6403" t="s">
        <v>6570</v>
      </c>
      <c r="B6403" t="s">
        <v>144</v>
      </c>
      <c r="C6403" t="s">
        <v>120</v>
      </c>
      <c r="D6403" t="s">
        <v>44</v>
      </c>
      <c r="E6403" t="s">
        <v>138</v>
      </c>
      <c r="F6403" s="1">
        <v>42980</v>
      </c>
      <c r="G6403" s="1">
        <v>43073</v>
      </c>
      <c r="H6403">
        <v>585</v>
      </c>
      <c r="I6403" t="str">
        <f>IF(COUNTIF(Products!$A$2:$A$8,C6403)=0,C6403,"")</f>
        <v/>
      </c>
      <c r="J6403">
        <f>IF(OR(E6403="Prospecting",E6403="Engaging"),VLOOKUP(C6403,Products!$A$2:$C$8,3,FALSE),0)</f>
        <v>0</v>
      </c>
    </row>
    <row r="6404" spans="1:10" x14ac:dyDescent="0.25">
      <c r="A6404" t="s">
        <v>6571</v>
      </c>
      <c r="B6404" t="s">
        <v>146</v>
      </c>
      <c r="C6404" t="s">
        <v>123</v>
      </c>
      <c r="D6404" t="s">
        <v>14</v>
      </c>
      <c r="E6404" t="s">
        <v>138</v>
      </c>
      <c r="F6404" s="1">
        <v>42981</v>
      </c>
      <c r="G6404" s="1">
        <v>42984</v>
      </c>
      <c r="H6404">
        <v>64</v>
      </c>
      <c r="I6404" t="str">
        <f>IF(COUNTIF(Products!$A$2:$A$8,C6404)=0,C6404,"")</f>
        <v/>
      </c>
      <c r="J6404">
        <f>IF(OR(E6404="Prospecting",E6404="Engaging"),VLOOKUP(C6404,Products!$A$2:$C$8,3,FALSE),0)</f>
        <v>0</v>
      </c>
    </row>
    <row r="6405" spans="1:10" x14ac:dyDescent="0.25">
      <c r="A6405" t="s">
        <v>6572</v>
      </c>
      <c r="B6405" t="s">
        <v>146</v>
      </c>
      <c r="C6405" t="s">
        <v>123</v>
      </c>
      <c r="D6405" t="s">
        <v>32</v>
      </c>
      <c r="E6405" t="s">
        <v>138</v>
      </c>
      <c r="F6405" s="1">
        <v>42981</v>
      </c>
      <c r="G6405" s="1">
        <v>43060</v>
      </c>
      <c r="H6405">
        <v>58</v>
      </c>
      <c r="I6405" t="str">
        <f>IF(COUNTIF(Products!$A$2:$A$8,C6405)=0,C6405,"")</f>
        <v/>
      </c>
      <c r="J6405">
        <f>IF(OR(E6405="Prospecting",E6405="Engaging"),VLOOKUP(C6405,Products!$A$2:$C$8,3,FALSE),0)</f>
        <v>0</v>
      </c>
    </row>
    <row r="6406" spans="1:10" x14ac:dyDescent="0.25">
      <c r="A6406" t="s">
        <v>6573</v>
      </c>
      <c r="B6406" t="s">
        <v>207</v>
      </c>
      <c r="C6406" t="s">
        <v>120</v>
      </c>
      <c r="E6406" t="s">
        <v>155</v>
      </c>
      <c r="F6406" s="1">
        <v>42981</v>
      </c>
      <c r="I6406" t="str">
        <f>IF(COUNTIF(Products!$A$2:$A$8,C6406)=0,C6406,"")</f>
        <v/>
      </c>
      <c r="J6406">
        <f>IF(OR(E6406="Prospecting",E6406="Engaging"),VLOOKUP(C6406,Products!$A$2:$C$8,3,FALSE),0)</f>
        <v>550</v>
      </c>
    </row>
    <row r="6407" spans="1:10" x14ac:dyDescent="0.25">
      <c r="A6407" t="s">
        <v>6574</v>
      </c>
      <c r="B6407" t="s">
        <v>224</v>
      </c>
      <c r="C6407" t="s">
        <v>120</v>
      </c>
      <c r="D6407" t="s">
        <v>50</v>
      </c>
      <c r="E6407" t="s">
        <v>138</v>
      </c>
      <c r="F6407" s="1">
        <v>42981</v>
      </c>
      <c r="G6407" s="1">
        <v>42986</v>
      </c>
      <c r="H6407">
        <v>635</v>
      </c>
      <c r="I6407" t="str">
        <f>IF(COUNTIF(Products!$A$2:$A$8,C6407)=0,C6407,"")</f>
        <v/>
      </c>
      <c r="J6407">
        <f>IF(OR(E6407="Prospecting",E6407="Engaging"),VLOOKUP(C6407,Products!$A$2:$C$8,3,FALSE),0)</f>
        <v>0</v>
      </c>
    </row>
    <row r="6408" spans="1:10" x14ac:dyDescent="0.25">
      <c r="A6408" t="s">
        <v>6575</v>
      </c>
      <c r="B6408" t="s">
        <v>224</v>
      </c>
      <c r="C6408" t="s">
        <v>122</v>
      </c>
      <c r="D6408" t="s">
        <v>35</v>
      </c>
      <c r="E6408" t="s">
        <v>138</v>
      </c>
      <c r="F6408" s="1">
        <v>42981</v>
      </c>
      <c r="G6408" s="1">
        <v>42991</v>
      </c>
      <c r="H6408">
        <v>5626</v>
      </c>
      <c r="I6408" t="str">
        <f>IF(COUNTIF(Products!$A$2:$A$8,C6408)=0,C6408,"")</f>
        <v/>
      </c>
      <c r="J6408">
        <f>IF(OR(E6408="Prospecting",E6408="Engaging"),VLOOKUP(C6408,Products!$A$2:$C$8,3,FALSE),0)</f>
        <v>0</v>
      </c>
    </row>
    <row r="6409" spans="1:10" x14ac:dyDescent="0.25">
      <c r="A6409" t="s">
        <v>6576</v>
      </c>
      <c r="B6409" t="s">
        <v>224</v>
      </c>
      <c r="C6409" t="s">
        <v>125</v>
      </c>
      <c r="D6409" t="s">
        <v>108</v>
      </c>
      <c r="E6409" t="s">
        <v>138</v>
      </c>
      <c r="F6409" s="1">
        <v>42981</v>
      </c>
      <c r="G6409" s="1">
        <v>43083</v>
      </c>
      <c r="H6409">
        <v>3595</v>
      </c>
      <c r="I6409" t="str">
        <f>IF(COUNTIF(Products!$A$2:$A$8,C6409)=0,C6409,"")</f>
        <v/>
      </c>
      <c r="J6409">
        <f>IF(OR(E6409="Prospecting",E6409="Engaging"),VLOOKUP(C6409,Products!$A$2:$C$8,3,FALSE),0)</f>
        <v>0</v>
      </c>
    </row>
    <row r="6410" spans="1:10" x14ac:dyDescent="0.25">
      <c r="A6410" t="s">
        <v>6577</v>
      </c>
      <c r="B6410" t="s">
        <v>173</v>
      </c>
      <c r="C6410" t="s">
        <v>123</v>
      </c>
      <c r="E6410" t="s">
        <v>155</v>
      </c>
      <c r="F6410" s="1">
        <v>42981</v>
      </c>
      <c r="I6410" t="str">
        <f>IF(COUNTIF(Products!$A$2:$A$8,C6410)=0,C6410,"")</f>
        <v/>
      </c>
      <c r="J6410">
        <f>IF(OR(E6410="Prospecting",E6410="Engaging"),VLOOKUP(C6410,Products!$A$2:$C$8,3,FALSE),0)</f>
        <v>55</v>
      </c>
    </row>
    <row r="6411" spans="1:10" x14ac:dyDescent="0.25">
      <c r="A6411" t="s">
        <v>6578</v>
      </c>
      <c r="B6411" t="s">
        <v>158</v>
      </c>
      <c r="C6411" t="s">
        <v>122</v>
      </c>
      <c r="D6411" t="s">
        <v>104</v>
      </c>
      <c r="E6411" t="s">
        <v>159</v>
      </c>
      <c r="F6411" s="1">
        <v>42981</v>
      </c>
      <c r="G6411" s="1">
        <v>43043</v>
      </c>
      <c r="H6411">
        <v>0</v>
      </c>
      <c r="I6411" t="str">
        <f>IF(COUNTIF(Products!$A$2:$A$8,C6411)=0,C6411,"")</f>
        <v/>
      </c>
      <c r="J6411">
        <f>IF(OR(E6411="Prospecting",E6411="Engaging"),VLOOKUP(C6411,Products!$A$2:$C$8,3,FALSE),0)</f>
        <v>0</v>
      </c>
    </row>
    <row r="6412" spans="1:10" x14ac:dyDescent="0.25">
      <c r="A6412" t="s">
        <v>6579</v>
      </c>
      <c r="B6412" t="s">
        <v>158</v>
      </c>
      <c r="C6412" t="s">
        <v>122</v>
      </c>
      <c r="D6412" t="s">
        <v>32</v>
      </c>
      <c r="E6412" t="s">
        <v>138</v>
      </c>
      <c r="F6412" s="1">
        <v>42981</v>
      </c>
      <c r="G6412" s="1">
        <v>43071</v>
      </c>
      <c r="H6412">
        <v>4981</v>
      </c>
      <c r="I6412" t="str">
        <f>IF(COUNTIF(Products!$A$2:$A$8,C6412)=0,C6412,"")</f>
        <v/>
      </c>
      <c r="J6412">
        <f>IF(OR(E6412="Prospecting",E6412="Engaging"),VLOOKUP(C6412,Products!$A$2:$C$8,3,FALSE),0)</f>
        <v>0</v>
      </c>
    </row>
    <row r="6413" spans="1:10" x14ac:dyDescent="0.25">
      <c r="A6413" t="s">
        <v>6580</v>
      </c>
      <c r="B6413" t="s">
        <v>164</v>
      </c>
      <c r="C6413" t="s">
        <v>127</v>
      </c>
      <c r="E6413" t="s">
        <v>155</v>
      </c>
      <c r="F6413" s="1">
        <v>42981</v>
      </c>
      <c r="I6413" t="str">
        <f>IF(COUNTIF(Products!$A$2:$A$8,C6413)=0,C6413,"")</f>
        <v/>
      </c>
      <c r="J6413">
        <f>IF(OR(E6413="Prospecting",E6413="Engaging"),VLOOKUP(C6413,Products!$A$2:$C$8,3,FALSE),0)</f>
        <v>1096</v>
      </c>
    </row>
    <row r="6414" spans="1:10" x14ac:dyDescent="0.25">
      <c r="A6414" t="s">
        <v>6581</v>
      </c>
      <c r="B6414" t="s">
        <v>164</v>
      </c>
      <c r="C6414" t="s">
        <v>123</v>
      </c>
      <c r="D6414" t="s">
        <v>42</v>
      </c>
      <c r="E6414" t="s">
        <v>155</v>
      </c>
      <c r="F6414" s="1">
        <v>42981</v>
      </c>
      <c r="I6414" t="str">
        <f>IF(COUNTIF(Products!$A$2:$A$8,C6414)=0,C6414,"")</f>
        <v/>
      </c>
      <c r="J6414">
        <f>IF(OR(E6414="Prospecting",E6414="Engaging"),VLOOKUP(C6414,Products!$A$2:$C$8,3,FALSE),0)</f>
        <v>55</v>
      </c>
    </row>
    <row r="6415" spans="1:10" x14ac:dyDescent="0.25">
      <c r="A6415" t="s">
        <v>6582</v>
      </c>
      <c r="B6415" t="s">
        <v>154</v>
      </c>
      <c r="C6415" t="s">
        <v>120</v>
      </c>
      <c r="D6415" t="s">
        <v>60</v>
      </c>
      <c r="E6415" t="s">
        <v>138</v>
      </c>
      <c r="F6415" s="1">
        <v>42981</v>
      </c>
      <c r="G6415" s="1">
        <v>42992</v>
      </c>
      <c r="H6415">
        <v>524</v>
      </c>
      <c r="I6415" t="str">
        <f>IF(COUNTIF(Products!$A$2:$A$8,C6415)=0,C6415,"")</f>
        <v/>
      </c>
      <c r="J6415">
        <f>IF(OR(E6415="Prospecting",E6415="Engaging"),VLOOKUP(C6415,Products!$A$2:$C$8,3,FALSE),0)</f>
        <v>0</v>
      </c>
    </row>
    <row r="6416" spans="1:10" x14ac:dyDescent="0.25">
      <c r="A6416" t="s">
        <v>6583</v>
      </c>
      <c r="B6416" t="s">
        <v>154</v>
      </c>
      <c r="C6416" t="s">
        <v>123</v>
      </c>
      <c r="D6416" t="s">
        <v>75</v>
      </c>
      <c r="E6416" t="s">
        <v>138</v>
      </c>
      <c r="F6416" s="1">
        <v>42981</v>
      </c>
      <c r="G6416" s="1">
        <v>43075</v>
      </c>
      <c r="H6416">
        <v>54</v>
      </c>
      <c r="I6416" t="str">
        <f>IF(COUNTIF(Products!$A$2:$A$8,C6416)=0,C6416,"")</f>
        <v/>
      </c>
      <c r="J6416">
        <f>IF(OR(E6416="Prospecting",E6416="Engaging"),VLOOKUP(C6416,Products!$A$2:$C$8,3,FALSE),0)</f>
        <v>0</v>
      </c>
    </row>
    <row r="6417" spans="1:10" x14ac:dyDescent="0.25">
      <c r="A6417" t="s">
        <v>6584</v>
      </c>
      <c r="B6417" t="s">
        <v>303</v>
      </c>
      <c r="C6417" t="s">
        <v>122</v>
      </c>
      <c r="D6417" t="s">
        <v>46</v>
      </c>
      <c r="E6417" t="s">
        <v>138</v>
      </c>
      <c r="F6417" s="1">
        <v>42981</v>
      </c>
      <c r="G6417" s="1">
        <v>42994</v>
      </c>
      <c r="H6417">
        <v>5080</v>
      </c>
      <c r="I6417" t="str">
        <f>IF(COUNTIF(Products!$A$2:$A$8,C6417)=0,C6417,"")</f>
        <v/>
      </c>
      <c r="J6417">
        <f>IF(OR(E6417="Prospecting",E6417="Engaging"),VLOOKUP(C6417,Products!$A$2:$C$8,3,FALSE),0)</f>
        <v>0</v>
      </c>
    </row>
    <row r="6418" spans="1:10" x14ac:dyDescent="0.25">
      <c r="A6418" t="s">
        <v>6585</v>
      </c>
      <c r="B6418" t="s">
        <v>191</v>
      </c>
      <c r="C6418" t="s">
        <v>126</v>
      </c>
      <c r="E6418" t="s">
        <v>155</v>
      </c>
      <c r="F6418" s="1">
        <v>42981</v>
      </c>
      <c r="I6418" t="str">
        <f>IF(COUNTIF(Products!$A$2:$A$8,C6418)=0,C6418,"")</f>
        <v/>
      </c>
      <c r="J6418">
        <f>IF(OR(E6418="Prospecting",E6418="Engaging"),VLOOKUP(C6418,Products!$A$2:$C$8,3,FALSE),0)</f>
        <v>5482</v>
      </c>
    </row>
    <row r="6419" spans="1:10" x14ac:dyDescent="0.25">
      <c r="A6419" t="s">
        <v>6586</v>
      </c>
      <c r="B6419" t="s">
        <v>150</v>
      </c>
      <c r="C6419" t="s">
        <v>123</v>
      </c>
      <c r="D6419" t="s">
        <v>90</v>
      </c>
      <c r="E6419" t="s">
        <v>138</v>
      </c>
      <c r="F6419" s="1">
        <v>42981</v>
      </c>
      <c r="G6419" s="1">
        <v>43081</v>
      </c>
      <c r="H6419">
        <v>50</v>
      </c>
      <c r="I6419" t="str">
        <f>IF(COUNTIF(Products!$A$2:$A$8,C6419)=0,C6419,"")</f>
        <v/>
      </c>
      <c r="J6419">
        <f>IF(OR(E6419="Prospecting",E6419="Engaging"),VLOOKUP(C6419,Products!$A$2:$C$8,3,FALSE),0)</f>
        <v>0</v>
      </c>
    </row>
    <row r="6420" spans="1:10" x14ac:dyDescent="0.25">
      <c r="A6420" t="s">
        <v>6587</v>
      </c>
      <c r="B6420" t="s">
        <v>162</v>
      </c>
      <c r="C6420" t="s">
        <v>126</v>
      </c>
      <c r="D6420" t="s">
        <v>75</v>
      </c>
      <c r="E6420" t="s">
        <v>138</v>
      </c>
      <c r="F6420" s="1">
        <v>42981</v>
      </c>
      <c r="G6420" s="1">
        <v>42987</v>
      </c>
      <c r="H6420">
        <v>6656</v>
      </c>
      <c r="I6420" t="str">
        <f>IF(COUNTIF(Products!$A$2:$A$8,C6420)=0,C6420,"")</f>
        <v/>
      </c>
      <c r="J6420">
        <f>IF(OR(E6420="Prospecting",E6420="Engaging"),VLOOKUP(C6420,Products!$A$2:$C$8,3,FALSE),0)</f>
        <v>0</v>
      </c>
    </row>
    <row r="6421" spans="1:10" x14ac:dyDescent="0.25">
      <c r="A6421" t="s">
        <v>6588</v>
      </c>
      <c r="B6421" t="s">
        <v>193</v>
      </c>
      <c r="C6421" t="s">
        <v>122</v>
      </c>
      <c r="D6421" t="s">
        <v>35</v>
      </c>
      <c r="E6421" t="s">
        <v>138</v>
      </c>
      <c r="F6421" s="1">
        <v>42981</v>
      </c>
      <c r="G6421" s="1">
        <v>42988</v>
      </c>
      <c r="H6421">
        <v>4641</v>
      </c>
      <c r="I6421" t="str">
        <f>IF(COUNTIF(Products!$A$2:$A$8,C6421)=0,C6421,"")</f>
        <v/>
      </c>
      <c r="J6421">
        <f>IF(OR(E6421="Prospecting",E6421="Engaging"),VLOOKUP(C6421,Products!$A$2:$C$8,3,FALSE),0)</f>
        <v>0</v>
      </c>
    </row>
    <row r="6422" spans="1:10" x14ac:dyDescent="0.25">
      <c r="A6422" t="s">
        <v>6589</v>
      </c>
      <c r="B6422" t="s">
        <v>166</v>
      </c>
      <c r="C6422" t="s">
        <v>128</v>
      </c>
      <c r="D6422" t="s">
        <v>107</v>
      </c>
      <c r="E6422" t="s">
        <v>138</v>
      </c>
      <c r="F6422" s="1">
        <v>42981</v>
      </c>
      <c r="G6422" s="1">
        <v>43049</v>
      </c>
      <c r="H6422">
        <v>26186</v>
      </c>
      <c r="I6422" t="str">
        <f>IF(COUNTIF(Products!$A$2:$A$8,C6422)=0,C6422,"")</f>
        <v/>
      </c>
      <c r="J6422">
        <f>IF(OR(E6422="Prospecting",E6422="Engaging"),VLOOKUP(C6422,Products!$A$2:$C$8,3,FALSE),0)</f>
        <v>0</v>
      </c>
    </row>
    <row r="6423" spans="1:10" x14ac:dyDescent="0.25">
      <c r="A6423" t="s">
        <v>6590</v>
      </c>
      <c r="B6423" t="s">
        <v>148</v>
      </c>
      <c r="C6423" t="s">
        <v>123</v>
      </c>
      <c r="E6423" t="s">
        <v>155</v>
      </c>
      <c r="F6423" s="1">
        <v>42981</v>
      </c>
      <c r="I6423" t="str">
        <f>IF(COUNTIF(Products!$A$2:$A$8,C6423)=0,C6423,"")</f>
        <v/>
      </c>
      <c r="J6423">
        <f>IF(OR(E6423="Prospecting",E6423="Engaging"),VLOOKUP(C6423,Products!$A$2:$C$8,3,FALSE),0)</f>
        <v>55</v>
      </c>
    </row>
    <row r="6424" spans="1:10" x14ac:dyDescent="0.25">
      <c r="A6424" t="s">
        <v>6591</v>
      </c>
      <c r="B6424" t="s">
        <v>148</v>
      </c>
      <c r="C6424" t="s">
        <v>125</v>
      </c>
      <c r="D6424" t="s">
        <v>78</v>
      </c>
      <c r="E6424" t="s">
        <v>138</v>
      </c>
      <c r="F6424" s="1">
        <v>42981</v>
      </c>
      <c r="G6424" s="1">
        <v>42992</v>
      </c>
      <c r="H6424">
        <v>4251</v>
      </c>
      <c r="I6424" t="str">
        <f>IF(COUNTIF(Products!$A$2:$A$8,C6424)=0,C6424,"")</f>
        <v/>
      </c>
      <c r="J6424">
        <f>IF(OR(E6424="Prospecting",E6424="Engaging"),VLOOKUP(C6424,Products!$A$2:$C$8,3,FALSE),0)</f>
        <v>0</v>
      </c>
    </row>
    <row r="6425" spans="1:10" x14ac:dyDescent="0.25">
      <c r="A6425" t="s">
        <v>6592</v>
      </c>
      <c r="B6425" t="s">
        <v>177</v>
      </c>
      <c r="C6425" t="s">
        <v>120</v>
      </c>
      <c r="E6425" t="s">
        <v>155</v>
      </c>
      <c r="F6425" s="1">
        <v>42981</v>
      </c>
      <c r="I6425" t="str">
        <f>IF(COUNTIF(Products!$A$2:$A$8,C6425)=0,C6425,"")</f>
        <v/>
      </c>
      <c r="J6425">
        <f>IF(OR(E6425="Prospecting",E6425="Engaging"),VLOOKUP(C6425,Products!$A$2:$C$8,3,FALSE),0)</f>
        <v>550</v>
      </c>
    </row>
    <row r="6426" spans="1:10" x14ac:dyDescent="0.25">
      <c r="A6426" t="s">
        <v>6593</v>
      </c>
      <c r="B6426" t="s">
        <v>177</v>
      </c>
      <c r="C6426" t="s">
        <v>123</v>
      </c>
      <c r="D6426" t="s">
        <v>48</v>
      </c>
      <c r="E6426" t="s">
        <v>138</v>
      </c>
      <c r="F6426" s="1">
        <v>42981</v>
      </c>
      <c r="G6426" s="1">
        <v>42989</v>
      </c>
      <c r="H6426">
        <v>51</v>
      </c>
      <c r="I6426" t="str">
        <f>IF(COUNTIF(Products!$A$2:$A$8,C6426)=0,C6426,"")</f>
        <v/>
      </c>
      <c r="J6426">
        <f>IF(OR(E6426="Prospecting",E6426="Engaging"),VLOOKUP(C6426,Products!$A$2:$C$8,3,FALSE),0)</f>
        <v>0</v>
      </c>
    </row>
    <row r="6427" spans="1:10" x14ac:dyDescent="0.25">
      <c r="A6427" t="s">
        <v>6594</v>
      </c>
      <c r="B6427" t="s">
        <v>177</v>
      </c>
      <c r="C6427" t="s">
        <v>123</v>
      </c>
      <c r="D6427" t="s">
        <v>50</v>
      </c>
      <c r="E6427" t="s">
        <v>138</v>
      </c>
      <c r="F6427" s="1">
        <v>42981</v>
      </c>
      <c r="G6427" s="1">
        <v>43048</v>
      </c>
      <c r="H6427">
        <v>62</v>
      </c>
      <c r="I6427" t="str">
        <f>IF(COUNTIF(Products!$A$2:$A$8,C6427)=0,C6427,"")</f>
        <v/>
      </c>
      <c r="J6427">
        <f>IF(OR(E6427="Prospecting",E6427="Engaging"),VLOOKUP(C6427,Products!$A$2:$C$8,3,FALSE),0)</f>
        <v>0</v>
      </c>
    </row>
    <row r="6428" spans="1:10" x14ac:dyDescent="0.25">
      <c r="A6428" t="s">
        <v>6595</v>
      </c>
      <c r="B6428" t="s">
        <v>144</v>
      </c>
      <c r="C6428" t="s">
        <v>120</v>
      </c>
      <c r="D6428" t="s">
        <v>47</v>
      </c>
      <c r="E6428" t="s">
        <v>159</v>
      </c>
      <c r="F6428" s="1">
        <v>42981</v>
      </c>
      <c r="G6428" s="1">
        <v>43040</v>
      </c>
      <c r="H6428">
        <v>0</v>
      </c>
      <c r="I6428" t="str">
        <f>IF(COUNTIF(Products!$A$2:$A$8,C6428)=0,C6428,"")</f>
        <v/>
      </c>
      <c r="J6428">
        <f>IF(OR(E6428="Prospecting",E6428="Engaging"),VLOOKUP(C6428,Products!$A$2:$C$8,3,FALSE),0)</f>
        <v>0</v>
      </c>
    </row>
    <row r="6429" spans="1:10" x14ac:dyDescent="0.25">
      <c r="A6429" t="s">
        <v>6596</v>
      </c>
      <c r="B6429" t="s">
        <v>146</v>
      </c>
      <c r="C6429" t="s">
        <v>125</v>
      </c>
      <c r="D6429" t="s">
        <v>94</v>
      </c>
      <c r="E6429" t="s">
        <v>159</v>
      </c>
      <c r="F6429" s="1">
        <v>42982</v>
      </c>
      <c r="G6429" s="1">
        <v>43051</v>
      </c>
      <c r="H6429">
        <v>0</v>
      </c>
      <c r="I6429" t="str">
        <f>IF(COUNTIF(Products!$A$2:$A$8,C6429)=0,C6429,"")</f>
        <v/>
      </c>
      <c r="J6429">
        <f>IF(OR(E6429="Prospecting",E6429="Engaging"),VLOOKUP(C6429,Products!$A$2:$C$8,3,FALSE),0)</f>
        <v>0</v>
      </c>
    </row>
    <row r="6430" spans="1:10" x14ac:dyDescent="0.25">
      <c r="A6430" t="s">
        <v>6597</v>
      </c>
      <c r="B6430" t="s">
        <v>146</v>
      </c>
      <c r="C6430" t="s">
        <v>123</v>
      </c>
      <c r="D6430" t="s">
        <v>91</v>
      </c>
      <c r="E6430" t="s">
        <v>138</v>
      </c>
      <c r="F6430" s="1">
        <v>42982</v>
      </c>
      <c r="G6430" s="1">
        <v>43060</v>
      </c>
      <c r="H6430">
        <v>58</v>
      </c>
      <c r="I6430" t="str">
        <f>IF(COUNTIF(Products!$A$2:$A$8,C6430)=0,C6430,"")</f>
        <v/>
      </c>
      <c r="J6430">
        <f>IF(OR(E6430="Prospecting",E6430="Engaging"),VLOOKUP(C6430,Products!$A$2:$C$8,3,FALSE),0)</f>
        <v>0</v>
      </c>
    </row>
    <row r="6431" spans="1:10" x14ac:dyDescent="0.25">
      <c r="A6431" t="s">
        <v>6598</v>
      </c>
      <c r="B6431" t="s">
        <v>222</v>
      </c>
      <c r="C6431" t="s">
        <v>127</v>
      </c>
      <c r="D6431" t="s">
        <v>37</v>
      </c>
      <c r="E6431" t="s">
        <v>138</v>
      </c>
      <c r="F6431" s="1">
        <v>42982</v>
      </c>
      <c r="G6431" s="1">
        <v>43050</v>
      </c>
      <c r="H6431">
        <v>973</v>
      </c>
      <c r="I6431" t="str">
        <f>IF(COUNTIF(Products!$A$2:$A$8,C6431)=0,C6431,"")</f>
        <v/>
      </c>
      <c r="J6431">
        <f>IF(OR(E6431="Prospecting",E6431="Engaging"),VLOOKUP(C6431,Products!$A$2:$C$8,3,FALSE),0)</f>
        <v>0</v>
      </c>
    </row>
    <row r="6432" spans="1:10" x14ac:dyDescent="0.25">
      <c r="A6432" t="s">
        <v>6599</v>
      </c>
      <c r="B6432" t="s">
        <v>222</v>
      </c>
      <c r="C6432" t="s">
        <v>126</v>
      </c>
      <c r="D6432" t="s">
        <v>68</v>
      </c>
      <c r="E6432" t="s">
        <v>138</v>
      </c>
      <c r="F6432" s="1">
        <v>42982</v>
      </c>
      <c r="G6432" s="1">
        <v>42991</v>
      </c>
      <c r="H6432">
        <v>4954</v>
      </c>
      <c r="I6432" t="str">
        <f>IF(COUNTIF(Products!$A$2:$A$8,C6432)=0,C6432,"")</f>
        <v/>
      </c>
      <c r="J6432">
        <f>IF(OR(E6432="Prospecting",E6432="Engaging"),VLOOKUP(C6432,Products!$A$2:$C$8,3,FALSE),0)</f>
        <v>0</v>
      </c>
    </row>
    <row r="6433" spans="1:10" x14ac:dyDescent="0.25">
      <c r="A6433" t="s">
        <v>6600</v>
      </c>
      <c r="B6433" t="s">
        <v>207</v>
      </c>
      <c r="C6433" t="s">
        <v>122</v>
      </c>
      <c r="D6433" t="s">
        <v>27</v>
      </c>
      <c r="E6433" t="s">
        <v>138</v>
      </c>
      <c r="F6433" s="1">
        <v>42982</v>
      </c>
      <c r="G6433" s="1">
        <v>42984</v>
      </c>
      <c r="H6433">
        <v>5113</v>
      </c>
      <c r="I6433" t="str">
        <f>IF(COUNTIF(Products!$A$2:$A$8,C6433)=0,C6433,"")</f>
        <v/>
      </c>
      <c r="J6433">
        <f>IF(OR(E6433="Prospecting",E6433="Engaging"),VLOOKUP(C6433,Products!$A$2:$C$8,3,FALSE),0)</f>
        <v>0</v>
      </c>
    </row>
    <row r="6434" spans="1:10" x14ac:dyDescent="0.25">
      <c r="A6434" t="s">
        <v>6601</v>
      </c>
      <c r="B6434" t="s">
        <v>239</v>
      </c>
      <c r="C6434" t="s">
        <v>122</v>
      </c>
      <c r="E6434" t="s">
        <v>155</v>
      </c>
      <c r="F6434" s="1">
        <v>42982</v>
      </c>
      <c r="I6434" t="str">
        <f>IF(COUNTIF(Products!$A$2:$A$8,C6434)=0,C6434,"")</f>
        <v/>
      </c>
      <c r="J6434">
        <f>IF(OR(E6434="Prospecting",E6434="Engaging"),VLOOKUP(C6434,Products!$A$2:$C$8,3,FALSE),0)</f>
        <v>4821</v>
      </c>
    </row>
    <row r="6435" spans="1:10" x14ac:dyDescent="0.25">
      <c r="A6435" t="s">
        <v>6602</v>
      </c>
      <c r="B6435" t="s">
        <v>239</v>
      </c>
      <c r="C6435" t="s">
        <v>126</v>
      </c>
      <c r="D6435" t="s">
        <v>108</v>
      </c>
      <c r="E6435" t="s">
        <v>138</v>
      </c>
      <c r="F6435" s="1">
        <v>42982</v>
      </c>
      <c r="G6435" s="1">
        <v>43095</v>
      </c>
      <c r="H6435">
        <v>4631</v>
      </c>
      <c r="I6435" t="str">
        <f>IF(COUNTIF(Products!$A$2:$A$8,C6435)=0,C6435,"")</f>
        <v/>
      </c>
      <c r="J6435">
        <f>IF(OR(E6435="Prospecting",E6435="Engaging"),VLOOKUP(C6435,Products!$A$2:$C$8,3,FALSE),0)</f>
        <v>0</v>
      </c>
    </row>
    <row r="6436" spans="1:10" x14ac:dyDescent="0.25">
      <c r="A6436" t="s">
        <v>6603</v>
      </c>
      <c r="B6436" t="s">
        <v>171</v>
      </c>
      <c r="C6436" t="s">
        <v>126</v>
      </c>
      <c r="D6436" t="s">
        <v>27</v>
      </c>
      <c r="E6436" t="s">
        <v>138</v>
      </c>
      <c r="F6436" s="1">
        <v>42982</v>
      </c>
      <c r="G6436" s="1">
        <v>43040</v>
      </c>
      <c r="H6436">
        <v>5807</v>
      </c>
      <c r="I6436" t="str">
        <f>IF(COUNTIF(Products!$A$2:$A$8,C6436)=0,C6436,"")</f>
        <v/>
      </c>
      <c r="J6436">
        <f>IF(OR(E6436="Prospecting",E6436="Engaging"),VLOOKUP(C6436,Products!$A$2:$C$8,3,FALSE),0)</f>
        <v>0</v>
      </c>
    </row>
    <row r="6437" spans="1:10" x14ac:dyDescent="0.25">
      <c r="A6437" t="s">
        <v>6604</v>
      </c>
      <c r="B6437" t="s">
        <v>140</v>
      </c>
      <c r="C6437" t="s">
        <v>127</v>
      </c>
      <c r="D6437" t="s">
        <v>61</v>
      </c>
      <c r="E6437" t="s">
        <v>159</v>
      </c>
      <c r="F6437" s="1">
        <v>42982</v>
      </c>
      <c r="G6437" s="1">
        <v>43069</v>
      </c>
      <c r="H6437">
        <v>0</v>
      </c>
      <c r="I6437" t="str">
        <f>IF(COUNTIF(Products!$A$2:$A$8,C6437)=0,C6437,"")</f>
        <v/>
      </c>
      <c r="J6437">
        <f>IF(OR(E6437="Prospecting",E6437="Engaging"),VLOOKUP(C6437,Products!$A$2:$C$8,3,FALSE),0)</f>
        <v>0</v>
      </c>
    </row>
    <row r="6438" spans="1:10" x14ac:dyDescent="0.25">
      <c r="A6438" t="s">
        <v>6605</v>
      </c>
      <c r="B6438" t="s">
        <v>158</v>
      </c>
      <c r="C6438" t="s">
        <v>120</v>
      </c>
      <c r="D6438" t="s">
        <v>116</v>
      </c>
      <c r="E6438" t="s">
        <v>138</v>
      </c>
      <c r="F6438" s="1">
        <v>42982</v>
      </c>
      <c r="G6438" s="1">
        <v>43083</v>
      </c>
      <c r="H6438">
        <v>640</v>
      </c>
      <c r="I6438" t="str">
        <f>IF(COUNTIF(Products!$A$2:$A$8,C6438)=0,C6438,"")</f>
        <v/>
      </c>
      <c r="J6438">
        <f>IF(OR(E6438="Prospecting",E6438="Engaging"),VLOOKUP(C6438,Products!$A$2:$C$8,3,FALSE),0)</f>
        <v>0</v>
      </c>
    </row>
    <row r="6439" spans="1:10" x14ac:dyDescent="0.25">
      <c r="A6439" t="s">
        <v>6606</v>
      </c>
      <c r="B6439" t="s">
        <v>158</v>
      </c>
      <c r="C6439" t="s">
        <v>125</v>
      </c>
      <c r="D6439" t="s">
        <v>70</v>
      </c>
      <c r="E6439" t="s">
        <v>138</v>
      </c>
      <c r="F6439" s="1">
        <v>42982</v>
      </c>
      <c r="G6439" s="1">
        <v>43064</v>
      </c>
      <c r="H6439">
        <v>3830</v>
      </c>
      <c r="I6439" t="str">
        <f>IF(COUNTIF(Products!$A$2:$A$8,C6439)=0,C6439,"")</f>
        <v/>
      </c>
      <c r="J6439">
        <f>IF(OR(E6439="Prospecting",E6439="Engaging"),VLOOKUP(C6439,Products!$A$2:$C$8,3,FALSE),0)</f>
        <v>0</v>
      </c>
    </row>
    <row r="6440" spans="1:10" x14ac:dyDescent="0.25">
      <c r="A6440" t="s">
        <v>6607</v>
      </c>
      <c r="B6440" t="s">
        <v>154</v>
      </c>
      <c r="C6440" t="s">
        <v>126</v>
      </c>
      <c r="D6440" t="s">
        <v>23</v>
      </c>
      <c r="E6440" t="s">
        <v>138</v>
      </c>
      <c r="F6440" s="1">
        <v>42982</v>
      </c>
      <c r="G6440" s="1">
        <v>43097</v>
      </c>
      <c r="H6440">
        <v>5285</v>
      </c>
      <c r="I6440" t="str">
        <f>IF(COUNTIF(Products!$A$2:$A$8,C6440)=0,C6440,"")</f>
        <v/>
      </c>
      <c r="J6440">
        <f>IF(OR(E6440="Prospecting",E6440="Engaging"),VLOOKUP(C6440,Products!$A$2:$C$8,3,FALSE),0)</f>
        <v>0</v>
      </c>
    </row>
    <row r="6441" spans="1:10" x14ac:dyDescent="0.25">
      <c r="A6441" t="s">
        <v>6608</v>
      </c>
      <c r="B6441" t="s">
        <v>303</v>
      </c>
      <c r="C6441" t="s">
        <v>122</v>
      </c>
      <c r="D6441" t="s">
        <v>12</v>
      </c>
      <c r="E6441" t="s">
        <v>159</v>
      </c>
      <c r="F6441" s="1">
        <v>42982</v>
      </c>
      <c r="G6441" s="1">
        <v>43058</v>
      </c>
      <c r="H6441">
        <v>0</v>
      </c>
      <c r="I6441" t="str">
        <f>IF(COUNTIF(Products!$A$2:$A$8,C6441)=0,C6441,"")</f>
        <v/>
      </c>
      <c r="J6441">
        <f>IF(OR(E6441="Prospecting",E6441="Engaging"),VLOOKUP(C6441,Products!$A$2:$C$8,3,FALSE),0)</f>
        <v>0</v>
      </c>
    </row>
    <row r="6442" spans="1:10" x14ac:dyDescent="0.25">
      <c r="A6442" t="s">
        <v>6609</v>
      </c>
      <c r="B6442" t="s">
        <v>180</v>
      </c>
      <c r="C6442" t="s">
        <v>120</v>
      </c>
      <c r="D6442" t="s">
        <v>107</v>
      </c>
      <c r="E6442" t="s">
        <v>159</v>
      </c>
      <c r="F6442" s="1">
        <v>42982</v>
      </c>
      <c r="G6442" s="1">
        <v>43057</v>
      </c>
      <c r="H6442">
        <v>0</v>
      </c>
      <c r="I6442" t="str">
        <f>IF(COUNTIF(Products!$A$2:$A$8,C6442)=0,C6442,"")</f>
        <v/>
      </c>
      <c r="J6442">
        <f>IF(OR(E6442="Prospecting",E6442="Engaging"),VLOOKUP(C6442,Products!$A$2:$C$8,3,FALSE),0)</f>
        <v>0</v>
      </c>
    </row>
    <row r="6443" spans="1:10" x14ac:dyDescent="0.25">
      <c r="A6443" t="s">
        <v>6610</v>
      </c>
      <c r="B6443" t="s">
        <v>137</v>
      </c>
      <c r="C6443" t="s">
        <v>127</v>
      </c>
      <c r="D6443" t="s">
        <v>33</v>
      </c>
      <c r="E6443" t="s">
        <v>138</v>
      </c>
      <c r="F6443" s="1">
        <v>42982</v>
      </c>
      <c r="G6443" s="1">
        <v>43100</v>
      </c>
      <c r="H6443">
        <v>975</v>
      </c>
      <c r="I6443" t="str">
        <f>IF(COUNTIF(Products!$A$2:$A$8,C6443)=0,C6443,"")</f>
        <v/>
      </c>
      <c r="J6443">
        <f>IF(OR(E6443="Prospecting",E6443="Engaging"),VLOOKUP(C6443,Products!$A$2:$C$8,3,FALSE),0)</f>
        <v>0</v>
      </c>
    </row>
    <row r="6444" spans="1:10" x14ac:dyDescent="0.25">
      <c r="A6444" t="s">
        <v>6611</v>
      </c>
      <c r="B6444" t="s">
        <v>137</v>
      </c>
      <c r="C6444" t="s">
        <v>127</v>
      </c>
      <c r="D6444" t="s">
        <v>46</v>
      </c>
      <c r="E6444" t="s">
        <v>138</v>
      </c>
      <c r="F6444" s="1">
        <v>42982</v>
      </c>
      <c r="G6444" s="1">
        <v>43082</v>
      </c>
      <c r="H6444">
        <v>847</v>
      </c>
      <c r="I6444" t="str">
        <f>IF(COUNTIF(Products!$A$2:$A$8,C6444)=0,C6444,"")</f>
        <v/>
      </c>
      <c r="J6444">
        <f>IF(OR(E6444="Prospecting",E6444="Engaging"),VLOOKUP(C6444,Products!$A$2:$C$8,3,FALSE),0)</f>
        <v>0</v>
      </c>
    </row>
    <row r="6445" spans="1:10" x14ac:dyDescent="0.25">
      <c r="A6445" t="s">
        <v>6612</v>
      </c>
      <c r="B6445" t="s">
        <v>152</v>
      </c>
      <c r="C6445" t="s">
        <v>125</v>
      </c>
      <c r="D6445" t="s">
        <v>85</v>
      </c>
      <c r="E6445" t="s">
        <v>138</v>
      </c>
      <c r="F6445" s="1">
        <v>42982</v>
      </c>
      <c r="G6445" s="1">
        <v>43084</v>
      </c>
      <c r="H6445">
        <v>2814</v>
      </c>
      <c r="I6445" t="str">
        <f>IF(COUNTIF(Products!$A$2:$A$8,C6445)=0,C6445,"")</f>
        <v/>
      </c>
      <c r="J6445">
        <f>IF(OR(E6445="Prospecting",E6445="Engaging"),VLOOKUP(C6445,Products!$A$2:$C$8,3,FALSE),0)</f>
        <v>0</v>
      </c>
    </row>
    <row r="6446" spans="1:10" x14ac:dyDescent="0.25">
      <c r="A6446" t="s">
        <v>6613</v>
      </c>
      <c r="B6446" t="s">
        <v>166</v>
      </c>
      <c r="C6446" t="s">
        <v>125</v>
      </c>
      <c r="D6446" t="s">
        <v>72</v>
      </c>
      <c r="E6446" t="s">
        <v>138</v>
      </c>
      <c r="F6446" s="1">
        <v>42982</v>
      </c>
      <c r="G6446" s="1">
        <v>43045</v>
      </c>
      <c r="H6446">
        <v>3275</v>
      </c>
      <c r="I6446" t="str">
        <f>IF(COUNTIF(Products!$A$2:$A$8,C6446)=0,C6446,"")</f>
        <v/>
      </c>
      <c r="J6446">
        <f>IF(OR(E6446="Prospecting",E6446="Engaging"),VLOOKUP(C6446,Products!$A$2:$C$8,3,FALSE),0)</f>
        <v>0</v>
      </c>
    </row>
    <row r="6447" spans="1:10" x14ac:dyDescent="0.25">
      <c r="A6447" t="s">
        <v>6614</v>
      </c>
      <c r="B6447" t="s">
        <v>169</v>
      </c>
      <c r="C6447" t="s">
        <v>123</v>
      </c>
      <c r="D6447" t="s">
        <v>12</v>
      </c>
      <c r="E6447" t="s">
        <v>138</v>
      </c>
      <c r="F6447" s="1">
        <v>42982</v>
      </c>
      <c r="G6447" s="1">
        <v>43095</v>
      </c>
      <c r="H6447">
        <v>41</v>
      </c>
      <c r="I6447" t="str">
        <f>IF(COUNTIF(Products!$A$2:$A$8,C6447)=0,C6447,"")</f>
        <v/>
      </c>
      <c r="J6447">
        <f>IF(OR(E6447="Prospecting",E6447="Engaging"),VLOOKUP(C6447,Products!$A$2:$C$8,3,FALSE),0)</f>
        <v>0</v>
      </c>
    </row>
    <row r="6448" spans="1:10" x14ac:dyDescent="0.25">
      <c r="A6448" t="s">
        <v>6615</v>
      </c>
      <c r="B6448" t="s">
        <v>148</v>
      </c>
      <c r="C6448" t="s">
        <v>126</v>
      </c>
      <c r="D6448" t="s">
        <v>29</v>
      </c>
      <c r="E6448" t="s">
        <v>138</v>
      </c>
      <c r="F6448" s="1">
        <v>42982</v>
      </c>
      <c r="G6448" s="1">
        <v>43058</v>
      </c>
      <c r="H6448">
        <v>5185</v>
      </c>
      <c r="I6448" t="str">
        <f>IF(COUNTIF(Products!$A$2:$A$8,C6448)=0,C6448,"")</f>
        <v/>
      </c>
      <c r="J6448">
        <f>IF(OR(E6448="Prospecting",E6448="Engaging"),VLOOKUP(C6448,Products!$A$2:$C$8,3,FALSE),0)</f>
        <v>0</v>
      </c>
    </row>
    <row r="6449" spans="1:10" x14ac:dyDescent="0.25">
      <c r="A6449" t="s">
        <v>6616</v>
      </c>
      <c r="B6449" t="s">
        <v>148</v>
      </c>
      <c r="C6449" t="s">
        <v>122</v>
      </c>
      <c r="D6449" t="s">
        <v>29</v>
      </c>
      <c r="E6449" t="s">
        <v>138</v>
      </c>
      <c r="F6449" s="1">
        <v>42982</v>
      </c>
      <c r="G6449" s="1">
        <v>42993</v>
      </c>
      <c r="H6449">
        <v>5191</v>
      </c>
      <c r="I6449" t="str">
        <f>IF(COUNTIF(Products!$A$2:$A$8,C6449)=0,C6449,"")</f>
        <v/>
      </c>
      <c r="J6449">
        <f>IF(OR(E6449="Prospecting",E6449="Engaging"),VLOOKUP(C6449,Products!$A$2:$C$8,3,FALSE),0)</f>
        <v>0</v>
      </c>
    </row>
    <row r="6450" spans="1:10" x14ac:dyDescent="0.25">
      <c r="A6450" t="s">
        <v>6617</v>
      </c>
      <c r="B6450" t="s">
        <v>177</v>
      </c>
      <c r="C6450" t="s">
        <v>127</v>
      </c>
      <c r="E6450" t="s">
        <v>155</v>
      </c>
      <c r="F6450" s="1">
        <v>42982</v>
      </c>
      <c r="I6450" t="str">
        <f>IF(COUNTIF(Products!$A$2:$A$8,C6450)=0,C6450,"")</f>
        <v/>
      </c>
      <c r="J6450">
        <f>IF(OR(E6450="Prospecting",E6450="Engaging"),VLOOKUP(C6450,Products!$A$2:$C$8,3,FALSE),0)</f>
        <v>1096</v>
      </c>
    </row>
    <row r="6451" spans="1:10" x14ac:dyDescent="0.25">
      <c r="A6451" t="s">
        <v>6618</v>
      </c>
      <c r="B6451" t="s">
        <v>177</v>
      </c>
      <c r="C6451" t="s">
        <v>123</v>
      </c>
      <c r="D6451" t="s">
        <v>73</v>
      </c>
      <c r="E6451" t="s">
        <v>138</v>
      </c>
      <c r="F6451" s="1">
        <v>42982</v>
      </c>
      <c r="G6451" s="1">
        <v>43046</v>
      </c>
      <c r="H6451">
        <v>59</v>
      </c>
      <c r="I6451" t="str">
        <f>IF(COUNTIF(Products!$A$2:$A$8,C6451)=0,C6451,"")</f>
        <v/>
      </c>
      <c r="J6451">
        <f>IF(OR(E6451="Prospecting",E6451="Engaging"),VLOOKUP(C6451,Products!$A$2:$C$8,3,FALSE),0)</f>
        <v>0</v>
      </c>
    </row>
    <row r="6452" spans="1:10" x14ac:dyDescent="0.25">
      <c r="A6452" t="s">
        <v>6619</v>
      </c>
      <c r="B6452" t="s">
        <v>177</v>
      </c>
      <c r="C6452" t="s">
        <v>123</v>
      </c>
      <c r="D6452" t="s">
        <v>92</v>
      </c>
      <c r="E6452" t="s">
        <v>138</v>
      </c>
      <c r="F6452" s="1">
        <v>42982</v>
      </c>
      <c r="G6452" s="1">
        <v>43077</v>
      </c>
      <c r="H6452">
        <v>54</v>
      </c>
      <c r="I6452" t="str">
        <f>IF(COUNTIF(Products!$A$2:$A$8,C6452)=0,C6452,"")</f>
        <v/>
      </c>
      <c r="J6452">
        <f>IF(OR(E6452="Prospecting",E6452="Engaging"),VLOOKUP(C6452,Products!$A$2:$C$8,3,FALSE),0)</f>
        <v>0</v>
      </c>
    </row>
    <row r="6453" spans="1:10" x14ac:dyDescent="0.25">
      <c r="A6453" t="s">
        <v>6620</v>
      </c>
      <c r="B6453" t="s">
        <v>144</v>
      </c>
      <c r="C6453" t="s">
        <v>120</v>
      </c>
      <c r="E6453" t="s">
        <v>155</v>
      </c>
      <c r="F6453" s="1">
        <v>42982</v>
      </c>
      <c r="I6453" t="str">
        <f>IF(COUNTIF(Products!$A$2:$A$8,C6453)=0,C6453,"")</f>
        <v/>
      </c>
      <c r="J6453">
        <f>IF(OR(E6453="Prospecting",E6453="Engaging"),VLOOKUP(C6453,Products!$A$2:$C$8,3,FALSE),0)</f>
        <v>550</v>
      </c>
    </row>
    <row r="6454" spans="1:10" x14ac:dyDescent="0.25">
      <c r="A6454" t="s">
        <v>6621</v>
      </c>
      <c r="B6454" t="s">
        <v>144</v>
      </c>
      <c r="C6454" t="s">
        <v>125</v>
      </c>
      <c r="E6454" t="s">
        <v>155</v>
      </c>
      <c r="F6454" s="1">
        <v>42982</v>
      </c>
      <c r="I6454" t="str">
        <f>IF(COUNTIF(Products!$A$2:$A$8,C6454)=0,C6454,"")</f>
        <v/>
      </c>
      <c r="J6454">
        <f>IF(OR(E6454="Prospecting",E6454="Engaging"),VLOOKUP(C6454,Products!$A$2:$C$8,3,FALSE),0)</f>
        <v>3393</v>
      </c>
    </row>
    <row r="6455" spans="1:10" x14ac:dyDescent="0.25">
      <c r="A6455" t="s">
        <v>6622</v>
      </c>
      <c r="B6455" t="s">
        <v>222</v>
      </c>
      <c r="C6455" t="s">
        <v>122</v>
      </c>
      <c r="E6455" t="s">
        <v>155</v>
      </c>
      <c r="F6455" s="1">
        <v>42983</v>
      </c>
      <c r="I6455" t="str">
        <f>IF(COUNTIF(Products!$A$2:$A$8,C6455)=0,C6455,"")</f>
        <v/>
      </c>
      <c r="J6455">
        <f>IF(OR(E6455="Prospecting",E6455="Engaging"),VLOOKUP(C6455,Products!$A$2:$C$8,3,FALSE),0)</f>
        <v>4821</v>
      </c>
    </row>
    <row r="6456" spans="1:10" x14ac:dyDescent="0.25">
      <c r="A6456" t="s">
        <v>6623</v>
      </c>
      <c r="B6456" t="s">
        <v>239</v>
      </c>
      <c r="C6456" t="s">
        <v>127</v>
      </c>
      <c r="D6456" t="s">
        <v>65</v>
      </c>
      <c r="E6456" t="s">
        <v>138</v>
      </c>
      <c r="F6456" s="1">
        <v>42983</v>
      </c>
      <c r="G6456" s="1">
        <v>43056</v>
      </c>
      <c r="H6456">
        <v>1076</v>
      </c>
      <c r="I6456" t="str">
        <f>IF(COUNTIF(Products!$A$2:$A$8,C6456)=0,C6456,"")</f>
        <v/>
      </c>
      <c r="J6456">
        <f>IF(OR(E6456="Prospecting",E6456="Engaging"),VLOOKUP(C6456,Products!$A$2:$C$8,3,FALSE),0)</f>
        <v>0</v>
      </c>
    </row>
    <row r="6457" spans="1:10" x14ac:dyDescent="0.25">
      <c r="A6457" t="s">
        <v>6624</v>
      </c>
      <c r="B6457" t="s">
        <v>171</v>
      </c>
      <c r="C6457" t="s">
        <v>120</v>
      </c>
      <c r="D6457" t="s">
        <v>84</v>
      </c>
      <c r="E6457" t="s">
        <v>138</v>
      </c>
      <c r="F6457" s="1">
        <v>42983</v>
      </c>
      <c r="G6457" s="1">
        <v>43059</v>
      </c>
      <c r="H6457">
        <v>490</v>
      </c>
      <c r="I6457" t="str">
        <f>IF(COUNTIF(Products!$A$2:$A$8,C6457)=0,C6457,"")</f>
        <v/>
      </c>
      <c r="J6457">
        <f>IF(OR(E6457="Prospecting",E6457="Engaging"),VLOOKUP(C6457,Products!$A$2:$C$8,3,FALSE),0)</f>
        <v>0</v>
      </c>
    </row>
    <row r="6458" spans="1:10" x14ac:dyDescent="0.25">
      <c r="A6458" t="s">
        <v>6625</v>
      </c>
      <c r="B6458" t="s">
        <v>140</v>
      </c>
      <c r="C6458" t="s">
        <v>126</v>
      </c>
      <c r="D6458" t="s">
        <v>30</v>
      </c>
      <c r="E6458" t="s">
        <v>159</v>
      </c>
      <c r="F6458" s="1">
        <v>42983</v>
      </c>
      <c r="G6458" s="1">
        <v>43063</v>
      </c>
      <c r="H6458">
        <v>0</v>
      </c>
      <c r="I6458" t="str">
        <f>IF(COUNTIF(Products!$A$2:$A$8,C6458)=0,C6458,"")</f>
        <v/>
      </c>
      <c r="J6458">
        <f>IF(OR(E6458="Prospecting",E6458="Engaging"),VLOOKUP(C6458,Products!$A$2:$C$8,3,FALSE),0)</f>
        <v>0</v>
      </c>
    </row>
    <row r="6459" spans="1:10" x14ac:dyDescent="0.25">
      <c r="A6459" t="s">
        <v>6626</v>
      </c>
      <c r="B6459" t="s">
        <v>140</v>
      </c>
      <c r="C6459" t="s">
        <v>122</v>
      </c>
      <c r="D6459" t="s">
        <v>12</v>
      </c>
      <c r="E6459" t="s">
        <v>159</v>
      </c>
      <c r="F6459" s="1">
        <v>42983</v>
      </c>
      <c r="G6459" s="1">
        <v>42991</v>
      </c>
      <c r="H6459">
        <v>0</v>
      </c>
      <c r="I6459" t="str">
        <f>IF(COUNTIF(Products!$A$2:$A$8,C6459)=0,C6459,"")</f>
        <v/>
      </c>
      <c r="J6459">
        <f>IF(OR(E6459="Prospecting",E6459="Engaging"),VLOOKUP(C6459,Products!$A$2:$C$8,3,FALSE),0)</f>
        <v>0</v>
      </c>
    </row>
    <row r="6460" spans="1:10" x14ac:dyDescent="0.25">
      <c r="A6460" t="s">
        <v>6627</v>
      </c>
      <c r="B6460" t="s">
        <v>158</v>
      </c>
      <c r="C6460" t="s">
        <v>123</v>
      </c>
      <c r="D6460" t="s">
        <v>12</v>
      </c>
      <c r="E6460" t="s">
        <v>159</v>
      </c>
      <c r="F6460" s="1">
        <v>42983</v>
      </c>
      <c r="G6460" s="1">
        <v>43079</v>
      </c>
      <c r="H6460">
        <v>0</v>
      </c>
      <c r="I6460" t="str">
        <f>IF(COUNTIF(Products!$A$2:$A$8,C6460)=0,C6460,"")</f>
        <v/>
      </c>
      <c r="J6460">
        <f>IF(OR(E6460="Prospecting",E6460="Engaging"),VLOOKUP(C6460,Products!$A$2:$C$8,3,FALSE),0)</f>
        <v>0</v>
      </c>
    </row>
    <row r="6461" spans="1:10" x14ac:dyDescent="0.25">
      <c r="A6461" t="s">
        <v>6628</v>
      </c>
      <c r="B6461" t="s">
        <v>164</v>
      </c>
      <c r="C6461" t="s">
        <v>126</v>
      </c>
      <c r="D6461" t="s">
        <v>70</v>
      </c>
      <c r="E6461" t="s">
        <v>155</v>
      </c>
      <c r="F6461" s="1">
        <v>42983</v>
      </c>
      <c r="I6461" t="str">
        <f>IF(COUNTIF(Products!$A$2:$A$8,C6461)=0,C6461,"")</f>
        <v/>
      </c>
      <c r="J6461">
        <f>IF(OR(E6461="Prospecting",E6461="Engaging"),VLOOKUP(C6461,Products!$A$2:$C$8,3,FALSE),0)</f>
        <v>5482</v>
      </c>
    </row>
    <row r="6462" spans="1:10" x14ac:dyDescent="0.25">
      <c r="A6462" t="s">
        <v>6629</v>
      </c>
      <c r="B6462" t="s">
        <v>180</v>
      </c>
      <c r="C6462" t="s">
        <v>120</v>
      </c>
      <c r="E6462" t="s">
        <v>155</v>
      </c>
      <c r="F6462" s="1">
        <v>42983</v>
      </c>
      <c r="I6462" t="str">
        <f>IF(COUNTIF(Products!$A$2:$A$8,C6462)=0,C6462,"")</f>
        <v/>
      </c>
      <c r="J6462">
        <f>IF(OR(E6462="Prospecting",E6462="Engaging"),VLOOKUP(C6462,Products!$A$2:$C$8,3,FALSE),0)</f>
        <v>550</v>
      </c>
    </row>
    <row r="6463" spans="1:10" x14ac:dyDescent="0.25">
      <c r="A6463" t="s">
        <v>6630</v>
      </c>
      <c r="B6463" t="s">
        <v>191</v>
      </c>
      <c r="C6463" t="s">
        <v>120</v>
      </c>
      <c r="D6463" t="s">
        <v>69</v>
      </c>
      <c r="E6463" t="s">
        <v>159</v>
      </c>
      <c r="F6463" s="1">
        <v>42983</v>
      </c>
      <c r="G6463" s="1">
        <v>43052</v>
      </c>
      <c r="H6463">
        <v>0</v>
      </c>
      <c r="I6463" t="str">
        <f>IF(COUNTIF(Products!$A$2:$A$8,C6463)=0,C6463,"")</f>
        <v/>
      </c>
      <c r="J6463">
        <f>IF(OR(E6463="Prospecting",E6463="Engaging"),VLOOKUP(C6463,Products!$A$2:$C$8,3,FALSE),0)</f>
        <v>0</v>
      </c>
    </row>
    <row r="6464" spans="1:10" x14ac:dyDescent="0.25">
      <c r="A6464" t="s">
        <v>6631</v>
      </c>
      <c r="B6464" t="s">
        <v>191</v>
      </c>
      <c r="C6464" t="s">
        <v>122</v>
      </c>
      <c r="D6464" t="s">
        <v>71</v>
      </c>
      <c r="E6464" t="s">
        <v>138</v>
      </c>
      <c r="F6464" s="1">
        <v>42983</v>
      </c>
      <c r="G6464" s="1">
        <v>43096</v>
      </c>
      <c r="H6464">
        <v>5663</v>
      </c>
      <c r="I6464" t="str">
        <f>IF(COUNTIF(Products!$A$2:$A$8,C6464)=0,C6464,"")</f>
        <v/>
      </c>
      <c r="J6464">
        <f>IF(OR(E6464="Prospecting",E6464="Engaging"),VLOOKUP(C6464,Products!$A$2:$C$8,3,FALSE),0)</f>
        <v>0</v>
      </c>
    </row>
    <row r="6465" spans="1:10" x14ac:dyDescent="0.25">
      <c r="A6465" t="s">
        <v>6632</v>
      </c>
      <c r="B6465" t="s">
        <v>150</v>
      </c>
      <c r="C6465" t="s">
        <v>127</v>
      </c>
      <c r="D6465" t="s">
        <v>61</v>
      </c>
      <c r="E6465" t="s">
        <v>159</v>
      </c>
      <c r="F6465" s="1">
        <v>42983</v>
      </c>
      <c r="G6465" s="1">
        <v>43045</v>
      </c>
      <c r="H6465">
        <v>0</v>
      </c>
      <c r="I6465" t="str">
        <f>IF(COUNTIF(Products!$A$2:$A$8,C6465)=0,C6465,"")</f>
        <v/>
      </c>
      <c r="J6465">
        <f>IF(OR(E6465="Prospecting",E6465="Engaging"),VLOOKUP(C6465,Products!$A$2:$C$8,3,FALSE),0)</f>
        <v>0</v>
      </c>
    </row>
    <row r="6466" spans="1:10" x14ac:dyDescent="0.25">
      <c r="A6466" t="s">
        <v>6633</v>
      </c>
      <c r="B6466" t="s">
        <v>162</v>
      </c>
      <c r="C6466" t="s">
        <v>120</v>
      </c>
      <c r="D6466" t="s">
        <v>16</v>
      </c>
      <c r="E6466" t="s">
        <v>155</v>
      </c>
      <c r="F6466" s="1">
        <v>42983</v>
      </c>
      <c r="I6466" t="str">
        <f>IF(COUNTIF(Products!$A$2:$A$8,C6466)=0,C6466,"")</f>
        <v/>
      </c>
      <c r="J6466">
        <f>IF(OR(E6466="Prospecting",E6466="Engaging"),VLOOKUP(C6466,Products!$A$2:$C$8,3,FALSE),0)</f>
        <v>550</v>
      </c>
    </row>
    <row r="6467" spans="1:10" x14ac:dyDescent="0.25">
      <c r="A6467" t="s">
        <v>6634</v>
      </c>
      <c r="B6467" t="s">
        <v>152</v>
      </c>
      <c r="C6467" t="s">
        <v>127</v>
      </c>
      <c r="D6467" t="s">
        <v>89</v>
      </c>
      <c r="E6467" t="s">
        <v>159</v>
      </c>
      <c r="F6467" s="1">
        <v>42983</v>
      </c>
      <c r="G6467" s="1">
        <v>43065</v>
      </c>
      <c r="H6467">
        <v>0</v>
      </c>
      <c r="I6467" t="str">
        <f>IF(COUNTIF(Products!$A$2:$A$8,C6467)=0,C6467,"")</f>
        <v/>
      </c>
      <c r="J6467">
        <f>IF(OR(E6467="Prospecting",E6467="Engaging"),VLOOKUP(C6467,Products!$A$2:$C$8,3,FALSE),0)</f>
        <v>0</v>
      </c>
    </row>
    <row r="6468" spans="1:10" x14ac:dyDescent="0.25">
      <c r="A6468" t="s">
        <v>6635</v>
      </c>
      <c r="B6468" t="s">
        <v>152</v>
      </c>
      <c r="C6468" t="s">
        <v>127</v>
      </c>
      <c r="D6468" t="s">
        <v>36</v>
      </c>
      <c r="E6468" t="s">
        <v>138</v>
      </c>
      <c r="F6468" s="1">
        <v>42983</v>
      </c>
      <c r="G6468" s="1">
        <v>42994</v>
      </c>
      <c r="H6468">
        <v>1166</v>
      </c>
      <c r="I6468" t="str">
        <f>IF(COUNTIF(Products!$A$2:$A$8,C6468)=0,C6468,"")</f>
        <v/>
      </c>
      <c r="J6468">
        <f>IF(OR(E6468="Prospecting",E6468="Engaging"),VLOOKUP(C6468,Products!$A$2:$C$8,3,FALSE),0)</f>
        <v>0</v>
      </c>
    </row>
    <row r="6469" spans="1:10" x14ac:dyDescent="0.25">
      <c r="A6469" t="s">
        <v>6636</v>
      </c>
      <c r="B6469" t="s">
        <v>166</v>
      </c>
      <c r="C6469" t="s">
        <v>123</v>
      </c>
      <c r="D6469" t="s">
        <v>75</v>
      </c>
      <c r="E6469" t="s">
        <v>159</v>
      </c>
      <c r="F6469" s="1">
        <v>42983</v>
      </c>
      <c r="G6469" s="1">
        <v>42992</v>
      </c>
      <c r="H6469">
        <v>0</v>
      </c>
      <c r="I6469" t="str">
        <f>IF(COUNTIF(Products!$A$2:$A$8,C6469)=0,C6469,"")</f>
        <v/>
      </c>
      <c r="J6469">
        <f>IF(OR(E6469="Prospecting",E6469="Engaging"),VLOOKUP(C6469,Products!$A$2:$C$8,3,FALSE),0)</f>
        <v>0</v>
      </c>
    </row>
    <row r="6470" spans="1:10" x14ac:dyDescent="0.25">
      <c r="A6470" t="s">
        <v>6637</v>
      </c>
      <c r="B6470" t="s">
        <v>169</v>
      </c>
      <c r="C6470" t="s">
        <v>123</v>
      </c>
      <c r="D6470" t="s">
        <v>70</v>
      </c>
      <c r="E6470" t="s">
        <v>159</v>
      </c>
      <c r="F6470" s="1">
        <v>42983</v>
      </c>
      <c r="G6470" s="1">
        <v>42993</v>
      </c>
      <c r="H6470">
        <v>0</v>
      </c>
      <c r="I6470" t="str">
        <f>IF(COUNTIF(Products!$A$2:$A$8,C6470)=0,C6470,"")</f>
        <v/>
      </c>
      <c r="J6470">
        <f>IF(OR(E6470="Prospecting",E6470="Engaging"),VLOOKUP(C6470,Products!$A$2:$C$8,3,FALSE),0)</f>
        <v>0</v>
      </c>
    </row>
    <row r="6471" spans="1:10" x14ac:dyDescent="0.25">
      <c r="A6471" t="s">
        <v>6638</v>
      </c>
      <c r="B6471" t="s">
        <v>169</v>
      </c>
      <c r="C6471" t="s">
        <v>123</v>
      </c>
      <c r="D6471" t="s">
        <v>85</v>
      </c>
      <c r="E6471" t="s">
        <v>159</v>
      </c>
      <c r="F6471" s="1">
        <v>42983</v>
      </c>
      <c r="G6471" s="1">
        <v>43065</v>
      </c>
      <c r="H6471">
        <v>0</v>
      </c>
      <c r="I6471" t="str">
        <f>IF(COUNTIF(Products!$A$2:$A$8,C6471)=0,C6471,"")</f>
        <v/>
      </c>
      <c r="J6471">
        <f>IF(OR(E6471="Prospecting",E6471="Engaging"),VLOOKUP(C6471,Products!$A$2:$C$8,3,FALSE),0)</f>
        <v>0</v>
      </c>
    </row>
    <row r="6472" spans="1:10" x14ac:dyDescent="0.25">
      <c r="A6472" t="s">
        <v>6639</v>
      </c>
      <c r="B6472" t="s">
        <v>148</v>
      </c>
      <c r="C6472" t="s">
        <v>120</v>
      </c>
      <c r="D6472" t="s">
        <v>72</v>
      </c>
      <c r="E6472" t="s">
        <v>138</v>
      </c>
      <c r="F6472" s="1">
        <v>42983</v>
      </c>
      <c r="G6472" s="1">
        <v>43073</v>
      </c>
      <c r="H6472">
        <v>491</v>
      </c>
      <c r="I6472" t="str">
        <f>IF(COUNTIF(Products!$A$2:$A$8,C6472)=0,C6472,"")</f>
        <v/>
      </c>
      <c r="J6472">
        <f>IF(OR(E6472="Prospecting",E6472="Engaging"),VLOOKUP(C6472,Products!$A$2:$C$8,3,FALSE),0)</f>
        <v>0</v>
      </c>
    </row>
    <row r="6473" spans="1:10" x14ac:dyDescent="0.25">
      <c r="A6473" t="s">
        <v>6640</v>
      </c>
      <c r="B6473" t="s">
        <v>148</v>
      </c>
      <c r="C6473" t="s">
        <v>126</v>
      </c>
      <c r="D6473" t="s">
        <v>57</v>
      </c>
      <c r="E6473" t="s">
        <v>138</v>
      </c>
      <c r="F6473" s="1">
        <v>42983</v>
      </c>
      <c r="G6473" s="1">
        <v>43046</v>
      </c>
      <c r="H6473">
        <v>5532</v>
      </c>
      <c r="I6473" t="str">
        <f>IF(COUNTIF(Products!$A$2:$A$8,C6473)=0,C6473,"")</f>
        <v/>
      </c>
      <c r="J6473">
        <f>IF(OR(E6473="Prospecting",E6473="Engaging"),VLOOKUP(C6473,Products!$A$2:$C$8,3,FALSE),0)</f>
        <v>0</v>
      </c>
    </row>
    <row r="6474" spans="1:10" x14ac:dyDescent="0.25">
      <c r="A6474" t="s">
        <v>6641</v>
      </c>
      <c r="B6474" t="s">
        <v>148</v>
      </c>
      <c r="C6474" t="s">
        <v>125</v>
      </c>
      <c r="D6474" t="s">
        <v>17</v>
      </c>
      <c r="E6474" t="s">
        <v>138</v>
      </c>
      <c r="F6474" s="1">
        <v>42983</v>
      </c>
      <c r="G6474" s="1">
        <v>43053</v>
      </c>
      <c r="H6474">
        <v>3930</v>
      </c>
      <c r="I6474" t="str">
        <f>IF(COUNTIF(Products!$A$2:$A$8,C6474)=0,C6474,"")</f>
        <v/>
      </c>
      <c r="J6474">
        <f>IF(OR(E6474="Prospecting",E6474="Engaging"),VLOOKUP(C6474,Products!$A$2:$C$8,3,FALSE),0)</f>
        <v>0</v>
      </c>
    </row>
    <row r="6475" spans="1:10" x14ac:dyDescent="0.25">
      <c r="A6475" t="s">
        <v>6642</v>
      </c>
      <c r="B6475" t="s">
        <v>148</v>
      </c>
      <c r="C6475" t="s">
        <v>125</v>
      </c>
      <c r="D6475" t="s">
        <v>71</v>
      </c>
      <c r="E6475" t="s">
        <v>138</v>
      </c>
      <c r="F6475" s="1">
        <v>42983</v>
      </c>
      <c r="G6475" s="1">
        <v>43060</v>
      </c>
      <c r="H6475">
        <v>2689</v>
      </c>
      <c r="I6475" t="str">
        <f>IF(COUNTIF(Products!$A$2:$A$8,C6475)=0,C6475,"")</f>
        <v/>
      </c>
      <c r="J6475">
        <f>IF(OR(E6475="Prospecting",E6475="Engaging"),VLOOKUP(C6475,Products!$A$2:$C$8,3,FALSE),0)</f>
        <v>0</v>
      </c>
    </row>
    <row r="6476" spans="1:10" x14ac:dyDescent="0.25">
      <c r="A6476" t="s">
        <v>6643</v>
      </c>
      <c r="B6476" t="s">
        <v>207</v>
      </c>
      <c r="C6476" t="s">
        <v>120</v>
      </c>
      <c r="E6476" t="s">
        <v>155</v>
      </c>
      <c r="F6476" s="1">
        <v>42984</v>
      </c>
      <c r="I6476" t="str">
        <f>IF(COUNTIF(Products!$A$2:$A$8,C6476)=0,C6476,"")</f>
        <v/>
      </c>
      <c r="J6476">
        <f>IF(OR(E6476="Prospecting",E6476="Engaging"),VLOOKUP(C6476,Products!$A$2:$C$8,3,FALSE),0)</f>
        <v>550</v>
      </c>
    </row>
    <row r="6477" spans="1:10" x14ac:dyDescent="0.25">
      <c r="A6477" t="s">
        <v>6644</v>
      </c>
      <c r="B6477" t="s">
        <v>207</v>
      </c>
      <c r="C6477" t="s">
        <v>127</v>
      </c>
      <c r="D6477" t="s">
        <v>80</v>
      </c>
      <c r="E6477" t="s">
        <v>155</v>
      </c>
      <c r="F6477" s="1">
        <v>42984</v>
      </c>
      <c r="I6477" t="str">
        <f>IF(COUNTIF(Products!$A$2:$A$8,C6477)=0,C6477,"")</f>
        <v/>
      </c>
      <c r="J6477">
        <f>IF(OR(E6477="Prospecting",E6477="Engaging"),VLOOKUP(C6477,Products!$A$2:$C$8,3,FALSE),0)</f>
        <v>1096</v>
      </c>
    </row>
    <row r="6478" spans="1:10" x14ac:dyDescent="0.25">
      <c r="A6478" t="s">
        <v>6645</v>
      </c>
      <c r="B6478" t="s">
        <v>171</v>
      </c>
      <c r="C6478" t="s">
        <v>120</v>
      </c>
      <c r="E6478" t="s">
        <v>155</v>
      </c>
      <c r="F6478" s="1">
        <v>42984</v>
      </c>
      <c r="I6478" t="str">
        <f>IF(COUNTIF(Products!$A$2:$A$8,C6478)=0,C6478,"")</f>
        <v/>
      </c>
      <c r="J6478">
        <f>IF(OR(E6478="Prospecting",E6478="Engaging"),VLOOKUP(C6478,Products!$A$2:$C$8,3,FALSE),0)</f>
        <v>550</v>
      </c>
    </row>
    <row r="6479" spans="1:10" x14ac:dyDescent="0.25">
      <c r="A6479" t="s">
        <v>6646</v>
      </c>
      <c r="B6479" t="s">
        <v>140</v>
      </c>
      <c r="C6479" t="s">
        <v>122</v>
      </c>
      <c r="D6479" t="s">
        <v>26</v>
      </c>
      <c r="E6479" t="s">
        <v>138</v>
      </c>
      <c r="F6479" s="1">
        <v>42984</v>
      </c>
      <c r="G6479" s="1">
        <v>43058</v>
      </c>
      <c r="H6479">
        <v>5987</v>
      </c>
      <c r="I6479" t="str">
        <f>IF(COUNTIF(Products!$A$2:$A$8,C6479)=0,C6479,"")</f>
        <v/>
      </c>
      <c r="J6479">
        <f>IF(OR(E6479="Prospecting",E6479="Engaging"),VLOOKUP(C6479,Products!$A$2:$C$8,3,FALSE),0)</f>
        <v>0</v>
      </c>
    </row>
    <row r="6480" spans="1:10" x14ac:dyDescent="0.25">
      <c r="A6480" t="s">
        <v>6647</v>
      </c>
      <c r="B6480" t="s">
        <v>140</v>
      </c>
      <c r="C6480" t="s">
        <v>122</v>
      </c>
      <c r="D6480" t="s">
        <v>104</v>
      </c>
      <c r="E6480" t="s">
        <v>138</v>
      </c>
      <c r="F6480" s="1">
        <v>42984</v>
      </c>
      <c r="G6480" s="1">
        <v>43099</v>
      </c>
      <c r="H6480">
        <v>5141</v>
      </c>
      <c r="I6480" t="str">
        <f>IF(COUNTIF(Products!$A$2:$A$8,C6480)=0,C6480,"")</f>
        <v/>
      </c>
      <c r="J6480">
        <f>IF(OR(E6480="Prospecting",E6480="Engaging"),VLOOKUP(C6480,Products!$A$2:$C$8,3,FALSE),0)</f>
        <v>0</v>
      </c>
    </row>
    <row r="6481" spans="1:10" x14ac:dyDescent="0.25">
      <c r="A6481" t="s">
        <v>6648</v>
      </c>
      <c r="B6481" t="s">
        <v>140</v>
      </c>
      <c r="C6481" t="s">
        <v>123</v>
      </c>
      <c r="D6481" t="s">
        <v>26</v>
      </c>
      <c r="E6481" t="s">
        <v>138</v>
      </c>
      <c r="F6481" s="1">
        <v>42984</v>
      </c>
      <c r="G6481" s="1">
        <v>42991</v>
      </c>
      <c r="H6481">
        <v>48</v>
      </c>
      <c r="I6481" t="str">
        <f>IF(COUNTIF(Products!$A$2:$A$8,C6481)=0,C6481,"")</f>
        <v/>
      </c>
      <c r="J6481">
        <f>IF(OR(E6481="Prospecting",E6481="Engaging"),VLOOKUP(C6481,Products!$A$2:$C$8,3,FALSE),0)</f>
        <v>0</v>
      </c>
    </row>
    <row r="6482" spans="1:10" x14ac:dyDescent="0.25">
      <c r="A6482" t="s">
        <v>6649</v>
      </c>
      <c r="B6482" t="s">
        <v>224</v>
      </c>
      <c r="C6482" t="s">
        <v>122</v>
      </c>
      <c r="D6482" t="s">
        <v>84</v>
      </c>
      <c r="E6482" t="s">
        <v>159</v>
      </c>
      <c r="F6482" s="1">
        <v>42984</v>
      </c>
      <c r="G6482" s="1">
        <v>43042</v>
      </c>
      <c r="H6482">
        <v>0</v>
      </c>
      <c r="I6482" t="str">
        <f>IF(COUNTIF(Products!$A$2:$A$8,C6482)=0,C6482,"")</f>
        <v/>
      </c>
      <c r="J6482">
        <f>IF(OR(E6482="Prospecting",E6482="Engaging"),VLOOKUP(C6482,Products!$A$2:$C$8,3,FALSE),0)</f>
        <v>0</v>
      </c>
    </row>
    <row r="6483" spans="1:10" x14ac:dyDescent="0.25">
      <c r="A6483" t="s">
        <v>6650</v>
      </c>
      <c r="B6483" t="s">
        <v>224</v>
      </c>
      <c r="C6483" t="s">
        <v>125</v>
      </c>
      <c r="D6483" t="s">
        <v>108</v>
      </c>
      <c r="E6483" t="s">
        <v>138</v>
      </c>
      <c r="F6483" s="1">
        <v>42984</v>
      </c>
      <c r="G6483" s="1">
        <v>42998</v>
      </c>
      <c r="H6483">
        <v>3206</v>
      </c>
      <c r="I6483" t="str">
        <f>IF(COUNTIF(Products!$A$2:$A$8,C6483)=0,C6483,"")</f>
        <v/>
      </c>
      <c r="J6483">
        <f>IF(OR(E6483="Prospecting",E6483="Engaging"),VLOOKUP(C6483,Products!$A$2:$C$8,3,FALSE),0)</f>
        <v>0</v>
      </c>
    </row>
    <row r="6484" spans="1:10" x14ac:dyDescent="0.25">
      <c r="A6484" t="s">
        <v>6651</v>
      </c>
      <c r="B6484" t="s">
        <v>173</v>
      </c>
      <c r="C6484" t="s">
        <v>123</v>
      </c>
      <c r="D6484" t="s">
        <v>71</v>
      </c>
      <c r="E6484" t="s">
        <v>138</v>
      </c>
      <c r="F6484" s="1">
        <v>42984</v>
      </c>
      <c r="G6484" s="1">
        <v>43068</v>
      </c>
      <c r="H6484">
        <v>61</v>
      </c>
      <c r="I6484" t="str">
        <f>IF(COUNTIF(Products!$A$2:$A$8,C6484)=0,C6484,"")</f>
        <v/>
      </c>
      <c r="J6484">
        <f>IF(OR(E6484="Prospecting",E6484="Engaging"),VLOOKUP(C6484,Products!$A$2:$C$8,3,FALSE),0)</f>
        <v>0</v>
      </c>
    </row>
    <row r="6485" spans="1:10" x14ac:dyDescent="0.25">
      <c r="A6485" t="s">
        <v>6652</v>
      </c>
      <c r="B6485" t="s">
        <v>198</v>
      </c>
      <c r="C6485" t="s">
        <v>127</v>
      </c>
      <c r="D6485" t="s">
        <v>7</v>
      </c>
      <c r="E6485" t="s">
        <v>159</v>
      </c>
      <c r="F6485" s="1">
        <v>42984</v>
      </c>
      <c r="G6485" s="1">
        <v>43073</v>
      </c>
      <c r="H6485">
        <v>0</v>
      </c>
      <c r="I6485" t="str">
        <f>IF(COUNTIF(Products!$A$2:$A$8,C6485)=0,C6485,"")</f>
        <v/>
      </c>
      <c r="J6485">
        <f>IF(OR(E6485="Prospecting",E6485="Engaging"),VLOOKUP(C6485,Products!$A$2:$C$8,3,FALSE),0)</f>
        <v>0</v>
      </c>
    </row>
    <row r="6486" spans="1:10" x14ac:dyDescent="0.25">
      <c r="A6486" t="s">
        <v>6653</v>
      </c>
      <c r="B6486" t="s">
        <v>158</v>
      </c>
      <c r="C6486" t="s">
        <v>122</v>
      </c>
      <c r="D6486" t="s">
        <v>70</v>
      </c>
      <c r="E6486" t="s">
        <v>138</v>
      </c>
      <c r="F6486" s="1">
        <v>42984</v>
      </c>
      <c r="G6486" s="1">
        <v>43061</v>
      </c>
      <c r="H6486">
        <v>5078</v>
      </c>
      <c r="I6486" t="str">
        <f>IF(COUNTIF(Products!$A$2:$A$8,C6486)=0,C6486,"")</f>
        <v/>
      </c>
      <c r="J6486">
        <f>IF(OR(E6486="Prospecting",E6486="Engaging"),VLOOKUP(C6486,Products!$A$2:$C$8,3,FALSE),0)</f>
        <v>0</v>
      </c>
    </row>
    <row r="6487" spans="1:10" x14ac:dyDescent="0.25">
      <c r="A6487" t="s">
        <v>6654</v>
      </c>
      <c r="B6487" t="s">
        <v>303</v>
      </c>
      <c r="C6487" t="s">
        <v>120</v>
      </c>
      <c r="D6487" t="s">
        <v>95</v>
      </c>
      <c r="E6487" t="s">
        <v>159</v>
      </c>
      <c r="F6487" s="1">
        <v>42984</v>
      </c>
      <c r="G6487" s="1">
        <v>43058</v>
      </c>
      <c r="H6487">
        <v>0</v>
      </c>
      <c r="I6487" t="str">
        <f>IF(COUNTIF(Products!$A$2:$A$8,C6487)=0,C6487,"")</f>
        <v/>
      </c>
      <c r="J6487">
        <f>IF(OR(E6487="Prospecting",E6487="Engaging"),VLOOKUP(C6487,Products!$A$2:$C$8,3,FALSE),0)</f>
        <v>0</v>
      </c>
    </row>
    <row r="6488" spans="1:10" x14ac:dyDescent="0.25">
      <c r="A6488" t="s">
        <v>6655</v>
      </c>
      <c r="B6488" t="s">
        <v>303</v>
      </c>
      <c r="C6488" t="s">
        <v>120</v>
      </c>
      <c r="D6488" t="s">
        <v>96</v>
      </c>
      <c r="E6488" t="s">
        <v>138</v>
      </c>
      <c r="F6488" s="1">
        <v>42984</v>
      </c>
      <c r="G6488" s="1">
        <v>43046</v>
      </c>
      <c r="H6488">
        <v>532</v>
      </c>
      <c r="I6488" t="str">
        <f>IF(COUNTIF(Products!$A$2:$A$8,C6488)=0,C6488,"")</f>
        <v/>
      </c>
      <c r="J6488">
        <f>IF(OR(E6488="Prospecting",E6488="Engaging"),VLOOKUP(C6488,Products!$A$2:$C$8,3,FALSE),0)</f>
        <v>0</v>
      </c>
    </row>
    <row r="6489" spans="1:10" x14ac:dyDescent="0.25">
      <c r="A6489" t="s">
        <v>6656</v>
      </c>
      <c r="B6489" t="s">
        <v>180</v>
      </c>
      <c r="C6489" t="s">
        <v>120</v>
      </c>
      <c r="E6489" t="s">
        <v>155</v>
      </c>
      <c r="F6489" s="1">
        <v>42984</v>
      </c>
      <c r="I6489" t="str">
        <f>IF(COUNTIF(Products!$A$2:$A$8,C6489)=0,C6489,"")</f>
        <v/>
      </c>
      <c r="J6489">
        <f>IF(OR(E6489="Prospecting",E6489="Engaging"),VLOOKUP(C6489,Products!$A$2:$C$8,3,FALSE),0)</f>
        <v>550</v>
      </c>
    </row>
    <row r="6490" spans="1:10" x14ac:dyDescent="0.25">
      <c r="A6490" t="s">
        <v>6657</v>
      </c>
      <c r="B6490" t="s">
        <v>180</v>
      </c>
      <c r="C6490" t="s">
        <v>123</v>
      </c>
      <c r="D6490" t="s">
        <v>72</v>
      </c>
      <c r="E6490" t="s">
        <v>138</v>
      </c>
      <c r="F6490" s="1">
        <v>42984</v>
      </c>
      <c r="G6490" s="1">
        <v>42993</v>
      </c>
      <c r="H6490">
        <v>56</v>
      </c>
      <c r="I6490" t="str">
        <f>IF(COUNTIF(Products!$A$2:$A$8,C6490)=0,C6490,"")</f>
        <v/>
      </c>
      <c r="J6490">
        <f>IF(OR(E6490="Prospecting",E6490="Engaging"),VLOOKUP(C6490,Products!$A$2:$C$8,3,FALSE),0)</f>
        <v>0</v>
      </c>
    </row>
    <row r="6491" spans="1:10" x14ac:dyDescent="0.25">
      <c r="A6491" t="s">
        <v>6658</v>
      </c>
      <c r="B6491" t="s">
        <v>191</v>
      </c>
      <c r="C6491" t="s">
        <v>120</v>
      </c>
      <c r="D6491" t="s">
        <v>65</v>
      </c>
      <c r="E6491" t="s">
        <v>155</v>
      </c>
      <c r="F6491" s="1">
        <v>42984</v>
      </c>
      <c r="I6491" t="str">
        <f>IF(COUNTIF(Products!$A$2:$A$8,C6491)=0,C6491,"")</f>
        <v/>
      </c>
      <c r="J6491">
        <f>IF(OR(E6491="Prospecting",E6491="Engaging"),VLOOKUP(C6491,Products!$A$2:$C$8,3,FALSE),0)</f>
        <v>550</v>
      </c>
    </row>
    <row r="6492" spans="1:10" x14ac:dyDescent="0.25">
      <c r="A6492" t="s">
        <v>6659</v>
      </c>
      <c r="B6492" t="s">
        <v>150</v>
      </c>
      <c r="C6492" t="s">
        <v>127</v>
      </c>
      <c r="D6492" t="s">
        <v>90</v>
      </c>
      <c r="E6492" t="s">
        <v>138</v>
      </c>
      <c r="F6492" s="1">
        <v>42984</v>
      </c>
      <c r="G6492" s="1">
        <v>43078</v>
      </c>
      <c r="H6492">
        <v>1182</v>
      </c>
      <c r="I6492" t="str">
        <f>IF(COUNTIF(Products!$A$2:$A$8,C6492)=0,C6492,"")</f>
        <v/>
      </c>
      <c r="J6492">
        <f>IF(OR(E6492="Prospecting",E6492="Engaging"),VLOOKUP(C6492,Products!$A$2:$C$8,3,FALSE),0)</f>
        <v>0</v>
      </c>
    </row>
    <row r="6493" spans="1:10" x14ac:dyDescent="0.25">
      <c r="A6493" t="s">
        <v>6660</v>
      </c>
      <c r="B6493" t="s">
        <v>205</v>
      </c>
      <c r="C6493" t="s">
        <v>126</v>
      </c>
      <c r="D6493" t="s">
        <v>46</v>
      </c>
      <c r="E6493" t="s">
        <v>138</v>
      </c>
      <c r="F6493" s="1">
        <v>42984</v>
      </c>
      <c r="G6493" s="1">
        <v>43089</v>
      </c>
      <c r="H6493">
        <v>5788</v>
      </c>
      <c r="I6493" t="str">
        <f>IF(COUNTIF(Products!$A$2:$A$8,C6493)=0,C6493,"")</f>
        <v/>
      </c>
      <c r="J6493">
        <f>IF(OR(E6493="Prospecting",E6493="Engaging"),VLOOKUP(C6493,Products!$A$2:$C$8,3,FALSE),0)</f>
        <v>0</v>
      </c>
    </row>
    <row r="6494" spans="1:10" x14ac:dyDescent="0.25">
      <c r="A6494" t="s">
        <v>6661</v>
      </c>
      <c r="B6494" t="s">
        <v>169</v>
      </c>
      <c r="C6494" t="s">
        <v>123</v>
      </c>
      <c r="D6494" t="s">
        <v>96</v>
      </c>
      <c r="E6494" t="s">
        <v>159</v>
      </c>
      <c r="F6494" s="1">
        <v>42984</v>
      </c>
      <c r="G6494" s="1">
        <v>42991</v>
      </c>
      <c r="H6494">
        <v>0</v>
      </c>
      <c r="I6494" t="str">
        <f>IF(COUNTIF(Products!$A$2:$A$8,C6494)=0,C6494,"")</f>
        <v/>
      </c>
      <c r="J6494">
        <f>IF(OR(E6494="Prospecting",E6494="Engaging"),VLOOKUP(C6494,Products!$A$2:$C$8,3,FALSE),0)</f>
        <v>0</v>
      </c>
    </row>
    <row r="6495" spans="1:10" x14ac:dyDescent="0.25">
      <c r="A6495" t="s">
        <v>6662</v>
      </c>
      <c r="B6495" t="s">
        <v>169</v>
      </c>
      <c r="C6495" t="s">
        <v>123</v>
      </c>
      <c r="D6495" t="s">
        <v>22</v>
      </c>
      <c r="E6495" t="s">
        <v>138</v>
      </c>
      <c r="F6495" s="1">
        <v>42984</v>
      </c>
      <c r="G6495" s="1">
        <v>42990</v>
      </c>
      <c r="H6495">
        <v>61</v>
      </c>
      <c r="I6495" t="str">
        <f>IF(COUNTIF(Products!$A$2:$A$8,C6495)=0,C6495,"")</f>
        <v/>
      </c>
      <c r="J6495">
        <f>IF(OR(E6495="Prospecting",E6495="Engaging"),VLOOKUP(C6495,Products!$A$2:$C$8,3,FALSE),0)</f>
        <v>0</v>
      </c>
    </row>
    <row r="6496" spans="1:10" x14ac:dyDescent="0.25">
      <c r="A6496" t="s">
        <v>6663</v>
      </c>
      <c r="B6496" t="s">
        <v>148</v>
      </c>
      <c r="C6496" t="s">
        <v>122</v>
      </c>
      <c r="D6496" t="s">
        <v>90</v>
      </c>
      <c r="E6496" t="s">
        <v>138</v>
      </c>
      <c r="F6496" s="1">
        <v>42984</v>
      </c>
      <c r="G6496" s="1">
        <v>43085</v>
      </c>
      <c r="H6496">
        <v>5115</v>
      </c>
      <c r="I6496" t="str">
        <f>IF(COUNTIF(Products!$A$2:$A$8,C6496)=0,C6496,"")</f>
        <v/>
      </c>
      <c r="J6496">
        <f>IF(OR(E6496="Prospecting",E6496="Engaging"),VLOOKUP(C6496,Products!$A$2:$C$8,3,FALSE),0)</f>
        <v>0</v>
      </c>
    </row>
    <row r="6497" spans="1:10" x14ac:dyDescent="0.25">
      <c r="A6497" t="s">
        <v>6664</v>
      </c>
      <c r="B6497" t="s">
        <v>148</v>
      </c>
      <c r="C6497" t="s">
        <v>122</v>
      </c>
      <c r="D6497" t="s">
        <v>109</v>
      </c>
      <c r="E6497" t="s">
        <v>138</v>
      </c>
      <c r="F6497" s="1">
        <v>42984</v>
      </c>
      <c r="G6497" s="1">
        <v>42993</v>
      </c>
      <c r="H6497">
        <v>5227</v>
      </c>
      <c r="I6497" t="str">
        <f>IF(COUNTIF(Products!$A$2:$A$8,C6497)=0,C6497,"")</f>
        <v/>
      </c>
      <c r="J6497">
        <f>IF(OR(E6497="Prospecting",E6497="Engaging"),VLOOKUP(C6497,Products!$A$2:$C$8,3,FALSE),0)</f>
        <v>0</v>
      </c>
    </row>
    <row r="6498" spans="1:10" x14ac:dyDescent="0.25">
      <c r="A6498" t="s">
        <v>6665</v>
      </c>
      <c r="B6498" t="s">
        <v>177</v>
      </c>
      <c r="C6498" t="s">
        <v>123</v>
      </c>
      <c r="E6498" t="s">
        <v>155</v>
      </c>
      <c r="F6498" s="1">
        <v>42984</v>
      </c>
      <c r="I6498" t="str">
        <f>IF(COUNTIF(Products!$A$2:$A$8,C6498)=0,C6498,"")</f>
        <v/>
      </c>
      <c r="J6498">
        <f>IF(OR(E6498="Prospecting",E6498="Engaging"),VLOOKUP(C6498,Products!$A$2:$C$8,3,FALSE),0)</f>
        <v>55</v>
      </c>
    </row>
    <row r="6499" spans="1:10" x14ac:dyDescent="0.25">
      <c r="A6499" t="s">
        <v>6666</v>
      </c>
      <c r="B6499" t="s">
        <v>196</v>
      </c>
      <c r="C6499" t="s">
        <v>127</v>
      </c>
      <c r="D6499" t="s">
        <v>111</v>
      </c>
      <c r="E6499" t="s">
        <v>138</v>
      </c>
      <c r="F6499" s="1">
        <v>42984</v>
      </c>
      <c r="G6499" s="1">
        <v>43075</v>
      </c>
      <c r="H6499">
        <v>1144</v>
      </c>
      <c r="I6499" t="str">
        <f>IF(COUNTIF(Products!$A$2:$A$8,C6499)=0,C6499,"")</f>
        <v/>
      </c>
      <c r="J6499">
        <f>IF(OR(E6499="Prospecting",E6499="Engaging"),VLOOKUP(C6499,Products!$A$2:$C$8,3,FALSE),0)</f>
        <v>0</v>
      </c>
    </row>
    <row r="6500" spans="1:10" x14ac:dyDescent="0.25">
      <c r="A6500" t="s">
        <v>6667</v>
      </c>
      <c r="B6500" t="s">
        <v>144</v>
      </c>
      <c r="C6500" t="s">
        <v>123</v>
      </c>
      <c r="D6500" t="s">
        <v>59</v>
      </c>
      <c r="E6500" t="s">
        <v>155</v>
      </c>
      <c r="F6500" s="1">
        <v>42984</v>
      </c>
      <c r="I6500" t="str">
        <f>IF(COUNTIF(Products!$A$2:$A$8,C6500)=0,C6500,"")</f>
        <v/>
      </c>
      <c r="J6500">
        <f>IF(OR(E6500="Prospecting",E6500="Engaging"),VLOOKUP(C6500,Products!$A$2:$C$8,3,FALSE),0)</f>
        <v>55</v>
      </c>
    </row>
    <row r="6501" spans="1:10" x14ac:dyDescent="0.25">
      <c r="A6501" t="s">
        <v>6668</v>
      </c>
      <c r="B6501" t="s">
        <v>146</v>
      </c>
      <c r="C6501" t="s">
        <v>123</v>
      </c>
      <c r="D6501" t="s">
        <v>95</v>
      </c>
      <c r="E6501" t="s">
        <v>159</v>
      </c>
      <c r="F6501" s="1">
        <v>42985</v>
      </c>
      <c r="G6501" s="1">
        <v>43057</v>
      </c>
      <c r="H6501">
        <v>0</v>
      </c>
      <c r="I6501" t="str">
        <f>IF(COUNTIF(Products!$A$2:$A$8,C6501)=0,C6501,"")</f>
        <v/>
      </c>
      <c r="J6501">
        <f>IF(OR(E6501="Prospecting",E6501="Engaging"),VLOOKUP(C6501,Products!$A$2:$C$8,3,FALSE),0)</f>
        <v>0</v>
      </c>
    </row>
    <row r="6502" spans="1:10" x14ac:dyDescent="0.25">
      <c r="A6502" t="s">
        <v>6669</v>
      </c>
      <c r="B6502" t="s">
        <v>146</v>
      </c>
      <c r="C6502" t="s">
        <v>127</v>
      </c>
      <c r="D6502" t="s">
        <v>88</v>
      </c>
      <c r="E6502" t="s">
        <v>138</v>
      </c>
      <c r="F6502" s="1">
        <v>42985</v>
      </c>
      <c r="G6502" s="1">
        <v>43081</v>
      </c>
      <c r="H6502">
        <v>1249</v>
      </c>
      <c r="I6502" t="str">
        <f>IF(COUNTIF(Products!$A$2:$A$8,C6502)=0,C6502,"")</f>
        <v/>
      </c>
      <c r="J6502">
        <f>IF(OR(E6502="Prospecting",E6502="Engaging"),VLOOKUP(C6502,Products!$A$2:$C$8,3,FALSE),0)</f>
        <v>0</v>
      </c>
    </row>
    <row r="6503" spans="1:10" x14ac:dyDescent="0.25">
      <c r="A6503" t="s">
        <v>6670</v>
      </c>
      <c r="B6503" t="s">
        <v>222</v>
      </c>
      <c r="C6503" t="s">
        <v>127</v>
      </c>
      <c r="E6503" t="s">
        <v>155</v>
      </c>
      <c r="F6503" s="1">
        <v>42985</v>
      </c>
      <c r="I6503" t="str">
        <f>IF(COUNTIF(Products!$A$2:$A$8,C6503)=0,C6503,"")</f>
        <v/>
      </c>
      <c r="J6503">
        <f>IF(OR(E6503="Prospecting",E6503="Engaging"),VLOOKUP(C6503,Products!$A$2:$C$8,3,FALSE),0)</f>
        <v>1096</v>
      </c>
    </row>
    <row r="6504" spans="1:10" x14ac:dyDescent="0.25">
      <c r="A6504" t="s">
        <v>6671</v>
      </c>
      <c r="B6504" t="s">
        <v>222</v>
      </c>
      <c r="C6504" t="s">
        <v>127</v>
      </c>
      <c r="D6504" t="s">
        <v>98</v>
      </c>
      <c r="E6504" t="s">
        <v>138</v>
      </c>
      <c r="F6504" s="1">
        <v>42985</v>
      </c>
      <c r="G6504" s="1">
        <v>43072</v>
      </c>
      <c r="H6504">
        <v>1106</v>
      </c>
      <c r="I6504" t="str">
        <f>IF(COUNTIF(Products!$A$2:$A$8,C6504)=0,C6504,"")</f>
        <v/>
      </c>
      <c r="J6504">
        <f>IF(OR(E6504="Prospecting",E6504="Engaging"),VLOOKUP(C6504,Products!$A$2:$C$8,3,FALSE),0)</f>
        <v>0</v>
      </c>
    </row>
    <row r="6505" spans="1:10" x14ac:dyDescent="0.25">
      <c r="A6505" t="s">
        <v>6672</v>
      </c>
      <c r="B6505" t="s">
        <v>207</v>
      </c>
      <c r="C6505" t="s">
        <v>127</v>
      </c>
      <c r="D6505" t="s">
        <v>20</v>
      </c>
      <c r="E6505" t="s">
        <v>138</v>
      </c>
      <c r="F6505" s="1">
        <v>42985</v>
      </c>
      <c r="G6505" s="1">
        <v>43057</v>
      </c>
      <c r="H6505">
        <v>1251</v>
      </c>
      <c r="I6505" t="str">
        <f>IF(COUNTIF(Products!$A$2:$A$8,C6505)=0,C6505,"")</f>
        <v/>
      </c>
      <c r="J6505">
        <f>IF(OR(E6505="Prospecting",E6505="Engaging"),VLOOKUP(C6505,Products!$A$2:$C$8,3,FALSE),0)</f>
        <v>0</v>
      </c>
    </row>
    <row r="6506" spans="1:10" x14ac:dyDescent="0.25">
      <c r="A6506" t="s">
        <v>6673</v>
      </c>
      <c r="B6506" t="s">
        <v>239</v>
      </c>
      <c r="C6506" t="s">
        <v>122</v>
      </c>
      <c r="D6506" t="s">
        <v>84</v>
      </c>
      <c r="E6506" t="s">
        <v>159</v>
      </c>
      <c r="F6506" s="1">
        <v>42985</v>
      </c>
      <c r="G6506" s="1">
        <v>43057</v>
      </c>
      <c r="H6506">
        <v>0</v>
      </c>
      <c r="I6506" t="str">
        <f>IF(COUNTIF(Products!$A$2:$A$8,C6506)=0,C6506,"")</f>
        <v/>
      </c>
      <c r="J6506">
        <f>IF(OR(E6506="Prospecting",E6506="Engaging"),VLOOKUP(C6506,Products!$A$2:$C$8,3,FALSE),0)</f>
        <v>0</v>
      </c>
    </row>
    <row r="6507" spans="1:10" x14ac:dyDescent="0.25">
      <c r="A6507" t="s">
        <v>6674</v>
      </c>
      <c r="B6507" t="s">
        <v>239</v>
      </c>
      <c r="C6507" t="s">
        <v>122</v>
      </c>
      <c r="D6507" t="s">
        <v>37</v>
      </c>
      <c r="E6507" t="s">
        <v>138</v>
      </c>
      <c r="F6507" s="1">
        <v>42985</v>
      </c>
      <c r="G6507" s="1">
        <v>42996</v>
      </c>
      <c r="H6507">
        <v>4975</v>
      </c>
      <c r="I6507" t="str">
        <f>IF(COUNTIF(Products!$A$2:$A$8,C6507)=0,C6507,"")</f>
        <v/>
      </c>
      <c r="J6507">
        <f>IF(OR(E6507="Prospecting",E6507="Engaging"),VLOOKUP(C6507,Products!$A$2:$C$8,3,FALSE),0)</f>
        <v>0</v>
      </c>
    </row>
    <row r="6508" spans="1:10" x14ac:dyDescent="0.25">
      <c r="A6508" t="s">
        <v>6675</v>
      </c>
      <c r="B6508" t="s">
        <v>239</v>
      </c>
      <c r="C6508" t="s">
        <v>123</v>
      </c>
      <c r="D6508" t="s">
        <v>105</v>
      </c>
      <c r="E6508" t="s">
        <v>138</v>
      </c>
      <c r="F6508" s="1">
        <v>42985</v>
      </c>
      <c r="G6508" s="1">
        <v>42995</v>
      </c>
      <c r="H6508">
        <v>54</v>
      </c>
      <c r="I6508" t="str">
        <f>IF(COUNTIF(Products!$A$2:$A$8,C6508)=0,C6508,"")</f>
        <v/>
      </c>
      <c r="J6508">
        <f>IF(OR(E6508="Prospecting",E6508="Engaging"),VLOOKUP(C6508,Products!$A$2:$C$8,3,FALSE),0)</f>
        <v>0</v>
      </c>
    </row>
    <row r="6509" spans="1:10" x14ac:dyDescent="0.25">
      <c r="A6509" t="s">
        <v>6676</v>
      </c>
      <c r="B6509" t="s">
        <v>140</v>
      </c>
      <c r="C6509" t="s">
        <v>122</v>
      </c>
      <c r="D6509" t="s">
        <v>88</v>
      </c>
      <c r="E6509" t="s">
        <v>138</v>
      </c>
      <c r="F6509" s="1">
        <v>42985</v>
      </c>
      <c r="G6509" s="1">
        <v>43048</v>
      </c>
      <c r="H6509">
        <v>3975</v>
      </c>
      <c r="I6509" t="str">
        <f>IF(COUNTIF(Products!$A$2:$A$8,C6509)=0,C6509,"")</f>
        <v/>
      </c>
      <c r="J6509">
        <f>IF(OR(E6509="Prospecting",E6509="Engaging"),VLOOKUP(C6509,Products!$A$2:$C$8,3,FALSE),0)</f>
        <v>0</v>
      </c>
    </row>
    <row r="6510" spans="1:10" x14ac:dyDescent="0.25">
      <c r="A6510" t="s">
        <v>6677</v>
      </c>
      <c r="B6510" t="s">
        <v>140</v>
      </c>
      <c r="C6510" t="s">
        <v>125</v>
      </c>
      <c r="D6510" t="s">
        <v>26</v>
      </c>
      <c r="E6510" t="s">
        <v>138</v>
      </c>
      <c r="F6510" s="1">
        <v>42985</v>
      </c>
      <c r="G6510" s="1">
        <v>42990</v>
      </c>
      <c r="H6510">
        <v>2969</v>
      </c>
      <c r="I6510" t="str">
        <f>IF(COUNTIF(Products!$A$2:$A$8,C6510)=0,C6510,"")</f>
        <v/>
      </c>
      <c r="J6510">
        <f>IF(OR(E6510="Prospecting",E6510="Engaging"),VLOOKUP(C6510,Products!$A$2:$C$8,3,FALSE),0)</f>
        <v>0</v>
      </c>
    </row>
    <row r="6511" spans="1:10" x14ac:dyDescent="0.25">
      <c r="A6511" t="s">
        <v>6678</v>
      </c>
      <c r="B6511" t="s">
        <v>198</v>
      </c>
      <c r="C6511" t="s">
        <v>120</v>
      </c>
      <c r="D6511" t="s">
        <v>98</v>
      </c>
      <c r="E6511" t="s">
        <v>138</v>
      </c>
      <c r="F6511" s="1">
        <v>42985</v>
      </c>
      <c r="G6511" s="1">
        <v>42991</v>
      </c>
      <c r="H6511">
        <v>558</v>
      </c>
      <c r="I6511" t="str">
        <f>IF(COUNTIF(Products!$A$2:$A$8,C6511)=0,C6511,"")</f>
        <v/>
      </c>
      <c r="J6511">
        <f>IF(OR(E6511="Prospecting",E6511="Engaging"),VLOOKUP(C6511,Products!$A$2:$C$8,3,FALSE),0)</f>
        <v>0</v>
      </c>
    </row>
    <row r="6512" spans="1:10" x14ac:dyDescent="0.25">
      <c r="A6512" t="s">
        <v>6679</v>
      </c>
      <c r="B6512" t="s">
        <v>158</v>
      </c>
      <c r="C6512" t="s">
        <v>122</v>
      </c>
      <c r="D6512" t="s">
        <v>64</v>
      </c>
      <c r="E6512" t="s">
        <v>159</v>
      </c>
      <c r="F6512" s="1">
        <v>42985</v>
      </c>
      <c r="G6512" s="1">
        <v>43068</v>
      </c>
      <c r="H6512">
        <v>0</v>
      </c>
      <c r="I6512" t="str">
        <f>IF(COUNTIF(Products!$A$2:$A$8,C6512)=0,C6512,"")</f>
        <v/>
      </c>
      <c r="J6512">
        <f>IF(OR(E6512="Prospecting",E6512="Engaging"),VLOOKUP(C6512,Products!$A$2:$C$8,3,FALSE),0)</f>
        <v>0</v>
      </c>
    </row>
    <row r="6513" spans="1:10" x14ac:dyDescent="0.25">
      <c r="A6513" t="s">
        <v>6680</v>
      </c>
      <c r="B6513" t="s">
        <v>303</v>
      </c>
      <c r="C6513" t="s">
        <v>120</v>
      </c>
      <c r="D6513" t="s">
        <v>12</v>
      </c>
      <c r="E6513" t="s">
        <v>138</v>
      </c>
      <c r="F6513" s="1">
        <v>42985</v>
      </c>
      <c r="G6513" s="1">
        <v>42996</v>
      </c>
      <c r="H6513">
        <v>585</v>
      </c>
      <c r="I6513" t="str">
        <f>IF(COUNTIF(Products!$A$2:$A$8,C6513)=0,C6513,"")</f>
        <v/>
      </c>
      <c r="J6513">
        <f>IF(OR(E6513="Prospecting",E6513="Engaging"),VLOOKUP(C6513,Products!$A$2:$C$8,3,FALSE),0)</f>
        <v>0</v>
      </c>
    </row>
    <row r="6514" spans="1:10" x14ac:dyDescent="0.25">
      <c r="A6514" t="s">
        <v>6681</v>
      </c>
      <c r="B6514" t="s">
        <v>191</v>
      </c>
      <c r="C6514" t="s">
        <v>120</v>
      </c>
      <c r="D6514" t="s">
        <v>82</v>
      </c>
      <c r="E6514" t="s">
        <v>138</v>
      </c>
      <c r="F6514" s="1">
        <v>42985</v>
      </c>
      <c r="G6514" s="1">
        <v>43086</v>
      </c>
      <c r="H6514">
        <v>566</v>
      </c>
      <c r="I6514" t="str">
        <f>IF(COUNTIF(Products!$A$2:$A$8,C6514)=0,C6514,"")</f>
        <v/>
      </c>
      <c r="J6514">
        <f>IF(OR(E6514="Prospecting",E6514="Engaging"),VLOOKUP(C6514,Products!$A$2:$C$8,3,FALSE),0)</f>
        <v>0</v>
      </c>
    </row>
    <row r="6515" spans="1:10" x14ac:dyDescent="0.25">
      <c r="A6515" t="s">
        <v>6682</v>
      </c>
      <c r="B6515" t="s">
        <v>150</v>
      </c>
      <c r="C6515" t="s">
        <v>122</v>
      </c>
      <c r="D6515" t="s">
        <v>90</v>
      </c>
      <c r="E6515" t="s">
        <v>138</v>
      </c>
      <c r="F6515" s="1">
        <v>42985</v>
      </c>
      <c r="G6515" s="1">
        <v>43055</v>
      </c>
      <c r="H6515">
        <v>4722</v>
      </c>
      <c r="I6515" t="str">
        <f>IF(COUNTIF(Products!$A$2:$A$8,C6515)=0,C6515,"")</f>
        <v/>
      </c>
      <c r="J6515">
        <f>IF(OR(E6515="Prospecting",E6515="Engaging"),VLOOKUP(C6515,Products!$A$2:$C$8,3,FALSE),0)</f>
        <v>0</v>
      </c>
    </row>
    <row r="6516" spans="1:10" x14ac:dyDescent="0.25">
      <c r="A6516" t="s">
        <v>6683</v>
      </c>
      <c r="B6516" t="s">
        <v>137</v>
      </c>
      <c r="C6516" t="s">
        <v>127</v>
      </c>
      <c r="D6516" t="s">
        <v>27</v>
      </c>
      <c r="E6516" t="s">
        <v>138</v>
      </c>
      <c r="F6516" s="1">
        <v>42985</v>
      </c>
      <c r="G6516" s="1">
        <v>43080</v>
      </c>
      <c r="H6516">
        <v>1033</v>
      </c>
      <c r="I6516" t="str">
        <f>IF(COUNTIF(Products!$A$2:$A$8,C6516)=0,C6516,"")</f>
        <v/>
      </c>
      <c r="J6516">
        <f>IF(OR(E6516="Prospecting",E6516="Engaging"),VLOOKUP(C6516,Products!$A$2:$C$8,3,FALSE),0)</f>
        <v>0</v>
      </c>
    </row>
    <row r="6517" spans="1:10" x14ac:dyDescent="0.25">
      <c r="A6517" t="s">
        <v>6684</v>
      </c>
      <c r="B6517" t="s">
        <v>152</v>
      </c>
      <c r="C6517" t="s">
        <v>120</v>
      </c>
      <c r="D6517" t="s">
        <v>36</v>
      </c>
      <c r="E6517" t="s">
        <v>138</v>
      </c>
      <c r="F6517" s="1">
        <v>42985</v>
      </c>
      <c r="G6517" s="1">
        <v>43088</v>
      </c>
      <c r="H6517">
        <v>587</v>
      </c>
      <c r="I6517" t="str">
        <f>IF(COUNTIF(Products!$A$2:$A$8,C6517)=0,C6517,"")</f>
        <v/>
      </c>
      <c r="J6517">
        <f>IF(OR(E6517="Prospecting",E6517="Engaging"),VLOOKUP(C6517,Products!$A$2:$C$8,3,FALSE),0)</f>
        <v>0</v>
      </c>
    </row>
    <row r="6518" spans="1:10" x14ac:dyDescent="0.25">
      <c r="A6518" t="s">
        <v>6685</v>
      </c>
      <c r="B6518" t="s">
        <v>193</v>
      </c>
      <c r="C6518" t="s">
        <v>126</v>
      </c>
      <c r="D6518" t="s">
        <v>92</v>
      </c>
      <c r="E6518" t="s">
        <v>159</v>
      </c>
      <c r="F6518" s="1">
        <v>42985</v>
      </c>
      <c r="G6518" s="1">
        <v>43066</v>
      </c>
      <c r="H6518">
        <v>0</v>
      </c>
      <c r="I6518" t="str">
        <f>IF(COUNTIF(Products!$A$2:$A$8,C6518)=0,C6518,"")</f>
        <v/>
      </c>
      <c r="J6518">
        <f>IF(OR(E6518="Prospecting",E6518="Engaging"),VLOOKUP(C6518,Products!$A$2:$C$8,3,FALSE),0)</f>
        <v>0</v>
      </c>
    </row>
    <row r="6519" spans="1:10" x14ac:dyDescent="0.25">
      <c r="A6519" t="s">
        <v>6686</v>
      </c>
      <c r="B6519" t="s">
        <v>166</v>
      </c>
      <c r="C6519" t="s">
        <v>123</v>
      </c>
      <c r="D6519" t="s">
        <v>65</v>
      </c>
      <c r="E6519" t="s">
        <v>155</v>
      </c>
      <c r="F6519" s="1">
        <v>42985</v>
      </c>
      <c r="I6519" t="str">
        <f>IF(COUNTIF(Products!$A$2:$A$8,C6519)=0,C6519,"")</f>
        <v/>
      </c>
      <c r="J6519">
        <f>IF(OR(E6519="Prospecting",E6519="Engaging"),VLOOKUP(C6519,Products!$A$2:$C$8,3,FALSE),0)</f>
        <v>55</v>
      </c>
    </row>
    <row r="6520" spans="1:10" x14ac:dyDescent="0.25">
      <c r="A6520" t="s">
        <v>6687</v>
      </c>
      <c r="B6520" t="s">
        <v>169</v>
      </c>
      <c r="C6520" t="s">
        <v>123</v>
      </c>
      <c r="D6520" t="s">
        <v>46</v>
      </c>
      <c r="E6520" t="s">
        <v>138</v>
      </c>
      <c r="F6520" s="1">
        <v>42985</v>
      </c>
      <c r="G6520" s="1">
        <v>43041</v>
      </c>
      <c r="H6520">
        <v>62</v>
      </c>
      <c r="I6520" t="str">
        <f>IF(COUNTIF(Products!$A$2:$A$8,C6520)=0,C6520,"")</f>
        <v/>
      </c>
      <c r="J6520">
        <f>IF(OR(E6520="Prospecting",E6520="Engaging"),VLOOKUP(C6520,Products!$A$2:$C$8,3,FALSE),0)</f>
        <v>0</v>
      </c>
    </row>
    <row r="6521" spans="1:10" x14ac:dyDescent="0.25">
      <c r="A6521" t="s">
        <v>6688</v>
      </c>
      <c r="B6521" t="s">
        <v>169</v>
      </c>
      <c r="C6521" t="s">
        <v>123</v>
      </c>
      <c r="D6521" t="s">
        <v>70</v>
      </c>
      <c r="E6521" t="s">
        <v>138</v>
      </c>
      <c r="F6521" s="1">
        <v>42985</v>
      </c>
      <c r="G6521" s="1">
        <v>43081</v>
      </c>
      <c r="H6521">
        <v>54</v>
      </c>
      <c r="I6521" t="str">
        <f>IF(COUNTIF(Products!$A$2:$A$8,C6521)=0,C6521,"")</f>
        <v/>
      </c>
      <c r="J6521">
        <f>IF(OR(E6521="Prospecting",E6521="Engaging"),VLOOKUP(C6521,Products!$A$2:$C$8,3,FALSE),0)</f>
        <v>0</v>
      </c>
    </row>
    <row r="6522" spans="1:10" x14ac:dyDescent="0.25">
      <c r="A6522" t="s">
        <v>6689</v>
      </c>
      <c r="B6522" t="s">
        <v>148</v>
      </c>
      <c r="C6522" t="s">
        <v>120</v>
      </c>
      <c r="D6522" t="s">
        <v>27</v>
      </c>
      <c r="E6522" t="s">
        <v>138</v>
      </c>
      <c r="F6522" s="1">
        <v>42985</v>
      </c>
      <c r="G6522" s="1">
        <v>43042</v>
      </c>
      <c r="H6522">
        <v>499</v>
      </c>
      <c r="I6522" t="str">
        <f>IF(COUNTIF(Products!$A$2:$A$8,C6522)=0,C6522,"")</f>
        <v/>
      </c>
      <c r="J6522">
        <f>IF(OR(E6522="Prospecting",E6522="Engaging"),VLOOKUP(C6522,Products!$A$2:$C$8,3,FALSE),0)</f>
        <v>0</v>
      </c>
    </row>
    <row r="6523" spans="1:10" x14ac:dyDescent="0.25">
      <c r="A6523" t="s">
        <v>6690</v>
      </c>
      <c r="B6523" t="s">
        <v>196</v>
      </c>
      <c r="C6523" t="s">
        <v>126</v>
      </c>
      <c r="D6523" t="s">
        <v>115</v>
      </c>
      <c r="E6523" t="s">
        <v>159</v>
      </c>
      <c r="F6523" s="1">
        <v>42985</v>
      </c>
      <c r="G6523" s="1">
        <v>43056</v>
      </c>
      <c r="H6523">
        <v>0</v>
      </c>
      <c r="I6523" t="str">
        <f>IF(COUNTIF(Products!$A$2:$A$8,C6523)=0,C6523,"")</f>
        <v/>
      </c>
      <c r="J6523">
        <f>IF(OR(E6523="Prospecting",E6523="Engaging"),VLOOKUP(C6523,Products!$A$2:$C$8,3,FALSE),0)</f>
        <v>0</v>
      </c>
    </row>
    <row r="6524" spans="1:10" x14ac:dyDescent="0.25">
      <c r="A6524" t="s">
        <v>6691</v>
      </c>
      <c r="B6524" t="s">
        <v>144</v>
      </c>
      <c r="C6524" t="s">
        <v>120</v>
      </c>
      <c r="D6524" t="s">
        <v>75</v>
      </c>
      <c r="E6524" t="s">
        <v>155</v>
      </c>
      <c r="F6524" s="1">
        <v>42985</v>
      </c>
      <c r="I6524" t="str">
        <f>IF(COUNTIF(Products!$A$2:$A$8,C6524)=0,C6524,"")</f>
        <v/>
      </c>
      <c r="J6524">
        <f>IF(OR(E6524="Prospecting",E6524="Engaging"),VLOOKUP(C6524,Products!$A$2:$C$8,3,FALSE),0)</f>
        <v>550</v>
      </c>
    </row>
    <row r="6525" spans="1:10" x14ac:dyDescent="0.25">
      <c r="A6525" t="s">
        <v>6692</v>
      </c>
      <c r="B6525" t="s">
        <v>144</v>
      </c>
      <c r="C6525" t="s">
        <v>120</v>
      </c>
      <c r="D6525" t="s">
        <v>39</v>
      </c>
      <c r="E6525" t="s">
        <v>138</v>
      </c>
      <c r="F6525" s="1">
        <v>42985</v>
      </c>
      <c r="G6525" s="1">
        <v>43065</v>
      </c>
      <c r="H6525">
        <v>458</v>
      </c>
      <c r="I6525" t="str">
        <f>IF(COUNTIF(Products!$A$2:$A$8,C6525)=0,C6525,"")</f>
        <v/>
      </c>
      <c r="J6525">
        <f>IF(OR(E6525="Prospecting",E6525="Engaging"),VLOOKUP(C6525,Products!$A$2:$C$8,3,FALSE),0)</f>
        <v>0</v>
      </c>
    </row>
    <row r="6526" spans="1:10" x14ac:dyDescent="0.25">
      <c r="A6526" t="s">
        <v>6693</v>
      </c>
      <c r="B6526" t="s">
        <v>144</v>
      </c>
      <c r="C6526" t="s">
        <v>123</v>
      </c>
      <c r="D6526" t="s">
        <v>27</v>
      </c>
      <c r="E6526" t="s">
        <v>138</v>
      </c>
      <c r="F6526" s="1">
        <v>42985</v>
      </c>
      <c r="G6526" s="1">
        <v>43069</v>
      </c>
      <c r="H6526">
        <v>61</v>
      </c>
      <c r="I6526" t="str">
        <f>IF(COUNTIF(Products!$A$2:$A$8,C6526)=0,C6526,"")</f>
        <v/>
      </c>
      <c r="J6526">
        <f>IF(OR(E6526="Prospecting",E6526="Engaging"),VLOOKUP(C6526,Products!$A$2:$C$8,3,FALSE),0)</f>
        <v>0</v>
      </c>
    </row>
    <row r="6527" spans="1:10" x14ac:dyDescent="0.25">
      <c r="A6527" t="s">
        <v>6694</v>
      </c>
      <c r="B6527" t="s">
        <v>146</v>
      </c>
      <c r="C6527" t="s">
        <v>123</v>
      </c>
      <c r="D6527" t="s">
        <v>104</v>
      </c>
      <c r="E6527" t="s">
        <v>159</v>
      </c>
      <c r="F6527" s="1">
        <v>42986</v>
      </c>
      <c r="G6527" s="1">
        <v>43086</v>
      </c>
      <c r="H6527">
        <v>0</v>
      </c>
      <c r="I6527" t="str">
        <f>IF(COUNTIF(Products!$A$2:$A$8,C6527)=0,C6527,"")</f>
        <v/>
      </c>
      <c r="J6527">
        <f>IF(OR(E6527="Prospecting",E6527="Engaging"),VLOOKUP(C6527,Products!$A$2:$C$8,3,FALSE),0)</f>
        <v>0</v>
      </c>
    </row>
    <row r="6528" spans="1:10" x14ac:dyDescent="0.25">
      <c r="A6528" t="s">
        <v>6695</v>
      </c>
      <c r="B6528" t="s">
        <v>146</v>
      </c>
      <c r="C6528" t="s">
        <v>126</v>
      </c>
      <c r="D6528" t="s">
        <v>46</v>
      </c>
      <c r="E6528" t="s">
        <v>138</v>
      </c>
      <c r="F6528" s="1">
        <v>42986</v>
      </c>
      <c r="G6528" s="1">
        <v>43002</v>
      </c>
      <c r="H6528">
        <v>5600</v>
      </c>
      <c r="I6528" t="str">
        <f>IF(COUNTIF(Products!$A$2:$A$8,C6528)=0,C6528,"")</f>
        <v/>
      </c>
      <c r="J6528">
        <f>IF(OR(E6528="Prospecting",E6528="Engaging"),VLOOKUP(C6528,Products!$A$2:$C$8,3,FALSE),0)</f>
        <v>0</v>
      </c>
    </row>
    <row r="6529" spans="1:10" x14ac:dyDescent="0.25">
      <c r="A6529" t="s">
        <v>6696</v>
      </c>
      <c r="B6529" t="s">
        <v>222</v>
      </c>
      <c r="C6529" t="s">
        <v>126</v>
      </c>
      <c r="D6529" t="s">
        <v>105</v>
      </c>
      <c r="E6529" t="s">
        <v>159</v>
      </c>
      <c r="F6529" s="1">
        <v>42986</v>
      </c>
      <c r="G6529" s="1">
        <v>43058</v>
      </c>
      <c r="H6529">
        <v>0</v>
      </c>
      <c r="I6529" t="str">
        <f>IF(COUNTIF(Products!$A$2:$A$8,C6529)=0,C6529,"")</f>
        <v/>
      </c>
      <c r="J6529">
        <f>IF(OR(E6529="Prospecting",E6529="Engaging"),VLOOKUP(C6529,Products!$A$2:$C$8,3,FALSE),0)</f>
        <v>0</v>
      </c>
    </row>
    <row r="6530" spans="1:10" x14ac:dyDescent="0.25">
      <c r="A6530" t="s">
        <v>6697</v>
      </c>
      <c r="B6530" t="s">
        <v>222</v>
      </c>
      <c r="C6530" t="s">
        <v>127</v>
      </c>
      <c r="D6530" t="s">
        <v>115</v>
      </c>
      <c r="E6530" t="s">
        <v>138</v>
      </c>
      <c r="F6530" s="1">
        <v>42986</v>
      </c>
      <c r="G6530" s="1">
        <v>43086</v>
      </c>
      <c r="H6530">
        <v>1259</v>
      </c>
      <c r="I6530" t="str">
        <f>IF(COUNTIF(Products!$A$2:$A$8,C6530)=0,C6530,"")</f>
        <v/>
      </c>
      <c r="J6530">
        <f>IF(OR(E6530="Prospecting",E6530="Engaging"),VLOOKUP(C6530,Products!$A$2:$C$8,3,FALSE),0)</f>
        <v>0</v>
      </c>
    </row>
    <row r="6531" spans="1:10" x14ac:dyDescent="0.25">
      <c r="A6531" t="s">
        <v>6698</v>
      </c>
      <c r="B6531" t="s">
        <v>222</v>
      </c>
      <c r="C6531" t="s">
        <v>127</v>
      </c>
      <c r="D6531" t="s">
        <v>115</v>
      </c>
      <c r="E6531" t="s">
        <v>138</v>
      </c>
      <c r="F6531" s="1">
        <v>42986</v>
      </c>
      <c r="G6531" s="1">
        <v>42992</v>
      </c>
      <c r="H6531">
        <v>1114</v>
      </c>
      <c r="I6531" t="str">
        <f>IF(COUNTIF(Products!$A$2:$A$8,C6531)=0,C6531,"")</f>
        <v/>
      </c>
      <c r="J6531">
        <f>IF(OR(E6531="Prospecting",E6531="Engaging"),VLOOKUP(C6531,Products!$A$2:$C$8,3,FALSE),0)</f>
        <v>0</v>
      </c>
    </row>
    <row r="6532" spans="1:10" x14ac:dyDescent="0.25">
      <c r="A6532" t="s">
        <v>6699</v>
      </c>
      <c r="B6532" t="s">
        <v>222</v>
      </c>
      <c r="C6532" t="s">
        <v>123</v>
      </c>
      <c r="D6532" t="s">
        <v>68</v>
      </c>
      <c r="E6532" t="s">
        <v>138</v>
      </c>
      <c r="F6532" s="1">
        <v>42986</v>
      </c>
      <c r="G6532" s="1">
        <v>43064</v>
      </c>
      <c r="H6532">
        <v>57</v>
      </c>
      <c r="I6532" t="str">
        <f>IF(COUNTIF(Products!$A$2:$A$8,C6532)=0,C6532,"")</f>
        <v/>
      </c>
      <c r="J6532">
        <f>IF(OR(E6532="Prospecting",E6532="Engaging"),VLOOKUP(C6532,Products!$A$2:$C$8,3,FALSE),0)</f>
        <v>0</v>
      </c>
    </row>
    <row r="6533" spans="1:10" x14ac:dyDescent="0.25">
      <c r="A6533" t="s">
        <v>6700</v>
      </c>
      <c r="B6533" t="s">
        <v>207</v>
      </c>
      <c r="C6533" t="s">
        <v>127</v>
      </c>
      <c r="D6533" t="s">
        <v>35</v>
      </c>
      <c r="E6533" t="s">
        <v>159</v>
      </c>
      <c r="F6533" s="1">
        <v>42986</v>
      </c>
      <c r="G6533" s="1">
        <v>43064</v>
      </c>
      <c r="H6533">
        <v>0</v>
      </c>
      <c r="I6533" t="str">
        <f>IF(COUNTIF(Products!$A$2:$A$8,C6533)=0,C6533,"")</f>
        <v/>
      </c>
      <c r="J6533">
        <f>IF(OR(E6533="Prospecting",E6533="Engaging"),VLOOKUP(C6533,Products!$A$2:$C$8,3,FALSE),0)</f>
        <v>0</v>
      </c>
    </row>
    <row r="6534" spans="1:10" x14ac:dyDescent="0.25">
      <c r="A6534" t="s">
        <v>6701</v>
      </c>
      <c r="B6534" t="s">
        <v>264</v>
      </c>
      <c r="C6534" t="s">
        <v>123</v>
      </c>
      <c r="D6534" t="s">
        <v>91</v>
      </c>
      <c r="E6534" t="s">
        <v>159</v>
      </c>
      <c r="F6534" s="1">
        <v>42986</v>
      </c>
      <c r="G6534" s="1">
        <v>43056</v>
      </c>
      <c r="H6534">
        <v>0</v>
      </c>
      <c r="I6534" t="str">
        <f>IF(COUNTIF(Products!$A$2:$A$8,C6534)=0,C6534,"")</f>
        <v/>
      </c>
      <c r="J6534">
        <f>IF(OR(E6534="Prospecting",E6534="Engaging"),VLOOKUP(C6534,Products!$A$2:$C$8,3,FALSE),0)</f>
        <v>0</v>
      </c>
    </row>
    <row r="6535" spans="1:10" x14ac:dyDescent="0.25">
      <c r="A6535" t="s">
        <v>6702</v>
      </c>
      <c r="B6535" t="s">
        <v>239</v>
      </c>
      <c r="C6535" t="s">
        <v>122</v>
      </c>
      <c r="D6535" t="s">
        <v>19</v>
      </c>
      <c r="E6535" t="s">
        <v>159</v>
      </c>
      <c r="F6535" s="1">
        <v>42986</v>
      </c>
      <c r="G6535" s="1">
        <v>43099</v>
      </c>
      <c r="H6535">
        <v>0</v>
      </c>
      <c r="I6535" t="str">
        <f>IF(COUNTIF(Products!$A$2:$A$8,C6535)=0,C6535,"")</f>
        <v/>
      </c>
      <c r="J6535">
        <f>IF(OR(E6535="Prospecting",E6535="Engaging"),VLOOKUP(C6535,Products!$A$2:$C$8,3,FALSE),0)</f>
        <v>0</v>
      </c>
    </row>
    <row r="6536" spans="1:10" x14ac:dyDescent="0.25">
      <c r="A6536" t="s">
        <v>6703</v>
      </c>
      <c r="B6536" t="s">
        <v>171</v>
      </c>
      <c r="C6536" t="s">
        <v>122</v>
      </c>
      <c r="D6536" t="s">
        <v>10</v>
      </c>
      <c r="E6536" t="s">
        <v>159</v>
      </c>
      <c r="F6536" s="1">
        <v>42986</v>
      </c>
      <c r="G6536" s="1">
        <v>42997</v>
      </c>
      <c r="H6536">
        <v>0</v>
      </c>
      <c r="I6536" t="str">
        <f>IF(COUNTIF(Products!$A$2:$A$8,C6536)=0,C6536,"")</f>
        <v/>
      </c>
      <c r="J6536">
        <f>IF(OR(E6536="Prospecting",E6536="Engaging"),VLOOKUP(C6536,Products!$A$2:$C$8,3,FALSE),0)</f>
        <v>0</v>
      </c>
    </row>
    <row r="6537" spans="1:10" x14ac:dyDescent="0.25">
      <c r="A6537" t="s">
        <v>6704</v>
      </c>
      <c r="B6537" t="s">
        <v>140</v>
      </c>
      <c r="C6537" t="s">
        <v>125</v>
      </c>
      <c r="D6537" t="s">
        <v>46</v>
      </c>
      <c r="E6537" t="s">
        <v>138</v>
      </c>
      <c r="F6537" s="1">
        <v>42986</v>
      </c>
      <c r="G6537" s="1">
        <v>42988</v>
      </c>
      <c r="H6537">
        <v>3346</v>
      </c>
      <c r="I6537" t="str">
        <f>IF(COUNTIF(Products!$A$2:$A$8,C6537)=0,C6537,"")</f>
        <v/>
      </c>
      <c r="J6537">
        <f>IF(OR(E6537="Prospecting",E6537="Engaging"),VLOOKUP(C6537,Products!$A$2:$C$8,3,FALSE),0)</f>
        <v>0</v>
      </c>
    </row>
    <row r="6538" spans="1:10" x14ac:dyDescent="0.25">
      <c r="A6538" t="s">
        <v>6705</v>
      </c>
      <c r="B6538" t="s">
        <v>224</v>
      </c>
      <c r="C6538" t="s">
        <v>120</v>
      </c>
      <c r="D6538" t="s">
        <v>67</v>
      </c>
      <c r="E6538" t="s">
        <v>159</v>
      </c>
      <c r="F6538" s="1">
        <v>42986</v>
      </c>
      <c r="G6538" s="1">
        <v>42996</v>
      </c>
      <c r="H6538">
        <v>0</v>
      </c>
      <c r="I6538" t="str">
        <f>IF(COUNTIF(Products!$A$2:$A$8,C6538)=0,C6538,"")</f>
        <v/>
      </c>
      <c r="J6538">
        <f>IF(OR(E6538="Prospecting",E6538="Engaging"),VLOOKUP(C6538,Products!$A$2:$C$8,3,FALSE),0)</f>
        <v>0</v>
      </c>
    </row>
    <row r="6539" spans="1:10" x14ac:dyDescent="0.25">
      <c r="A6539" t="s">
        <v>6706</v>
      </c>
      <c r="B6539" t="s">
        <v>224</v>
      </c>
      <c r="C6539" t="s">
        <v>120</v>
      </c>
      <c r="D6539" t="s">
        <v>67</v>
      </c>
      <c r="E6539" t="s">
        <v>159</v>
      </c>
      <c r="F6539" s="1">
        <v>42986</v>
      </c>
      <c r="G6539" s="1">
        <v>43000</v>
      </c>
      <c r="H6539">
        <v>0</v>
      </c>
      <c r="I6539" t="str">
        <f>IF(COUNTIF(Products!$A$2:$A$8,C6539)=0,C6539,"")</f>
        <v/>
      </c>
      <c r="J6539">
        <f>IF(OR(E6539="Prospecting",E6539="Engaging"),VLOOKUP(C6539,Products!$A$2:$C$8,3,FALSE),0)</f>
        <v>0</v>
      </c>
    </row>
    <row r="6540" spans="1:10" x14ac:dyDescent="0.25">
      <c r="A6540" t="s">
        <v>6707</v>
      </c>
      <c r="B6540" t="s">
        <v>224</v>
      </c>
      <c r="C6540" t="s">
        <v>125</v>
      </c>
      <c r="D6540" t="s">
        <v>80</v>
      </c>
      <c r="E6540" t="s">
        <v>159</v>
      </c>
      <c r="F6540" s="1">
        <v>42986</v>
      </c>
      <c r="G6540" s="1">
        <v>42994</v>
      </c>
      <c r="H6540">
        <v>0</v>
      </c>
      <c r="I6540" t="str">
        <f>IF(COUNTIF(Products!$A$2:$A$8,C6540)=0,C6540,"")</f>
        <v/>
      </c>
      <c r="J6540">
        <f>IF(OR(E6540="Prospecting",E6540="Engaging"),VLOOKUP(C6540,Products!$A$2:$C$8,3,FALSE),0)</f>
        <v>0</v>
      </c>
    </row>
    <row r="6541" spans="1:10" x14ac:dyDescent="0.25">
      <c r="A6541" t="s">
        <v>6708</v>
      </c>
      <c r="B6541" t="s">
        <v>173</v>
      </c>
      <c r="C6541" t="s">
        <v>120</v>
      </c>
      <c r="D6541" t="s">
        <v>57</v>
      </c>
      <c r="E6541" t="s">
        <v>159</v>
      </c>
      <c r="F6541" s="1">
        <v>42986</v>
      </c>
      <c r="G6541" s="1">
        <v>43064</v>
      </c>
      <c r="H6541">
        <v>0</v>
      </c>
      <c r="I6541" t="str">
        <f>IF(COUNTIF(Products!$A$2:$A$8,C6541)=0,C6541,"")</f>
        <v/>
      </c>
      <c r="J6541">
        <f>IF(OR(E6541="Prospecting",E6541="Engaging"),VLOOKUP(C6541,Products!$A$2:$C$8,3,FALSE),0)</f>
        <v>0</v>
      </c>
    </row>
    <row r="6542" spans="1:10" x14ac:dyDescent="0.25">
      <c r="A6542" t="s">
        <v>6709</v>
      </c>
      <c r="B6542" t="s">
        <v>154</v>
      </c>
      <c r="C6542" t="s">
        <v>122</v>
      </c>
      <c r="E6542" t="s">
        <v>155</v>
      </c>
      <c r="F6542" s="1">
        <v>42986</v>
      </c>
      <c r="I6542" t="str">
        <f>IF(COUNTIF(Products!$A$2:$A$8,C6542)=0,C6542,"")</f>
        <v/>
      </c>
      <c r="J6542">
        <f>IF(OR(E6542="Prospecting",E6542="Engaging"),VLOOKUP(C6542,Products!$A$2:$C$8,3,FALSE),0)</f>
        <v>4821</v>
      </c>
    </row>
    <row r="6543" spans="1:10" x14ac:dyDescent="0.25">
      <c r="A6543" t="s">
        <v>6710</v>
      </c>
      <c r="B6543" t="s">
        <v>154</v>
      </c>
      <c r="C6543" t="s">
        <v>125</v>
      </c>
      <c r="E6543" t="s">
        <v>155</v>
      </c>
      <c r="F6543" s="1">
        <v>42986</v>
      </c>
      <c r="I6543" t="str">
        <f>IF(COUNTIF(Products!$A$2:$A$8,C6543)=0,C6543,"")</f>
        <v/>
      </c>
      <c r="J6543">
        <f>IF(OR(E6543="Prospecting",E6543="Engaging"),VLOOKUP(C6543,Products!$A$2:$C$8,3,FALSE),0)</f>
        <v>3393</v>
      </c>
    </row>
    <row r="6544" spans="1:10" x14ac:dyDescent="0.25">
      <c r="A6544" t="s">
        <v>6711</v>
      </c>
      <c r="B6544" t="s">
        <v>154</v>
      </c>
      <c r="C6544" t="s">
        <v>120</v>
      </c>
      <c r="D6544" t="s">
        <v>78</v>
      </c>
      <c r="E6544" t="s">
        <v>138</v>
      </c>
      <c r="F6544" s="1">
        <v>42986</v>
      </c>
      <c r="G6544" s="1">
        <v>43043</v>
      </c>
      <c r="H6544">
        <v>546</v>
      </c>
      <c r="I6544" t="str">
        <f>IF(COUNTIF(Products!$A$2:$A$8,C6544)=0,C6544,"")</f>
        <v/>
      </c>
      <c r="J6544">
        <f>IF(OR(E6544="Prospecting",E6544="Engaging"),VLOOKUP(C6544,Products!$A$2:$C$8,3,FALSE),0)</f>
        <v>0</v>
      </c>
    </row>
    <row r="6545" spans="1:10" x14ac:dyDescent="0.25">
      <c r="A6545" t="s">
        <v>6712</v>
      </c>
      <c r="B6545" t="s">
        <v>303</v>
      </c>
      <c r="C6545" t="s">
        <v>120</v>
      </c>
      <c r="D6545" t="s">
        <v>14</v>
      </c>
      <c r="E6545" t="s">
        <v>159</v>
      </c>
      <c r="F6545" s="1">
        <v>42986</v>
      </c>
      <c r="G6545" s="1">
        <v>43043</v>
      </c>
      <c r="H6545">
        <v>0</v>
      </c>
      <c r="I6545" t="str">
        <f>IF(COUNTIF(Products!$A$2:$A$8,C6545)=0,C6545,"")</f>
        <v/>
      </c>
      <c r="J6545">
        <f>IF(OR(E6545="Prospecting",E6545="Engaging"),VLOOKUP(C6545,Products!$A$2:$C$8,3,FALSE),0)</f>
        <v>0</v>
      </c>
    </row>
    <row r="6546" spans="1:10" x14ac:dyDescent="0.25">
      <c r="A6546" t="s">
        <v>6713</v>
      </c>
      <c r="B6546" t="s">
        <v>180</v>
      </c>
      <c r="C6546" t="s">
        <v>120</v>
      </c>
      <c r="D6546" t="s">
        <v>23</v>
      </c>
      <c r="E6546" t="s">
        <v>159</v>
      </c>
      <c r="F6546" s="1">
        <v>42986</v>
      </c>
      <c r="G6546" s="1">
        <v>43053</v>
      </c>
      <c r="H6546">
        <v>0</v>
      </c>
      <c r="I6546" t="str">
        <f>IF(COUNTIF(Products!$A$2:$A$8,C6546)=0,C6546,"")</f>
        <v/>
      </c>
      <c r="J6546">
        <f>IF(OR(E6546="Prospecting",E6546="Engaging"),VLOOKUP(C6546,Products!$A$2:$C$8,3,FALSE),0)</f>
        <v>0</v>
      </c>
    </row>
    <row r="6547" spans="1:10" x14ac:dyDescent="0.25">
      <c r="A6547" t="s">
        <v>6714</v>
      </c>
      <c r="B6547" t="s">
        <v>180</v>
      </c>
      <c r="C6547" t="s">
        <v>120</v>
      </c>
      <c r="D6547" t="s">
        <v>44</v>
      </c>
      <c r="E6547" t="s">
        <v>138</v>
      </c>
      <c r="F6547" s="1">
        <v>42986</v>
      </c>
      <c r="G6547" s="1">
        <v>43063</v>
      </c>
      <c r="H6547">
        <v>596</v>
      </c>
      <c r="I6547" t="str">
        <f>IF(COUNTIF(Products!$A$2:$A$8,C6547)=0,C6547,"")</f>
        <v/>
      </c>
      <c r="J6547">
        <f>IF(OR(E6547="Prospecting",E6547="Engaging"),VLOOKUP(C6547,Products!$A$2:$C$8,3,FALSE),0)</f>
        <v>0</v>
      </c>
    </row>
    <row r="6548" spans="1:10" x14ac:dyDescent="0.25">
      <c r="A6548" t="s">
        <v>6715</v>
      </c>
      <c r="B6548" t="s">
        <v>191</v>
      </c>
      <c r="C6548" t="s">
        <v>127</v>
      </c>
      <c r="D6548" t="s">
        <v>41</v>
      </c>
      <c r="E6548" t="s">
        <v>159</v>
      </c>
      <c r="F6548" s="1">
        <v>42986</v>
      </c>
      <c r="G6548" s="1">
        <v>43090</v>
      </c>
      <c r="H6548">
        <v>0</v>
      </c>
      <c r="I6548" t="str">
        <f>IF(COUNTIF(Products!$A$2:$A$8,C6548)=0,C6548,"")</f>
        <v/>
      </c>
      <c r="J6548">
        <f>IF(OR(E6548="Prospecting",E6548="Engaging"),VLOOKUP(C6548,Products!$A$2:$C$8,3,FALSE),0)</f>
        <v>0</v>
      </c>
    </row>
    <row r="6549" spans="1:10" x14ac:dyDescent="0.25">
      <c r="A6549" t="s">
        <v>6716</v>
      </c>
      <c r="B6549" t="s">
        <v>191</v>
      </c>
      <c r="C6549" t="s">
        <v>127</v>
      </c>
      <c r="D6549" t="s">
        <v>38</v>
      </c>
      <c r="E6549" t="s">
        <v>138</v>
      </c>
      <c r="F6549" s="1">
        <v>42986</v>
      </c>
      <c r="G6549" s="1">
        <v>43077</v>
      </c>
      <c r="H6549">
        <v>1171</v>
      </c>
      <c r="I6549" t="str">
        <f>IF(COUNTIF(Products!$A$2:$A$8,C6549)=0,C6549,"")</f>
        <v/>
      </c>
      <c r="J6549">
        <f>IF(OR(E6549="Prospecting",E6549="Engaging"),VLOOKUP(C6549,Products!$A$2:$C$8,3,FALSE),0)</f>
        <v>0</v>
      </c>
    </row>
    <row r="6550" spans="1:10" x14ac:dyDescent="0.25">
      <c r="A6550" t="s">
        <v>6717</v>
      </c>
      <c r="B6550" t="s">
        <v>205</v>
      </c>
      <c r="C6550" t="s">
        <v>127</v>
      </c>
      <c r="D6550" t="s">
        <v>53</v>
      </c>
      <c r="E6550" t="s">
        <v>138</v>
      </c>
      <c r="F6550" s="1">
        <v>42986</v>
      </c>
      <c r="G6550" s="1">
        <v>43072</v>
      </c>
      <c r="H6550">
        <v>1021</v>
      </c>
      <c r="I6550" t="str">
        <f>IF(COUNTIF(Products!$A$2:$A$8,C6550)=0,C6550,"")</f>
        <v/>
      </c>
      <c r="J6550">
        <f>IF(OR(E6550="Prospecting",E6550="Engaging"),VLOOKUP(C6550,Products!$A$2:$C$8,3,FALSE),0)</f>
        <v>0</v>
      </c>
    </row>
    <row r="6551" spans="1:10" x14ac:dyDescent="0.25">
      <c r="A6551" t="s">
        <v>6718</v>
      </c>
      <c r="B6551" t="s">
        <v>162</v>
      </c>
      <c r="C6551" t="s">
        <v>123</v>
      </c>
      <c r="E6551" t="s">
        <v>155</v>
      </c>
      <c r="F6551" s="1">
        <v>42986</v>
      </c>
      <c r="I6551" t="str">
        <f>IF(COUNTIF(Products!$A$2:$A$8,C6551)=0,C6551,"")</f>
        <v/>
      </c>
      <c r="J6551">
        <f>IF(OR(E6551="Prospecting",E6551="Engaging"),VLOOKUP(C6551,Products!$A$2:$C$8,3,FALSE),0)</f>
        <v>55</v>
      </c>
    </row>
    <row r="6552" spans="1:10" x14ac:dyDescent="0.25">
      <c r="A6552" t="s">
        <v>6719</v>
      </c>
      <c r="B6552" t="s">
        <v>193</v>
      </c>
      <c r="C6552" t="s">
        <v>125</v>
      </c>
      <c r="D6552" t="s">
        <v>67</v>
      </c>
      <c r="E6552" t="s">
        <v>159</v>
      </c>
      <c r="F6552" s="1">
        <v>42986</v>
      </c>
      <c r="G6552" s="1">
        <v>43056</v>
      </c>
      <c r="H6552">
        <v>0</v>
      </c>
      <c r="I6552" t="str">
        <f>IF(COUNTIF(Products!$A$2:$A$8,C6552)=0,C6552,"")</f>
        <v/>
      </c>
      <c r="J6552">
        <f>IF(OR(E6552="Prospecting",E6552="Engaging"),VLOOKUP(C6552,Products!$A$2:$C$8,3,FALSE),0)</f>
        <v>0</v>
      </c>
    </row>
    <row r="6553" spans="1:10" x14ac:dyDescent="0.25">
      <c r="A6553" t="s">
        <v>6720</v>
      </c>
      <c r="B6553" t="s">
        <v>187</v>
      </c>
      <c r="C6553" t="s">
        <v>126</v>
      </c>
      <c r="D6553" t="s">
        <v>35</v>
      </c>
      <c r="E6553" t="s">
        <v>159</v>
      </c>
      <c r="F6553" s="1">
        <v>42986</v>
      </c>
      <c r="G6553" s="1">
        <v>43071</v>
      </c>
      <c r="H6553">
        <v>0</v>
      </c>
      <c r="I6553" t="str">
        <f>IF(COUNTIF(Products!$A$2:$A$8,C6553)=0,C6553,"")</f>
        <v/>
      </c>
      <c r="J6553">
        <f>IF(OR(E6553="Prospecting",E6553="Engaging"),VLOOKUP(C6553,Products!$A$2:$C$8,3,FALSE),0)</f>
        <v>0</v>
      </c>
    </row>
    <row r="6554" spans="1:10" x14ac:dyDescent="0.25">
      <c r="A6554" t="s">
        <v>6721</v>
      </c>
      <c r="B6554" t="s">
        <v>144</v>
      </c>
      <c r="C6554" t="s">
        <v>123</v>
      </c>
      <c r="D6554" t="s">
        <v>38</v>
      </c>
      <c r="E6554" t="s">
        <v>159</v>
      </c>
      <c r="F6554" s="1">
        <v>42986</v>
      </c>
      <c r="G6554" s="1">
        <v>43043</v>
      </c>
      <c r="H6554">
        <v>0</v>
      </c>
      <c r="I6554" t="str">
        <f>IF(COUNTIF(Products!$A$2:$A$8,C6554)=0,C6554,"")</f>
        <v/>
      </c>
      <c r="J6554">
        <f>IF(OR(E6554="Prospecting",E6554="Engaging"),VLOOKUP(C6554,Products!$A$2:$C$8,3,FALSE),0)</f>
        <v>0</v>
      </c>
    </row>
    <row r="6555" spans="1:10" x14ac:dyDescent="0.25">
      <c r="A6555" t="s">
        <v>6722</v>
      </c>
      <c r="B6555" t="s">
        <v>144</v>
      </c>
      <c r="C6555" t="s">
        <v>125</v>
      </c>
      <c r="D6555" t="s">
        <v>67</v>
      </c>
      <c r="E6555" t="s">
        <v>159</v>
      </c>
      <c r="F6555" s="1">
        <v>42986</v>
      </c>
      <c r="G6555" s="1">
        <v>43083</v>
      </c>
      <c r="H6555">
        <v>0</v>
      </c>
      <c r="I6555" t="str">
        <f>IF(COUNTIF(Products!$A$2:$A$8,C6555)=0,C6555,"")</f>
        <v/>
      </c>
      <c r="J6555">
        <f>IF(OR(E6555="Prospecting",E6555="Engaging"),VLOOKUP(C6555,Products!$A$2:$C$8,3,FALSE),0)</f>
        <v>0</v>
      </c>
    </row>
    <row r="6556" spans="1:10" x14ac:dyDescent="0.25">
      <c r="A6556" t="s">
        <v>6723</v>
      </c>
      <c r="B6556" t="s">
        <v>222</v>
      </c>
      <c r="C6556" t="s">
        <v>122</v>
      </c>
      <c r="D6556" t="s">
        <v>73</v>
      </c>
      <c r="E6556" t="s">
        <v>138</v>
      </c>
      <c r="F6556" s="1">
        <v>42987</v>
      </c>
      <c r="G6556" s="1">
        <v>43000</v>
      </c>
      <c r="H6556">
        <v>4609</v>
      </c>
      <c r="I6556" t="str">
        <f>IF(COUNTIF(Products!$A$2:$A$8,C6556)=0,C6556,"")</f>
        <v/>
      </c>
      <c r="J6556">
        <f>IF(OR(E6556="Prospecting",E6556="Engaging"),VLOOKUP(C6556,Products!$A$2:$C$8,3,FALSE),0)</f>
        <v>0</v>
      </c>
    </row>
    <row r="6557" spans="1:10" x14ac:dyDescent="0.25">
      <c r="A6557" t="s">
        <v>6724</v>
      </c>
      <c r="B6557" t="s">
        <v>207</v>
      </c>
      <c r="C6557" t="s">
        <v>127</v>
      </c>
      <c r="D6557" t="s">
        <v>111</v>
      </c>
      <c r="E6557" t="s">
        <v>159</v>
      </c>
      <c r="F6557" s="1">
        <v>42987</v>
      </c>
      <c r="G6557" s="1">
        <v>43060</v>
      </c>
      <c r="H6557">
        <v>0</v>
      </c>
      <c r="I6557" t="str">
        <f>IF(COUNTIF(Products!$A$2:$A$8,C6557)=0,C6557,"")</f>
        <v/>
      </c>
      <c r="J6557">
        <f>IF(OR(E6557="Prospecting",E6557="Engaging"),VLOOKUP(C6557,Products!$A$2:$C$8,3,FALSE),0)</f>
        <v>0</v>
      </c>
    </row>
    <row r="6558" spans="1:10" x14ac:dyDescent="0.25">
      <c r="A6558" t="s">
        <v>6725</v>
      </c>
      <c r="B6558" t="s">
        <v>264</v>
      </c>
      <c r="C6558" t="s">
        <v>120</v>
      </c>
      <c r="D6558" t="s">
        <v>14</v>
      </c>
      <c r="E6558" t="s">
        <v>138</v>
      </c>
      <c r="F6558" s="1">
        <v>42987</v>
      </c>
      <c r="G6558" s="1">
        <v>43000</v>
      </c>
      <c r="H6558">
        <v>600</v>
      </c>
      <c r="I6558" t="str">
        <f>IF(COUNTIF(Products!$A$2:$A$8,C6558)=0,C6558,"")</f>
        <v/>
      </c>
      <c r="J6558">
        <f>IF(OR(E6558="Prospecting",E6558="Engaging"),VLOOKUP(C6558,Products!$A$2:$C$8,3,FALSE),0)</f>
        <v>0</v>
      </c>
    </row>
    <row r="6559" spans="1:10" x14ac:dyDescent="0.25">
      <c r="A6559" t="s">
        <v>6726</v>
      </c>
      <c r="B6559" t="s">
        <v>239</v>
      </c>
      <c r="C6559" t="s">
        <v>122</v>
      </c>
      <c r="D6559" t="s">
        <v>69</v>
      </c>
      <c r="E6559" t="s">
        <v>138</v>
      </c>
      <c r="F6559" s="1">
        <v>42987</v>
      </c>
      <c r="G6559" s="1">
        <v>42991</v>
      </c>
      <c r="H6559">
        <v>5067</v>
      </c>
      <c r="I6559" t="str">
        <f>IF(COUNTIF(Products!$A$2:$A$8,C6559)=0,C6559,"")</f>
        <v/>
      </c>
      <c r="J6559">
        <f>IF(OR(E6559="Prospecting",E6559="Engaging"),VLOOKUP(C6559,Products!$A$2:$C$8,3,FALSE),0)</f>
        <v>0</v>
      </c>
    </row>
    <row r="6560" spans="1:10" x14ac:dyDescent="0.25">
      <c r="A6560" t="s">
        <v>6727</v>
      </c>
      <c r="B6560" t="s">
        <v>140</v>
      </c>
      <c r="C6560" t="s">
        <v>122</v>
      </c>
      <c r="D6560" t="s">
        <v>91</v>
      </c>
      <c r="E6560" t="s">
        <v>138</v>
      </c>
      <c r="F6560" s="1">
        <v>42987</v>
      </c>
      <c r="G6560" s="1">
        <v>43074</v>
      </c>
      <c r="H6560">
        <v>5127</v>
      </c>
      <c r="I6560" t="str">
        <f>IF(COUNTIF(Products!$A$2:$A$8,C6560)=0,C6560,"")</f>
        <v/>
      </c>
      <c r="J6560">
        <f>IF(OR(E6560="Prospecting",E6560="Engaging"),VLOOKUP(C6560,Products!$A$2:$C$8,3,FALSE),0)</f>
        <v>0</v>
      </c>
    </row>
    <row r="6561" spans="1:10" x14ac:dyDescent="0.25">
      <c r="A6561" t="s">
        <v>6728</v>
      </c>
      <c r="B6561" t="s">
        <v>224</v>
      </c>
      <c r="C6561" t="s">
        <v>120</v>
      </c>
      <c r="D6561" t="s">
        <v>48</v>
      </c>
      <c r="E6561" t="s">
        <v>138</v>
      </c>
      <c r="F6561" s="1">
        <v>42987</v>
      </c>
      <c r="G6561" s="1">
        <v>43095</v>
      </c>
      <c r="H6561">
        <v>547</v>
      </c>
      <c r="I6561" t="str">
        <f>IF(COUNTIF(Products!$A$2:$A$8,C6561)=0,C6561,"")</f>
        <v/>
      </c>
      <c r="J6561">
        <f>IF(OR(E6561="Prospecting",E6561="Engaging"),VLOOKUP(C6561,Products!$A$2:$C$8,3,FALSE),0)</f>
        <v>0</v>
      </c>
    </row>
    <row r="6562" spans="1:10" x14ac:dyDescent="0.25">
      <c r="A6562" t="s">
        <v>6729</v>
      </c>
      <c r="B6562" t="s">
        <v>198</v>
      </c>
      <c r="C6562" t="s">
        <v>126</v>
      </c>
      <c r="D6562" t="s">
        <v>84</v>
      </c>
      <c r="E6562" t="s">
        <v>159</v>
      </c>
      <c r="F6562" s="1">
        <v>42987</v>
      </c>
      <c r="G6562" s="1">
        <v>43005</v>
      </c>
      <c r="H6562">
        <v>0</v>
      </c>
      <c r="I6562" t="str">
        <f>IF(COUNTIF(Products!$A$2:$A$8,C6562)=0,C6562,"")</f>
        <v/>
      </c>
      <c r="J6562">
        <f>IF(OR(E6562="Prospecting",E6562="Engaging"),VLOOKUP(C6562,Products!$A$2:$C$8,3,FALSE),0)</f>
        <v>0</v>
      </c>
    </row>
    <row r="6563" spans="1:10" x14ac:dyDescent="0.25">
      <c r="A6563" t="s">
        <v>6730</v>
      </c>
      <c r="B6563" t="s">
        <v>154</v>
      </c>
      <c r="C6563" t="s">
        <v>127</v>
      </c>
      <c r="D6563" t="s">
        <v>63</v>
      </c>
      <c r="E6563" t="s">
        <v>155</v>
      </c>
      <c r="F6563" s="1">
        <v>42987</v>
      </c>
      <c r="I6563" t="str">
        <f>IF(COUNTIF(Products!$A$2:$A$8,C6563)=0,C6563,"")</f>
        <v/>
      </c>
      <c r="J6563">
        <f>IF(OR(E6563="Prospecting",E6563="Engaging"),VLOOKUP(C6563,Products!$A$2:$C$8,3,FALSE),0)</f>
        <v>1096</v>
      </c>
    </row>
    <row r="6564" spans="1:10" x14ac:dyDescent="0.25">
      <c r="A6564" t="s">
        <v>6731</v>
      </c>
      <c r="B6564" t="s">
        <v>180</v>
      </c>
      <c r="C6564" t="s">
        <v>125</v>
      </c>
      <c r="D6564" t="s">
        <v>39</v>
      </c>
      <c r="E6564" t="s">
        <v>159</v>
      </c>
      <c r="F6564" s="1">
        <v>42987</v>
      </c>
      <c r="G6564" s="1">
        <v>43069</v>
      </c>
      <c r="H6564">
        <v>0</v>
      </c>
      <c r="I6564" t="str">
        <f>IF(COUNTIF(Products!$A$2:$A$8,C6564)=0,C6564,"")</f>
        <v/>
      </c>
      <c r="J6564">
        <f>IF(OR(E6564="Prospecting",E6564="Engaging"),VLOOKUP(C6564,Products!$A$2:$C$8,3,FALSE),0)</f>
        <v>0</v>
      </c>
    </row>
    <row r="6565" spans="1:10" x14ac:dyDescent="0.25">
      <c r="A6565" t="s">
        <v>6732</v>
      </c>
      <c r="B6565" t="s">
        <v>180</v>
      </c>
      <c r="C6565" t="s">
        <v>120</v>
      </c>
      <c r="D6565" t="s">
        <v>39</v>
      </c>
      <c r="E6565" t="s">
        <v>138</v>
      </c>
      <c r="F6565" s="1">
        <v>42987</v>
      </c>
      <c r="G6565" s="1">
        <v>43083</v>
      </c>
      <c r="H6565">
        <v>582</v>
      </c>
      <c r="I6565" t="str">
        <f>IF(COUNTIF(Products!$A$2:$A$8,C6565)=0,C6565,"")</f>
        <v/>
      </c>
      <c r="J6565">
        <f>IF(OR(E6565="Prospecting",E6565="Engaging"),VLOOKUP(C6565,Products!$A$2:$C$8,3,FALSE),0)</f>
        <v>0</v>
      </c>
    </row>
    <row r="6566" spans="1:10" x14ac:dyDescent="0.25">
      <c r="A6566" t="s">
        <v>6733</v>
      </c>
      <c r="B6566" t="s">
        <v>180</v>
      </c>
      <c r="C6566" t="s">
        <v>127</v>
      </c>
      <c r="D6566" t="s">
        <v>66</v>
      </c>
      <c r="E6566" t="s">
        <v>138</v>
      </c>
      <c r="F6566" s="1">
        <v>42987</v>
      </c>
      <c r="G6566" s="1">
        <v>43003</v>
      </c>
      <c r="H6566">
        <v>1047</v>
      </c>
      <c r="I6566" t="str">
        <f>IF(COUNTIF(Products!$A$2:$A$8,C6566)=0,C6566,"")</f>
        <v/>
      </c>
      <c r="J6566">
        <f>IF(OR(E6566="Prospecting",E6566="Engaging"),VLOOKUP(C6566,Products!$A$2:$C$8,3,FALSE),0)</f>
        <v>0</v>
      </c>
    </row>
    <row r="6567" spans="1:10" x14ac:dyDescent="0.25">
      <c r="A6567" t="s">
        <v>6734</v>
      </c>
      <c r="B6567" t="s">
        <v>217</v>
      </c>
      <c r="C6567" t="s">
        <v>123</v>
      </c>
      <c r="D6567" t="s">
        <v>46</v>
      </c>
      <c r="E6567" t="s">
        <v>159</v>
      </c>
      <c r="F6567" s="1">
        <v>42987</v>
      </c>
      <c r="G6567" s="1">
        <v>43060</v>
      </c>
      <c r="H6567">
        <v>0</v>
      </c>
      <c r="I6567" t="str">
        <f>IF(COUNTIF(Products!$A$2:$A$8,C6567)=0,C6567,"")</f>
        <v/>
      </c>
      <c r="J6567">
        <f>IF(OR(E6567="Prospecting",E6567="Engaging"),VLOOKUP(C6567,Products!$A$2:$C$8,3,FALSE),0)</f>
        <v>0</v>
      </c>
    </row>
    <row r="6568" spans="1:10" x14ac:dyDescent="0.25">
      <c r="A6568" t="s">
        <v>6735</v>
      </c>
      <c r="B6568" t="s">
        <v>150</v>
      </c>
      <c r="C6568" t="s">
        <v>127</v>
      </c>
      <c r="E6568" t="s">
        <v>155</v>
      </c>
      <c r="F6568" s="1">
        <v>42987</v>
      </c>
      <c r="I6568" t="str">
        <f>IF(COUNTIF(Products!$A$2:$A$8,C6568)=0,C6568,"")</f>
        <v/>
      </c>
      <c r="J6568">
        <f>IF(OR(E6568="Prospecting",E6568="Engaging"),VLOOKUP(C6568,Products!$A$2:$C$8,3,FALSE),0)</f>
        <v>1096</v>
      </c>
    </row>
    <row r="6569" spans="1:10" x14ac:dyDescent="0.25">
      <c r="A6569" t="s">
        <v>6736</v>
      </c>
      <c r="B6569" t="s">
        <v>152</v>
      </c>
      <c r="C6569" t="s">
        <v>122</v>
      </c>
      <c r="D6569" t="s">
        <v>42</v>
      </c>
      <c r="E6569" t="s">
        <v>159</v>
      </c>
      <c r="F6569" s="1">
        <v>42987</v>
      </c>
      <c r="G6569" s="1">
        <v>43054</v>
      </c>
      <c r="H6569">
        <v>0</v>
      </c>
      <c r="I6569" t="str">
        <f>IF(COUNTIF(Products!$A$2:$A$8,C6569)=0,C6569,"")</f>
        <v/>
      </c>
      <c r="J6569">
        <f>IF(OR(E6569="Prospecting",E6569="Engaging"),VLOOKUP(C6569,Products!$A$2:$C$8,3,FALSE),0)</f>
        <v>0</v>
      </c>
    </row>
    <row r="6570" spans="1:10" x14ac:dyDescent="0.25">
      <c r="A6570" t="s">
        <v>6737</v>
      </c>
      <c r="B6570" t="s">
        <v>152</v>
      </c>
      <c r="C6570" t="s">
        <v>120</v>
      </c>
      <c r="D6570" t="s">
        <v>33</v>
      </c>
      <c r="E6570" t="s">
        <v>138</v>
      </c>
      <c r="F6570" s="1">
        <v>42987</v>
      </c>
      <c r="G6570" s="1">
        <v>43002</v>
      </c>
      <c r="H6570">
        <v>568</v>
      </c>
      <c r="I6570" t="str">
        <f>IF(COUNTIF(Products!$A$2:$A$8,C6570)=0,C6570,"")</f>
        <v/>
      </c>
      <c r="J6570">
        <f>IF(OR(E6570="Prospecting",E6570="Engaging"),VLOOKUP(C6570,Products!$A$2:$C$8,3,FALSE),0)</f>
        <v>0</v>
      </c>
    </row>
    <row r="6571" spans="1:10" x14ac:dyDescent="0.25">
      <c r="A6571" t="s">
        <v>6738</v>
      </c>
      <c r="B6571" t="s">
        <v>152</v>
      </c>
      <c r="C6571" t="s">
        <v>126</v>
      </c>
      <c r="D6571" t="s">
        <v>32</v>
      </c>
      <c r="E6571" t="s">
        <v>138</v>
      </c>
      <c r="F6571" s="1">
        <v>42987</v>
      </c>
      <c r="G6571" s="1">
        <v>43066</v>
      </c>
      <c r="H6571">
        <v>6255</v>
      </c>
      <c r="I6571" t="str">
        <f>IF(COUNTIF(Products!$A$2:$A$8,C6571)=0,C6571,"")</f>
        <v/>
      </c>
      <c r="J6571">
        <f>IF(OR(E6571="Prospecting",E6571="Engaging"),VLOOKUP(C6571,Products!$A$2:$C$8,3,FALSE),0)</f>
        <v>0</v>
      </c>
    </row>
    <row r="6572" spans="1:10" x14ac:dyDescent="0.25">
      <c r="A6572" t="s">
        <v>6739</v>
      </c>
      <c r="B6572" t="s">
        <v>193</v>
      </c>
      <c r="C6572" t="s">
        <v>122</v>
      </c>
      <c r="D6572" t="s">
        <v>20</v>
      </c>
      <c r="E6572" t="s">
        <v>138</v>
      </c>
      <c r="F6572" s="1">
        <v>42987</v>
      </c>
      <c r="G6572" s="1">
        <v>43072</v>
      </c>
      <c r="H6572">
        <v>4647</v>
      </c>
      <c r="I6572" t="str">
        <f>IF(COUNTIF(Products!$A$2:$A$8,C6572)=0,C6572,"")</f>
        <v/>
      </c>
      <c r="J6572">
        <f>IF(OR(E6572="Prospecting",E6572="Engaging"),VLOOKUP(C6572,Products!$A$2:$C$8,3,FALSE),0)</f>
        <v>0</v>
      </c>
    </row>
    <row r="6573" spans="1:10" x14ac:dyDescent="0.25">
      <c r="A6573" t="s">
        <v>6740</v>
      </c>
      <c r="B6573" t="s">
        <v>187</v>
      </c>
      <c r="C6573" t="s">
        <v>122</v>
      </c>
      <c r="D6573" t="s">
        <v>106</v>
      </c>
      <c r="E6573" t="s">
        <v>138</v>
      </c>
      <c r="F6573" s="1">
        <v>42987</v>
      </c>
      <c r="G6573" s="1">
        <v>43047</v>
      </c>
      <c r="H6573">
        <v>5042</v>
      </c>
      <c r="I6573" t="str">
        <f>IF(COUNTIF(Products!$A$2:$A$8,C6573)=0,C6573,"")</f>
        <v/>
      </c>
      <c r="J6573">
        <f>IF(OR(E6573="Prospecting",E6573="Engaging"),VLOOKUP(C6573,Products!$A$2:$C$8,3,FALSE),0)</f>
        <v>0</v>
      </c>
    </row>
    <row r="6574" spans="1:10" x14ac:dyDescent="0.25">
      <c r="A6574" t="s">
        <v>6741</v>
      </c>
      <c r="B6574" t="s">
        <v>169</v>
      </c>
      <c r="C6574" t="s">
        <v>123</v>
      </c>
      <c r="D6574" t="s">
        <v>36</v>
      </c>
      <c r="E6574" t="s">
        <v>138</v>
      </c>
      <c r="F6574" s="1">
        <v>42987</v>
      </c>
      <c r="G6574" s="1">
        <v>43100</v>
      </c>
      <c r="H6574">
        <v>57</v>
      </c>
      <c r="I6574" t="str">
        <f>IF(COUNTIF(Products!$A$2:$A$8,C6574)=0,C6574,"")</f>
        <v/>
      </c>
      <c r="J6574">
        <f>IF(OR(E6574="Prospecting",E6574="Engaging"),VLOOKUP(C6574,Products!$A$2:$C$8,3,FALSE),0)</f>
        <v>0</v>
      </c>
    </row>
    <row r="6575" spans="1:10" x14ac:dyDescent="0.25">
      <c r="A6575" t="s">
        <v>6742</v>
      </c>
      <c r="B6575" t="s">
        <v>169</v>
      </c>
      <c r="C6575" t="s">
        <v>123</v>
      </c>
      <c r="D6575" t="s">
        <v>89</v>
      </c>
      <c r="E6575" t="s">
        <v>138</v>
      </c>
      <c r="F6575" s="1">
        <v>42987</v>
      </c>
      <c r="G6575" s="1">
        <v>43076</v>
      </c>
      <c r="H6575">
        <v>53</v>
      </c>
      <c r="I6575" t="str">
        <f>IF(COUNTIF(Products!$A$2:$A$8,C6575)=0,C6575,"")</f>
        <v/>
      </c>
      <c r="J6575">
        <f>IF(OR(E6575="Prospecting",E6575="Engaging"),VLOOKUP(C6575,Products!$A$2:$C$8,3,FALSE),0)</f>
        <v>0</v>
      </c>
    </row>
    <row r="6576" spans="1:10" x14ac:dyDescent="0.25">
      <c r="A6576" t="s">
        <v>6743</v>
      </c>
      <c r="B6576" t="s">
        <v>169</v>
      </c>
      <c r="C6576" t="s">
        <v>125</v>
      </c>
      <c r="D6576" t="s">
        <v>70</v>
      </c>
      <c r="E6576" t="s">
        <v>138</v>
      </c>
      <c r="F6576" s="1">
        <v>42987</v>
      </c>
      <c r="G6576" s="1">
        <v>43081</v>
      </c>
      <c r="H6576">
        <v>3811</v>
      </c>
      <c r="I6576" t="str">
        <f>IF(COUNTIF(Products!$A$2:$A$8,C6576)=0,C6576,"")</f>
        <v/>
      </c>
      <c r="J6576">
        <f>IF(OR(E6576="Prospecting",E6576="Engaging"),VLOOKUP(C6576,Products!$A$2:$C$8,3,FALSE),0)</f>
        <v>0</v>
      </c>
    </row>
    <row r="6577" spans="1:10" x14ac:dyDescent="0.25">
      <c r="A6577" t="s">
        <v>6744</v>
      </c>
      <c r="B6577" t="s">
        <v>148</v>
      </c>
      <c r="C6577" t="s">
        <v>120</v>
      </c>
      <c r="D6577" t="s">
        <v>61</v>
      </c>
      <c r="E6577" t="s">
        <v>138</v>
      </c>
      <c r="F6577" s="1">
        <v>42987</v>
      </c>
      <c r="G6577" s="1">
        <v>43081</v>
      </c>
      <c r="H6577">
        <v>456</v>
      </c>
      <c r="I6577" t="str">
        <f>IF(COUNTIF(Products!$A$2:$A$8,C6577)=0,C6577,"")</f>
        <v/>
      </c>
      <c r="J6577">
        <f>IF(OR(E6577="Prospecting",E6577="Engaging"),VLOOKUP(C6577,Products!$A$2:$C$8,3,FALSE),0)</f>
        <v>0</v>
      </c>
    </row>
    <row r="6578" spans="1:10" x14ac:dyDescent="0.25">
      <c r="A6578" t="s">
        <v>6745</v>
      </c>
      <c r="B6578" t="s">
        <v>177</v>
      </c>
      <c r="C6578" t="s">
        <v>122</v>
      </c>
      <c r="D6578" t="s">
        <v>73</v>
      </c>
      <c r="E6578" t="s">
        <v>159</v>
      </c>
      <c r="F6578" s="1">
        <v>42987</v>
      </c>
      <c r="G6578" s="1">
        <v>43088</v>
      </c>
      <c r="H6578">
        <v>0</v>
      </c>
      <c r="I6578" t="str">
        <f>IF(COUNTIF(Products!$A$2:$A$8,C6578)=0,C6578,"")</f>
        <v/>
      </c>
      <c r="J6578">
        <f>IF(OR(E6578="Prospecting",E6578="Engaging"),VLOOKUP(C6578,Products!$A$2:$C$8,3,FALSE),0)</f>
        <v>0</v>
      </c>
    </row>
    <row r="6579" spans="1:10" x14ac:dyDescent="0.25">
      <c r="A6579" t="s">
        <v>6746</v>
      </c>
      <c r="B6579" t="s">
        <v>207</v>
      </c>
      <c r="C6579" t="s">
        <v>125</v>
      </c>
      <c r="D6579" t="s">
        <v>108</v>
      </c>
      <c r="E6579" t="s">
        <v>138</v>
      </c>
      <c r="F6579" s="1">
        <v>42988</v>
      </c>
      <c r="G6579" s="1">
        <v>43074</v>
      </c>
      <c r="H6579">
        <v>3371</v>
      </c>
      <c r="I6579" t="str">
        <f>IF(COUNTIF(Products!$A$2:$A$8,C6579)=0,C6579,"")</f>
        <v/>
      </c>
      <c r="J6579">
        <f>IF(OR(E6579="Prospecting",E6579="Engaging"),VLOOKUP(C6579,Products!$A$2:$C$8,3,FALSE),0)</f>
        <v>0</v>
      </c>
    </row>
    <row r="6580" spans="1:10" x14ac:dyDescent="0.25">
      <c r="A6580" t="s">
        <v>6747</v>
      </c>
      <c r="B6580" t="s">
        <v>264</v>
      </c>
      <c r="C6580" t="s">
        <v>127</v>
      </c>
      <c r="D6580" t="s">
        <v>104</v>
      </c>
      <c r="E6580" t="s">
        <v>138</v>
      </c>
      <c r="F6580" s="1">
        <v>42988</v>
      </c>
      <c r="G6580" s="1">
        <v>43068</v>
      </c>
      <c r="H6580">
        <v>1151</v>
      </c>
      <c r="I6580" t="str">
        <f>IF(COUNTIF(Products!$A$2:$A$8,C6580)=0,C6580,"")</f>
        <v/>
      </c>
      <c r="J6580">
        <f>IF(OR(E6580="Prospecting",E6580="Engaging"),VLOOKUP(C6580,Products!$A$2:$C$8,3,FALSE),0)</f>
        <v>0</v>
      </c>
    </row>
    <row r="6581" spans="1:10" x14ac:dyDescent="0.25">
      <c r="A6581" t="s">
        <v>6748</v>
      </c>
      <c r="B6581" t="s">
        <v>264</v>
      </c>
      <c r="C6581" t="s">
        <v>125</v>
      </c>
      <c r="D6581" t="s">
        <v>91</v>
      </c>
      <c r="E6581" t="s">
        <v>138</v>
      </c>
      <c r="F6581" s="1">
        <v>42988</v>
      </c>
      <c r="G6581" s="1">
        <v>43094</v>
      </c>
      <c r="H6581">
        <v>3748</v>
      </c>
      <c r="I6581" t="str">
        <f>IF(COUNTIF(Products!$A$2:$A$8,C6581)=0,C6581,"")</f>
        <v/>
      </c>
      <c r="J6581">
        <f>IF(OR(E6581="Prospecting",E6581="Engaging"),VLOOKUP(C6581,Products!$A$2:$C$8,3,FALSE),0)</f>
        <v>0</v>
      </c>
    </row>
    <row r="6582" spans="1:10" x14ac:dyDescent="0.25">
      <c r="A6582" t="s">
        <v>6749</v>
      </c>
      <c r="B6582" t="s">
        <v>239</v>
      </c>
      <c r="C6582" t="s">
        <v>126</v>
      </c>
      <c r="D6582" t="s">
        <v>105</v>
      </c>
      <c r="E6582" t="s">
        <v>138</v>
      </c>
      <c r="F6582" s="1">
        <v>42988</v>
      </c>
      <c r="G6582" s="1">
        <v>42993</v>
      </c>
      <c r="H6582">
        <v>5717</v>
      </c>
      <c r="I6582" t="str">
        <f>IF(COUNTIF(Products!$A$2:$A$8,C6582)=0,C6582,"")</f>
        <v/>
      </c>
      <c r="J6582">
        <f>IF(OR(E6582="Prospecting",E6582="Engaging"),VLOOKUP(C6582,Products!$A$2:$C$8,3,FALSE),0)</f>
        <v>0</v>
      </c>
    </row>
    <row r="6583" spans="1:10" x14ac:dyDescent="0.25">
      <c r="A6583" t="s">
        <v>6750</v>
      </c>
      <c r="B6583" t="s">
        <v>239</v>
      </c>
      <c r="C6583" t="s">
        <v>122</v>
      </c>
      <c r="D6583" t="s">
        <v>35</v>
      </c>
      <c r="E6583" t="s">
        <v>138</v>
      </c>
      <c r="F6583" s="1">
        <v>42988</v>
      </c>
      <c r="G6583" s="1">
        <v>42993</v>
      </c>
      <c r="H6583">
        <v>5027</v>
      </c>
      <c r="I6583" t="str">
        <f>IF(COUNTIF(Products!$A$2:$A$8,C6583)=0,C6583,"")</f>
        <v/>
      </c>
      <c r="J6583">
        <f>IF(OR(E6583="Prospecting",E6583="Engaging"),VLOOKUP(C6583,Products!$A$2:$C$8,3,FALSE),0)</f>
        <v>0</v>
      </c>
    </row>
    <row r="6584" spans="1:10" x14ac:dyDescent="0.25">
      <c r="A6584" t="s">
        <v>6751</v>
      </c>
      <c r="B6584" t="s">
        <v>171</v>
      </c>
      <c r="C6584" t="s">
        <v>127</v>
      </c>
      <c r="D6584" t="s">
        <v>65</v>
      </c>
      <c r="E6584" t="s">
        <v>138</v>
      </c>
      <c r="F6584" s="1">
        <v>42988</v>
      </c>
      <c r="G6584" s="1">
        <v>43082</v>
      </c>
      <c r="H6584">
        <v>1111</v>
      </c>
      <c r="I6584" t="str">
        <f>IF(COUNTIF(Products!$A$2:$A$8,C6584)=0,C6584,"")</f>
        <v/>
      </c>
      <c r="J6584">
        <f>IF(OR(E6584="Prospecting",E6584="Engaging"),VLOOKUP(C6584,Products!$A$2:$C$8,3,FALSE),0)</f>
        <v>0</v>
      </c>
    </row>
    <row r="6585" spans="1:10" x14ac:dyDescent="0.25">
      <c r="A6585" t="s">
        <v>6752</v>
      </c>
      <c r="B6585" t="s">
        <v>140</v>
      </c>
      <c r="C6585" t="s">
        <v>127</v>
      </c>
      <c r="D6585" t="s">
        <v>14</v>
      </c>
      <c r="E6585" t="s">
        <v>138</v>
      </c>
      <c r="F6585" s="1">
        <v>42988</v>
      </c>
      <c r="G6585" s="1">
        <v>42995</v>
      </c>
      <c r="H6585">
        <v>1159</v>
      </c>
      <c r="I6585" t="str">
        <f>IF(COUNTIF(Products!$A$2:$A$8,C6585)=0,C6585,"")</f>
        <v/>
      </c>
      <c r="J6585">
        <f>IF(OR(E6585="Prospecting",E6585="Engaging"),VLOOKUP(C6585,Products!$A$2:$C$8,3,FALSE),0)</f>
        <v>0</v>
      </c>
    </row>
    <row r="6586" spans="1:10" x14ac:dyDescent="0.25">
      <c r="A6586" t="s">
        <v>6753</v>
      </c>
      <c r="B6586" t="s">
        <v>140</v>
      </c>
      <c r="C6586" t="s">
        <v>125</v>
      </c>
      <c r="D6586" t="s">
        <v>85</v>
      </c>
      <c r="E6586" t="s">
        <v>138</v>
      </c>
      <c r="F6586" s="1">
        <v>42988</v>
      </c>
      <c r="G6586" s="1">
        <v>43045</v>
      </c>
      <c r="H6586">
        <v>3251</v>
      </c>
      <c r="I6586" t="str">
        <f>IF(COUNTIF(Products!$A$2:$A$8,C6586)=0,C6586,"")</f>
        <v/>
      </c>
      <c r="J6586">
        <f>IF(OR(E6586="Prospecting",E6586="Engaging"),VLOOKUP(C6586,Products!$A$2:$C$8,3,FALSE),0)</f>
        <v>0</v>
      </c>
    </row>
    <row r="6587" spans="1:10" x14ac:dyDescent="0.25">
      <c r="A6587" t="s">
        <v>6754</v>
      </c>
      <c r="B6587" t="s">
        <v>198</v>
      </c>
      <c r="C6587" t="s">
        <v>126</v>
      </c>
      <c r="D6587" t="s">
        <v>20</v>
      </c>
      <c r="E6587" t="s">
        <v>159</v>
      </c>
      <c r="F6587" s="1">
        <v>42988</v>
      </c>
      <c r="G6587" s="1">
        <v>43040</v>
      </c>
      <c r="H6587">
        <v>0</v>
      </c>
      <c r="I6587" t="str">
        <f>IF(COUNTIF(Products!$A$2:$A$8,C6587)=0,C6587,"")</f>
        <v/>
      </c>
      <c r="J6587">
        <f>IF(OR(E6587="Prospecting",E6587="Engaging"),VLOOKUP(C6587,Products!$A$2:$C$8,3,FALSE),0)</f>
        <v>0</v>
      </c>
    </row>
    <row r="6588" spans="1:10" x14ac:dyDescent="0.25">
      <c r="A6588" t="s">
        <v>6755</v>
      </c>
      <c r="B6588" t="s">
        <v>158</v>
      </c>
      <c r="C6588" t="s">
        <v>125</v>
      </c>
      <c r="D6588" t="s">
        <v>51</v>
      </c>
      <c r="E6588" t="s">
        <v>159</v>
      </c>
      <c r="F6588" s="1">
        <v>42988</v>
      </c>
      <c r="G6588" s="1">
        <v>43076</v>
      </c>
      <c r="H6588">
        <v>0</v>
      </c>
      <c r="I6588" t="str">
        <f>IF(COUNTIF(Products!$A$2:$A$8,C6588)=0,C6588,"")</f>
        <v/>
      </c>
      <c r="J6588">
        <f>IF(OR(E6588="Prospecting",E6588="Engaging"),VLOOKUP(C6588,Products!$A$2:$C$8,3,FALSE),0)</f>
        <v>0</v>
      </c>
    </row>
    <row r="6589" spans="1:10" x14ac:dyDescent="0.25">
      <c r="A6589" t="s">
        <v>6756</v>
      </c>
      <c r="B6589" t="s">
        <v>158</v>
      </c>
      <c r="C6589" t="s">
        <v>127</v>
      </c>
      <c r="D6589" t="s">
        <v>26</v>
      </c>
      <c r="E6589" t="s">
        <v>138</v>
      </c>
      <c r="F6589" s="1">
        <v>42988</v>
      </c>
      <c r="G6589" s="1">
        <v>43087</v>
      </c>
      <c r="H6589">
        <v>1083</v>
      </c>
      <c r="I6589" t="str">
        <f>IF(COUNTIF(Products!$A$2:$A$8,C6589)=0,C6589,"")</f>
        <v/>
      </c>
      <c r="J6589">
        <f>IF(OR(E6589="Prospecting",E6589="Engaging"),VLOOKUP(C6589,Products!$A$2:$C$8,3,FALSE),0)</f>
        <v>0</v>
      </c>
    </row>
    <row r="6590" spans="1:10" x14ac:dyDescent="0.25">
      <c r="A6590" t="s">
        <v>6757</v>
      </c>
      <c r="B6590" t="s">
        <v>158</v>
      </c>
      <c r="C6590" t="s">
        <v>123</v>
      </c>
      <c r="D6590" t="s">
        <v>14</v>
      </c>
      <c r="E6590" t="s">
        <v>138</v>
      </c>
      <c r="F6590" s="1">
        <v>42988</v>
      </c>
      <c r="G6590" s="1">
        <v>43047</v>
      </c>
      <c r="H6590">
        <v>54</v>
      </c>
      <c r="I6590" t="str">
        <f>IF(COUNTIF(Products!$A$2:$A$8,C6590)=0,C6590,"")</f>
        <v/>
      </c>
      <c r="J6590">
        <f>IF(OR(E6590="Prospecting",E6590="Engaging"),VLOOKUP(C6590,Products!$A$2:$C$8,3,FALSE),0)</f>
        <v>0</v>
      </c>
    </row>
    <row r="6591" spans="1:10" x14ac:dyDescent="0.25">
      <c r="A6591" t="s">
        <v>6758</v>
      </c>
      <c r="B6591" t="s">
        <v>164</v>
      </c>
      <c r="C6591" t="s">
        <v>125</v>
      </c>
      <c r="E6591" t="s">
        <v>155</v>
      </c>
      <c r="F6591" s="1">
        <v>42988</v>
      </c>
      <c r="I6591" t="str">
        <f>IF(COUNTIF(Products!$A$2:$A$8,C6591)=0,C6591,"")</f>
        <v/>
      </c>
      <c r="J6591">
        <f>IF(OR(E6591="Prospecting",E6591="Engaging"),VLOOKUP(C6591,Products!$A$2:$C$8,3,FALSE),0)</f>
        <v>3393</v>
      </c>
    </row>
    <row r="6592" spans="1:10" x14ac:dyDescent="0.25">
      <c r="A6592" t="s">
        <v>6759</v>
      </c>
      <c r="B6592" t="s">
        <v>164</v>
      </c>
      <c r="C6592" t="s">
        <v>125</v>
      </c>
      <c r="D6592" t="s">
        <v>17</v>
      </c>
      <c r="E6592" t="s">
        <v>138</v>
      </c>
      <c r="F6592" s="1">
        <v>42988</v>
      </c>
      <c r="G6592" s="1">
        <v>43098</v>
      </c>
      <c r="H6592">
        <v>3302</v>
      </c>
      <c r="I6592" t="str">
        <f>IF(COUNTIF(Products!$A$2:$A$8,C6592)=0,C6592,"")</f>
        <v/>
      </c>
      <c r="J6592">
        <f>IF(OR(E6592="Prospecting",E6592="Engaging"),VLOOKUP(C6592,Products!$A$2:$C$8,3,FALSE),0)</f>
        <v>0</v>
      </c>
    </row>
    <row r="6593" spans="1:10" x14ac:dyDescent="0.25">
      <c r="A6593" t="s">
        <v>6760</v>
      </c>
      <c r="B6593" t="s">
        <v>154</v>
      </c>
      <c r="C6593" t="s">
        <v>122</v>
      </c>
      <c r="E6593" t="s">
        <v>155</v>
      </c>
      <c r="F6593" s="1">
        <v>42988</v>
      </c>
      <c r="I6593" t="str">
        <f>IF(COUNTIF(Products!$A$2:$A$8,C6593)=0,C6593,"")</f>
        <v/>
      </c>
      <c r="J6593">
        <f>IF(OR(E6593="Prospecting",E6593="Engaging"),VLOOKUP(C6593,Products!$A$2:$C$8,3,FALSE),0)</f>
        <v>4821</v>
      </c>
    </row>
    <row r="6594" spans="1:10" x14ac:dyDescent="0.25">
      <c r="A6594" t="s">
        <v>6761</v>
      </c>
      <c r="B6594" t="s">
        <v>154</v>
      </c>
      <c r="C6594" t="s">
        <v>120</v>
      </c>
      <c r="D6594" t="s">
        <v>47</v>
      </c>
      <c r="E6594" t="s">
        <v>138</v>
      </c>
      <c r="F6594" s="1">
        <v>42988</v>
      </c>
      <c r="G6594" s="1">
        <v>43064</v>
      </c>
      <c r="H6594">
        <v>552</v>
      </c>
      <c r="I6594" t="str">
        <f>IF(COUNTIF(Products!$A$2:$A$8,C6594)=0,C6594,"")</f>
        <v/>
      </c>
      <c r="J6594">
        <f>IF(OR(E6594="Prospecting",E6594="Engaging"),VLOOKUP(C6594,Products!$A$2:$C$8,3,FALSE),0)</f>
        <v>0</v>
      </c>
    </row>
    <row r="6595" spans="1:10" x14ac:dyDescent="0.25">
      <c r="A6595" t="s">
        <v>6762</v>
      </c>
      <c r="B6595" t="s">
        <v>154</v>
      </c>
      <c r="C6595" t="s">
        <v>120</v>
      </c>
      <c r="D6595" t="s">
        <v>93</v>
      </c>
      <c r="E6595" t="s">
        <v>138</v>
      </c>
      <c r="F6595" s="1">
        <v>42988</v>
      </c>
      <c r="G6595" s="1">
        <v>43055</v>
      </c>
      <c r="H6595">
        <v>468</v>
      </c>
      <c r="I6595" t="str">
        <f>IF(COUNTIF(Products!$A$2:$A$8,C6595)=0,C6595,"")</f>
        <v/>
      </c>
      <c r="J6595">
        <f>IF(OR(E6595="Prospecting",E6595="Engaging"),VLOOKUP(C6595,Products!$A$2:$C$8,3,FALSE),0)</f>
        <v>0</v>
      </c>
    </row>
    <row r="6596" spans="1:10" x14ac:dyDescent="0.25">
      <c r="A6596" t="s">
        <v>6763</v>
      </c>
      <c r="B6596" t="s">
        <v>303</v>
      </c>
      <c r="C6596" t="s">
        <v>120</v>
      </c>
      <c r="D6596" t="s">
        <v>30</v>
      </c>
      <c r="E6596" t="s">
        <v>159</v>
      </c>
      <c r="F6596" s="1">
        <v>42988</v>
      </c>
      <c r="G6596" s="1">
        <v>43056</v>
      </c>
      <c r="H6596">
        <v>0</v>
      </c>
      <c r="I6596" t="str">
        <f>IF(COUNTIF(Products!$A$2:$A$8,C6596)=0,C6596,"")</f>
        <v/>
      </c>
      <c r="J6596">
        <f>IF(OR(E6596="Prospecting",E6596="Engaging"),VLOOKUP(C6596,Products!$A$2:$C$8,3,FALSE),0)</f>
        <v>0</v>
      </c>
    </row>
    <row r="6597" spans="1:10" x14ac:dyDescent="0.25">
      <c r="A6597" t="s">
        <v>6764</v>
      </c>
      <c r="B6597" t="s">
        <v>303</v>
      </c>
      <c r="C6597" t="s">
        <v>120</v>
      </c>
      <c r="D6597" t="s">
        <v>61</v>
      </c>
      <c r="E6597" t="s">
        <v>159</v>
      </c>
      <c r="F6597" s="1">
        <v>42988</v>
      </c>
      <c r="G6597" s="1">
        <v>43073</v>
      </c>
      <c r="H6597">
        <v>0</v>
      </c>
      <c r="I6597" t="str">
        <f>IF(COUNTIF(Products!$A$2:$A$8,C6597)=0,C6597,"")</f>
        <v/>
      </c>
      <c r="J6597">
        <f>IF(OR(E6597="Prospecting",E6597="Engaging"),VLOOKUP(C6597,Products!$A$2:$C$8,3,FALSE),0)</f>
        <v>0</v>
      </c>
    </row>
    <row r="6598" spans="1:10" x14ac:dyDescent="0.25">
      <c r="A6598" t="s">
        <v>6765</v>
      </c>
      <c r="B6598" t="s">
        <v>180</v>
      </c>
      <c r="C6598" t="s">
        <v>122</v>
      </c>
      <c r="E6598" t="s">
        <v>155</v>
      </c>
      <c r="F6598" s="1">
        <v>42988</v>
      </c>
      <c r="I6598" t="str">
        <f>IF(COUNTIF(Products!$A$2:$A$8,C6598)=0,C6598,"")</f>
        <v/>
      </c>
      <c r="J6598">
        <f>IF(OR(E6598="Prospecting",E6598="Engaging"),VLOOKUP(C6598,Products!$A$2:$C$8,3,FALSE),0)</f>
        <v>4821</v>
      </c>
    </row>
    <row r="6599" spans="1:10" x14ac:dyDescent="0.25">
      <c r="A6599" t="s">
        <v>6766</v>
      </c>
      <c r="B6599" t="s">
        <v>180</v>
      </c>
      <c r="C6599" t="s">
        <v>126</v>
      </c>
      <c r="D6599" t="s">
        <v>87</v>
      </c>
      <c r="E6599" t="s">
        <v>159</v>
      </c>
      <c r="F6599" s="1">
        <v>42988</v>
      </c>
      <c r="G6599" s="1">
        <v>43005</v>
      </c>
      <c r="H6599">
        <v>0</v>
      </c>
      <c r="I6599" t="str">
        <f>IF(COUNTIF(Products!$A$2:$A$8,C6599)=0,C6599,"")</f>
        <v/>
      </c>
      <c r="J6599">
        <f>IF(OR(E6599="Prospecting",E6599="Engaging"),VLOOKUP(C6599,Products!$A$2:$C$8,3,FALSE),0)</f>
        <v>0</v>
      </c>
    </row>
    <row r="6600" spans="1:10" x14ac:dyDescent="0.25">
      <c r="A6600" t="s">
        <v>6767</v>
      </c>
      <c r="B6600" t="s">
        <v>180</v>
      </c>
      <c r="C6600" t="s">
        <v>122</v>
      </c>
      <c r="D6600" t="s">
        <v>66</v>
      </c>
      <c r="E6600" t="s">
        <v>138</v>
      </c>
      <c r="F6600" s="1">
        <v>42988</v>
      </c>
      <c r="G6600" s="1">
        <v>43051</v>
      </c>
      <c r="H6600">
        <v>4467</v>
      </c>
      <c r="I6600" t="str">
        <f>IF(COUNTIF(Products!$A$2:$A$8,C6600)=0,C6600,"")</f>
        <v/>
      </c>
      <c r="J6600">
        <f>IF(OR(E6600="Prospecting",E6600="Engaging"),VLOOKUP(C6600,Products!$A$2:$C$8,3,FALSE),0)</f>
        <v>0</v>
      </c>
    </row>
    <row r="6601" spans="1:10" x14ac:dyDescent="0.25">
      <c r="A6601" t="s">
        <v>6768</v>
      </c>
      <c r="B6601" t="s">
        <v>191</v>
      </c>
      <c r="C6601" t="s">
        <v>120</v>
      </c>
      <c r="D6601" t="s">
        <v>23</v>
      </c>
      <c r="E6601" t="s">
        <v>138</v>
      </c>
      <c r="F6601" s="1">
        <v>42988</v>
      </c>
      <c r="G6601" s="1">
        <v>43074</v>
      </c>
      <c r="H6601">
        <v>538</v>
      </c>
      <c r="I6601" t="str">
        <f>IF(COUNTIF(Products!$A$2:$A$8,C6601)=0,C6601,"")</f>
        <v/>
      </c>
      <c r="J6601">
        <f>IF(OR(E6601="Prospecting",E6601="Engaging"),VLOOKUP(C6601,Products!$A$2:$C$8,3,FALSE),0)</f>
        <v>0</v>
      </c>
    </row>
    <row r="6602" spans="1:10" x14ac:dyDescent="0.25">
      <c r="A6602" t="s">
        <v>6769</v>
      </c>
      <c r="B6602" t="s">
        <v>191</v>
      </c>
      <c r="C6602" t="s">
        <v>125</v>
      </c>
      <c r="D6602" t="s">
        <v>109</v>
      </c>
      <c r="E6602" t="s">
        <v>138</v>
      </c>
      <c r="F6602" s="1">
        <v>42988</v>
      </c>
      <c r="G6602" s="1">
        <v>43081</v>
      </c>
      <c r="H6602">
        <v>3021</v>
      </c>
      <c r="I6602" t="str">
        <f>IF(COUNTIF(Products!$A$2:$A$8,C6602)=0,C6602,"")</f>
        <v/>
      </c>
      <c r="J6602">
        <f>IF(OR(E6602="Prospecting",E6602="Engaging"),VLOOKUP(C6602,Products!$A$2:$C$8,3,FALSE),0)</f>
        <v>0</v>
      </c>
    </row>
    <row r="6603" spans="1:10" x14ac:dyDescent="0.25">
      <c r="A6603" t="s">
        <v>6770</v>
      </c>
      <c r="B6603" t="s">
        <v>217</v>
      </c>
      <c r="C6603" t="s">
        <v>120</v>
      </c>
      <c r="D6603" t="s">
        <v>26</v>
      </c>
      <c r="E6603" t="s">
        <v>138</v>
      </c>
      <c r="F6603" s="1">
        <v>42988</v>
      </c>
      <c r="G6603" s="1">
        <v>43051</v>
      </c>
      <c r="H6603">
        <v>511</v>
      </c>
      <c r="I6603" t="str">
        <f>IF(COUNTIF(Products!$A$2:$A$8,C6603)=0,C6603,"")</f>
        <v/>
      </c>
      <c r="J6603">
        <f>IF(OR(E6603="Prospecting",E6603="Engaging"),VLOOKUP(C6603,Products!$A$2:$C$8,3,FALSE),0)</f>
        <v>0</v>
      </c>
    </row>
    <row r="6604" spans="1:10" x14ac:dyDescent="0.25">
      <c r="A6604" t="s">
        <v>6771</v>
      </c>
      <c r="B6604" t="s">
        <v>162</v>
      </c>
      <c r="C6604" t="s">
        <v>126</v>
      </c>
      <c r="D6604" t="s">
        <v>17</v>
      </c>
      <c r="E6604" t="s">
        <v>138</v>
      </c>
      <c r="F6604" s="1">
        <v>42988</v>
      </c>
      <c r="G6604" s="1">
        <v>42999</v>
      </c>
      <c r="H6604">
        <v>5832</v>
      </c>
      <c r="I6604" t="str">
        <f>IF(COUNTIF(Products!$A$2:$A$8,C6604)=0,C6604,"")</f>
        <v/>
      </c>
      <c r="J6604">
        <f>IF(OR(E6604="Prospecting",E6604="Engaging"),VLOOKUP(C6604,Products!$A$2:$C$8,3,FALSE),0)</f>
        <v>0</v>
      </c>
    </row>
    <row r="6605" spans="1:10" x14ac:dyDescent="0.25">
      <c r="A6605" t="s">
        <v>6772</v>
      </c>
      <c r="B6605" t="s">
        <v>166</v>
      </c>
      <c r="C6605" t="s">
        <v>123</v>
      </c>
      <c r="D6605" t="s">
        <v>20</v>
      </c>
      <c r="E6605" t="s">
        <v>155</v>
      </c>
      <c r="F6605" s="1">
        <v>42988</v>
      </c>
      <c r="I6605" t="str">
        <f>IF(COUNTIF(Products!$A$2:$A$8,C6605)=0,C6605,"")</f>
        <v/>
      </c>
      <c r="J6605">
        <f>IF(OR(E6605="Prospecting",E6605="Engaging"),VLOOKUP(C6605,Products!$A$2:$C$8,3,FALSE),0)</f>
        <v>55</v>
      </c>
    </row>
    <row r="6606" spans="1:10" x14ac:dyDescent="0.25">
      <c r="A6606" t="s">
        <v>6773</v>
      </c>
      <c r="B6606" t="s">
        <v>166</v>
      </c>
      <c r="C6606" t="s">
        <v>123</v>
      </c>
      <c r="E6606" t="s">
        <v>155</v>
      </c>
      <c r="F6606" s="1">
        <v>42988</v>
      </c>
      <c r="I6606" t="str">
        <f>IF(COUNTIF(Products!$A$2:$A$8,C6606)=0,C6606,"")</f>
        <v/>
      </c>
      <c r="J6606">
        <f>IF(OR(E6606="Prospecting",E6606="Engaging"),VLOOKUP(C6606,Products!$A$2:$C$8,3,FALSE),0)</f>
        <v>55</v>
      </c>
    </row>
    <row r="6607" spans="1:10" x14ac:dyDescent="0.25">
      <c r="A6607" t="s">
        <v>6774</v>
      </c>
      <c r="B6607" t="s">
        <v>169</v>
      </c>
      <c r="C6607" t="s">
        <v>126</v>
      </c>
      <c r="D6607" t="s">
        <v>32</v>
      </c>
      <c r="E6607" t="s">
        <v>159</v>
      </c>
      <c r="F6607" s="1">
        <v>42988</v>
      </c>
      <c r="G6607" s="1">
        <v>43008</v>
      </c>
      <c r="H6607">
        <v>0</v>
      </c>
      <c r="I6607" t="str">
        <f>IF(COUNTIF(Products!$A$2:$A$8,C6607)=0,C6607,"")</f>
        <v/>
      </c>
      <c r="J6607">
        <f>IF(OR(E6607="Prospecting",E6607="Engaging"),VLOOKUP(C6607,Products!$A$2:$C$8,3,FALSE),0)</f>
        <v>0</v>
      </c>
    </row>
    <row r="6608" spans="1:10" x14ac:dyDescent="0.25">
      <c r="A6608" t="s">
        <v>6775</v>
      </c>
      <c r="B6608" t="s">
        <v>169</v>
      </c>
      <c r="C6608" t="s">
        <v>125</v>
      </c>
      <c r="D6608" t="s">
        <v>28</v>
      </c>
      <c r="E6608" t="s">
        <v>159</v>
      </c>
      <c r="F6608" s="1">
        <v>42988</v>
      </c>
      <c r="G6608" s="1">
        <v>43063</v>
      </c>
      <c r="H6608">
        <v>0</v>
      </c>
      <c r="I6608" t="str">
        <f>IF(COUNTIF(Products!$A$2:$A$8,C6608)=0,C6608,"")</f>
        <v/>
      </c>
      <c r="J6608">
        <f>IF(OR(E6608="Prospecting",E6608="Engaging"),VLOOKUP(C6608,Products!$A$2:$C$8,3,FALSE),0)</f>
        <v>0</v>
      </c>
    </row>
    <row r="6609" spans="1:10" x14ac:dyDescent="0.25">
      <c r="A6609" t="s">
        <v>6776</v>
      </c>
      <c r="B6609" t="s">
        <v>169</v>
      </c>
      <c r="C6609" t="s">
        <v>123</v>
      </c>
      <c r="D6609" t="s">
        <v>77</v>
      </c>
      <c r="E6609" t="s">
        <v>138</v>
      </c>
      <c r="F6609" s="1">
        <v>42988</v>
      </c>
      <c r="G6609" s="1">
        <v>43066</v>
      </c>
      <c r="H6609">
        <v>50</v>
      </c>
      <c r="I6609" t="str">
        <f>IF(COUNTIF(Products!$A$2:$A$8,C6609)=0,C6609,"")</f>
        <v/>
      </c>
      <c r="J6609">
        <f>IF(OR(E6609="Prospecting",E6609="Engaging"),VLOOKUP(C6609,Products!$A$2:$C$8,3,FALSE),0)</f>
        <v>0</v>
      </c>
    </row>
    <row r="6610" spans="1:10" x14ac:dyDescent="0.25">
      <c r="A6610" t="s">
        <v>6777</v>
      </c>
      <c r="B6610" t="s">
        <v>148</v>
      </c>
      <c r="C6610" t="s">
        <v>125</v>
      </c>
      <c r="D6610" t="s">
        <v>90</v>
      </c>
      <c r="E6610" t="s">
        <v>159</v>
      </c>
      <c r="F6610" s="1">
        <v>42988</v>
      </c>
      <c r="G6610" s="1">
        <v>43063</v>
      </c>
      <c r="H6610">
        <v>0</v>
      </c>
      <c r="I6610" t="str">
        <f>IF(COUNTIF(Products!$A$2:$A$8,C6610)=0,C6610,"")</f>
        <v/>
      </c>
      <c r="J6610">
        <f>IF(OR(E6610="Prospecting",E6610="Engaging"),VLOOKUP(C6610,Products!$A$2:$C$8,3,FALSE),0)</f>
        <v>0</v>
      </c>
    </row>
    <row r="6611" spans="1:10" x14ac:dyDescent="0.25">
      <c r="A6611" t="s">
        <v>6778</v>
      </c>
      <c r="B6611" t="s">
        <v>148</v>
      </c>
      <c r="C6611" t="s">
        <v>123</v>
      </c>
      <c r="D6611" t="s">
        <v>82</v>
      </c>
      <c r="E6611" t="s">
        <v>138</v>
      </c>
      <c r="F6611" s="1">
        <v>42988</v>
      </c>
      <c r="G6611" s="1">
        <v>43061</v>
      </c>
      <c r="H6611">
        <v>58</v>
      </c>
      <c r="I6611" t="str">
        <f>IF(COUNTIF(Products!$A$2:$A$8,C6611)=0,C6611,"")</f>
        <v/>
      </c>
      <c r="J6611">
        <f>IF(OR(E6611="Prospecting",E6611="Engaging"),VLOOKUP(C6611,Products!$A$2:$C$8,3,FALSE),0)</f>
        <v>0</v>
      </c>
    </row>
    <row r="6612" spans="1:10" x14ac:dyDescent="0.25">
      <c r="A6612" t="s">
        <v>6779</v>
      </c>
      <c r="B6612" t="s">
        <v>177</v>
      </c>
      <c r="C6612" t="s">
        <v>120</v>
      </c>
      <c r="D6612" t="s">
        <v>105</v>
      </c>
      <c r="E6612" t="s">
        <v>159</v>
      </c>
      <c r="F6612" s="1">
        <v>42988</v>
      </c>
      <c r="G6612" s="1">
        <v>43063</v>
      </c>
      <c r="H6612">
        <v>0</v>
      </c>
      <c r="I6612" t="str">
        <f>IF(COUNTIF(Products!$A$2:$A$8,C6612)=0,C6612,"")</f>
        <v/>
      </c>
      <c r="J6612">
        <f>IF(OR(E6612="Prospecting",E6612="Engaging"),VLOOKUP(C6612,Products!$A$2:$C$8,3,FALSE),0)</f>
        <v>0</v>
      </c>
    </row>
    <row r="6613" spans="1:10" x14ac:dyDescent="0.25">
      <c r="A6613" t="s">
        <v>6780</v>
      </c>
      <c r="B6613" t="s">
        <v>177</v>
      </c>
      <c r="C6613" t="s">
        <v>123</v>
      </c>
      <c r="D6613" t="s">
        <v>73</v>
      </c>
      <c r="E6613" t="s">
        <v>138</v>
      </c>
      <c r="F6613" s="1">
        <v>42988</v>
      </c>
      <c r="G6613" s="1">
        <v>43005</v>
      </c>
      <c r="H6613">
        <v>66</v>
      </c>
      <c r="I6613" t="str">
        <f>IF(COUNTIF(Products!$A$2:$A$8,C6613)=0,C6613,"")</f>
        <v/>
      </c>
      <c r="J6613">
        <f>IF(OR(E6613="Prospecting",E6613="Engaging"),VLOOKUP(C6613,Products!$A$2:$C$8,3,FALSE),0)</f>
        <v>0</v>
      </c>
    </row>
    <row r="6614" spans="1:10" x14ac:dyDescent="0.25">
      <c r="A6614" t="s">
        <v>6781</v>
      </c>
      <c r="B6614" t="s">
        <v>144</v>
      </c>
      <c r="C6614" t="s">
        <v>122</v>
      </c>
      <c r="E6614" t="s">
        <v>155</v>
      </c>
      <c r="F6614" s="1">
        <v>42988</v>
      </c>
      <c r="I6614" t="str">
        <f>IF(COUNTIF(Products!$A$2:$A$8,C6614)=0,C6614,"")</f>
        <v/>
      </c>
      <c r="J6614">
        <f>IF(OR(E6614="Prospecting",E6614="Engaging"),VLOOKUP(C6614,Products!$A$2:$C$8,3,FALSE),0)</f>
        <v>4821</v>
      </c>
    </row>
    <row r="6615" spans="1:10" x14ac:dyDescent="0.25">
      <c r="A6615" t="s">
        <v>6782</v>
      </c>
      <c r="B6615" t="s">
        <v>146</v>
      </c>
      <c r="C6615" t="s">
        <v>120</v>
      </c>
      <c r="D6615" t="s">
        <v>42</v>
      </c>
      <c r="E6615" t="s">
        <v>159</v>
      </c>
      <c r="F6615" s="1">
        <v>42989</v>
      </c>
      <c r="G6615" s="1">
        <v>42991</v>
      </c>
      <c r="H6615">
        <v>0</v>
      </c>
      <c r="I6615" t="str">
        <f>IF(COUNTIF(Products!$A$2:$A$8,C6615)=0,C6615,"")</f>
        <v/>
      </c>
      <c r="J6615">
        <f>IF(OR(E6615="Prospecting",E6615="Engaging"),VLOOKUP(C6615,Products!$A$2:$C$8,3,FALSE),0)</f>
        <v>0</v>
      </c>
    </row>
    <row r="6616" spans="1:10" x14ac:dyDescent="0.25">
      <c r="A6616" t="s">
        <v>6783</v>
      </c>
      <c r="B6616" t="s">
        <v>146</v>
      </c>
      <c r="C6616" t="s">
        <v>126</v>
      </c>
      <c r="D6616" t="s">
        <v>103</v>
      </c>
      <c r="E6616" t="s">
        <v>159</v>
      </c>
      <c r="F6616" s="1">
        <v>42989</v>
      </c>
      <c r="G6616" s="1">
        <v>43053</v>
      </c>
      <c r="H6616">
        <v>0</v>
      </c>
      <c r="I6616" t="str">
        <f>IF(COUNTIF(Products!$A$2:$A$8,C6616)=0,C6616,"")</f>
        <v/>
      </c>
      <c r="J6616">
        <f>IF(OR(E6616="Prospecting",E6616="Engaging"),VLOOKUP(C6616,Products!$A$2:$C$8,3,FALSE),0)</f>
        <v>0</v>
      </c>
    </row>
    <row r="6617" spans="1:10" x14ac:dyDescent="0.25">
      <c r="A6617" t="s">
        <v>6784</v>
      </c>
      <c r="B6617" t="s">
        <v>146</v>
      </c>
      <c r="C6617" t="s">
        <v>123</v>
      </c>
      <c r="D6617" t="s">
        <v>22</v>
      </c>
      <c r="E6617" t="s">
        <v>138</v>
      </c>
      <c r="F6617" s="1">
        <v>42989</v>
      </c>
      <c r="G6617" s="1">
        <v>43056</v>
      </c>
      <c r="H6617">
        <v>44</v>
      </c>
      <c r="I6617" t="str">
        <f>IF(COUNTIF(Products!$A$2:$A$8,C6617)=0,C6617,"")</f>
        <v/>
      </c>
      <c r="J6617">
        <f>IF(OR(E6617="Prospecting",E6617="Engaging"),VLOOKUP(C6617,Products!$A$2:$C$8,3,FALSE),0)</f>
        <v>0</v>
      </c>
    </row>
    <row r="6618" spans="1:10" x14ac:dyDescent="0.25">
      <c r="A6618" t="s">
        <v>6785</v>
      </c>
      <c r="B6618" t="s">
        <v>222</v>
      </c>
      <c r="C6618" t="s">
        <v>127</v>
      </c>
      <c r="D6618" t="s">
        <v>69</v>
      </c>
      <c r="E6618" t="s">
        <v>138</v>
      </c>
      <c r="F6618" s="1">
        <v>42989</v>
      </c>
      <c r="G6618" s="1">
        <v>43099</v>
      </c>
      <c r="H6618">
        <v>1140</v>
      </c>
      <c r="I6618" t="str">
        <f>IF(COUNTIF(Products!$A$2:$A$8,C6618)=0,C6618,"")</f>
        <v/>
      </c>
      <c r="J6618">
        <f>IF(OR(E6618="Prospecting",E6618="Engaging"),VLOOKUP(C6618,Products!$A$2:$C$8,3,FALSE),0)</f>
        <v>0</v>
      </c>
    </row>
    <row r="6619" spans="1:10" x14ac:dyDescent="0.25">
      <c r="A6619" t="s">
        <v>6786</v>
      </c>
      <c r="B6619" t="s">
        <v>207</v>
      </c>
      <c r="C6619" t="s">
        <v>126</v>
      </c>
      <c r="D6619" t="s">
        <v>112</v>
      </c>
      <c r="E6619" t="s">
        <v>138</v>
      </c>
      <c r="F6619" s="1">
        <v>42989</v>
      </c>
      <c r="G6619" s="1">
        <v>42999</v>
      </c>
      <c r="H6619">
        <v>5245</v>
      </c>
      <c r="I6619" t="str">
        <f>IF(COUNTIF(Products!$A$2:$A$8,C6619)=0,C6619,"")</f>
        <v/>
      </c>
      <c r="J6619">
        <f>IF(OR(E6619="Prospecting",E6619="Engaging"),VLOOKUP(C6619,Products!$A$2:$C$8,3,FALSE),0)</f>
        <v>0</v>
      </c>
    </row>
    <row r="6620" spans="1:10" x14ac:dyDescent="0.25">
      <c r="A6620" t="s">
        <v>6787</v>
      </c>
      <c r="B6620" t="s">
        <v>264</v>
      </c>
      <c r="C6620" t="s">
        <v>126</v>
      </c>
      <c r="D6620" t="s">
        <v>55</v>
      </c>
      <c r="E6620" t="s">
        <v>138</v>
      </c>
      <c r="F6620" s="1">
        <v>42989</v>
      </c>
      <c r="G6620" s="1">
        <v>43073</v>
      </c>
      <c r="H6620">
        <v>5520</v>
      </c>
      <c r="I6620" t="str">
        <f>IF(COUNTIF(Products!$A$2:$A$8,C6620)=0,C6620,"")</f>
        <v/>
      </c>
      <c r="J6620">
        <f>IF(OR(E6620="Prospecting",E6620="Engaging"),VLOOKUP(C6620,Products!$A$2:$C$8,3,FALSE),0)</f>
        <v>0</v>
      </c>
    </row>
    <row r="6621" spans="1:10" x14ac:dyDescent="0.25">
      <c r="A6621" t="s">
        <v>6788</v>
      </c>
      <c r="B6621" t="s">
        <v>239</v>
      </c>
      <c r="C6621" t="s">
        <v>120</v>
      </c>
      <c r="E6621" t="s">
        <v>155</v>
      </c>
      <c r="F6621" s="1">
        <v>42989</v>
      </c>
      <c r="I6621" t="str">
        <f>IF(COUNTIF(Products!$A$2:$A$8,C6621)=0,C6621,"")</f>
        <v/>
      </c>
      <c r="J6621">
        <f>IF(OR(E6621="Prospecting",E6621="Engaging"),VLOOKUP(C6621,Products!$A$2:$C$8,3,FALSE),0)</f>
        <v>550</v>
      </c>
    </row>
    <row r="6622" spans="1:10" x14ac:dyDescent="0.25">
      <c r="A6622" t="s">
        <v>6789</v>
      </c>
      <c r="B6622" t="s">
        <v>239</v>
      </c>
      <c r="C6622" t="s">
        <v>122</v>
      </c>
      <c r="E6622" t="s">
        <v>155</v>
      </c>
      <c r="F6622" s="1">
        <v>42989</v>
      </c>
      <c r="I6622" t="str">
        <f>IF(COUNTIF(Products!$A$2:$A$8,C6622)=0,C6622,"")</f>
        <v/>
      </c>
      <c r="J6622">
        <f>IF(OR(E6622="Prospecting",E6622="Engaging"),VLOOKUP(C6622,Products!$A$2:$C$8,3,FALSE),0)</f>
        <v>4821</v>
      </c>
    </row>
    <row r="6623" spans="1:10" x14ac:dyDescent="0.25">
      <c r="A6623" t="s">
        <v>6790</v>
      </c>
      <c r="B6623" t="s">
        <v>140</v>
      </c>
      <c r="C6623" t="s">
        <v>126</v>
      </c>
      <c r="D6623" t="s">
        <v>32</v>
      </c>
      <c r="E6623" t="s">
        <v>159</v>
      </c>
      <c r="F6623" s="1">
        <v>42989</v>
      </c>
      <c r="G6623" s="1">
        <v>43058</v>
      </c>
      <c r="H6623">
        <v>0</v>
      </c>
      <c r="I6623" t="str">
        <f>IF(COUNTIF(Products!$A$2:$A$8,C6623)=0,C6623,"")</f>
        <v/>
      </c>
      <c r="J6623">
        <f>IF(OR(E6623="Prospecting",E6623="Engaging"),VLOOKUP(C6623,Products!$A$2:$C$8,3,FALSE),0)</f>
        <v>0</v>
      </c>
    </row>
    <row r="6624" spans="1:10" x14ac:dyDescent="0.25">
      <c r="A6624" t="s">
        <v>6791</v>
      </c>
      <c r="B6624" t="s">
        <v>140</v>
      </c>
      <c r="C6624" t="s">
        <v>122</v>
      </c>
      <c r="D6624" t="s">
        <v>88</v>
      </c>
      <c r="E6624" t="s">
        <v>159</v>
      </c>
      <c r="F6624" s="1">
        <v>42989</v>
      </c>
      <c r="G6624" s="1">
        <v>43053</v>
      </c>
      <c r="H6624">
        <v>0</v>
      </c>
      <c r="I6624" t="str">
        <f>IF(COUNTIF(Products!$A$2:$A$8,C6624)=0,C6624,"")</f>
        <v/>
      </c>
      <c r="J6624">
        <f>IF(OR(E6624="Prospecting",E6624="Engaging"),VLOOKUP(C6624,Products!$A$2:$C$8,3,FALSE),0)</f>
        <v>0</v>
      </c>
    </row>
    <row r="6625" spans="1:10" x14ac:dyDescent="0.25">
      <c r="A6625" t="s">
        <v>6792</v>
      </c>
      <c r="B6625" t="s">
        <v>198</v>
      </c>
      <c r="C6625" t="s">
        <v>123</v>
      </c>
      <c r="D6625" t="s">
        <v>110</v>
      </c>
      <c r="E6625" t="s">
        <v>159</v>
      </c>
      <c r="F6625" s="1">
        <v>42989</v>
      </c>
      <c r="G6625" s="1">
        <v>43092</v>
      </c>
      <c r="H6625">
        <v>0</v>
      </c>
      <c r="I6625" t="str">
        <f>IF(COUNTIF(Products!$A$2:$A$8,C6625)=0,C6625,"")</f>
        <v/>
      </c>
      <c r="J6625">
        <f>IF(OR(E6625="Prospecting",E6625="Engaging"),VLOOKUP(C6625,Products!$A$2:$C$8,3,FALSE),0)</f>
        <v>0</v>
      </c>
    </row>
    <row r="6626" spans="1:10" x14ac:dyDescent="0.25">
      <c r="A6626" t="s">
        <v>6793</v>
      </c>
      <c r="B6626" t="s">
        <v>158</v>
      </c>
      <c r="C6626" t="s">
        <v>123</v>
      </c>
      <c r="D6626" t="s">
        <v>96</v>
      </c>
      <c r="E6626" t="s">
        <v>138</v>
      </c>
      <c r="F6626" s="1">
        <v>42989</v>
      </c>
      <c r="G6626" s="1">
        <v>42998</v>
      </c>
      <c r="H6626">
        <v>53</v>
      </c>
      <c r="I6626" t="str">
        <f>IF(COUNTIF(Products!$A$2:$A$8,C6626)=0,C6626,"")</f>
        <v/>
      </c>
      <c r="J6626">
        <f>IF(OR(E6626="Prospecting",E6626="Engaging"),VLOOKUP(C6626,Products!$A$2:$C$8,3,FALSE),0)</f>
        <v>0</v>
      </c>
    </row>
    <row r="6627" spans="1:10" x14ac:dyDescent="0.25">
      <c r="A6627" t="s">
        <v>6794</v>
      </c>
      <c r="B6627" t="s">
        <v>154</v>
      </c>
      <c r="C6627" t="s">
        <v>126</v>
      </c>
      <c r="E6627" t="s">
        <v>155</v>
      </c>
      <c r="F6627" s="1">
        <v>42989</v>
      </c>
      <c r="I6627" t="str">
        <f>IF(COUNTIF(Products!$A$2:$A$8,C6627)=0,C6627,"")</f>
        <v/>
      </c>
      <c r="J6627">
        <f>IF(OR(E6627="Prospecting",E6627="Engaging"),VLOOKUP(C6627,Products!$A$2:$C$8,3,FALSE),0)</f>
        <v>5482</v>
      </c>
    </row>
    <row r="6628" spans="1:10" x14ac:dyDescent="0.25">
      <c r="A6628" t="s">
        <v>6795</v>
      </c>
      <c r="B6628" t="s">
        <v>180</v>
      </c>
      <c r="C6628" t="s">
        <v>126</v>
      </c>
      <c r="D6628" t="s">
        <v>83</v>
      </c>
      <c r="E6628" t="s">
        <v>138</v>
      </c>
      <c r="F6628" s="1">
        <v>42989</v>
      </c>
      <c r="G6628" s="1">
        <v>43079</v>
      </c>
      <c r="H6628">
        <v>4872</v>
      </c>
      <c r="I6628" t="str">
        <f>IF(COUNTIF(Products!$A$2:$A$8,C6628)=0,C6628,"")</f>
        <v/>
      </c>
      <c r="J6628">
        <f>IF(OR(E6628="Prospecting",E6628="Engaging"),VLOOKUP(C6628,Products!$A$2:$C$8,3,FALSE),0)</f>
        <v>0</v>
      </c>
    </row>
    <row r="6629" spans="1:10" x14ac:dyDescent="0.25">
      <c r="A6629" t="s">
        <v>6796</v>
      </c>
      <c r="B6629" t="s">
        <v>191</v>
      </c>
      <c r="C6629" t="s">
        <v>120</v>
      </c>
      <c r="D6629" t="s">
        <v>34</v>
      </c>
      <c r="E6629" t="s">
        <v>159</v>
      </c>
      <c r="F6629" s="1">
        <v>42989</v>
      </c>
      <c r="G6629" s="1">
        <v>43063</v>
      </c>
      <c r="H6629">
        <v>0</v>
      </c>
      <c r="I6629" t="str">
        <f>IF(COUNTIF(Products!$A$2:$A$8,C6629)=0,C6629,"")</f>
        <v/>
      </c>
      <c r="J6629">
        <f>IF(OR(E6629="Prospecting",E6629="Engaging"),VLOOKUP(C6629,Products!$A$2:$C$8,3,FALSE),0)</f>
        <v>0</v>
      </c>
    </row>
    <row r="6630" spans="1:10" x14ac:dyDescent="0.25">
      <c r="A6630" t="s">
        <v>6797</v>
      </c>
      <c r="B6630" t="s">
        <v>150</v>
      </c>
      <c r="C6630" t="s">
        <v>125</v>
      </c>
      <c r="D6630" t="s">
        <v>60</v>
      </c>
      <c r="E6630" t="s">
        <v>138</v>
      </c>
      <c r="F6630" s="1">
        <v>42989</v>
      </c>
      <c r="G6630" s="1">
        <v>42999</v>
      </c>
      <c r="H6630">
        <v>3138</v>
      </c>
      <c r="I6630" t="str">
        <f>IF(COUNTIF(Products!$A$2:$A$8,C6630)=0,C6630,"")</f>
        <v/>
      </c>
      <c r="J6630">
        <f>IF(OR(E6630="Prospecting",E6630="Engaging"),VLOOKUP(C6630,Products!$A$2:$C$8,3,FALSE),0)</f>
        <v>0</v>
      </c>
    </row>
    <row r="6631" spans="1:10" x14ac:dyDescent="0.25">
      <c r="A6631" t="s">
        <v>6798</v>
      </c>
      <c r="B6631" t="s">
        <v>162</v>
      </c>
      <c r="C6631" t="s">
        <v>120</v>
      </c>
      <c r="D6631" t="s">
        <v>44</v>
      </c>
      <c r="E6631" t="s">
        <v>159</v>
      </c>
      <c r="F6631" s="1">
        <v>42989</v>
      </c>
      <c r="G6631" s="1">
        <v>43006</v>
      </c>
      <c r="H6631">
        <v>0</v>
      </c>
      <c r="I6631" t="str">
        <f>IF(COUNTIF(Products!$A$2:$A$8,C6631)=0,C6631,"")</f>
        <v/>
      </c>
      <c r="J6631">
        <f>IF(OR(E6631="Prospecting",E6631="Engaging"),VLOOKUP(C6631,Products!$A$2:$C$8,3,FALSE),0)</f>
        <v>0</v>
      </c>
    </row>
    <row r="6632" spans="1:10" x14ac:dyDescent="0.25">
      <c r="A6632" t="s">
        <v>6799</v>
      </c>
      <c r="B6632" t="s">
        <v>137</v>
      </c>
      <c r="C6632" t="s">
        <v>120</v>
      </c>
      <c r="D6632" t="s">
        <v>14</v>
      </c>
      <c r="E6632" t="s">
        <v>138</v>
      </c>
      <c r="F6632" s="1">
        <v>42989</v>
      </c>
      <c r="G6632" s="1">
        <v>43072</v>
      </c>
      <c r="H6632">
        <v>513</v>
      </c>
      <c r="I6632" t="str">
        <f>IF(COUNTIF(Products!$A$2:$A$8,C6632)=0,C6632,"")</f>
        <v/>
      </c>
      <c r="J6632">
        <f>IF(OR(E6632="Prospecting",E6632="Engaging"),VLOOKUP(C6632,Products!$A$2:$C$8,3,FALSE),0)</f>
        <v>0</v>
      </c>
    </row>
    <row r="6633" spans="1:10" x14ac:dyDescent="0.25">
      <c r="A6633" t="s">
        <v>6800</v>
      </c>
      <c r="B6633" t="s">
        <v>193</v>
      </c>
      <c r="C6633" t="s">
        <v>127</v>
      </c>
      <c r="D6633" t="s">
        <v>65</v>
      </c>
      <c r="E6633" t="s">
        <v>159</v>
      </c>
      <c r="F6633" s="1">
        <v>42989</v>
      </c>
      <c r="G6633" s="1">
        <v>43097</v>
      </c>
      <c r="H6633">
        <v>0</v>
      </c>
      <c r="I6633" t="str">
        <f>IF(COUNTIF(Products!$A$2:$A$8,C6633)=0,C6633,"")</f>
        <v/>
      </c>
      <c r="J6633">
        <f>IF(OR(E6633="Prospecting",E6633="Engaging"),VLOOKUP(C6633,Products!$A$2:$C$8,3,FALSE),0)</f>
        <v>0</v>
      </c>
    </row>
    <row r="6634" spans="1:10" x14ac:dyDescent="0.25">
      <c r="A6634" t="s">
        <v>6801</v>
      </c>
      <c r="B6634" t="s">
        <v>166</v>
      </c>
      <c r="C6634" t="s">
        <v>123</v>
      </c>
      <c r="E6634" t="s">
        <v>155</v>
      </c>
      <c r="F6634" s="1">
        <v>42989</v>
      </c>
      <c r="I6634" t="str">
        <f>IF(COUNTIF(Products!$A$2:$A$8,C6634)=0,C6634,"")</f>
        <v/>
      </c>
      <c r="J6634">
        <f>IF(OR(E6634="Prospecting",E6634="Engaging"),VLOOKUP(C6634,Products!$A$2:$C$8,3,FALSE),0)</f>
        <v>55</v>
      </c>
    </row>
    <row r="6635" spans="1:10" x14ac:dyDescent="0.25">
      <c r="A6635" t="s">
        <v>6802</v>
      </c>
      <c r="B6635" t="s">
        <v>187</v>
      </c>
      <c r="C6635" t="s">
        <v>122</v>
      </c>
      <c r="D6635" t="s">
        <v>41</v>
      </c>
      <c r="E6635" t="s">
        <v>155</v>
      </c>
      <c r="F6635" s="1">
        <v>42989</v>
      </c>
      <c r="I6635" t="str">
        <f>IF(COUNTIF(Products!$A$2:$A$8,C6635)=0,C6635,"")</f>
        <v/>
      </c>
      <c r="J6635">
        <f>IF(OR(E6635="Prospecting",E6635="Engaging"),VLOOKUP(C6635,Products!$A$2:$C$8,3,FALSE),0)</f>
        <v>4821</v>
      </c>
    </row>
    <row r="6636" spans="1:10" x14ac:dyDescent="0.25">
      <c r="A6636" t="s">
        <v>6803</v>
      </c>
      <c r="B6636" t="s">
        <v>177</v>
      </c>
      <c r="C6636" t="s">
        <v>120</v>
      </c>
      <c r="D6636" t="s">
        <v>67</v>
      </c>
      <c r="E6636" t="s">
        <v>138</v>
      </c>
      <c r="F6636" s="1">
        <v>42989</v>
      </c>
      <c r="G6636" s="1">
        <v>43087</v>
      </c>
      <c r="H6636">
        <v>644</v>
      </c>
      <c r="I6636" t="str">
        <f>IF(COUNTIF(Products!$A$2:$A$8,C6636)=0,C6636,"")</f>
        <v/>
      </c>
      <c r="J6636">
        <f>IF(OR(E6636="Prospecting",E6636="Engaging"),VLOOKUP(C6636,Products!$A$2:$C$8,3,FALSE),0)</f>
        <v>0</v>
      </c>
    </row>
    <row r="6637" spans="1:10" x14ac:dyDescent="0.25">
      <c r="A6637" t="s">
        <v>6804</v>
      </c>
      <c r="B6637" t="s">
        <v>144</v>
      </c>
      <c r="C6637" t="s">
        <v>127</v>
      </c>
      <c r="D6637" t="s">
        <v>66</v>
      </c>
      <c r="E6637" t="s">
        <v>155</v>
      </c>
      <c r="F6637" s="1">
        <v>42989</v>
      </c>
      <c r="I6637" t="str">
        <f>IF(COUNTIF(Products!$A$2:$A$8,C6637)=0,C6637,"")</f>
        <v/>
      </c>
      <c r="J6637">
        <f>IF(OR(E6637="Prospecting",E6637="Engaging"),VLOOKUP(C6637,Products!$A$2:$C$8,3,FALSE),0)</f>
        <v>1096</v>
      </c>
    </row>
    <row r="6638" spans="1:10" x14ac:dyDescent="0.25">
      <c r="A6638" t="s">
        <v>6805</v>
      </c>
      <c r="B6638" t="s">
        <v>144</v>
      </c>
      <c r="C6638" t="s">
        <v>122</v>
      </c>
      <c r="D6638" t="s">
        <v>72</v>
      </c>
      <c r="E6638" t="s">
        <v>159</v>
      </c>
      <c r="F6638" s="1">
        <v>42989</v>
      </c>
      <c r="G6638" s="1">
        <v>43053</v>
      </c>
      <c r="H6638">
        <v>0</v>
      </c>
      <c r="I6638" t="str">
        <f>IF(COUNTIF(Products!$A$2:$A$8,C6638)=0,C6638,"")</f>
        <v/>
      </c>
      <c r="J6638">
        <f>IF(OR(E6638="Prospecting",E6638="Engaging"),VLOOKUP(C6638,Products!$A$2:$C$8,3,FALSE),0)</f>
        <v>0</v>
      </c>
    </row>
    <row r="6639" spans="1:10" x14ac:dyDescent="0.25">
      <c r="A6639" t="s">
        <v>6806</v>
      </c>
      <c r="B6639" t="s">
        <v>144</v>
      </c>
      <c r="C6639" t="s">
        <v>120</v>
      </c>
      <c r="D6639" t="s">
        <v>78</v>
      </c>
      <c r="E6639" t="s">
        <v>138</v>
      </c>
      <c r="F6639" s="1">
        <v>42989</v>
      </c>
      <c r="G6639" s="1">
        <v>42997</v>
      </c>
      <c r="H6639">
        <v>560</v>
      </c>
      <c r="I6639" t="str">
        <f>IF(COUNTIF(Products!$A$2:$A$8,C6639)=0,C6639,"")</f>
        <v/>
      </c>
      <c r="J6639">
        <f>IF(OR(E6639="Prospecting",E6639="Engaging"),VLOOKUP(C6639,Products!$A$2:$C$8,3,FALSE),0)</f>
        <v>0</v>
      </c>
    </row>
    <row r="6640" spans="1:10" x14ac:dyDescent="0.25">
      <c r="A6640" t="s">
        <v>6807</v>
      </c>
      <c r="B6640" t="s">
        <v>146</v>
      </c>
      <c r="C6640" t="s">
        <v>126</v>
      </c>
      <c r="D6640" t="s">
        <v>104</v>
      </c>
      <c r="E6640" t="s">
        <v>159</v>
      </c>
      <c r="F6640" s="1">
        <v>42990</v>
      </c>
      <c r="G6640" s="1">
        <v>43075</v>
      </c>
      <c r="H6640">
        <v>0</v>
      </c>
      <c r="I6640" t="str">
        <f>IF(COUNTIF(Products!$A$2:$A$8,C6640)=0,C6640,"")</f>
        <v/>
      </c>
      <c r="J6640">
        <f>IF(OR(E6640="Prospecting",E6640="Engaging"),VLOOKUP(C6640,Products!$A$2:$C$8,3,FALSE),0)</f>
        <v>0</v>
      </c>
    </row>
    <row r="6641" spans="1:10" x14ac:dyDescent="0.25">
      <c r="A6641" t="s">
        <v>6808</v>
      </c>
      <c r="B6641" t="s">
        <v>146</v>
      </c>
      <c r="C6641" t="s">
        <v>125</v>
      </c>
      <c r="D6641" t="s">
        <v>95</v>
      </c>
      <c r="E6641" t="s">
        <v>159</v>
      </c>
      <c r="F6641" s="1">
        <v>42990</v>
      </c>
      <c r="G6641" s="1">
        <v>43066</v>
      </c>
      <c r="H6641">
        <v>0</v>
      </c>
      <c r="I6641" t="str">
        <f>IF(COUNTIF(Products!$A$2:$A$8,C6641)=0,C6641,"")</f>
        <v/>
      </c>
      <c r="J6641">
        <f>IF(OR(E6641="Prospecting",E6641="Engaging"),VLOOKUP(C6641,Products!$A$2:$C$8,3,FALSE),0)</f>
        <v>0</v>
      </c>
    </row>
    <row r="6642" spans="1:10" x14ac:dyDescent="0.25">
      <c r="A6642" t="s">
        <v>6809</v>
      </c>
      <c r="B6642" t="s">
        <v>146</v>
      </c>
      <c r="C6642" t="s">
        <v>127</v>
      </c>
      <c r="D6642" t="s">
        <v>30</v>
      </c>
      <c r="E6642" t="s">
        <v>138</v>
      </c>
      <c r="F6642" s="1">
        <v>42990</v>
      </c>
      <c r="G6642" s="1">
        <v>43095</v>
      </c>
      <c r="H6642">
        <v>866</v>
      </c>
      <c r="I6642" t="str">
        <f>IF(COUNTIF(Products!$A$2:$A$8,C6642)=0,C6642,"")</f>
        <v/>
      </c>
      <c r="J6642">
        <f>IF(OR(E6642="Prospecting",E6642="Engaging"),VLOOKUP(C6642,Products!$A$2:$C$8,3,FALSE),0)</f>
        <v>0</v>
      </c>
    </row>
    <row r="6643" spans="1:10" x14ac:dyDescent="0.25">
      <c r="A6643" t="s">
        <v>6810</v>
      </c>
      <c r="B6643" t="s">
        <v>222</v>
      </c>
      <c r="C6643" t="s">
        <v>127</v>
      </c>
      <c r="D6643" t="s">
        <v>84</v>
      </c>
      <c r="E6643" t="s">
        <v>159</v>
      </c>
      <c r="F6643" s="1">
        <v>42990</v>
      </c>
      <c r="G6643" s="1">
        <v>42997</v>
      </c>
      <c r="H6643">
        <v>0</v>
      </c>
      <c r="I6643" t="str">
        <f>IF(COUNTIF(Products!$A$2:$A$8,C6643)=0,C6643,"")</f>
        <v/>
      </c>
      <c r="J6643">
        <f>IF(OR(E6643="Prospecting",E6643="Engaging"),VLOOKUP(C6643,Products!$A$2:$C$8,3,FALSE),0)</f>
        <v>0</v>
      </c>
    </row>
    <row r="6644" spans="1:10" x14ac:dyDescent="0.25">
      <c r="A6644" t="s">
        <v>6811</v>
      </c>
      <c r="B6644" t="s">
        <v>207</v>
      </c>
      <c r="C6644" t="s">
        <v>120</v>
      </c>
      <c r="E6644" t="s">
        <v>155</v>
      </c>
      <c r="F6644" s="1">
        <v>42990</v>
      </c>
      <c r="I6644" t="str">
        <f>IF(COUNTIF(Products!$A$2:$A$8,C6644)=0,C6644,"")</f>
        <v/>
      </c>
      <c r="J6644">
        <f>IF(OR(E6644="Prospecting",E6644="Engaging"),VLOOKUP(C6644,Products!$A$2:$C$8,3,FALSE),0)</f>
        <v>550</v>
      </c>
    </row>
    <row r="6645" spans="1:10" x14ac:dyDescent="0.25">
      <c r="A6645" t="s">
        <v>6812</v>
      </c>
      <c r="B6645" t="s">
        <v>239</v>
      </c>
      <c r="C6645" t="s">
        <v>123</v>
      </c>
      <c r="D6645" t="s">
        <v>67</v>
      </c>
      <c r="E6645" t="s">
        <v>159</v>
      </c>
      <c r="F6645" s="1">
        <v>42990</v>
      </c>
      <c r="G6645" s="1">
        <v>43070</v>
      </c>
      <c r="H6645">
        <v>0</v>
      </c>
      <c r="I6645" t="str">
        <f>IF(COUNTIF(Products!$A$2:$A$8,C6645)=0,C6645,"")</f>
        <v/>
      </c>
      <c r="J6645">
        <f>IF(OR(E6645="Prospecting",E6645="Engaging"),VLOOKUP(C6645,Products!$A$2:$C$8,3,FALSE),0)</f>
        <v>0</v>
      </c>
    </row>
    <row r="6646" spans="1:10" x14ac:dyDescent="0.25">
      <c r="A6646" t="s">
        <v>6813</v>
      </c>
      <c r="B6646" t="s">
        <v>140</v>
      </c>
      <c r="C6646" t="s">
        <v>122</v>
      </c>
      <c r="D6646" t="s">
        <v>32</v>
      </c>
      <c r="E6646" t="s">
        <v>159</v>
      </c>
      <c r="F6646" s="1">
        <v>42990</v>
      </c>
      <c r="G6646" s="1">
        <v>43054</v>
      </c>
      <c r="H6646">
        <v>0</v>
      </c>
      <c r="I6646" t="str">
        <f>IF(COUNTIF(Products!$A$2:$A$8,C6646)=0,C6646,"")</f>
        <v/>
      </c>
      <c r="J6646">
        <f>IF(OR(E6646="Prospecting",E6646="Engaging"),VLOOKUP(C6646,Products!$A$2:$C$8,3,FALSE),0)</f>
        <v>0</v>
      </c>
    </row>
    <row r="6647" spans="1:10" x14ac:dyDescent="0.25">
      <c r="A6647" t="s">
        <v>6814</v>
      </c>
      <c r="B6647" t="s">
        <v>140</v>
      </c>
      <c r="C6647" t="s">
        <v>120</v>
      </c>
      <c r="D6647" t="s">
        <v>42</v>
      </c>
      <c r="E6647" t="s">
        <v>138</v>
      </c>
      <c r="F6647" s="1">
        <v>42990</v>
      </c>
      <c r="G6647" s="1">
        <v>43085</v>
      </c>
      <c r="H6647">
        <v>626</v>
      </c>
      <c r="I6647" t="str">
        <f>IF(COUNTIF(Products!$A$2:$A$8,C6647)=0,C6647,"")</f>
        <v/>
      </c>
      <c r="J6647">
        <f>IF(OR(E6647="Prospecting",E6647="Engaging"),VLOOKUP(C6647,Products!$A$2:$C$8,3,FALSE),0)</f>
        <v>0</v>
      </c>
    </row>
    <row r="6648" spans="1:10" x14ac:dyDescent="0.25">
      <c r="A6648" t="s">
        <v>6815</v>
      </c>
      <c r="B6648" t="s">
        <v>140</v>
      </c>
      <c r="C6648" t="s">
        <v>122</v>
      </c>
      <c r="D6648" t="s">
        <v>103</v>
      </c>
      <c r="E6648" t="s">
        <v>138</v>
      </c>
      <c r="F6648" s="1">
        <v>42990</v>
      </c>
      <c r="G6648" s="1">
        <v>43072</v>
      </c>
      <c r="H6648">
        <v>4079</v>
      </c>
      <c r="I6648" t="str">
        <f>IF(COUNTIF(Products!$A$2:$A$8,C6648)=0,C6648,"")</f>
        <v/>
      </c>
      <c r="J6648">
        <f>IF(OR(E6648="Prospecting",E6648="Engaging"),VLOOKUP(C6648,Products!$A$2:$C$8,3,FALSE),0)</f>
        <v>0</v>
      </c>
    </row>
    <row r="6649" spans="1:10" x14ac:dyDescent="0.25">
      <c r="A6649" t="s">
        <v>6816</v>
      </c>
      <c r="B6649" t="s">
        <v>198</v>
      </c>
      <c r="C6649" t="s">
        <v>125</v>
      </c>
      <c r="D6649" t="s">
        <v>69</v>
      </c>
      <c r="E6649" t="s">
        <v>138</v>
      </c>
      <c r="F6649" s="1">
        <v>42990</v>
      </c>
      <c r="G6649" s="1">
        <v>43074</v>
      </c>
      <c r="H6649">
        <v>3497</v>
      </c>
      <c r="I6649" t="str">
        <f>IF(COUNTIF(Products!$A$2:$A$8,C6649)=0,C6649,"")</f>
        <v/>
      </c>
      <c r="J6649">
        <f>IF(OR(E6649="Prospecting",E6649="Engaging"),VLOOKUP(C6649,Products!$A$2:$C$8,3,FALSE),0)</f>
        <v>0</v>
      </c>
    </row>
    <row r="6650" spans="1:10" x14ac:dyDescent="0.25">
      <c r="A6650" t="s">
        <v>6817</v>
      </c>
      <c r="B6650" t="s">
        <v>198</v>
      </c>
      <c r="C6650" t="s">
        <v>125</v>
      </c>
      <c r="D6650" t="s">
        <v>81</v>
      </c>
      <c r="E6650" t="s">
        <v>138</v>
      </c>
      <c r="F6650" s="1">
        <v>42990</v>
      </c>
      <c r="G6650" s="1">
        <v>43055</v>
      </c>
      <c r="H6650">
        <v>3072</v>
      </c>
      <c r="I6650" t="str">
        <f>IF(COUNTIF(Products!$A$2:$A$8,C6650)=0,C6650,"")</f>
        <v/>
      </c>
      <c r="J6650">
        <f>IF(OR(E6650="Prospecting",E6650="Engaging"),VLOOKUP(C6650,Products!$A$2:$C$8,3,FALSE),0)</f>
        <v>0</v>
      </c>
    </row>
    <row r="6651" spans="1:10" x14ac:dyDescent="0.25">
      <c r="A6651" t="s">
        <v>6818</v>
      </c>
      <c r="B6651" t="s">
        <v>158</v>
      </c>
      <c r="C6651" t="s">
        <v>125</v>
      </c>
      <c r="D6651" t="s">
        <v>51</v>
      </c>
      <c r="E6651" t="s">
        <v>159</v>
      </c>
      <c r="F6651" s="1">
        <v>42990</v>
      </c>
      <c r="G6651" s="1">
        <v>43084</v>
      </c>
      <c r="H6651">
        <v>0</v>
      </c>
      <c r="I6651" t="str">
        <f>IF(COUNTIF(Products!$A$2:$A$8,C6651)=0,C6651,"")</f>
        <v/>
      </c>
      <c r="J6651">
        <f>IF(OR(E6651="Prospecting",E6651="Engaging"),VLOOKUP(C6651,Products!$A$2:$C$8,3,FALSE),0)</f>
        <v>0</v>
      </c>
    </row>
    <row r="6652" spans="1:10" x14ac:dyDescent="0.25">
      <c r="A6652" t="s">
        <v>6819</v>
      </c>
      <c r="B6652" t="s">
        <v>164</v>
      </c>
      <c r="C6652" t="s">
        <v>125</v>
      </c>
      <c r="D6652" t="s">
        <v>71</v>
      </c>
      <c r="E6652" t="s">
        <v>138</v>
      </c>
      <c r="F6652" s="1">
        <v>42990</v>
      </c>
      <c r="G6652" s="1">
        <v>43065</v>
      </c>
      <c r="H6652">
        <v>3473</v>
      </c>
      <c r="I6652" t="str">
        <f>IF(COUNTIF(Products!$A$2:$A$8,C6652)=0,C6652,"")</f>
        <v/>
      </c>
      <c r="J6652">
        <f>IF(OR(E6652="Prospecting",E6652="Engaging"),VLOOKUP(C6652,Products!$A$2:$C$8,3,FALSE),0)</f>
        <v>0</v>
      </c>
    </row>
    <row r="6653" spans="1:10" x14ac:dyDescent="0.25">
      <c r="A6653" t="s">
        <v>6820</v>
      </c>
      <c r="B6653" t="s">
        <v>303</v>
      </c>
      <c r="C6653" t="s">
        <v>120</v>
      </c>
      <c r="D6653" t="s">
        <v>28</v>
      </c>
      <c r="E6653" t="s">
        <v>138</v>
      </c>
      <c r="F6653" s="1">
        <v>42990</v>
      </c>
      <c r="G6653" s="1">
        <v>42997</v>
      </c>
      <c r="H6653">
        <v>530</v>
      </c>
      <c r="I6653" t="str">
        <f>IF(COUNTIF(Products!$A$2:$A$8,C6653)=0,C6653,"")</f>
        <v/>
      </c>
      <c r="J6653">
        <f>IF(OR(E6653="Prospecting",E6653="Engaging"),VLOOKUP(C6653,Products!$A$2:$C$8,3,FALSE),0)</f>
        <v>0</v>
      </c>
    </row>
    <row r="6654" spans="1:10" x14ac:dyDescent="0.25">
      <c r="A6654" t="s">
        <v>6821</v>
      </c>
      <c r="B6654" t="s">
        <v>303</v>
      </c>
      <c r="C6654" t="s">
        <v>127</v>
      </c>
      <c r="D6654" t="s">
        <v>55</v>
      </c>
      <c r="E6654" t="s">
        <v>138</v>
      </c>
      <c r="F6654" s="1">
        <v>42990</v>
      </c>
      <c r="G6654" s="1">
        <v>43085</v>
      </c>
      <c r="H6654">
        <v>1066</v>
      </c>
      <c r="I6654" t="str">
        <f>IF(COUNTIF(Products!$A$2:$A$8,C6654)=0,C6654,"")</f>
        <v/>
      </c>
      <c r="J6654">
        <f>IF(OR(E6654="Prospecting",E6654="Engaging"),VLOOKUP(C6654,Products!$A$2:$C$8,3,FALSE),0)</f>
        <v>0</v>
      </c>
    </row>
    <row r="6655" spans="1:10" x14ac:dyDescent="0.25">
      <c r="A6655" t="s">
        <v>6822</v>
      </c>
      <c r="B6655" t="s">
        <v>303</v>
      </c>
      <c r="C6655" t="s">
        <v>123</v>
      </c>
      <c r="D6655" t="s">
        <v>22</v>
      </c>
      <c r="E6655" t="s">
        <v>138</v>
      </c>
      <c r="F6655" s="1">
        <v>42990</v>
      </c>
      <c r="G6655" s="1">
        <v>43087</v>
      </c>
      <c r="H6655">
        <v>64</v>
      </c>
      <c r="I6655" t="str">
        <f>IF(COUNTIF(Products!$A$2:$A$8,C6655)=0,C6655,"")</f>
        <v/>
      </c>
      <c r="J6655">
        <f>IF(OR(E6655="Prospecting",E6655="Engaging"),VLOOKUP(C6655,Products!$A$2:$C$8,3,FALSE),0)</f>
        <v>0</v>
      </c>
    </row>
    <row r="6656" spans="1:10" x14ac:dyDescent="0.25">
      <c r="A6656" t="s">
        <v>6823</v>
      </c>
      <c r="B6656" t="s">
        <v>303</v>
      </c>
      <c r="C6656" t="s">
        <v>123</v>
      </c>
      <c r="D6656" t="s">
        <v>85</v>
      </c>
      <c r="E6656" t="s">
        <v>138</v>
      </c>
      <c r="F6656" s="1">
        <v>42990</v>
      </c>
      <c r="G6656" s="1">
        <v>43094</v>
      </c>
      <c r="H6656">
        <v>59</v>
      </c>
      <c r="I6656" t="str">
        <f>IF(COUNTIF(Products!$A$2:$A$8,C6656)=0,C6656,"")</f>
        <v/>
      </c>
      <c r="J6656">
        <f>IF(OR(E6656="Prospecting",E6656="Engaging"),VLOOKUP(C6656,Products!$A$2:$C$8,3,FALSE),0)</f>
        <v>0</v>
      </c>
    </row>
    <row r="6657" spans="1:10" x14ac:dyDescent="0.25">
      <c r="A6657" t="s">
        <v>6824</v>
      </c>
      <c r="B6657" t="s">
        <v>191</v>
      </c>
      <c r="C6657" t="s">
        <v>127</v>
      </c>
      <c r="D6657" t="s">
        <v>56</v>
      </c>
      <c r="E6657" t="s">
        <v>138</v>
      </c>
      <c r="F6657" s="1">
        <v>42990</v>
      </c>
      <c r="G6657" s="1">
        <v>43069</v>
      </c>
      <c r="H6657">
        <v>1077</v>
      </c>
      <c r="I6657" t="str">
        <f>IF(COUNTIF(Products!$A$2:$A$8,C6657)=0,C6657,"")</f>
        <v/>
      </c>
      <c r="J6657">
        <f>IF(OR(E6657="Prospecting",E6657="Engaging"),VLOOKUP(C6657,Products!$A$2:$C$8,3,FALSE),0)</f>
        <v>0</v>
      </c>
    </row>
    <row r="6658" spans="1:10" x14ac:dyDescent="0.25">
      <c r="A6658" t="s">
        <v>6825</v>
      </c>
      <c r="B6658" t="s">
        <v>191</v>
      </c>
      <c r="C6658" t="s">
        <v>122</v>
      </c>
      <c r="D6658" t="s">
        <v>100</v>
      </c>
      <c r="E6658" t="s">
        <v>138</v>
      </c>
      <c r="F6658" s="1">
        <v>42990</v>
      </c>
      <c r="G6658" s="1">
        <v>43060</v>
      </c>
      <c r="H6658">
        <v>4999</v>
      </c>
      <c r="I6658" t="str">
        <f>IF(COUNTIF(Products!$A$2:$A$8,C6658)=0,C6658,"")</f>
        <v/>
      </c>
      <c r="J6658">
        <f>IF(OR(E6658="Prospecting",E6658="Engaging"),VLOOKUP(C6658,Products!$A$2:$C$8,3,FALSE),0)</f>
        <v>0</v>
      </c>
    </row>
    <row r="6659" spans="1:10" x14ac:dyDescent="0.25">
      <c r="A6659" t="s">
        <v>6826</v>
      </c>
      <c r="B6659" t="s">
        <v>205</v>
      </c>
      <c r="C6659" t="s">
        <v>123</v>
      </c>
      <c r="D6659" t="s">
        <v>12</v>
      </c>
      <c r="E6659" t="s">
        <v>138</v>
      </c>
      <c r="F6659" s="1">
        <v>42990</v>
      </c>
      <c r="G6659" s="1">
        <v>42999</v>
      </c>
      <c r="H6659">
        <v>72</v>
      </c>
      <c r="I6659" t="str">
        <f>IF(COUNTIF(Products!$A$2:$A$8,C6659)=0,C6659,"")</f>
        <v/>
      </c>
      <c r="J6659">
        <f>IF(OR(E6659="Prospecting",E6659="Engaging"),VLOOKUP(C6659,Products!$A$2:$C$8,3,FALSE),0)</f>
        <v>0</v>
      </c>
    </row>
    <row r="6660" spans="1:10" x14ac:dyDescent="0.25">
      <c r="A6660" t="s">
        <v>6827</v>
      </c>
      <c r="B6660" t="s">
        <v>162</v>
      </c>
      <c r="C6660" t="s">
        <v>126</v>
      </c>
      <c r="D6660" t="s">
        <v>67</v>
      </c>
      <c r="E6660" t="s">
        <v>138</v>
      </c>
      <c r="F6660" s="1">
        <v>42990</v>
      </c>
      <c r="G6660" s="1">
        <v>42998</v>
      </c>
      <c r="H6660">
        <v>4870</v>
      </c>
      <c r="I6660" t="str">
        <f>IF(COUNTIF(Products!$A$2:$A$8,C6660)=0,C6660,"")</f>
        <v/>
      </c>
      <c r="J6660">
        <f>IF(OR(E6660="Prospecting",E6660="Engaging"),VLOOKUP(C6660,Products!$A$2:$C$8,3,FALSE),0)</f>
        <v>0</v>
      </c>
    </row>
    <row r="6661" spans="1:10" x14ac:dyDescent="0.25">
      <c r="A6661" t="s">
        <v>6828</v>
      </c>
      <c r="B6661" t="s">
        <v>193</v>
      </c>
      <c r="C6661" t="s">
        <v>127</v>
      </c>
      <c r="D6661" t="s">
        <v>63</v>
      </c>
      <c r="E6661" t="s">
        <v>159</v>
      </c>
      <c r="F6661" s="1">
        <v>42990</v>
      </c>
      <c r="G6661" s="1">
        <v>42998</v>
      </c>
      <c r="H6661">
        <v>0</v>
      </c>
      <c r="I6661" t="str">
        <f>IF(COUNTIF(Products!$A$2:$A$8,C6661)=0,C6661,"")</f>
        <v/>
      </c>
      <c r="J6661">
        <f>IF(OR(E6661="Prospecting",E6661="Engaging"),VLOOKUP(C6661,Products!$A$2:$C$8,3,FALSE),0)</f>
        <v>0</v>
      </c>
    </row>
    <row r="6662" spans="1:10" x14ac:dyDescent="0.25">
      <c r="A6662" t="s">
        <v>6829</v>
      </c>
      <c r="B6662" t="s">
        <v>193</v>
      </c>
      <c r="C6662" t="s">
        <v>122</v>
      </c>
      <c r="D6662" t="s">
        <v>112</v>
      </c>
      <c r="E6662" t="s">
        <v>159</v>
      </c>
      <c r="F6662" s="1">
        <v>42990</v>
      </c>
      <c r="G6662" s="1">
        <v>43087</v>
      </c>
      <c r="H6662">
        <v>0</v>
      </c>
      <c r="I6662" t="str">
        <f>IF(COUNTIF(Products!$A$2:$A$8,C6662)=0,C6662,"")</f>
        <v/>
      </c>
      <c r="J6662">
        <f>IF(OR(E6662="Prospecting",E6662="Engaging"),VLOOKUP(C6662,Products!$A$2:$C$8,3,FALSE),0)</f>
        <v>0</v>
      </c>
    </row>
    <row r="6663" spans="1:10" x14ac:dyDescent="0.25">
      <c r="A6663" t="s">
        <v>6830</v>
      </c>
      <c r="B6663" t="s">
        <v>169</v>
      </c>
      <c r="C6663" t="s">
        <v>123</v>
      </c>
      <c r="D6663" t="s">
        <v>70</v>
      </c>
      <c r="E6663" t="s">
        <v>138</v>
      </c>
      <c r="F6663" s="1">
        <v>42990</v>
      </c>
      <c r="G6663" s="1">
        <v>43004</v>
      </c>
      <c r="H6663">
        <v>54</v>
      </c>
      <c r="I6663" t="str">
        <f>IF(COUNTIF(Products!$A$2:$A$8,C6663)=0,C6663,"")</f>
        <v/>
      </c>
      <c r="J6663">
        <f>IF(OR(E6663="Prospecting",E6663="Engaging"),VLOOKUP(C6663,Products!$A$2:$C$8,3,FALSE),0)</f>
        <v>0</v>
      </c>
    </row>
    <row r="6664" spans="1:10" x14ac:dyDescent="0.25">
      <c r="A6664" t="s">
        <v>6831</v>
      </c>
      <c r="B6664" t="s">
        <v>169</v>
      </c>
      <c r="C6664" t="s">
        <v>123</v>
      </c>
      <c r="D6664" t="s">
        <v>103</v>
      </c>
      <c r="E6664" t="s">
        <v>138</v>
      </c>
      <c r="F6664" s="1">
        <v>42990</v>
      </c>
      <c r="G6664" s="1">
        <v>43078</v>
      </c>
      <c r="H6664">
        <v>50</v>
      </c>
      <c r="I6664" t="str">
        <f>IF(COUNTIF(Products!$A$2:$A$8,C6664)=0,C6664,"")</f>
        <v/>
      </c>
      <c r="J6664">
        <f>IF(OR(E6664="Prospecting",E6664="Engaging"),VLOOKUP(C6664,Products!$A$2:$C$8,3,FALSE),0)</f>
        <v>0</v>
      </c>
    </row>
    <row r="6665" spans="1:10" x14ac:dyDescent="0.25">
      <c r="A6665" t="s">
        <v>6832</v>
      </c>
      <c r="B6665" t="s">
        <v>148</v>
      </c>
      <c r="C6665" t="s">
        <v>120</v>
      </c>
      <c r="D6665" t="s">
        <v>51</v>
      </c>
      <c r="E6665" t="s">
        <v>155</v>
      </c>
      <c r="F6665" s="1">
        <v>42990</v>
      </c>
      <c r="I6665" t="str">
        <f>IF(COUNTIF(Products!$A$2:$A$8,C6665)=0,C6665,"")</f>
        <v/>
      </c>
      <c r="J6665">
        <f>IF(OR(E6665="Prospecting",E6665="Engaging"),VLOOKUP(C6665,Products!$A$2:$C$8,3,FALSE),0)</f>
        <v>550</v>
      </c>
    </row>
    <row r="6666" spans="1:10" x14ac:dyDescent="0.25">
      <c r="A6666" t="s">
        <v>6833</v>
      </c>
      <c r="B6666" t="s">
        <v>148</v>
      </c>
      <c r="C6666" t="s">
        <v>127</v>
      </c>
      <c r="D6666" t="s">
        <v>114</v>
      </c>
      <c r="E6666" t="s">
        <v>155</v>
      </c>
      <c r="F6666" s="1">
        <v>42990</v>
      </c>
      <c r="I6666" t="str">
        <f>IF(COUNTIF(Products!$A$2:$A$8,C6666)=0,C6666,"")</f>
        <v/>
      </c>
      <c r="J6666">
        <f>IF(OR(E6666="Prospecting",E6666="Engaging"),VLOOKUP(C6666,Products!$A$2:$C$8,3,FALSE),0)</f>
        <v>1096</v>
      </c>
    </row>
    <row r="6667" spans="1:10" x14ac:dyDescent="0.25">
      <c r="A6667" t="s">
        <v>6834</v>
      </c>
      <c r="B6667" t="s">
        <v>148</v>
      </c>
      <c r="C6667" t="s">
        <v>123</v>
      </c>
      <c r="D6667" t="s">
        <v>107</v>
      </c>
      <c r="E6667" t="s">
        <v>159</v>
      </c>
      <c r="F6667" s="1">
        <v>42990</v>
      </c>
      <c r="G6667" s="1">
        <v>43040</v>
      </c>
      <c r="H6667">
        <v>0</v>
      </c>
      <c r="I6667" t="str">
        <f>IF(COUNTIF(Products!$A$2:$A$8,C6667)=0,C6667,"")</f>
        <v/>
      </c>
      <c r="J6667">
        <f>IF(OR(E6667="Prospecting",E6667="Engaging"),VLOOKUP(C6667,Products!$A$2:$C$8,3,FALSE),0)</f>
        <v>0</v>
      </c>
    </row>
    <row r="6668" spans="1:10" x14ac:dyDescent="0.25">
      <c r="A6668" t="s">
        <v>6835</v>
      </c>
      <c r="B6668" t="s">
        <v>177</v>
      </c>
      <c r="C6668" t="s">
        <v>125</v>
      </c>
      <c r="E6668" t="s">
        <v>155</v>
      </c>
      <c r="F6668" s="1">
        <v>42990</v>
      </c>
      <c r="I6668" t="str">
        <f>IF(COUNTIF(Products!$A$2:$A$8,C6668)=0,C6668,"")</f>
        <v/>
      </c>
      <c r="J6668">
        <f>IF(OR(E6668="Prospecting",E6668="Engaging"),VLOOKUP(C6668,Products!$A$2:$C$8,3,FALSE),0)</f>
        <v>3393</v>
      </c>
    </row>
    <row r="6669" spans="1:10" x14ac:dyDescent="0.25">
      <c r="A6669" t="s">
        <v>6836</v>
      </c>
      <c r="B6669" t="s">
        <v>177</v>
      </c>
      <c r="C6669" t="s">
        <v>126</v>
      </c>
      <c r="D6669" t="s">
        <v>63</v>
      </c>
      <c r="E6669" t="s">
        <v>159</v>
      </c>
      <c r="F6669" s="1">
        <v>42990</v>
      </c>
      <c r="G6669" s="1">
        <v>42993</v>
      </c>
      <c r="H6669">
        <v>0</v>
      </c>
      <c r="I6669" t="str">
        <f>IF(COUNTIF(Products!$A$2:$A$8,C6669)=0,C6669,"")</f>
        <v/>
      </c>
      <c r="J6669">
        <f>IF(OR(E6669="Prospecting",E6669="Engaging"),VLOOKUP(C6669,Products!$A$2:$C$8,3,FALSE),0)</f>
        <v>0</v>
      </c>
    </row>
    <row r="6670" spans="1:10" x14ac:dyDescent="0.25">
      <c r="A6670" t="s">
        <v>6837</v>
      </c>
      <c r="B6670" t="s">
        <v>144</v>
      </c>
      <c r="C6670" t="s">
        <v>127</v>
      </c>
      <c r="D6670" t="s">
        <v>69</v>
      </c>
      <c r="E6670" t="s">
        <v>138</v>
      </c>
      <c r="F6670" s="1">
        <v>42990</v>
      </c>
      <c r="G6670" s="1">
        <v>43059</v>
      </c>
      <c r="H6670">
        <v>1029</v>
      </c>
      <c r="I6670" t="str">
        <f>IF(COUNTIF(Products!$A$2:$A$8,C6670)=0,C6670,"")</f>
        <v/>
      </c>
      <c r="J6670">
        <f>IF(OR(E6670="Prospecting",E6670="Engaging"),VLOOKUP(C6670,Products!$A$2:$C$8,3,FALSE),0)</f>
        <v>0</v>
      </c>
    </row>
    <row r="6671" spans="1:10" x14ac:dyDescent="0.25">
      <c r="A6671" t="s">
        <v>6838</v>
      </c>
      <c r="B6671" t="s">
        <v>146</v>
      </c>
      <c r="C6671" t="s">
        <v>120</v>
      </c>
      <c r="D6671" t="s">
        <v>22</v>
      </c>
      <c r="E6671" t="s">
        <v>138</v>
      </c>
      <c r="F6671" s="1">
        <v>42991</v>
      </c>
      <c r="G6671" s="1">
        <v>43064</v>
      </c>
      <c r="H6671">
        <v>629</v>
      </c>
      <c r="I6671" t="str">
        <f>IF(COUNTIF(Products!$A$2:$A$8,C6671)=0,C6671,"")</f>
        <v/>
      </c>
      <c r="J6671">
        <f>IF(OR(E6671="Prospecting",E6671="Engaging"),VLOOKUP(C6671,Products!$A$2:$C$8,3,FALSE),0)</f>
        <v>0</v>
      </c>
    </row>
    <row r="6672" spans="1:10" x14ac:dyDescent="0.25">
      <c r="A6672" t="s">
        <v>6839</v>
      </c>
      <c r="B6672" t="s">
        <v>207</v>
      </c>
      <c r="C6672" t="s">
        <v>127</v>
      </c>
      <c r="E6672" t="s">
        <v>155</v>
      </c>
      <c r="F6672" s="1">
        <v>42991</v>
      </c>
      <c r="I6672" t="str">
        <f>IF(COUNTIF(Products!$A$2:$A$8,C6672)=0,C6672,"")</f>
        <v/>
      </c>
      <c r="J6672">
        <f>IF(OR(E6672="Prospecting",E6672="Engaging"),VLOOKUP(C6672,Products!$A$2:$C$8,3,FALSE),0)</f>
        <v>1096</v>
      </c>
    </row>
    <row r="6673" spans="1:10" x14ac:dyDescent="0.25">
      <c r="A6673" t="s">
        <v>6840</v>
      </c>
      <c r="B6673" t="s">
        <v>207</v>
      </c>
      <c r="C6673" t="s">
        <v>120</v>
      </c>
      <c r="D6673" t="s">
        <v>65</v>
      </c>
      <c r="E6673" t="s">
        <v>138</v>
      </c>
      <c r="F6673" s="1">
        <v>42991</v>
      </c>
      <c r="G6673" s="1">
        <v>43002</v>
      </c>
      <c r="H6673">
        <v>600</v>
      </c>
      <c r="I6673" t="str">
        <f>IF(COUNTIF(Products!$A$2:$A$8,C6673)=0,C6673,"")</f>
        <v/>
      </c>
      <c r="J6673">
        <f>IF(OR(E6673="Prospecting",E6673="Engaging"),VLOOKUP(C6673,Products!$A$2:$C$8,3,FALSE),0)</f>
        <v>0</v>
      </c>
    </row>
    <row r="6674" spans="1:10" x14ac:dyDescent="0.25">
      <c r="A6674" t="s">
        <v>6841</v>
      </c>
      <c r="B6674" t="s">
        <v>239</v>
      </c>
      <c r="C6674" t="s">
        <v>120</v>
      </c>
      <c r="D6674" t="s">
        <v>69</v>
      </c>
      <c r="E6674" t="s">
        <v>159</v>
      </c>
      <c r="F6674" s="1">
        <v>42991</v>
      </c>
      <c r="G6674" s="1">
        <v>43042</v>
      </c>
      <c r="H6674">
        <v>0</v>
      </c>
      <c r="I6674" t="str">
        <f>IF(COUNTIF(Products!$A$2:$A$8,C6674)=0,C6674,"")</f>
        <v/>
      </c>
      <c r="J6674">
        <f>IF(OR(E6674="Prospecting",E6674="Engaging"),VLOOKUP(C6674,Products!$A$2:$C$8,3,FALSE),0)</f>
        <v>0</v>
      </c>
    </row>
    <row r="6675" spans="1:10" x14ac:dyDescent="0.25">
      <c r="A6675" t="s">
        <v>6842</v>
      </c>
      <c r="B6675" t="s">
        <v>239</v>
      </c>
      <c r="C6675" t="s">
        <v>122</v>
      </c>
      <c r="D6675" t="s">
        <v>68</v>
      </c>
      <c r="E6675" t="s">
        <v>138</v>
      </c>
      <c r="F6675" s="1">
        <v>42991</v>
      </c>
      <c r="G6675" s="1">
        <v>42996</v>
      </c>
      <c r="H6675">
        <v>4535</v>
      </c>
      <c r="I6675" t="str">
        <f>IF(COUNTIF(Products!$A$2:$A$8,C6675)=0,C6675,"")</f>
        <v/>
      </c>
      <c r="J6675">
        <f>IF(OR(E6675="Prospecting",E6675="Engaging"),VLOOKUP(C6675,Products!$A$2:$C$8,3,FALSE),0)</f>
        <v>0</v>
      </c>
    </row>
    <row r="6676" spans="1:10" x14ac:dyDescent="0.25">
      <c r="A6676" t="s">
        <v>6843</v>
      </c>
      <c r="B6676" t="s">
        <v>171</v>
      </c>
      <c r="C6676" t="s">
        <v>122</v>
      </c>
      <c r="E6676" t="s">
        <v>155</v>
      </c>
      <c r="F6676" s="1">
        <v>42991</v>
      </c>
      <c r="I6676" t="str">
        <f>IF(COUNTIF(Products!$A$2:$A$8,C6676)=0,C6676,"")</f>
        <v/>
      </c>
      <c r="J6676">
        <f>IF(OR(E6676="Prospecting",E6676="Engaging"),VLOOKUP(C6676,Products!$A$2:$C$8,3,FALSE),0)</f>
        <v>4821</v>
      </c>
    </row>
    <row r="6677" spans="1:10" x14ac:dyDescent="0.25">
      <c r="A6677" t="s">
        <v>6844</v>
      </c>
      <c r="B6677" t="s">
        <v>224</v>
      </c>
      <c r="C6677" t="s">
        <v>125</v>
      </c>
      <c r="D6677" t="s">
        <v>80</v>
      </c>
      <c r="E6677" t="s">
        <v>159</v>
      </c>
      <c r="F6677" s="1">
        <v>42991</v>
      </c>
      <c r="G6677" s="1">
        <v>43068</v>
      </c>
      <c r="H6677">
        <v>0</v>
      </c>
      <c r="I6677" t="str">
        <f>IF(COUNTIF(Products!$A$2:$A$8,C6677)=0,C6677,"")</f>
        <v/>
      </c>
      <c r="J6677">
        <f>IF(OR(E6677="Prospecting",E6677="Engaging"),VLOOKUP(C6677,Products!$A$2:$C$8,3,FALSE),0)</f>
        <v>0</v>
      </c>
    </row>
    <row r="6678" spans="1:10" x14ac:dyDescent="0.25">
      <c r="A6678" t="s">
        <v>6845</v>
      </c>
      <c r="B6678" t="s">
        <v>173</v>
      </c>
      <c r="C6678" t="s">
        <v>123</v>
      </c>
      <c r="D6678" t="s">
        <v>29</v>
      </c>
      <c r="E6678" t="s">
        <v>159</v>
      </c>
      <c r="F6678" s="1">
        <v>42991</v>
      </c>
      <c r="G6678" s="1">
        <v>42997</v>
      </c>
      <c r="H6678">
        <v>0</v>
      </c>
      <c r="I6678" t="str">
        <f>IF(COUNTIF(Products!$A$2:$A$8,C6678)=0,C6678,"")</f>
        <v/>
      </c>
      <c r="J6678">
        <f>IF(OR(E6678="Prospecting",E6678="Engaging"),VLOOKUP(C6678,Products!$A$2:$C$8,3,FALSE),0)</f>
        <v>0</v>
      </c>
    </row>
    <row r="6679" spans="1:10" x14ac:dyDescent="0.25">
      <c r="A6679" t="s">
        <v>6846</v>
      </c>
      <c r="B6679" t="s">
        <v>158</v>
      </c>
      <c r="C6679" t="s">
        <v>122</v>
      </c>
      <c r="D6679" t="s">
        <v>28</v>
      </c>
      <c r="E6679" t="s">
        <v>138</v>
      </c>
      <c r="F6679" s="1">
        <v>42991</v>
      </c>
      <c r="G6679" s="1">
        <v>43007</v>
      </c>
      <c r="H6679">
        <v>4805</v>
      </c>
      <c r="I6679" t="str">
        <f>IF(COUNTIF(Products!$A$2:$A$8,C6679)=0,C6679,"")</f>
        <v/>
      </c>
      <c r="J6679">
        <f>IF(OR(E6679="Prospecting",E6679="Engaging"),VLOOKUP(C6679,Products!$A$2:$C$8,3,FALSE),0)</f>
        <v>0</v>
      </c>
    </row>
    <row r="6680" spans="1:10" x14ac:dyDescent="0.25">
      <c r="A6680" t="s">
        <v>6847</v>
      </c>
      <c r="B6680" t="s">
        <v>180</v>
      </c>
      <c r="C6680" t="s">
        <v>122</v>
      </c>
      <c r="D6680" t="s">
        <v>67</v>
      </c>
      <c r="E6680" t="s">
        <v>159</v>
      </c>
      <c r="F6680" s="1">
        <v>42991</v>
      </c>
      <c r="G6680" s="1">
        <v>43056</v>
      </c>
      <c r="H6680">
        <v>0</v>
      </c>
      <c r="I6680" t="str">
        <f>IF(COUNTIF(Products!$A$2:$A$8,C6680)=0,C6680,"")</f>
        <v/>
      </c>
      <c r="J6680">
        <f>IF(OR(E6680="Prospecting",E6680="Engaging"),VLOOKUP(C6680,Products!$A$2:$C$8,3,FALSE),0)</f>
        <v>0</v>
      </c>
    </row>
    <row r="6681" spans="1:10" x14ac:dyDescent="0.25">
      <c r="A6681" t="s">
        <v>6848</v>
      </c>
      <c r="B6681" t="s">
        <v>191</v>
      </c>
      <c r="C6681" t="s">
        <v>126</v>
      </c>
      <c r="D6681" t="s">
        <v>71</v>
      </c>
      <c r="E6681" t="s">
        <v>138</v>
      </c>
      <c r="F6681" s="1">
        <v>42991</v>
      </c>
      <c r="G6681" s="1">
        <v>43081</v>
      </c>
      <c r="H6681">
        <v>5158</v>
      </c>
      <c r="I6681" t="str">
        <f>IF(COUNTIF(Products!$A$2:$A$8,C6681)=0,C6681,"")</f>
        <v/>
      </c>
      <c r="J6681">
        <f>IF(OR(E6681="Prospecting",E6681="Engaging"),VLOOKUP(C6681,Products!$A$2:$C$8,3,FALSE),0)</f>
        <v>0</v>
      </c>
    </row>
    <row r="6682" spans="1:10" x14ac:dyDescent="0.25">
      <c r="A6682" t="s">
        <v>6849</v>
      </c>
      <c r="B6682" t="s">
        <v>205</v>
      </c>
      <c r="C6682" t="s">
        <v>120</v>
      </c>
      <c r="D6682" t="s">
        <v>22</v>
      </c>
      <c r="E6682" t="s">
        <v>138</v>
      </c>
      <c r="F6682" s="1">
        <v>42991</v>
      </c>
      <c r="G6682" s="1">
        <v>43060</v>
      </c>
      <c r="H6682">
        <v>477</v>
      </c>
      <c r="I6682" t="str">
        <f>IF(COUNTIF(Products!$A$2:$A$8,C6682)=0,C6682,"")</f>
        <v/>
      </c>
      <c r="J6682">
        <f>IF(OR(E6682="Prospecting",E6682="Engaging"),VLOOKUP(C6682,Products!$A$2:$C$8,3,FALSE),0)</f>
        <v>0</v>
      </c>
    </row>
    <row r="6683" spans="1:10" x14ac:dyDescent="0.25">
      <c r="A6683" t="s">
        <v>6850</v>
      </c>
      <c r="B6683" t="s">
        <v>162</v>
      </c>
      <c r="C6683" t="s">
        <v>126</v>
      </c>
      <c r="D6683" t="s">
        <v>72</v>
      </c>
      <c r="E6683" t="s">
        <v>138</v>
      </c>
      <c r="F6683" s="1">
        <v>42991</v>
      </c>
      <c r="G6683" s="1">
        <v>43055</v>
      </c>
      <c r="H6683">
        <v>4972</v>
      </c>
      <c r="I6683" t="str">
        <f>IF(COUNTIF(Products!$A$2:$A$8,C6683)=0,C6683,"")</f>
        <v/>
      </c>
      <c r="J6683">
        <f>IF(OR(E6683="Prospecting",E6683="Engaging"),VLOOKUP(C6683,Products!$A$2:$C$8,3,FALSE),0)</f>
        <v>0</v>
      </c>
    </row>
    <row r="6684" spans="1:10" x14ac:dyDescent="0.25">
      <c r="A6684" t="s">
        <v>6851</v>
      </c>
      <c r="B6684" t="s">
        <v>152</v>
      </c>
      <c r="C6684" t="s">
        <v>125</v>
      </c>
      <c r="D6684" t="s">
        <v>104</v>
      </c>
      <c r="E6684" t="s">
        <v>138</v>
      </c>
      <c r="F6684" s="1">
        <v>42991</v>
      </c>
      <c r="G6684" s="1">
        <v>43069</v>
      </c>
      <c r="H6684">
        <v>3902</v>
      </c>
      <c r="I6684" t="str">
        <f>IF(COUNTIF(Products!$A$2:$A$8,C6684)=0,C6684,"")</f>
        <v/>
      </c>
      <c r="J6684">
        <f>IF(OR(E6684="Prospecting",E6684="Engaging"),VLOOKUP(C6684,Products!$A$2:$C$8,3,FALSE),0)</f>
        <v>0</v>
      </c>
    </row>
    <row r="6685" spans="1:10" x14ac:dyDescent="0.25">
      <c r="A6685" t="s">
        <v>6852</v>
      </c>
      <c r="B6685" t="s">
        <v>193</v>
      </c>
      <c r="C6685" t="s">
        <v>127</v>
      </c>
      <c r="D6685" t="s">
        <v>84</v>
      </c>
      <c r="E6685" t="s">
        <v>138</v>
      </c>
      <c r="F6685" s="1">
        <v>42991</v>
      </c>
      <c r="G6685" s="1">
        <v>43083</v>
      </c>
      <c r="H6685">
        <v>1176</v>
      </c>
      <c r="I6685" t="str">
        <f>IF(COUNTIF(Products!$A$2:$A$8,C6685)=0,C6685,"")</f>
        <v/>
      </c>
      <c r="J6685">
        <f>IF(OR(E6685="Prospecting",E6685="Engaging"),VLOOKUP(C6685,Products!$A$2:$C$8,3,FALSE),0)</f>
        <v>0</v>
      </c>
    </row>
    <row r="6686" spans="1:10" x14ac:dyDescent="0.25">
      <c r="A6686" t="s">
        <v>6853</v>
      </c>
      <c r="B6686" t="s">
        <v>193</v>
      </c>
      <c r="C6686" t="s">
        <v>122</v>
      </c>
      <c r="D6686" t="s">
        <v>110</v>
      </c>
      <c r="E6686" t="s">
        <v>138</v>
      </c>
      <c r="F6686" s="1">
        <v>42991</v>
      </c>
      <c r="G6686" s="1">
        <v>43083</v>
      </c>
      <c r="H6686">
        <v>4140</v>
      </c>
      <c r="I6686" t="str">
        <f>IF(COUNTIF(Products!$A$2:$A$8,C6686)=0,C6686,"")</f>
        <v/>
      </c>
      <c r="J6686">
        <f>IF(OR(E6686="Prospecting",E6686="Engaging"),VLOOKUP(C6686,Products!$A$2:$C$8,3,FALSE),0)</f>
        <v>0</v>
      </c>
    </row>
    <row r="6687" spans="1:10" x14ac:dyDescent="0.25">
      <c r="A6687" t="s">
        <v>6854</v>
      </c>
      <c r="B6687" t="s">
        <v>166</v>
      </c>
      <c r="C6687" t="s">
        <v>123</v>
      </c>
      <c r="D6687" t="s">
        <v>47</v>
      </c>
      <c r="E6687" t="s">
        <v>138</v>
      </c>
      <c r="F6687" s="1">
        <v>42991</v>
      </c>
      <c r="G6687" s="1">
        <v>43069</v>
      </c>
      <c r="H6687">
        <v>54</v>
      </c>
      <c r="I6687" t="str">
        <f>IF(COUNTIF(Products!$A$2:$A$8,C6687)=0,C6687,"")</f>
        <v/>
      </c>
      <c r="J6687">
        <f>IF(OR(E6687="Prospecting",E6687="Engaging"),VLOOKUP(C6687,Products!$A$2:$C$8,3,FALSE),0)</f>
        <v>0</v>
      </c>
    </row>
    <row r="6688" spans="1:10" x14ac:dyDescent="0.25">
      <c r="A6688" t="s">
        <v>6855</v>
      </c>
      <c r="B6688" t="s">
        <v>148</v>
      </c>
      <c r="C6688" t="s">
        <v>123</v>
      </c>
      <c r="E6688" t="s">
        <v>155</v>
      </c>
      <c r="F6688" s="1">
        <v>42991</v>
      </c>
      <c r="I6688" t="str">
        <f>IF(COUNTIF(Products!$A$2:$A$8,C6688)=0,C6688,"")</f>
        <v/>
      </c>
      <c r="J6688">
        <f>IF(OR(E6688="Prospecting",E6688="Engaging"),VLOOKUP(C6688,Products!$A$2:$C$8,3,FALSE),0)</f>
        <v>55</v>
      </c>
    </row>
    <row r="6689" spans="1:10" x14ac:dyDescent="0.25">
      <c r="A6689" t="s">
        <v>6856</v>
      </c>
      <c r="B6689" t="s">
        <v>148</v>
      </c>
      <c r="C6689" t="s">
        <v>123</v>
      </c>
      <c r="D6689" t="s">
        <v>29</v>
      </c>
      <c r="E6689" t="s">
        <v>138</v>
      </c>
      <c r="F6689" s="1">
        <v>42991</v>
      </c>
      <c r="G6689" s="1">
        <v>43068</v>
      </c>
      <c r="H6689">
        <v>51</v>
      </c>
      <c r="I6689" t="str">
        <f>IF(COUNTIF(Products!$A$2:$A$8,C6689)=0,C6689,"")</f>
        <v/>
      </c>
      <c r="J6689">
        <f>IF(OR(E6689="Prospecting",E6689="Engaging"),VLOOKUP(C6689,Products!$A$2:$C$8,3,FALSE),0)</f>
        <v>0</v>
      </c>
    </row>
    <row r="6690" spans="1:10" x14ac:dyDescent="0.25">
      <c r="A6690" t="s">
        <v>6857</v>
      </c>
      <c r="B6690" t="s">
        <v>144</v>
      </c>
      <c r="C6690" t="s">
        <v>120</v>
      </c>
      <c r="D6690" t="s">
        <v>71</v>
      </c>
      <c r="E6690" t="s">
        <v>138</v>
      </c>
      <c r="F6690" s="1">
        <v>42991</v>
      </c>
      <c r="G6690" s="1">
        <v>42999</v>
      </c>
      <c r="H6690">
        <v>518</v>
      </c>
      <c r="I6690" t="str">
        <f>IF(COUNTIF(Products!$A$2:$A$8,C6690)=0,C6690,"")</f>
        <v/>
      </c>
      <c r="J6690">
        <f>IF(OR(E6690="Prospecting",E6690="Engaging"),VLOOKUP(C6690,Products!$A$2:$C$8,3,FALSE),0)</f>
        <v>0</v>
      </c>
    </row>
    <row r="6691" spans="1:10" x14ac:dyDescent="0.25">
      <c r="A6691" t="s">
        <v>6858</v>
      </c>
      <c r="B6691" t="s">
        <v>144</v>
      </c>
      <c r="C6691" t="s">
        <v>120</v>
      </c>
      <c r="D6691" t="s">
        <v>41</v>
      </c>
      <c r="E6691" t="s">
        <v>138</v>
      </c>
      <c r="F6691" s="1">
        <v>42991</v>
      </c>
      <c r="G6691" s="1">
        <v>43075</v>
      </c>
      <c r="H6691">
        <v>505</v>
      </c>
      <c r="I6691" t="str">
        <f>IF(COUNTIF(Products!$A$2:$A$8,C6691)=0,C6691,"")</f>
        <v/>
      </c>
      <c r="J6691">
        <f>IF(OR(E6691="Prospecting",E6691="Engaging"),VLOOKUP(C6691,Products!$A$2:$C$8,3,FALSE),0)</f>
        <v>0</v>
      </c>
    </row>
    <row r="6692" spans="1:10" x14ac:dyDescent="0.25">
      <c r="A6692" t="s">
        <v>6859</v>
      </c>
      <c r="B6692" t="s">
        <v>146</v>
      </c>
      <c r="C6692" t="s">
        <v>126</v>
      </c>
      <c r="D6692" t="s">
        <v>94</v>
      </c>
      <c r="E6692" t="s">
        <v>138</v>
      </c>
      <c r="F6692" s="1">
        <v>42992</v>
      </c>
      <c r="G6692" s="1">
        <v>42996</v>
      </c>
      <c r="H6692">
        <v>5421</v>
      </c>
      <c r="I6692" t="str">
        <f>IF(COUNTIF(Products!$A$2:$A$8,C6692)=0,C6692,"")</f>
        <v/>
      </c>
      <c r="J6692">
        <f>IF(OR(E6692="Prospecting",E6692="Engaging"),VLOOKUP(C6692,Products!$A$2:$C$8,3,FALSE),0)</f>
        <v>0</v>
      </c>
    </row>
    <row r="6693" spans="1:10" x14ac:dyDescent="0.25">
      <c r="A6693" t="s">
        <v>6860</v>
      </c>
      <c r="B6693" t="s">
        <v>207</v>
      </c>
      <c r="C6693" t="s">
        <v>122</v>
      </c>
      <c r="D6693" t="s">
        <v>67</v>
      </c>
      <c r="E6693" t="s">
        <v>138</v>
      </c>
      <c r="F6693" s="1">
        <v>42992</v>
      </c>
      <c r="G6693" s="1">
        <v>43062</v>
      </c>
      <c r="H6693">
        <v>3822</v>
      </c>
      <c r="I6693" t="str">
        <f>IF(COUNTIF(Products!$A$2:$A$8,C6693)=0,C6693,"")</f>
        <v/>
      </c>
      <c r="J6693">
        <f>IF(OR(E6693="Prospecting",E6693="Engaging"),VLOOKUP(C6693,Products!$A$2:$C$8,3,FALSE),0)</f>
        <v>0</v>
      </c>
    </row>
    <row r="6694" spans="1:10" x14ac:dyDescent="0.25">
      <c r="A6694" t="s">
        <v>6861</v>
      </c>
      <c r="B6694" t="s">
        <v>140</v>
      </c>
      <c r="C6694" t="s">
        <v>122</v>
      </c>
      <c r="D6694" t="s">
        <v>28</v>
      </c>
      <c r="E6694" t="s">
        <v>159</v>
      </c>
      <c r="F6694" s="1">
        <v>42992</v>
      </c>
      <c r="G6694" s="1">
        <v>43059</v>
      </c>
      <c r="H6694">
        <v>0</v>
      </c>
      <c r="I6694" t="str">
        <f>IF(COUNTIF(Products!$A$2:$A$8,C6694)=0,C6694,"")</f>
        <v/>
      </c>
      <c r="J6694">
        <f>IF(OR(E6694="Prospecting",E6694="Engaging"),VLOOKUP(C6694,Products!$A$2:$C$8,3,FALSE),0)</f>
        <v>0</v>
      </c>
    </row>
    <row r="6695" spans="1:10" x14ac:dyDescent="0.25">
      <c r="A6695" t="s">
        <v>6862</v>
      </c>
      <c r="B6695" t="s">
        <v>224</v>
      </c>
      <c r="C6695" t="s">
        <v>125</v>
      </c>
      <c r="D6695" t="s">
        <v>80</v>
      </c>
      <c r="E6695" t="s">
        <v>138</v>
      </c>
      <c r="F6695" s="1">
        <v>42992</v>
      </c>
      <c r="G6695" s="1">
        <v>43086</v>
      </c>
      <c r="H6695">
        <v>3331</v>
      </c>
      <c r="I6695" t="str">
        <f>IF(COUNTIF(Products!$A$2:$A$8,C6695)=0,C6695,"")</f>
        <v/>
      </c>
      <c r="J6695">
        <f>IF(OR(E6695="Prospecting",E6695="Engaging"),VLOOKUP(C6695,Products!$A$2:$C$8,3,FALSE),0)</f>
        <v>0</v>
      </c>
    </row>
    <row r="6696" spans="1:10" x14ac:dyDescent="0.25">
      <c r="A6696" t="s">
        <v>6863</v>
      </c>
      <c r="B6696" t="s">
        <v>164</v>
      </c>
      <c r="C6696" t="s">
        <v>123</v>
      </c>
      <c r="D6696" t="s">
        <v>114</v>
      </c>
      <c r="E6696" t="s">
        <v>159</v>
      </c>
      <c r="F6696" s="1">
        <v>42992</v>
      </c>
      <c r="G6696" s="1">
        <v>43066</v>
      </c>
      <c r="H6696">
        <v>0</v>
      </c>
      <c r="I6696" t="str">
        <f>IF(COUNTIF(Products!$A$2:$A$8,C6696)=0,C6696,"")</f>
        <v/>
      </c>
      <c r="J6696">
        <f>IF(OR(E6696="Prospecting",E6696="Engaging"),VLOOKUP(C6696,Products!$A$2:$C$8,3,FALSE),0)</f>
        <v>0</v>
      </c>
    </row>
    <row r="6697" spans="1:10" x14ac:dyDescent="0.25">
      <c r="A6697" t="s">
        <v>6864</v>
      </c>
      <c r="B6697" t="s">
        <v>154</v>
      </c>
      <c r="C6697" t="s">
        <v>120</v>
      </c>
      <c r="D6697" t="s">
        <v>78</v>
      </c>
      <c r="E6697" t="s">
        <v>138</v>
      </c>
      <c r="F6697" s="1">
        <v>42992</v>
      </c>
      <c r="G6697" s="1">
        <v>43089</v>
      </c>
      <c r="H6697">
        <v>504</v>
      </c>
      <c r="I6697" t="str">
        <f>IF(COUNTIF(Products!$A$2:$A$8,C6697)=0,C6697,"")</f>
        <v/>
      </c>
      <c r="J6697">
        <f>IF(OR(E6697="Prospecting",E6697="Engaging"),VLOOKUP(C6697,Products!$A$2:$C$8,3,FALSE),0)</f>
        <v>0</v>
      </c>
    </row>
    <row r="6698" spans="1:10" x14ac:dyDescent="0.25">
      <c r="A6698" t="s">
        <v>6865</v>
      </c>
      <c r="B6698" t="s">
        <v>154</v>
      </c>
      <c r="C6698" t="s">
        <v>127</v>
      </c>
      <c r="D6698" t="s">
        <v>82</v>
      </c>
      <c r="E6698" t="s">
        <v>138</v>
      </c>
      <c r="F6698" s="1">
        <v>42992</v>
      </c>
      <c r="G6698" s="1">
        <v>43079</v>
      </c>
      <c r="H6698">
        <v>1117</v>
      </c>
      <c r="I6698" t="str">
        <f>IF(COUNTIF(Products!$A$2:$A$8,C6698)=0,C6698,"")</f>
        <v/>
      </c>
      <c r="J6698">
        <f>IF(OR(E6698="Prospecting",E6698="Engaging"),VLOOKUP(C6698,Products!$A$2:$C$8,3,FALSE),0)</f>
        <v>0</v>
      </c>
    </row>
    <row r="6699" spans="1:10" x14ac:dyDescent="0.25">
      <c r="A6699" t="s">
        <v>6866</v>
      </c>
      <c r="B6699" t="s">
        <v>154</v>
      </c>
      <c r="C6699" t="s">
        <v>122</v>
      </c>
      <c r="D6699" t="s">
        <v>72</v>
      </c>
      <c r="E6699" t="s">
        <v>138</v>
      </c>
      <c r="F6699" s="1">
        <v>42992</v>
      </c>
      <c r="G6699" s="1">
        <v>43076</v>
      </c>
      <c r="H6699">
        <v>5230</v>
      </c>
      <c r="I6699" t="str">
        <f>IF(COUNTIF(Products!$A$2:$A$8,C6699)=0,C6699,"")</f>
        <v/>
      </c>
      <c r="J6699">
        <f>IF(OR(E6699="Prospecting",E6699="Engaging"),VLOOKUP(C6699,Products!$A$2:$C$8,3,FALSE),0)</f>
        <v>0</v>
      </c>
    </row>
    <row r="6700" spans="1:10" x14ac:dyDescent="0.25">
      <c r="A6700" t="s">
        <v>6867</v>
      </c>
      <c r="B6700" t="s">
        <v>180</v>
      </c>
      <c r="C6700" t="s">
        <v>122</v>
      </c>
      <c r="D6700" t="s">
        <v>38</v>
      </c>
      <c r="E6700" t="s">
        <v>138</v>
      </c>
      <c r="F6700" s="1">
        <v>42992</v>
      </c>
      <c r="G6700" s="1">
        <v>42994</v>
      </c>
      <c r="H6700">
        <v>4844</v>
      </c>
      <c r="I6700" t="str">
        <f>IF(COUNTIF(Products!$A$2:$A$8,C6700)=0,C6700,"")</f>
        <v/>
      </c>
      <c r="J6700">
        <f>IF(OR(E6700="Prospecting",E6700="Engaging"),VLOOKUP(C6700,Products!$A$2:$C$8,3,FALSE),0)</f>
        <v>0</v>
      </c>
    </row>
    <row r="6701" spans="1:10" x14ac:dyDescent="0.25">
      <c r="A6701" t="s">
        <v>6868</v>
      </c>
      <c r="B6701" t="s">
        <v>180</v>
      </c>
      <c r="C6701" t="s">
        <v>125</v>
      </c>
      <c r="D6701" t="s">
        <v>71</v>
      </c>
      <c r="E6701" t="s">
        <v>138</v>
      </c>
      <c r="F6701" s="1">
        <v>42992</v>
      </c>
      <c r="G6701" s="1">
        <v>43001</v>
      </c>
      <c r="H6701">
        <v>3596</v>
      </c>
      <c r="I6701" t="str">
        <f>IF(COUNTIF(Products!$A$2:$A$8,C6701)=0,C6701,"")</f>
        <v/>
      </c>
      <c r="J6701">
        <f>IF(OR(E6701="Prospecting",E6701="Engaging"),VLOOKUP(C6701,Products!$A$2:$C$8,3,FALSE),0)</f>
        <v>0</v>
      </c>
    </row>
    <row r="6702" spans="1:10" x14ac:dyDescent="0.25">
      <c r="A6702" t="s">
        <v>6869</v>
      </c>
      <c r="B6702" t="s">
        <v>191</v>
      </c>
      <c r="C6702" t="s">
        <v>122</v>
      </c>
      <c r="D6702" t="s">
        <v>82</v>
      </c>
      <c r="E6702" t="s">
        <v>159</v>
      </c>
      <c r="F6702" s="1">
        <v>42992</v>
      </c>
      <c r="G6702" s="1">
        <v>43008</v>
      </c>
      <c r="H6702">
        <v>0</v>
      </c>
      <c r="I6702" t="str">
        <f>IF(COUNTIF(Products!$A$2:$A$8,C6702)=0,C6702,"")</f>
        <v/>
      </c>
      <c r="J6702">
        <f>IF(OR(E6702="Prospecting",E6702="Engaging"),VLOOKUP(C6702,Products!$A$2:$C$8,3,FALSE),0)</f>
        <v>0</v>
      </c>
    </row>
    <row r="6703" spans="1:10" x14ac:dyDescent="0.25">
      <c r="A6703" t="s">
        <v>6870</v>
      </c>
      <c r="B6703" t="s">
        <v>191</v>
      </c>
      <c r="C6703" t="s">
        <v>122</v>
      </c>
      <c r="D6703" t="s">
        <v>90</v>
      </c>
      <c r="E6703" t="s">
        <v>138</v>
      </c>
      <c r="F6703" s="1">
        <v>42992</v>
      </c>
      <c r="G6703" s="1">
        <v>43040</v>
      </c>
      <c r="H6703">
        <v>4593</v>
      </c>
      <c r="I6703" t="str">
        <f>IF(COUNTIF(Products!$A$2:$A$8,C6703)=0,C6703,"")</f>
        <v/>
      </c>
      <c r="J6703">
        <f>IF(OR(E6703="Prospecting",E6703="Engaging"),VLOOKUP(C6703,Products!$A$2:$C$8,3,FALSE),0)</f>
        <v>0</v>
      </c>
    </row>
    <row r="6704" spans="1:10" x14ac:dyDescent="0.25">
      <c r="A6704" t="s">
        <v>6871</v>
      </c>
      <c r="B6704" t="s">
        <v>217</v>
      </c>
      <c r="C6704" t="s">
        <v>120</v>
      </c>
      <c r="D6704" t="s">
        <v>30</v>
      </c>
      <c r="E6704" t="s">
        <v>138</v>
      </c>
      <c r="F6704" s="1">
        <v>42992</v>
      </c>
      <c r="G6704" s="1">
        <v>43081</v>
      </c>
      <c r="H6704">
        <v>545</v>
      </c>
      <c r="I6704" t="str">
        <f>IF(COUNTIF(Products!$A$2:$A$8,C6704)=0,C6704,"")</f>
        <v/>
      </c>
      <c r="J6704">
        <f>IF(OR(E6704="Prospecting",E6704="Engaging"),VLOOKUP(C6704,Products!$A$2:$C$8,3,FALSE),0)</f>
        <v>0</v>
      </c>
    </row>
    <row r="6705" spans="1:10" x14ac:dyDescent="0.25">
      <c r="A6705" t="s">
        <v>6872</v>
      </c>
      <c r="B6705" t="s">
        <v>217</v>
      </c>
      <c r="C6705" t="s">
        <v>125</v>
      </c>
      <c r="D6705" t="s">
        <v>85</v>
      </c>
      <c r="E6705" t="s">
        <v>138</v>
      </c>
      <c r="F6705" s="1">
        <v>42992</v>
      </c>
      <c r="G6705" s="1">
        <v>43047</v>
      </c>
      <c r="H6705">
        <v>3362</v>
      </c>
      <c r="I6705" t="str">
        <f>IF(COUNTIF(Products!$A$2:$A$8,C6705)=0,C6705,"")</f>
        <v/>
      </c>
      <c r="J6705">
        <f>IF(OR(E6705="Prospecting",E6705="Engaging"),VLOOKUP(C6705,Products!$A$2:$C$8,3,FALSE),0)</f>
        <v>0</v>
      </c>
    </row>
    <row r="6706" spans="1:10" x14ac:dyDescent="0.25">
      <c r="A6706" t="s">
        <v>6873</v>
      </c>
      <c r="B6706" t="s">
        <v>205</v>
      </c>
      <c r="C6706" t="s">
        <v>127</v>
      </c>
      <c r="D6706" t="s">
        <v>14</v>
      </c>
      <c r="E6706" t="s">
        <v>138</v>
      </c>
      <c r="F6706" s="1">
        <v>42992</v>
      </c>
      <c r="G6706" s="1">
        <v>43083</v>
      </c>
      <c r="H6706">
        <v>1086</v>
      </c>
      <c r="I6706" t="str">
        <f>IF(COUNTIF(Products!$A$2:$A$8,C6706)=0,C6706,"")</f>
        <v/>
      </c>
      <c r="J6706">
        <f>IF(OR(E6706="Prospecting",E6706="Engaging"),VLOOKUP(C6706,Products!$A$2:$C$8,3,FALSE),0)</f>
        <v>0</v>
      </c>
    </row>
    <row r="6707" spans="1:10" x14ac:dyDescent="0.25">
      <c r="A6707" t="s">
        <v>6874</v>
      </c>
      <c r="B6707" t="s">
        <v>162</v>
      </c>
      <c r="C6707" t="s">
        <v>126</v>
      </c>
      <c r="E6707" t="s">
        <v>155</v>
      </c>
      <c r="F6707" s="1">
        <v>42992</v>
      </c>
      <c r="I6707" t="str">
        <f>IF(COUNTIF(Products!$A$2:$A$8,C6707)=0,C6707,"")</f>
        <v/>
      </c>
      <c r="J6707">
        <f>IF(OR(E6707="Prospecting",E6707="Engaging"),VLOOKUP(C6707,Products!$A$2:$C$8,3,FALSE),0)</f>
        <v>5482</v>
      </c>
    </row>
    <row r="6708" spans="1:10" x14ac:dyDescent="0.25">
      <c r="A6708" t="s">
        <v>6875</v>
      </c>
      <c r="B6708" t="s">
        <v>193</v>
      </c>
      <c r="C6708" t="s">
        <v>120</v>
      </c>
      <c r="D6708" t="s">
        <v>7</v>
      </c>
      <c r="E6708" t="s">
        <v>159</v>
      </c>
      <c r="F6708" s="1">
        <v>42992</v>
      </c>
      <c r="G6708" s="1">
        <v>43006</v>
      </c>
      <c r="H6708">
        <v>0</v>
      </c>
      <c r="I6708" t="str">
        <f>IF(COUNTIF(Products!$A$2:$A$8,C6708)=0,C6708,"")</f>
        <v/>
      </c>
      <c r="J6708">
        <f>IF(OR(E6708="Prospecting",E6708="Engaging"),VLOOKUP(C6708,Products!$A$2:$C$8,3,FALSE),0)</f>
        <v>0</v>
      </c>
    </row>
    <row r="6709" spans="1:10" x14ac:dyDescent="0.25">
      <c r="A6709" t="s">
        <v>6876</v>
      </c>
      <c r="B6709" t="s">
        <v>187</v>
      </c>
      <c r="C6709" t="s">
        <v>122</v>
      </c>
      <c r="D6709" t="s">
        <v>69</v>
      </c>
      <c r="E6709" t="s">
        <v>138</v>
      </c>
      <c r="F6709" s="1">
        <v>42992</v>
      </c>
      <c r="G6709" s="1">
        <v>43100</v>
      </c>
      <c r="H6709">
        <v>5153</v>
      </c>
      <c r="I6709" t="str">
        <f>IF(COUNTIF(Products!$A$2:$A$8,C6709)=0,C6709,"")</f>
        <v/>
      </c>
      <c r="J6709">
        <f>IF(OR(E6709="Prospecting",E6709="Engaging"),VLOOKUP(C6709,Products!$A$2:$C$8,3,FALSE),0)</f>
        <v>0</v>
      </c>
    </row>
    <row r="6710" spans="1:10" x14ac:dyDescent="0.25">
      <c r="A6710" t="s">
        <v>6877</v>
      </c>
      <c r="B6710" t="s">
        <v>169</v>
      </c>
      <c r="C6710" t="s">
        <v>123</v>
      </c>
      <c r="D6710" t="s">
        <v>70</v>
      </c>
      <c r="E6710" t="s">
        <v>159</v>
      </c>
      <c r="F6710" s="1">
        <v>42992</v>
      </c>
      <c r="G6710" s="1">
        <v>43068</v>
      </c>
      <c r="H6710">
        <v>0</v>
      </c>
      <c r="I6710" t="str">
        <f>IF(COUNTIF(Products!$A$2:$A$8,C6710)=0,C6710,"")</f>
        <v/>
      </c>
      <c r="J6710">
        <f>IF(OR(E6710="Prospecting",E6710="Engaging"),VLOOKUP(C6710,Products!$A$2:$C$8,3,FALSE),0)</f>
        <v>0</v>
      </c>
    </row>
    <row r="6711" spans="1:10" x14ac:dyDescent="0.25">
      <c r="A6711" t="s">
        <v>6878</v>
      </c>
      <c r="B6711" t="s">
        <v>148</v>
      </c>
      <c r="C6711" t="s">
        <v>122</v>
      </c>
      <c r="D6711" t="s">
        <v>69</v>
      </c>
      <c r="E6711" t="s">
        <v>138</v>
      </c>
      <c r="F6711" s="1">
        <v>42992</v>
      </c>
      <c r="G6711" s="1">
        <v>43054</v>
      </c>
      <c r="H6711">
        <v>5348</v>
      </c>
      <c r="I6711" t="str">
        <f>IF(COUNTIF(Products!$A$2:$A$8,C6711)=0,C6711,"")</f>
        <v/>
      </c>
      <c r="J6711">
        <f>IF(OR(E6711="Prospecting",E6711="Engaging"),VLOOKUP(C6711,Products!$A$2:$C$8,3,FALSE),0)</f>
        <v>0</v>
      </c>
    </row>
    <row r="6712" spans="1:10" x14ac:dyDescent="0.25">
      <c r="A6712" t="s">
        <v>6879</v>
      </c>
      <c r="B6712" t="s">
        <v>144</v>
      </c>
      <c r="C6712" t="s">
        <v>120</v>
      </c>
      <c r="E6712" t="s">
        <v>155</v>
      </c>
      <c r="F6712" s="1">
        <v>42992</v>
      </c>
      <c r="I6712" t="str">
        <f>IF(COUNTIF(Products!$A$2:$A$8,C6712)=0,C6712,"")</f>
        <v/>
      </c>
      <c r="J6712">
        <f>IF(OR(E6712="Prospecting",E6712="Engaging"),VLOOKUP(C6712,Products!$A$2:$C$8,3,FALSE),0)</f>
        <v>550</v>
      </c>
    </row>
    <row r="6713" spans="1:10" x14ac:dyDescent="0.25">
      <c r="A6713" t="s">
        <v>6880</v>
      </c>
      <c r="B6713" t="s">
        <v>144</v>
      </c>
      <c r="C6713" t="s">
        <v>122</v>
      </c>
      <c r="D6713" t="s">
        <v>44</v>
      </c>
      <c r="E6713" t="s">
        <v>138</v>
      </c>
      <c r="F6713" s="1">
        <v>42992</v>
      </c>
      <c r="G6713" s="1">
        <v>43044</v>
      </c>
      <c r="H6713">
        <v>5170</v>
      </c>
      <c r="I6713" t="str">
        <f>IF(COUNTIF(Products!$A$2:$A$8,C6713)=0,C6713,"")</f>
        <v/>
      </c>
      <c r="J6713">
        <f>IF(OR(E6713="Prospecting",E6713="Engaging"),VLOOKUP(C6713,Products!$A$2:$C$8,3,FALSE),0)</f>
        <v>0</v>
      </c>
    </row>
    <row r="6714" spans="1:10" x14ac:dyDescent="0.25">
      <c r="A6714" t="s">
        <v>6881</v>
      </c>
      <c r="B6714" t="s">
        <v>144</v>
      </c>
      <c r="C6714" t="s">
        <v>122</v>
      </c>
      <c r="D6714" t="s">
        <v>90</v>
      </c>
      <c r="E6714" t="s">
        <v>138</v>
      </c>
      <c r="F6714" s="1">
        <v>42992</v>
      </c>
      <c r="G6714" s="1">
        <v>43003</v>
      </c>
      <c r="H6714">
        <v>4050</v>
      </c>
      <c r="I6714" t="str">
        <f>IF(COUNTIF(Products!$A$2:$A$8,C6714)=0,C6714,"")</f>
        <v/>
      </c>
      <c r="J6714">
        <f>IF(OR(E6714="Prospecting",E6714="Engaging"),VLOOKUP(C6714,Products!$A$2:$C$8,3,FALSE),0)</f>
        <v>0</v>
      </c>
    </row>
    <row r="6715" spans="1:10" x14ac:dyDescent="0.25">
      <c r="A6715" t="s">
        <v>6882</v>
      </c>
      <c r="B6715" t="s">
        <v>239</v>
      </c>
      <c r="C6715" t="s">
        <v>120</v>
      </c>
      <c r="E6715" t="s">
        <v>155</v>
      </c>
      <c r="F6715" s="1">
        <v>42993</v>
      </c>
      <c r="I6715" t="str">
        <f>IF(COUNTIF(Products!$A$2:$A$8,C6715)=0,C6715,"")</f>
        <v/>
      </c>
      <c r="J6715">
        <f>IF(OR(E6715="Prospecting",E6715="Engaging"),VLOOKUP(C6715,Products!$A$2:$C$8,3,FALSE),0)</f>
        <v>550</v>
      </c>
    </row>
    <row r="6716" spans="1:10" x14ac:dyDescent="0.25">
      <c r="A6716" t="s">
        <v>6883</v>
      </c>
      <c r="B6716" t="s">
        <v>171</v>
      </c>
      <c r="C6716" t="s">
        <v>127</v>
      </c>
      <c r="D6716" t="s">
        <v>20</v>
      </c>
      <c r="E6716" t="s">
        <v>159</v>
      </c>
      <c r="F6716" s="1">
        <v>42993</v>
      </c>
      <c r="G6716" s="1">
        <v>43076</v>
      </c>
      <c r="H6716">
        <v>0</v>
      </c>
      <c r="I6716" t="str">
        <f>IF(COUNTIF(Products!$A$2:$A$8,C6716)=0,C6716,"")</f>
        <v/>
      </c>
      <c r="J6716">
        <f>IF(OR(E6716="Prospecting",E6716="Engaging"),VLOOKUP(C6716,Products!$A$2:$C$8,3,FALSE),0)</f>
        <v>0</v>
      </c>
    </row>
    <row r="6717" spans="1:10" x14ac:dyDescent="0.25">
      <c r="A6717" t="s">
        <v>6884</v>
      </c>
      <c r="B6717" t="s">
        <v>171</v>
      </c>
      <c r="C6717" t="s">
        <v>127</v>
      </c>
      <c r="D6717" t="s">
        <v>106</v>
      </c>
      <c r="E6717" t="s">
        <v>138</v>
      </c>
      <c r="F6717" s="1">
        <v>42993</v>
      </c>
      <c r="G6717" s="1">
        <v>43007</v>
      </c>
      <c r="H6717">
        <v>1221</v>
      </c>
      <c r="I6717" t="str">
        <f>IF(COUNTIF(Products!$A$2:$A$8,C6717)=0,C6717,"")</f>
        <v/>
      </c>
      <c r="J6717">
        <f>IF(OR(E6717="Prospecting",E6717="Engaging"),VLOOKUP(C6717,Products!$A$2:$C$8,3,FALSE),0)</f>
        <v>0</v>
      </c>
    </row>
    <row r="6718" spans="1:10" x14ac:dyDescent="0.25">
      <c r="A6718" t="s">
        <v>6885</v>
      </c>
      <c r="B6718" t="s">
        <v>140</v>
      </c>
      <c r="C6718" t="s">
        <v>125</v>
      </c>
      <c r="D6718" t="s">
        <v>103</v>
      </c>
      <c r="E6718" t="s">
        <v>159</v>
      </c>
      <c r="F6718" s="1">
        <v>42993</v>
      </c>
      <c r="G6718" s="1">
        <v>43055</v>
      </c>
      <c r="H6718">
        <v>0</v>
      </c>
      <c r="I6718" t="str">
        <f>IF(COUNTIF(Products!$A$2:$A$8,C6718)=0,C6718,"")</f>
        <v/>
      </c>
      <c r="J6718">
        <f>IF(OR(E6718="Prospecting",E6718="Engaging"),VLOOKUP(C6718,Products!$A$2:$C$8,3,FALSE),0)</f>
        <v>0</v>
      </c>
    </row>
    <row r="6719" spans="1:10" x14ac:dyDescent="0.25">
      <c r="A6719" t="s">
        <v>6886</v>
      </c>
      <c r="B6719" t="s">
        <v>140</v>
      </c>
      <c r="C6719" t="s">
        <v>126</v>
      </c>
      <c r="D6719" t="s">
        <v>77</v>
      </c>
      <c r="E6719" t="s">
        <v>138</v>
      </c>
      <c r="F6719" s="1">
        <v>42993</v>
      </c>
      <c r="G6719" s="1">
        <v>43078</v>
      </c>
      <c r="H6719">
        <v>5669</v>
      </c>
      <c r="I6719" t="str">
        <f>IF(COUNTIF(Products!$A$2:$A$8,C6719)=0,C6719,"")</f>
        <v/>
      </c>
      <c r="J6719">
        <f>IF(OR(E6719="Prospecting",E6719="Engaging"),VLOOKUP(C6719,Products!$A$2:$C$8,3,FALSE),0)</f>
        <v>0</v>
      </c>
    </row>
    <row r="6720" spans="1:10" x14ac:dyDescent="0.25">
      <c r="A6720" t="s">
        <v>6887</v>
      </c>
      <c r="B6720" t="s">
        <v>158</v>
      </c>
      <c r="C6720" t="s">
        <v>126</v>
      </c>
      <c r="D6720" t="s">
        <v>42</v>
      </c>
      <c r="E6720" t="s">
        <v>138</v>
      </c>
      <c r="F6720" s="1">
        <v>42993</v>
      </c>
      <c r="G6720" s="1">
        <v>43088</v>
      </c>
      <c r="H6720">
        <v>5385</v>
      </c>
      <c r="I6720" t="str">
        <f>IF(COUNTIF(Products!$A$2:$A$8,C6720)=0,C6720,"")</f>
        <v/>
      </c>
      <c r="J6720">
        <f>IF(OR(E6720="Prospecting",E6720="Engaging"),VLOOKUP(C6720,Products!$A$2:$C$8,3,FALSE),0)</f>
        <v>0</v>
      </c>
    </row>
    <row r="6721" spans="1:10" x14ac:dyDescent="0.25">
      <c r="A6721" t="s">
        <v>6888</v>
      </c>
      <c r="B6721" t="s">
        <v>150</v>
      </c>
      <c r="C6721" t="s">
        <v>120</v>
      </c>
      <c r="D6721" t="s">
        <v>61</v>
      </c>
      <c r="E6721" t="s">
        <v>159</v>
      </c>
      <c r="F6721" s="1">
        <v>42993</v>
      </c>
      <c r="G6721" s="1">
        <v>43096</v>
      </c>
      <c r="H6721">
        <v>0</v>
      </c>
      <c r="I6721" t="str">
        <f>IF(COUNTIF(Products!$A$2:$A$8,C6721)=0,C6721,"")</f>
        <v/>
      </c>
      <c r="J6721">
        <f>IF(OR(E6721="Prospecting",E6721="Engaging"),VLOOKUP(C6721,Products!$A$2:$C$8,3,FALSE),0)</f>
        <v>0</v>
      </c>
    </row>
    <row r="6722" spans="1:10" x14ac:dyDescent="0.25">
      <c r="A6722" t="s">
        <v>6889</v>
      </c>
      <c r="B6722" t="s">
        <v>150</v>
      </c>
      <c r="C6722" t="s">
        <v>123</v>
      </c>
      <c r="D6722" t="s">
        <v>114</v>
      </c>
      <c r="E6722" t="s">
        <v>138</v>
      </c>
      <c r="F6722" s="1">
        <v>42993</v>
      </c>
      <c r="G6722" s="1">
        <v>43078</v>
      </c>
      <c r="H6722">
        <v>48</v>
      </c>
      <c r="I6722" t="str">
        <f>IF(COUNTIF(Products!$A$2:$A$8,C6722)=0,C6722,"")</f>
        <v/>
      </c>
      <c r="J6722">
        <f>IF(OR(E6722="Prospecting",E6722="Engaging"),VLOOKUP(C6722,Products!$A$2:$C$8,3,FALSE),0)</f>
        <v>0</v>
      </c>
    </row>
    <row r="6723" spans="1:10" x14ac:dyDescent="0.25">
      <c r="A6723" t="s">
        <v>6890</v>
      </c>
      <c r="B6723" t="s">
        <v>150</v>
      </c>
      <c r="C6723" t="s">
        <v>125</v>
      </c>
      <c r="D6723" t="s">
        <v>82</v>
      </c>
      <c r="E6723" t="s">
        <v>138</v>
      </c>
      <c r="F6723" s="1">
        <v>42993</v>
      </c>
      <c r="G6723" s="1">
        <v>43070</v>
      </c>
      <c r="H6723">
        <v>3663</v>
      </c>
      <c r="I6723" t="str">
        <f>IF(COUNTIF(Products!$A$2:$A$8,C6723)=0,C6723,"")</f>
        <v/>
      </c>
      <c r="J6723">
        <f>IF(OR(E6723="Prospecting",E6723="Engaging"),VLOOKUP(C6723,Products!$A$2:$C$8,3,FALSE),0)</f>
        <v>0</v>
      </c>
    </row>
    <row r="6724" spans="1:10" x14ac:dyDescent="0.25">
      <c r="A6724" t="s">
        <v>6891</v>
      </c>
      <c r="B6724" t="s">
        <v>162</v>
      </c>
      <c r="C6724" t="s">
        <v>127</v>
      </c>
      <c r="E6724" t="s">
        <v>155</v>
      </c>
      <c r="F6724" s="1">
        <v>42993</v>
      </c>
      <c r="I6724" t="str">
        <f>IF(COUNTIF(Products!$A$2:$A$8,C6724)=0,C6724,"")</f>
        <v/>
      </c>
      <c r="J6724">
        <f>IF(OR(E6724="Prospecting",E6724="Engaging"),VLOOKUP(C6724,Products!$A$2:$C$8,3,FALSE),0)</f>
        <v>1096</v>
      </c>
    </row>
    <row r="6725" spans="1:10" x14ac:dyDescent="0.25">
      <c r="A6725" t="s">
        <v>6892</v>
      </c>
      <c r="B6725" t="s">
        <v>162</v>
      </c>
      <c r="C6725" t="s">
        <v>122</v>
      </c>
      <c r="D6725" t="s">
        <v>59</v>
      </c>
      <c r="E6725" t="s">
        <v>138</v>
      </c>
      <c r="F6725" s="1">
        <v>42993</v>
      </c>
      <c r="G6725" s="1">
        <v>43008</v>
      </c>
      <c r="H6725">
        <v>4695</v>
      </c>
      <c r="I6725" t="str">
        <f>IF(COUNTIF(Products!$A$2:$A$8,C6725)=0,C6725,"")</f>
        <v/>
      </c>
      <c r="J6725">
        <f>IF(OR(E6725="Prospecting",E6725="Engaging"),VLOOKUP(C6725,Products!$A$2:$C$8,3,FALSE),0)</f>
        <v>0</v>
      </c>
    </row>
    <row r="6726" spans="1:10" x14ac:dyDescent="0.25">
      <c r="A6726" t="s">
        <v>6893</v>
      </c>
      <c r="B6726" t="s">
        <v>148</v>
      </c>
      <c r="C6726" t="s">
        <v>123</v>
      </c>
      <c r="D6726" t="s">
        <v>38</v>
      </c>
      <c r="E6726" t="s">
        <v>159</v>
      </c>
      <c r="F6726" s="1">
        <v>42993</v>
      </c>
      <c r="G6726" s="1">
        <v>43099</v>
      </c>
      <c r="H6726">
        <v>0</v>
      </c>
      <c r="I6726" t="str">
        <f>IF(COUNTIF(Products!$A$2:$A$8,C6726)=0,C6726,"")</f>
        <v/>
      </c>
      <c r="J6726">
        <f>IF(OR(E6726="Prospecting",E6726="Engaging"),VLOOKUP(C6726,Products!$A$2:$C$8,3,FALSE),0)</f>
        <v>0</v>
      </c>
    </row>
    <row r="6727" spans="1:10" x14ac:dyDescent="0.25">
      <c r="A6727" t="s">
        <v>6894</v>
      </c>
      <c r="B6727" t="s">
        <v>196</v>
      </c>
      <c r="C6727" t="s">
        <v>125</v>
      </c>
      <c r="E6727" t="s">
        <v>155</v>
      </c>
      <c r="F6727" s="1">
        <v>42993</v>
      </c>
      <c r="I6727" t="str">
        <f>IF(COUNTIF(Products!$A$2:$A$8,C6727)=0,C6727,"")</f>
        <v/>
      </c>
      <c r="J6727">
        <f>IF(OR(E6727="Prospecting",E6727="Engaging"),VLOOKUP(C6727,Products!$A$2:$C$8,3,FALSE),0)</f>
        <v>3393</v>
      </c>
    </row>
    <row r="6728" spans="1:10" x14ac:dyDescent="0.25">
      <c r="A6728" t="s">
        <v>6895</v>
      </c>
      <c r="B6728" t="s">
        <v>144</v>
      </c>
      <c r="C6728" t="s">
        <v>125</v>
      </c>
      <c r="D6728" t="s">
        <v>87</v>
      </c>
      <c r="E6728" t="s">
        <v>138</v>
      </c>
      <c r="F6728" s="1">
        <v>42993</v>
      </c>
      <c r="G6728" s="1">
        <v>43046</v>
      </c>
      <c r="H6728">
        <v>2712</v>
      </c>
      <c r="I6728" t="str">
        <f>IF(COUNTIF(Products!$A$2:$A$8,C6728)=0,C6728,"")</f>
        <v/>
      </c>
      <c r="J6728">
        <f>IF(OR(E6728="Prospecting",E6728="Engaging"),VLOOKUP(C6728,Products!$A$2:$C$8,3,FALSE),0)</f>
        <v>0</v>
      </c>
    </row>
    <row r="6729" spans="1:10" x14ac:dyDescent="0.25">
      <c r="A6729" t="s">
        <v>6896</v>
      </c>
      <c r="B6729" t="s">
        <v>146</v>
      </c>
      <c r="C6729" t="s">
        <v>123</v>
      </c>
      <c r="D6729" t="s">
        <v>88</v>
      </c>
      <c r="E6729" t="s">
        <v>138</v>
      </c>
      <c r="F6729" s="1">
        <v>42994</v>
      </c>
      <c r="G6729" s="1">
        <v>43076</v>
      </c>
      <c r="H6729">
        <v>65</v>
      </c>
      <c r="I6729" t="str">
        <f>IF(COUNTIF(Products!$A$2:$A$8,C6729)=0,C6729,"")</f>
        <v/>
      </c>
      <c r="J6729">
        <f>IF(OR(E6729="Prospecting",E6729="Engaging"),VLOOKUP(C6729,Products!$A$2:$C$8,3,FALSE),0)</f>
        <v>0</v>
      </c>
    </row>
    <row r="6730" spans="1:10" x14ac:dyDescent="0.25">
      <c r="A6730" t="s">
        <v>6897</v>
      </c>
      <c r="B6730" t="s">
        <v>146</v>
      </c>
      <c r="C6730" t="s">
        <v>123</v>
      </c>
      <c r="D6730" t="s">
        <v>95</v>
      </c>
      <c r="E6730" t="s">
        <v>138</v>
      </c>
      <c r="F6730" s="1">
        <v>42994</v>
      </c>
      <c r="G6730" s="1">
        <v>43001</v>
      </c>
      <c r="H6730">
        <v>55</v>
      </c>
      <c r="I6730" t="str">
        <f>IF(COUNTIF(Products!$A$2:$A$8,C6730)=0,C6730,"")</f>
        <v/>
      </c>
      <c r="J6730">
        <f>IF(OR(E6730="Prospecting",E6730="Engaging"),VLOOKUP(C6730,Products!$A$2:$C$8,3,FALSE),0)</f>
        <v>0</v>
      </c>
    </row>
    <row r="6731" spans="1:10" x14ac:dyDescent="0.25">
      <c r="A6731" t="s">
        <v>6898</v>
      </c>
      <c r="B6731" t="s">
        <v>146</v>
      </c>
      <c r="C6731" t="s">
        <v>123</v>
      </c>
      <c r="D6731" t="s">
        <v>96</v>
      </c>
      <c r="E6731" t="s">
        <v>138</v>
      </c>
      <c r="F6731" s="1">
        <v>42994</v>
      </c>
      <c r="G6731" s="1">
        <v>43099</v>
      </c>
      <c r="H6731">
        <v>58</v>
      </c>
      <c r="I6731" t="str">
        <f>IF(COUNTIF(Products!$A$2:$A$8,C6731)=0,C6731,"")</f>
        <v/>
      </c>
      <c r="J6731">
        <f>IF(OR(E6731="Prospecting",E6731="Engaging"),VLOOKUP(C6731,Products!$A$2:$C$8,3,FALSE),0)</f>
        <v>0</v>
      </c>
    </row>
    <row r="6732" spans="1:10" x14ac:dyDescent="0.25">
      <c r="A6732" t="s">
        <v>6899</v>
      </c>
      <c r="B6732" t="s">
        <v>207</v>
      </c>
      <c r="C6732" t="s">
        <v>126</v>
      </c>
      <c r="E6732" t="s">
        <v>155</v>
      </c>
      <c r="F6732" s="1">
        <v>42994</v>
      </c>
      <c r="I6732" t="str">
        <f>IF(COUNTIF(Products!$A$2:$A$8,C6732)=0,C6732,"")</f>
        <v/>
      </c>
      <c r="J6732">
        <f>IF(OR(E6732="Prospecting",E6732="Engaging"),VLOOKUP(C6732,Products!$A$2:$C$8,3,FALSE),0)</f>
        <v>5482</v>
      </c>
    </row>
    <row r="6733" spans="1:10" x14ac:dyDescent="0.25">
      <c r="A6733" t="s">
        <v>6900</v>
      </c>
      <c r="B6733" t="s">
        <v>207</v>
      </c>
      <c r="C6733" t="s">
        <v>120</v>
      </c>
      <c r="D6733" t="s">
        <v>80</v>
      </c>
      <c r="E6733" t="s">
        <v>138</v>
      </c>
      <c r="F6733" s="1">
        <v>42994</v>
      </c>
      <c r="G6733" s="1">
        <v>43005</v>
      </c>
      <c r="H6733">
        <v>512</v>
      </c>
      <c r="I6733" t="str">
        <f>IF(COUNTIF(Products!$A$2:$A$8,C6733)=0,C6733,"")</f>
        <v/>
      </c>
      <c r="J6733">
        <f>IF(OR(E6733="Prospecting",E6733="Engaging"),VLOOKUP(C6733,Products!$A$2:$C$8,3,FALSE),0)</f>
        <v>0</v>
      </c>
    </row>
    <row r="6734" spans="1:10" x14ac:dyDescent="0.25">
      <c r="A6734" t="s">
        <v>6901</v>
      </c>
      <c r="B6734" t="s">
        <v>239</v>
      </c>
      <c r="C6734" t="s">
        <v>126</v>
      </c>
      <c r="D6734" t="s">
        <v>67</v>
      </c>
      <c r="E6734" t="s">
        <v>138</v>
      </c>
      <c r="F6734" s="1">
        <v>42994</v>
      </c>
      <c r="G6734" s="1">
        <v>43002</v>
      </c>
      <c r="H6734">
        <v>5820</v>
      </c>
      <c r="I6734" t="str">
        <f>IF(COUNTIF(Products!$A$2:$A$8,C6734)=0,C6734,"")</f>
        <v/>
      </c>
      <c r="J6734">
        <f>IF(OR(E6734="Prospecting",E6734="Engaging"),VLOOKUP(C6734,Products!$A$2:$C$8,3,FALSE),0)</f>
        <v>0</v>
      </c>
    </row>
    <row r="6735" spans="1:10" x14ac:dyDescent="0.25">
      <c r="A6735" t="s">
        <v>6902</v>
      </c>
      <c r="B6735" t="s">
        <v>171</v>
      </c>
      <c r="C6735" t="s">
        <v>126</v>
      </c>
      <c r="D6735" t="s">
        <v>37</v>
      </c>
      <c r="E6735" t="s">
        <v>159</v>
      </c>
      <c r="F6735" s="1">
        <v>42994</v>
      </c>
      <c r="G6735" s="1">
        <v>43069</v>
      </c>
      <c r="H6735">
        <v>0</v>
      </c>
      <c r="I6735" t="str">
        <f>IF(COUNTIF(Products!$A$2:$A$8,C6735)=0,C6735,"")</f>
        <v/>
      </c>
      <c r="J6735">
        <f>IF(OR(E6735="Prospecting",E6735="Engaging"),VLOOKUP(C6735,Products!$A$2:$C$8,3,FALSE),0)</f>
        <v>0</v>
      </c>
    </row>
    <row r="6736" spans="1:10" x14ac:dyDescent="0.25">
      <c r="A6736" t="s">
        <v>6903</v>
      </c>
      <c r="B6736" t="s">
        <v>140</v>
      </c>
      <c r="C6736" t="s">
        <v>127</v>
      </c>
      <c r="D6736" t="s">
        <v>26</v>
      </c>
      <c r="E6736" t="s">
        <v>138</v>
      </c>
      <c r="F6736" s="1">
        <v>42994</v>
      </c>
      <c r="G6736" s="1">
        <v>43064</v>
      </c>
      <c r="H6736">
        <v>1179</v>
      </c>
      <c r="I6736" t="str">
        <f>IF(COUNTIF(Products!$A$2:$A$8,C6736)=0,C6736,"")</f>
        <v/>
      </c>
      <c r="J6736">
        <f>IF(OR(E6736="Prospecting",E6736="Engaging"),VLOOKUP(C6736,Products!$A$2:$C$8,3,FALSE),0)</f>
        <v>0</v>
      </c>
    </row>
    <row r="6737" spans="1:10" x14ac:dyDescent="0.25">
      <c r="A6737" t="s">
        <v>6904</v>
      </c>
      <c r="B6737" t="s">
        <v>140</v>
      </c>
      <c r="C6737" t="s">
        <v>127</v>
      </c>
      <c r="D6737" t="s">
        <v>85</v>
      </c>
      <c r="E6737" t="s">
        <v>138</v>
      </c>
      <c r="F6737" s="1">
        <v>42994</v>
      </c>
      <c r="G6737" s="1">
        <v>43004</v>
      </c>
      <c r="H6737">
        <v>1153</v>
      </c>
      <c r="I6737" t="str">
        <f>IF(COUNTIF(Products!$A$2:$A$8,C6737)=0,C6737,"")</f>
        <v/>
      </c>
      <c r="J6737">
        <f>IF(OR(E6737="Prospecting",E6737="Engaging"),VLOOKUP(C6737,Products!$A$2:$C$8,3,FALSE),0)</f>
        <v>0</v>
      </c>
    </row>
    <row r="6738" spans="1:10" x14ac:dyDescent="0.25">
      <c r="A6738" t="s">
        <v>6905</v>
      </c>
      <c r="B6738" t="s">
        <v>224</v>
      </c>
      <c r="C6738" t="s">
        <v>127</v>
      </c>
      <c r="D6738" t="s">
        <v>48</v>
      </c>
      <c r="E6738" t="s">
        <v>138</v>
      </c>
      <c r="F6738" s="1">
        <v>42994</v>
      </c>
      <c r="G6738" s="1">
        <v>42999</v>
      </c>
      <c r="H6738">
        <v>892</v>
      </c>
      <c r="I6738" t="str">
        <f>IF(COUNTIF(Products!$A$2:$A$8,C6738)=0,C6738,"")</f>
        <v/>
      </c>
      <c r="J6738">
        <f>IF(OR(E6738="Prospecting",E6738="Engaging"),VLOOKUP(C6738,Products!$A$2:$C$8,3,FALSE),0)</f>
        <v>0</v>
      </c>
    </row>
    <row r="6739" spans="1:10" x14ac:dyDescent="0.25">
      <c r="A6739" t="s">
        <v>6906</v>
      </c>
      <c r="B6739" t="s">
        <v>224</v>
      </c>
      <c r="C6739" t="s">
        <v>127</v>
      </c>
      <c r="D6739" t="s">
        <v>111</v>
      </c>
      <c r="E6739" t="s">
        <v>138</v>
      </c>
      <c r="F6739" s="1">
        <v>42994</v>
      </c>
      <c r="G6739" s="1">
        <v>43061</v>
      </c>
      <c r="H6739">
        <v>1231</v>
      </c>
      <c r="I6739" t="str">
        <f>IF(COUNTIF(Products!$A$2:$A$8,C6739)=0,C6739,"")</f>
        <v/>
      </c>
      <c r="J6739">
        <f>IF(OR(E6739="Prospecting",E6739="Engaging"),VLOOKUP(C6739,Products!$A$2:$C$8,3,FALSE),0)</f>
        <v>0</v>
      </c>
    </row>
    <row r="6740" spans="1:10" x14ac:dyDescent="0.25">
      <c r="A6740" t="s">
        <v>6907</v>
      </c>
      <c r="B6740" t="s">
        <v>224</v>
      </c>
      <c r="C6740" t="s">
        <v>125</v>
      </c>
      <c r="D6740" t="s">
        <v>84</v>
      </c>
      <c r="E6740" t="s">
        <v>138</v>
      </c>
      <c r="F6740" s="1">
        <v>42994</v>
      </c>
      <c r="G6740" s="1">
        <v>43094</v>
      </c>
      <c r="H6740">
        <v>3091</v>
      </c>
      <c r="I6740" t="str">
        <f>IF(COUNTIF(Products!$A$2:$A$8,C6740)=0,C6740,"")</f>
        <v/>
      </c>
      <c r="J6740">
        <f>IF(OR(E6740="Prospecting",E6740="Engaging"),VLOOKUP(C6740,Products!$A$2:$C$8,3,FALSE),0)</f>
        <v>0</v>
      </c>
    </row>
    <row r="6741" spans="1:10" x14ac:dyDescent="0.25">
      <c r="A6741" t="s">
        <v>6908</v>
      </c>
      <c r="B6741" t="s">
        <v>198</v>
      </c>
      <c r="C6741" t="s">
        <v>120</v>
      </c>
      <c r="D6741" t="s">
        <v>108</v>
      </c>
      <c r="E6741" t="s">
        <v>138</v>
      </c>
      <c r="F6741" s="1">
        <v>42994</v>
      </c>
      <c r="G6741" s="1">
        <v>43063</v>
      </c>
      <c r="H6741">
        <v>547</v>
      </c>
      <c r="I6741" t="str">
        <f>IF(COUNTIF(Products!$A$2:$A$8,C6741)=0,C6741,"")</f>
        <v/>
      </c>
      <c r="J6741">
        <f>IF(OR(E6741="Prospecting",E6741="Engaging"),VLOOKUP(C6741,Products!$A$2:$C$8,3,FALSE),0)</f>
        <v>0</v>
      </c>
    </row>
    <row r="6742" spans="1:10" x14ac:dyDescent="0.25">
      <c r="A6742" t="s">
        <v>6909</v>
      </c>
      <c r="B6742" t="s">
        <v>154</v>
      </c>
      <c r="C6742" t="s">
        <v>123</v>
      </c>
      <c r="D6742" t="s">
        <v>71</v>
      </c>
      <c r="E6742" t="s">
        <v>159</v>
      </c>
      <c r="F6742" s="1">
        <v>42994</v>
      </c>
      <c r="G6742" s="1">
        <v>43052</v>
      </c>
      <c r="H6742">
        <v>0</v>
      </c>
      <c r="I6742" t="str">
        <f>IF(COUNTIF(Products!$A$2:$A$8,C6742)=0,C6742,"")</f>
        <v/>
      </c>
      <c r="J6742">
        <f>IF(OR(E6742="Prospecting",E6742="Engaging"),VLOOKUP(C6742,Products!$A$2:$C$8,3,FALSE),0)</f>
        <v>0</v>
      </c>
    </row>
    <row r="6743" spans="1:10" x14ac:dyDescent="0.25">
      <c r="A6743" t="s">
        <v>6910</v>
      </c>
      <c r="B6743" t="s">
        <v>154</v>
      </c>
      <c r="C6743" t="s">
        <v>126</v>
      </c>
      <c r="D6743" t="s">
        <v>56</v>
      </c>
      <c r="E6743" t="s">
        <v>138</v>
      </c>
      <c r="F6743" s="1">
        <v>42994</v>
      </c>
      <c r="G6743" s="1">
        <v>42996</v>
      </c>
      <c r="H6743">
        <v>5919</v>
      </c>
      <c r="I6743" t="str">
        <f>IF(COUNTIF(Products!$A$2:$A$8,C6743)=0,C6743,"")</f>
        <v/>
      </c>
      <c r="J6743">
        <f>IF(OR(E6743="Prospecting",E6743="Engaging"),VLOOKUP(C6743,Products!$A$2:$C$8,3,FALSE),0)</f>
        <v>0</v>
      </c>
    </row>
    <row r="6744" spans="1:10" x14ac:dyDescent="0.25">
      <c r="A6744" t="s">
        <v>6911</v>
      </c>
      <c r="B6744" t="s">
        <v>154</v>
      </c>
      <c r="C6744" t="s">
        <v>126</v>
      </c>
      <c r="D6744" t="s">
        <v>59</v>
      </c>
      <c r="E6744" t="s">
        <v>138</v>
      </c>
      <c r="F6744" s="1">
        <v>42994</v>
      </c>
      <c r="G6744" s="1">
        <v>43049</v>
      </c>
      <c r="H6744">
        <v>5745</v>
      </c>
      <c r="I6744" t="str">
        <f>IF(COUNTIF(Products!$A$2:$A$8,C6744)=0,C6744,"")</f>
        <v/>
      </c>
      <c r="J6744">
        <f>IF(OR(E6744="Prospecting",E6744="Engaging"),VLOOKUP(C6744,Products!$A$2:$C$8,3,FALSE),0)</f>
        <v>0</v>
      </c>
    </row>
    <row r="6745" spans="1:10" x14ac:dyDescent="0.25">
      <c r="A6745" t="s">
        <v>6912</v>
      </c>
      <c r="B6745" t="s">
        <v>303</v>
      </c>
      <c r="C6745" t="s">
        <v>120</v>
      </c>
      <c r="D6745" t="s">
        <v>94</v>
      </c>
      <c r="E6745" t="s">
        <v>159</v>
      </c>
      <c r="F6745" s="1">
        <v>42994</v>
      </c>
      <c r="G6745" s="1">
        <v>43058</v>
      </c>
      <c r="H6745">
        <v>0</v>
      </c>
      <c r="I6745" t="str">
        <f>IF(COUNTIF(Products!$A$2:$A$8,C6745)=0,C6745,"")</f>
        <v/>
      </c>
      <c r="J6745">
        <f>IF(OR(E6745="Prospecting",E6745="Engaging"),VLOOKUP(C6745,Products!$A$2:$C$8,3,FALSE),0)</f>
        <v>0</v>
      </c>
    </row>
    <row r="6746" spans="1:10" x14ac:dyDescent="0.25">
      <c r="A6746" t="s">
        <v>6913</v>
      </c>
      <c r="B6746" t="s">
        <v>303</v>
      </c>
      <c r="C6746" t="s">
        <v>120</v>
      </c>
      <c r="D6746" t="s">
        <v>96</v>
      </c>
      <c r="E6746" t="s">
        <v>159</v>
      </c>
      <c r="F6746" s="1">
        <v>42994</v>
      </c>
      <c r="G6746" s="1">
        <v>43065</v>
      </c>
      <c r="H6746">
        <v>0</v>
      </c>
      <c r="I6746" t="str">
        <f>IF(COUNTIF(Products!$A$2:$A$8,C6746)=0,C6746,"")</f>
        <v/>
      </c>
      <c r="J6746">
        <f>IF(OR(E6746="Prospecting",E6746="Engaging"),VLOOKUP(C6746,Products!$A$2:$C$8,3,FALSE),0)</f>
        <v>0</v>
      </c>
    </row>
    <row r="6747" spans="1:10" x14ac:dyDescent="0.25">
      <c r="A6747" t="s">
        <v>6914</v>
      </c>
      <c r="B6747" t="s">
        <v>303</v>
      </c>
      <c r="C6747" t="s">
        <v>122</v>
      </c>
      <c r="D6747" t="s">
        <v>77</v>
      </c>
      <c r="E6747" t="s">
        <v>159</v>
      </c>
      <c r="F6747" s="1">
        <v>42994</v>
      </c>
      <c r="G6747" s="1">
        <v>43091</v>
      </c>
      <c r="H6747">
        <v>0</v>
      </c>
      <c r="I6747" t="str">
        <f>IF(COUNTIF(Products!$A$2:$A$8,C6747)=0,C6747,"")</f>
        <v/>
      </c>
      <c r="J6747">
        <f>IF(OR(E6747="Prospecting",E6747="Engaging"),VLOOKUP(C6747,Products!$A$2:$C$8,3,FALSE),0)</f>
        <v>0</v>
      </c>
    </row>
    <row r="6748" spans="1:10" x14ac:dyDescent="0.25">
      <c r="A6748" t="s">
        <v>6915</v>
      </c>
      <c r="B6748" t="s">
        <v>217</v>
      </c>
      <c r="C6748" t="s">
        <v>125</v>
      </c>
      <c r="D6748" t="s">
        <v>22</v>
      </c>
      <c r="E6748" t="s">
        <v>159</v>
      </c>
      <c r="F6748" s="1">
        <v>42994</v>
      </c>
      <c r="G6748" s="1">
        <v>43075</v>
      </c>
      <c r="H6748">
        <v>0</v>
      </c>
      <c r="I6748" t="str">
        <f>IF(COUNTIF(Products!$A$2:$A$8,C6748)=0,C6748,"")</f>
        <v/>
      </c>
      <c r="J6748">
        <f>IF(OR(E6748="Prospecting",E6748="Engaging"),VLOOKUP(C6748,Products!$A$2:$C$8,3,FALSE),0)</f>
        <v>0</v>
      </c>
    </row>
    <row r="6749" spans="1:10" x14ac:dyDescent="0.25">
      <c r="A6749" t="s">
        <v>6916</v>
      </c>
      <c r="B6749" t="s">
        <v>150</v>
      </c>
      <c r="C6749" t="s">
        <v>126</v>
      </c>
      <c r="D6749" t="s">
        <v>69</v>
      </c>
      <c r="E6749" t="s">
        <v>159</v>
      </c>
      <c r="F6749" s="1">
        <v>42994</v>
      </c>
      <c r="G6749" s="1">
        <v>43078</v>
      </c>
      <c r="H6749">
        <v>0</v>
      </c>
      <c r="I6749" t="str">
        <f>IF(COUNTIF(Products!$A$2:$A$8,C6749)=0,C6749,"")</f>
        <v/>
      </c>
      <c r="J6749">
        <f>IF(OR(E6749="Prospecting",E6749="Engaging"),VLOOKUP(C6749,Products!$A$2:$C$8,3,FALSE),0)</f>
        <v>0</v>
      </c>
    </row>
    <row r="6750" spans="1:10" x14ac:dyDescent="0.25">
      <c r="A6750" t="s">
        <v>6917</v>
      </c>
      <c r="B6750" t="s">
        <v>150</v>
      </c>
      <c r="C6750" t="s">
        <v>127</v>
      </c>
      <c r="D6750" t="s">
        <v>93</v>
      </c>
      <c r="E6750" t="s">
        <v>138</v>
      </c>
      <c r="F6750" s="1">
        <v>42994</v>
      </c>
      <c r="G6750" s="1">
        <v>43084</v>
      </c>
      <c r="H6750">
        <v>1252</v>
      </c>
      <c r="I6750" t="str">
        <f>IF(COUNTIF(Products!$A$2:$A$8,C6750)=0,C6750,"")</f>
        <v/>
      </c>
      <c r="J6750">
        <f>IF(OR(E6750="Prospecting",E6750="Engaging"),VLOOKUP(C6750,Products!$A$2:$C$8,3,FALSE),0)</f>
        <v>0</v>
      </c>
    </row>
    <row r="6751" spans="1:10" x14ac:dyDescent="0.25">
      <c r="A6751" t="s">
        <v>6918</v>
      </c>
      <c r="B6751" t="s">
        <v>137</v>
      </c>
      <c r="C6751" t="s">
        <v>123</v>
      </c>
      <c r="D6751" t="s">
        <v>30</v>
      </c>
      <c r="E6751" t="s">
        <v>159</v>
      </c>
      <c r="F6751" s="1">
        <v>42994</v>
      </c>
      <c r="G6751" s="1">
        <v>43060</v>
      </c>
      <c r="H6751">
        <v>0</v>
      </c>
      <c r="I6751" t="str">
        <f>IF(COUNTIF(Products!$A$2:$A$8,C6751)=0,C6751,"")</f>
        <v/>
      </c>
      <c r="J6751">
        <f>IF(OR(E6751="Prospecting",E6751="Engaging"),VLOOKUP(C6751,Products!$A$2:$C$8,3,FALSE),0)</f>
        <v>0</v>
      </c>
    </row>
    <row r="6752" spans="1:10" x14ac:dyDescent="0.25">
      <c r="A6752" t="s">
        <v>6919</v>
      </c>
      <c r="B6752" t="s">
        <v>137</v>
      </c>
      <c r="C6752" t="s">
        <v>125</v>
      </c>
      <c r="D6752" t="s">
        <v>94</v>
      </c>
      <c r="E6752" t="s">
        <v>138</v>
      </c>
      <c r="F6752" s="1">
        <v>42994</v>
      </c>
      <c r="G6752" s="1">
        <v>43074</v>
      </c>
      <c r="H6752">
        <v>3039</v>
      </c>
      <c r="I6752" t="str">
        <f>IF(COUNTIF(Products!$A$2:$A$8,C6752)=0,C6752,"")</f>
        <v/>
      </c>
      <c r="J6752">
        <f>IF(OR(E6752="Prospecting",E6752="Engaging"),VLOOKUP(C6752,Products!$A$2:$C$8,3,FALSE),0)</f>
        <v>0</v>
      </c>
    </row>
    <row r="6753" spans="1:10" x14ac:dyDescent="0.25">
      <c r="A6753" t="s">
        <v>6920</v>
      </c>
      <c r="B6753" t="s">
        <v>152</v>
      </c>
      <c r="C6753" t="s">
        <v>120</v>
      </c>
      <c r="D6753" t="s">
        <v>104</v>
      </c>
      <c r="E6753" t="s">
        <v>138</v>
      </c>
      <c r="F6753" s="1">
        <v>42994</v>
      </c>
      <c r="G6753" s="1">
        <v>43058</v>
      </c>
      <c r="H6753">
        <v>637</v>
      </c>
      <c r="I6753" t="str">
        <f>IF(COUNTIF(Products!$A$2:$A$8,C6753)=0,C6753,"")</f>
        <v/>
      </c>
      <c r="J6753">
        <f>IF(OR(E6753="Prospecting",E6753="Engaging"),VLOOKUP(C6753,Products!$A$2:$C$8,3,FALSE),0)</f>
        <v>0</v>
      </c>
    </row>
    <row r="6754" spans="1:10" x14ac:dyDescent="0.25">
      <c r="A6754" t="s">
        <v>6921</v>
      </c>
      <c r="B6754" t="s">
        <v>193</v>
      </c>
      <c r="C6754" t="s">
        <v>120</v>
      </c>
      <c r="D6754" t="s">
        <v>7</v>
      </c>
      <c r="E6754" t="s">
        <v>159</v>
      </c>
      <c r="F6754" s="1">
        <v>42994</v>
      </c>
      <c r="G6754" s="1">
        <v>43004</v>
      </c>
      <c r="H6754">
        <v>0</v>
      </c>
      <c r="I6754" t="str">
        <f>IF(COUNTIF(Products!$A$2:$A$8,C6754)=0,C6754,"")</f>
        <v/>
      </c>
      <c r="J6754">
        <f>IF(OR(E6754="Prospecting",E6754="Engaging"),VLOOKUP(C6754,Products!$A$2:$C$8,3,FALSE),0)</f>
        <v>0</v>
      </c>
    </row>
    <row r="6755" spans="1:10" x14ac:dyDescent="0.25">
      <c r="A6755" t="s">
        <v>6922</v>
      </c>
      <c r="B6755" t="s">
        <v>166</v>
      </c>
      <c r="C6755" t="s">
        <v>122</v>
      </c>
      <c r="D6755" t="s">
        <v>114</v>
      </c>
      <c r="E6755" t="s">
        <v>138</v>
      </c>
      <c r="F6755" s="1">
        <v>42994</v>
      </c>
      <c r="G6755" s="1">
        <v>43077</v>
      </c>
      <c r="H6755">
        <v>4614</v>
      </c>
      <c r="I6755" t="str">
        <f>IF(COUNTIF(Products!$A$2:$A$8,C6755)=0,C6755,"")</f>
        <v/>
      </c>
      <c r="J6755">
        <f>IF(OR(E6755="Prospecting",E6755="Engaging"),VLOOKUP(C6755,Products!$A$2:$C$8,3,FALSE),0)</f>
        <v>0</v>
      </c>
    </row>
    <row r="6756" spans="1:10" x14ac:dyDescent="0.25">
      <c r="A6756" t="s">
        <v>6923</v>
      </c>
      <c r="B6756" t="s">
        <v>187</v>
      </c>
      <c r="C6756" t="s">
        <v>123</v>
      </c>
      <c r="D6756" t="s">
        <v>50</v>
      </c>
      <c r="E6756" t="s">
        <v>138</v>
      </c>
      <c r="F6756" s="1">
        <v>42994</v>
      </c>
      <c r="G6756" s="1">
        <v>43066</v>
      </c>
      <c r="H6756">
        <v>51</v>
      </c>
      <c r="I6756" t="str">
        <f>IF(COUNTIF(Products!$A$2:$A$8,C6756)=0,C6756,"")</f>
        <v/>
      </c>
      <c r="J6756">
        <f>IF(OR(E6756="Prospecting",E6756="Engaging"),VLOOKUP(C6756,Products!$A$2:$C$8,3,FALSE),0)</f>
        <v>0</v>
      </c>
    </row>
    <row r="6757" spans="1:10" x14ac:dyDescent="0.25">
      <c r="A6757" t="s">
        <v>6924</v>
      </c>
      <c r="B6757" t="s">
        <v>148</v>
      </c>
      <c r="C6757" t="s">
        <v>126</v>
      </c>
      <c r="E6757" t="s">
        <v>155</v>
      </c>
      <c r="F6757" s="1">
        <v>42994</v>
      </c>
      <c r="I6757" t="str">
        <f>IF(COUNTIF(Products!$A$2:$A$8,C6757)=0,C6757,"")</f>
        <v/>
      </c>
      <c r="J6757">
        <f>IF(OR(E6757="Prospecting",E6757="Engaging"),VLOOKUP(C6757,Products!$A$2:$C$8,3,FALSE),0)</f>
        <v>5482</v>
      </c>
    </row>
    <row r="6758" spans="1:10" x14ac:dyDescent="0.25">
      <c r="A6758" t="s">
        <v>6925</v>
      </c>
      <c r="B6758" t="s">
        <v>148</v>
      </c>
      <c r="C6758" t="s">
        <v>120</v>
      </c>
      <c r="D6758" t="s">
        <v>82</v>
      </c>
      <c r="E6758" t="s">
        <v>159</v>
      </c>
      <c r="F6758" s="1">
        <v>42994</v>
      </c>
      <c r="G6758" s="1">
        <v>43058</v>
      </c>
      <c r="H6758">
        <v>0</v>
      </c>
      <c r="I6758" t="str">
        <f>IF(COUNTIF(Products!$A$2:$A$8,C6758)=0,C6758,"")</f>
        <v/>
      </c>
      <c r="J6758">
        <f>IF(OR(E6758="Prospecting",E6758="Engaging"),VLOOKUP(C6758,Products!$A$2:$C$8,3,FALSE),0)</f>
        <v>0</v>
      </c>
    </row>
    <row r="6759" spans="1:10" x14ac:dyDescent="0.25">
      <c r="A6759" t="s">
        <v>6926</v>
      </c>
      <c r="B6759" t="s">
        <v>148</v>
      </c>
      <c r="C6759" t="s">
        <v>120</v>
      </c>
      <c r="D6759" t="s">
        <v>82</v>
      </c>
      <c r="E6759" t="s">
        <v>138</v>
      </c>
      <c r="F6759" s="1">
        <v>42994</v>
      </c>
      <c r="G6759" s="1">
        <v>43073</v>
      </c>
      <c r="H6759">
        <v>595</v>
      </c>
      <c r="I6759" t="str">
        <f>IF(COUNTIF(Products!$A$2:$A$8,C6759)=0,C6759,"")</f>
        <v/>
      </c>
      <c r="J6759">
        <f>IF(OR(E6759="Prospecting",E6759="Engaging"),VLOOKUP(C6759,Products!$A$2:$C$8,3,FALSE),0)</f>
        <v>0</v>
      </c>
    </row>
    <row r="6760" spans="1:10" x14ac:dyDescent="0.25">
      <c r="A6760" t="s">
        <v>6927</v>
      </c>
      <c r="B6760" t="s">
        <v>148</v>
      </c>
      <c r="C6760" t="s">
        <v>123</v>
      </c>
      <c r="D6760" t="s">
        <v>114</v>
      </c>
      <c r="E6760" t="s">
        <v>138</v>
      </c>
      <c r="F6760" s="1">
        <v>42994</v>
      </c>
      <c r="G6760" s="1">
        <v>43095</v>
      </c>
      <c r="H6760">
        <v>52</v>
      </c>
      <c r="I6760" t="str">
        <f>IF(COUNTIF(Products!$A$2:$A$8,C6760)=0,C6760,"")</f>
        <v/>
      </c>
      <c r="J6760">
        <f>IF(OR(E6760="Prospecting",E6760="Engaging"),VLOOKUP(C6760,Products!$A$2:$C$8,3,FALSE),0)</f>
        <v>0</v>
      </c>
    </row>
    <row r="6761" spans="1:10" x14ac:dyDescent="0.25">
      <c r="A6761" t="s">
        <v>6928</v>
      </c>
      <c r="B6761" t="s">
        <v>177</v>
      </c>
      <c r="C6761" t="s">
        <v>122</v>
      </c>
      <c r="D6761" t="s">
        <v>69</v>
      </c>
      <c r="E6761" t="s">
        <v>138</v>
      </c>
      <c r="F6761" s="1">
        <v>42994</v>
      </c>
      <c r="G6761" s="1">
        <v>43008</v>
      </c>
      <c r="H6761">
        <v>5604</v>
      </c>
      <c r="I6761" t="str">
        <f>IF(COUNTIF(Products!$A$2:$A$8,C6761)=0,C6761,"")</f>
        <v/>
      </c>
      <c r="J6761">
        <f>IF(OR(E6761="Prospecting",E6761="Engaging"),VLOOKUP(C6761,Products!$A$2:$C$8,3,FALSE),0)</f>
        <v>0</v>
      </c>
    </row>
    <row r="6762" spans="1:10" x14ac:dyDescent="0.25">
      <c r="A6762" t="s">
        <v>6929</v>
      </c>
      <c r="B6762" t="s">
        <v>144</v>
      </c>
      <c r="C6762" t="s">
        <v>127</v>
      </c>
      <c r="D6762" t="s">
        <v>29</v>
      </c>
      <c r="E6762" t="s">
        <v>159</v>
      </c>
      <c r="F6762" s="1">
        <v>42994</v>
      </c>
      <c r="G6762" s="1">
        <v>43057</v>
      </c>
      <c r="H6762">
        <v>0</v>
      </c>
      <c r="I6762" t="str">
        <f>IF(COUNTIF(Products!$A$2:$A$8,C6762)=0,C6762,"")</f>
        <v/>
      </c>
      <c r="J6762">
        <f>IF(OR(E6762="Prospecting",E6762="Engaging"),VLOOKUP(C6762,Products!$A$2:$C$8,3,FALSE),0)</f>
        <v>0</v>
      </c>
    </row>
    <row r="6763" spans="1:10" x14ac:dyDescent="0.25">
      <c r="A6763" t="s">
        <v>6930</v>
      </c>
      <c r="B6763" t="s">
        <v>144</v>
      </c>
      <c r="C6763" t="s">
        <v>127</v>
      </c>
      <c r="D6763" t="s">
        <v>60</v>
      </c>
      <c r="E6763" t="s">
        <v>159</v>
      </c>
      <c r="F6763" s="1">
        <v>42994</v>
      </c>
      <c r="G6763" s="1">
        <v>43051</v>
      </c>
      <c r="H6763">
        <v>0</v>
      </c>
      <c r="I6763" t="str">
        <f>IF(COUNTIF(Products!$A$2:$A$8,C6763)=0,C6763,"")</f>
        <v/>
      </c>
      <c r="J6763">
        <f>IF(OR(E6763="Prospecting",E6763="Engaging"),VLOOKUP(C6763,Products!$A$2:$C$8,3,FALSE),0)</f>
        <v>0</v>
      </c>
    </row>
    <row r="6764" spans="1:10" x14ac:dyDescent="0.25">
      <c r="A6764" t="s">
        <v>6931</v>
      </c>
      <c r="B6764" t="s">
        <v>144</v>
      </c>
      <c r="C6764" t="s">
        <v>127</v>
      </c>
      <c r="D6764" t="s">
        <v>83</v>
      </c>
      <c r="E6764" t="s">
        <v>159</v>
      </c>
      <c r="F6764" s="1">
        <v>42994</v>
      </c>
      <c r="G6764" s="1">
        <v>43065</v>
      </c>
      <c r="H6764">
        <v>0</v>
      </c>
      <c r="I6764" t="str">
        <f>IF(COUNTIF(Products!$A$2:$A$8,C6764)=0,C6764,"")</f>
        <v/>
      </c>
      <c r="J6764">
        <f>IF(OR(E6764="Prospecting",E6764="Engaging"),VLOOKUP(C6764,Products!$A$2:$C$8,3,FALSE),0)</f>
        <v>0</v>
      </c>
    </row>
    <row r="6765" spans="1:10" x14ac:dyDescent="0.25">
      <c r="A6765" t="s">
        <v>6932</v>
      </c>
      <c r="B6765" t="s">
        <v>144</v>
      </c>
      <c r="C6765" t="s">
        <v>122</v>
      </c>
      <c r="D6765" t="s">
        <v>69</v>
      </c>
      <c r="E6765" t="s">
        <v>138</v>
      </c>
      <c r="F6765" s="1">
        <v>42994</v>
      </c>
      <c r="G6765" s="1">
        <v>43005</v>
      </c>
      <c r="H6765">
        <v>5360</v>
      </c>
      <c r="I6765" t="str">
        <f>IF(COUNTIF(Products!$A$2:$A$8,C6765)=0,C6765,"")</f>
        <v/>
      </c>
      <c r="J6765">
        <f>IF(OR(E6765="Prospecting",E6765="Engaging"),VLOOKUP(C6765,Products!$A$2:$C$8,3,FALSE),0)</f>
        <v>0</v>
      </c>
    </row>
    <row r="6766" spans="1:10" x14ac:dyDescent="0.25">
      <c r="A6766" t="s">
        <v>6933</v>
      </c>
      <c r="B6766" t="s">
        <v>222</v>
      </c>
      <c r="C6766" t="s">
        <v>127</v>
      </c>
      <c r="E6766" t="s">
        <v>155</v>
      </c>
      <c r="F6766" s="1">
        <v>42995</v>
      </c>
      <c r="I6766" t="str">
        <f>IF(COUNTIF(Products!$A$2:$A$8,C6766)=0,C6766,"")</f>
        <v/>
      </c>
      <c r="J6766">
        <f>IF(OR(E6766="Prospecting",E6766="Engaging"),VLOOKUP(C6766,Products!$A$2:$C$8,3,FALSE),0)</f>
        <v>1096</v>
      </c>
    </row>
    <row r="6767" spans="1:10" x14ac:dyDescent="0.25">
      <c r="A6767" t="s">
        <v>6934</v>
      </c>
      <c r="B6767" t="s">
        <v>207</v>
      </c>
      <c r="C6767" t="s">
        <v>120</v>
      </c>
      <c r="D6767" t="s">
        <v>108</v>
      </c>
      <c r="E6767" t="s">
        <v>159</v>
      </c>
      <c r="F6767" s="1">
        <v>42995</v>
      </c>
      <c r="G6767" s="1">
        <v>43082</v>
      </c>
      <c r="H6767">
        <v>0</v>
      </c>
      <c r="I6767" t="str">
        <f>IF(COUNTIF(Products!$A$2:$A$8,C6767)=0,C6767,"")</f>
        <v/>
      </c>
      <c r="J6767">
        <f>IF(OR(E6767="Prospecting",E6767="Engaging"),VLOOKUP(C6767,Products!$A$2:$C$8,3,FALSE),0)</f>
        <v>0</v>
      </c>
    </row>
    <row r="6768" spans="1:10" x14ac:dyDescent="0.25">
      <c r="A6768" t="s">
        <v>6935</v>
      </c>
      <c r="B6768" t="s">
        <v>264</v>
      </c>
      <c r="C6768" t="s">
        <v>123</v>
      </c>
      <c r="D6768" t="s">
        <v>12</v>
      </c>
      <c r="E6768" t="s">
        <v>159</v>
      </c>
      <c r="F6768" s="1">
        <v>42995</v>
      </c>
      <c r="G6768" s="1">
        <v>43052</v>
      </c>
      <c r="H6768">
        <v>0</v>
      </c>
      <c r="I6768" t="str">
        <f>IF(COUNTIF(Products!$A$2:$A$8,C6768)=0,C6768,"")</f>
        <v/>
      </c>
      <c r="J6768">
        <f>IF(OR(E6768="Prospecting",E6768="Engaging"),VLOOKUP(C6768,Products!$A$2:$C$8,3,FALSE),0)</f>
        <v>0</v>
      </c>
    </row>
    <row r="6769" spans="1:10" x14ac:dyDescent="0.25">
      <c r="A6769" t="s">
        <v>6936</v>
      </c>
      <c r="B6769" t="s">
        <v>239</v>
      </c>
      <c r="C6769" t="s">
        <v>122</v>
      </c>
      <c r="D6769" t="s">
        <v>48</v>
      </c>
      <c r="E6769" t="s">
        <v>159</v>
      </c>
      <c r="F6769" s="1">
        <v>42995</v>
      </c>
      <c r="G6769" s="1">
        <v>43053</v>
      </c>
      <c r="H6769">
        <v>0</v>
      </c>
      <c r="I6769" t="str">
        <f>IF(COUNTIF(Products!$A$2:$A$8,C6769)=0,C6769,"")</f>
        <v/>
      </c>
      <c r="J6769">
        <f>IF(OR(E6769="Prospecting",E6769="Engaging"),VLOOKUP(C6769,Products!$A$2:$C$8,3,FALSE),0)</f>
        <v>0</v>
      </c>
    </row>
    <row r="6770" spans="1:10" x14ac:dyDescent="0.25">
      <c r="A6770" t="s">
        <v>6937</v>
      </c>
      <c r="B6770" t="s">
        <v>239</v>
      </c>
      <c r="C6770" t="s">
        <v>120</v>
      </c>
      <c r="D6770" t="s">
        <v>98</v>
      </c>
      <c r="E6770" t="s">
        <v>138</v>
      </c>
      <c r="F6770" s="1">
        <v>42995</v>
      </c>
      <c r="G6770" s="1">
        <v>43088</v>
      </c>
      <c r="H6770">
        <v>538</v>
      </c>
      <c r="I6770" t="str">
        <f>IF(COUNTIF(Products!$A$2:$A$8,C6770)=0,C6770,"")</f>
        <v/>
      </c>
      <c r="J6770">
        <f>IF(OR(E6770="Prospecting",E6770="Engaging"),VLOOKUP(C6770,Products!$A$2:$C$8,3,FALSE),0)</f>
        <v>0</v>
      </c>
    </row>
    <row r="6771" spans="1:10" x14ac:dyDescent="0.25">
      <c r="A6771" t="s">
        <v>6938</v>
      </c>
      <c r="B6771" t="s">
        <v>140</v>
      </c>
      <c r="C6771" t="s">
        <v>122</v>
      </c>
      <c r="D6771" t="s">
        <v>22</v>
      </c>
      <c r="E6771" t="s">
        <v>159</v>
      </c>
      <c r="F6771" s="1">
        <v>42995</v>
      </c>
      <c r="G6771" s="1">
        <v>43071</v>
      </c>
      <c r="H6771">
        <v>0</v>
      </c>
      <c r="I6771" t="str">
        <f>IF(COUNTIF(Products!$A$2:$A$8,C6771)=0,C6771,"")</f>
        <v/>
      </c>
      <c r="J6771">
        <f>IF(OR(E6771="Prospecting",E6771="Engaging"),VLOOKUP(C6771,Products!$A$2:$C$8,3,FALSE),0)</f>
        <v>0</v>
      </c>
    </row>
    <row r="6772" spans="1:10" x14ac:dyDescent="0.25">
      <c r="A6772" t="s">
        <v>6939</v>
      </c>
      <c r="B6772" t="s">
        <v>140</v>
      </c>
      <c r="C6772" t="s">
        <v>126</v>
      </c>
      <c r="D6772" t="s">
        <v>28</v>
      </c>
      <c r="E6772" t="s">
        <v>138</v>
      </c>
      <c r="F6772" s="1">
        <v>42995</v>
      </c>
      <c r="G6772" s="1">
        <v>43067</v>
      </c>
      <c r="H6772">
        <v>5668</v>
      </c>
      <c r="I6772" t="str">
        <f>IF(COUNTIF(Products!$A$2:$A$8,C6772)=0,C6772,"")</f>
        <v/>
      </c>
      <c r="J6772">
        <f>IF(OR(E6772="Prospecting",E6772="Engaging"),VLOOKUP(C6772,Products!$A$2:$C$8,3,FALSE),0)</f>
        <v>0</v>
      </c>
    </row>
    <row r="6773" spans="1:10" x14ac:dyDescent="0.25">
      <c r="A6773" t="s">
        <v>6940</v>
      </c>
      <c r="B6773" t="s">
        <v>140</v>
      </c>
      <c r="C6773" t="s">
        <v>122</v>
      </c>
      <c r="D6773" t="s">
        <v>77</v>
      </c>
      <c r="E6773" t="s">
        <v>138</v>
      </c>
      <c r="F6773" s="1">
        <v>42995</v>
      </c>
      <c r="G6773" s="1">
        <v>43080</v>
      </c>
      <c r="H6773">
        <v>5220</v>
      </c>
      <c r="I6773" t="str">
        <f>IF(COUNTIF(Products!$A$2:$A$8,C6773)=0,C6773,"")</f>
        <v/>
      </c>
      <c r="J6773">
        <f>IF(OR(E6773="Prospecting",E6773="Engaging"),VLOOKUP(C6773,Products!$A$2:$C$8,3,FALSE),0)</f>
        <v>0</v>
      </c>
    </row>
    <row r="6774" spans="1:10" x14ac:dyDescent="0.25">
      <c r="A6774" t="s">
        <v>6941</v>
      </c>
      <c r="B6774" t="s">
        <v>224</v>
      </c>
      <c r="C6774" t="s">
        <v>122</v>
      </c>
      <c r="D6774" t="s">
        <v>10</v>
      </c>
      <c r="E6774" t="s">
        <v>138</v>
      </c>
      <c r="F6774" s="1">
        <v>42995</v>
      </c>
      <c r="G6774" s="1">
        <v>43004</v>
      </c>
      <c r="H6774">
        <v>5763</v>
      </c>
      <c r="I6774" t="str">
        <f>IF(COUNTIF(Products!$A$2:$A$8,C6774)=0,C6774,"")</f>
        <v/>
      </c>
      <c r="J6774">
        <f>IF(OR(E6774="Prospecting",E6774="Engaging"),VLOOKUP(C6774,Products!$A$2:$C$8,3,FALSE),0)</f>
        <v>0</v>
      </c>
    </row>
    <row r="6775" spans="1:10" x14ac:dyDescent="0.25">
      <c r="A6775" t="s">
        <v>6942</v>
      </c>
      <c r="B6775" t="s">
        <v>154</v>
      </c>
      <c r="C6775" t="s">
        <v>126</v>
      </c>
      <c r="D6775" t="s">
        <v>100</v>
      </c>
      <c r="E6775" t="s">
        <v>159</v>
      </c>
      <c r="F6775" s="1">
        <v>42995</v>
      </c>
      <c r="G6775" s="1">
        <v>43065</v>
      </c>
      <c r="H6775">
        <v>0</v>
      </c>
      <c r="I6775" t="str">
        <f>IF(COUNTIF(Products!$A$2:$A$8,C6775)=0,C6775,"")</f>
        <v/>
      </c>
      <c r="J6775">
        <f>IF(OR(E6775="Prospecting",E6775="Engaging"),VLOOKUP(C6775,Products!$A$2:$C$8,3,FALSE),0)</f>
        <v>0</v>
      </c>
    </row>
    <row r="6776" spans="1:10" x14ac:dyDescent="0.25">
      <c r="A6776" t="s">
        <v>6943</v>
      </c>
      <c r="B6776" t="s">
        <v>180</v>
      </c>
      <c r="C6776" t="s">
        <v>120</v>
      </c>
      <c r="E6776" t="s">
        <v>155</v>
      </c>
      <c r="F6776" s="1">
        <v>42995</v>
      </c>
      <c r="I6776" t="str">
        <f>IF(COUNTIF(Products!$A$2:$A$8,C6776)=0,C6776,"")</f>
        <v/>
      </c>
      <c r="J6776">
        <f>IF(OR(E6776="Prospecting",E6776="Engaging"),VLOOKUP(C6776,Products!$A$2:$C$8,3,FALSE),0)</f>
        <v>550</v>
      </c>
    </row>
    <row r="6777" spans="1:10" x14ac:dyDescent="0.25">
      <c r="A6777" t="s">
        <v>6944</v>
      </c>
      <c r="B6777" t="s">
        <v>191</v>
      </c>
      <c r="C6777" t="s">
        <v>127</v>
      </c>
      <c r="D6777" t="s">
        <v>72</v>
      </c>
      <c r="E6777" t="s">
        <v>138</v>
      </c>
      <c r="F6777" s="1">
        <v>42995</v>
      </c>
      <c r="G6777" s="1">
        <v>43053</v>
      </c>
      <c r="H6777">
        <v>948</v>
      </c>
      <c r="I6777" t="str">
        <f>IF(COUNTIF(Products!$A$2:$A$8,C6777)=0,C6777,"")</f>
        <v/>
      </c>
      <c r="J6777">
        <f>IF(OR(E6777="Prospecting",E6777="Engaging"),VLOOKUP(C6777,Products!$A$2:$C$8,3,FALSE),0)</f>
        <v>0</v>
      </c>
    </row>
    <row r="6778" spans="1:10" x14ac:dyDescent="0.25">
      <c r="A6778" t="s">
        <v>6945</v>
      </c>
      <c r="B6778" t="s">
        <v>217</v>
      </c>
      <c r="C6778" t="s">
        <v>120</v>
      </c>
      <c r="D6778" t="s">
        <v>89</v>
      </c>
      <c r="E6778" t="s">
        <v>138</v>
      </c>
      <c r="F6778" s="1">
        <v>42995</v>
      </c>
      <c r="G6778" s="1">
        <v>43058</v>
      </c>
      <c r="H6778">
        <v>487</v>
      </c>
      <c r="I6778" t="str">
        <f>IF(COUNTIF(Products!$A$2:$A$8,C6778)=0,C6778,"")</f>
        <v/>
      </c>
      <c r="J6778">
        <f>IF(OR(E6778="Prospecting",E6778="Engaging"),VLOOKUP(C6778,Products!$A$2:$C$8,3,FALSE),0)</f>
        <v>0</v>
      </c>
    </row>
    <row r="6779" spans="1:10" x14ac:dyDescent="0.25">
      <c r="A6779" t="s">
        <v>6946</v>
      </c>
      <c r="B6779" t="s">
        <v>217</v>
      </c>
      <c r="C6779" t="s">
        <v>127</v>
      </c>
      <c r="D6779" t="s">
        <v>46</v>
      </c>
      <c r="E6779" t="s">
        <v>138</v>
      </c>
      <c r="F6779" s="1">
        <v>42995</v>
      </c>
      <c r="G6779" s="1">
        <v>43057</v>
      </c>
      <c r="H6779">
        <v>1072</v>
      </c>
      <c r="I6779" t="str">
        <f>IF(COUNTIF(Products!$A$2:$A$8,C6779)=0,C6779,"")</f>
        <v/>
      </c>
      <c r="J6779">
        <f>IF(OR(E6779="Prospecting",E6779="Engaging"),VLOOKUP(C6779,Products!$A$2:$C$8,3,FALSE),0)</f>
        <v>0</v>
      </c>
    </row>
    <row r="6780" spans="1:10" x14ac:dyDescent="0.25">
      <c r="A6780" t="s">
        <v>6947</v>
      </c>
      <c r="B6780" t="s">
        <v>150</v>
      </c>
      <c r="C6780" t="s">
        <v>123</v>
      </c>
      <c r="D6780" t="s">
        <v>93</v>
      </c>
      <c r="E6780" t="s">
        <v>138</v>
      </c>
      <c r="F6780" s="1">
        <v>42995</v>
      </c>
      <c r="G6780" s="1">
        <v>43085</v>
      </c>
      <c r="H6780">
        <v>56</v>
      </c>
      <c r="I6780" t="str">
        <f>IF(COUNTIF(Products!$A$2:$A$8,C6780)=0,C6780,"")</f>
        <v/>
      </c>
      <c r="J6780">
        <f>IF(OR(E6780="Prospecting",E6780="Engaging"),VLOOKUP(C6780,Products!$A$2:$C$8,3,FALSE),0)</f>
        <v>0</v>
      </c>
    </row>
    <row r="6781" spans="1:10" x14ac:dyDescent="0.25">
      <c r="A6781" t="s">
        <v>6948</v>
      </c>
      <c r="B6781" t="s">
        <v>162</v>
      </c>
      <c r="C6781" t="s">
        <v>125</v>
      </c>
      <c r="D6781" t="s">
        <v>37</v>
      </c>
      <c r="E6781" t="s">
        <v>155</v>
      </c>
      <c r="F6781" s="1">
        <v>42995</v>
      </c>
      <c r="I6781" t="str">
        <f>IF(COUNTIF(Products!$A$2:$A$8,C6781)=0,C6781,"")</f>
        <v/>
      </c>
      <c r="J6781">
        <f>IF(OR(E6781="Prospecting",E6781="Engaging"),VLOOKUP(C6781,Products!$A$2:$C$8,3,FALSE),0)</f>
        <v>3393</v>
      </c>
    </row>
    <row r="6782" spans="1:10" x14ac:dyDescent="0.25">
      <c r="A6782" t="s">
        <v>6949</v>
      </c>
      <c r="B6782" t="s">
        <v>162</v>
      </c>
      <c r="C6782" t="s">
        <v>122</v>
      </c>
      <c r="D6782" t="s">
        <v>67</v>
      </c>
      <c r="E6782" t="s">
        <v>138</v>
      </c>
      <c r="F6782" s="1">
        <v>42995</v>
      </c>
      <c r="G6782" s="1">
        <v>43096</v>
      </c>
      <c r="H6782">
        <v>4812</v>
      </c>
      <c r="I6782" t="str">
        <f>IF(COUNTIF(Products!$A$2:$A$8,C6782)=0,C6782,"")</f>
        <v/>
      </c>
      <c r="J6782">
        <f>IF(OR(E6782="Prospecting",E6782="Engaging"),VLOOKUP(C6782,Products!$A$2:$C$8,3,FALSE),0)</f>
        <v>0</v>
      </c>
    </row>
    <row r="6783" spans="1:10" x14ac:dyDescent="0.25">
      <c r="A6783" t="s">
        <v>6950</v>
      </c>
      <c r="B6783" t="s">
        <v>193</v>
      </c>
      <c r="C6783" t="s">
        <v>120</v>
      </c>
      <c r="D6783" t="s">
        <v>10</v>
      </c>
      <c r="E6783" t="s">
        <v>159</v>
      </c>
      <c r="F6783" s="1">
        <v>42995</v>
      </c>
      <c r="G6783" s="1">
        <v>43066</v>
      </c>
      <c r="H6783">
        <v>0</v>
      </c>
      <c r="I6783" t="str">
        <f>IF(COUNTIF(Products!$A$2:$A$8,C6783)=0,C6783,"")</f>
        <v/>
      </c>
      <c r="J6783">
        <f>IF(OR(E6783="Prospecting",E6783="Engaging"),VLOOKUP(C6783,Products!$A$2:$C$8,3,FALSE),0)</f>
        <v>0</v>
      </c>
    </row>
    <row r="6784" spans="1:10" x14ac:dyDescent="0.25">
      <c r="A6784" t="s">
        <v>6951</v>
      </c>
      <c r="B6784" t="s">
        <v>193</v>
      </c>
      <c r="C6784" t="s">
        <v>127</v>
      </c>
      <c r="D6784" t="s">
        <v>63</v>
      </c>
      <c r="E6784" t="s">
        <v>159</v>
      </c>
      <c r="F6784" s="1">
        <v>42995</v>
      </c>
      <c r="G6784" s="1">
        <v>43090</v>
      </c>
      <c r="H6784">
        <v>0</v>
      </c>
      <c r="I6784" t="str">
        <f>IF(COUNTIF(Products!$A$2:$A$8,C6784)=0,C6784,"")</f>
        <v/>
      </c>
      <c r="J6784">
        <f>IF(OR(E6784="Prospecting",E6784="Engaging"),VLOOKUP(C6784,Products!$A$2:$C$8,3,FALSE),0)</f>
        <v>0</v>
      </c>
    </row>
    <row r="6785" spans="1:10" x14ac:dyDescent="0.25">
      <c r="A6785" t="s">
        <v>6952</v>
      </c>
      <c r="B6785" t="s">
        <v>193</v>
      </c>
      <c r="C6785" t="s">
        <v>126</v>
      </c>
      <c r="D6785" t="s">
        <v>10</v>
      </c>
      <c r="E6785" t="s">
        <v>159</v>
      </c>
      <c r="F6785" s="1">
        <v>42995</v>
      </c>
      <c r="G6785" s="1">
        <v>43051</v>
      </c>
      <c r="H6785">
        <v>0</v>
      </c>
      <c r="I6785" t="str">
        <f>IF(COUNTIF(Products!$A$2:$A$8,C6785)=0,C6785,"")</f>
        <v/>
      </c>
      <c r="J6785">
        <f>IF(OR(E6785="Prospecting",E6785="Engaging"),VLOOKUP(C6785,Products!$A$2:$C$8,3,FALSE),0)</f>
        <v>0</v>
      </c>
    </row>
    <row r="6786" spans="1:10" x14ac:dyDescent="0.25">
      <c r="A6786" t="s">
        <v>6953</v>
      </c>
      <c r="B6786" t="s">
        <v>193</v>
      </c>
      <c r="C6786" t="s">
        <v>122</v>
      </c>
      <c r="D6786" t="s">
        <v>16</v>
      </c>
      <c r="E6786" t="s">
        <v>138</v>
      </c>
      <c r="F6786" s="1">
        <v>42995</v>
      </c>
      <c r="G6786" s="1">
        <v>43058</v>
      </c>
      <c r="H6786">
        <v>5186</v>
      </c>
      <c r="I6786" t="str">
        <f>IF(COUNTIF(Products!$A$2:$A$8,C6786)=0,C6786,"")</f>
        <v/>
      </c>
      <c r="J6786">
        <f>IF(OR(E6786="Prospecting",E6786="Engaging"),VLOOKUP(C6786,Products!$A$2:$C$8,3,FALSE),0)</f>
        <v>0</v>
      </c>
    </row>
    <row r="6787" spans="1:10" x14ac:dyDescent="0.25">
      <c r="A6787" t="s">
        <v>6954</v>
      </c>
      <c r="B6787" t="s">
        <v>166</v>
      </c>
      <c r="C6787" t="s">
        <v>123</v>
      </c>
      <c r="D6787" t="s">
        <v>69</v>
      </c>
      <c r="E6787" t="s">
        <v>138</v>
      </c>
      <c r="F6787" s="1">
        <v>42995</v>
      </c>
      <c r="G6787" s="1">
        <v>43071</v>
      </c>
      <c r="H6787">
        <v>49</v>
      </c>
      <c r="I6787" t="str">
        <f>IF(COUNTIF(Products!$A$2:$A$8,C6787)=0,C6787,"")</f>
        <v/>
      </c>
      <c r="J6787">
        <f>IF(OR(E6787="Prospecting",E6787="Engaging"),VLOOKUP(C6787,Products!$A$2:$C$8,3,FALSE),0)</f>
        <v>0</v>
      </c>
    </row>
    <row r="6788" spans="1:10" x14ac:dyDescent="0.25">
      <c r="A6788" t="s">
        <v>6955</v>
      </c>
      <c r="B6788" t="s">
        <v>144</v>
      </c>
      <c r="C6788" t="s">
        <v>122</v>
      </c>
      <c r="D6788" t="s">
        <v>69</v>
      </c>
      <c r="E6788" t="s">
        <v>138</v>
      </c>
      <c r="F6788" s="1">
        <v>42995</v>
      </c>
      <c r="G6788" s="1">
        <v>43005</v>
      </c>
      <c r="H6788">
        <v>4800</v>
      </c>
      <c r="I6788" t="str">
        <f>IF(COUNTIF(Products!$A$2:$A$8,C6788)=0,C6788,"")</f>
        <v/>
      </c>
      <c r="J6788">
        <f>IF(OR(E6788="Prospecting",E6788="Engaging"),VLOOKUP(C6788,Products!$A$2:$C$8,3,FALSE),0)</f>
        <v>0</v>
      </c>
    </row>
    <row r="6789" spans="1:10" x14ac:dyDescent="0.25">
      <c r="A6789" t="s">
        <v>6956</v>
      </c>
      <c r="B6789" t="s">
        <v>171</v>
      </c>
      <c r="C6789" t="s">
        <v>122</v>
      </c>
      <c r="D6789" t="s">
        <v>63</v>
      </c>
      <c r="E6789" t="s">
        <v>138</v>
      </c>
      <c r="F6789" s="1">
        <v>42996</v>
      </c>
      <c r="G6789" s="1">
        <v>43093</v>
      </c>
      <c r="H6789">
        <v>5627</v>
      </c>
      <c r="I6789" t="str">
        <f>IF(COUNTIF(Products!$A$2:$A$8,C6789)=0,C6789,"")</f>
        <v/>
      </c>
      <c r="J6789">
        <f>IF(OR(E6789="Prospecting",E6789="Engaging"),VLOOKUP(C6789,Products!$A$2:$C$8,3,FALSE),0)</f>
        <v>0</v>
      </c>
    </row>
    <row r="6790" spans="1:10" x14ac:dyDescent="0.25">
      <c r="A6790" t="s">
        <v>6957</v>
      </c>
      <c r="B6790" t="s">
        <v>140</v>
      </c>
      <c r="C6790" t="s">
        <v>120</v>
      </c>
      <c r="D6790" t="s">
        <v>55</v>
      </c>
      <c r="E6790" t="s">
        <v>159</v>
      </c>
      <c r="F6790" s="1">
        <v>42996</v>
      </c>
      <c r="G6790" s="1">
        <v>43002</v>
      </c>
      <c r="H6790">
        <v>0</v>
      </c>
      <c r="I6790" t="str">
        <f>IF(COUNTIF(Products!$A$2:$A$8,C6790)=0,C6790,"")</f>
        <v/>
      </c>
      <c r="J6790">
        <f>IF(OR(E6790="Prospecting",E6790="Engaging"),VLOOKUP(C6790,Products!$A$2:$C$8,3,FALSE),0)</f>
        <v>0</v>
      </c>
    </row>
    <row r="6791" spans="1:10" x14ac:dyDescent="0.25">
      <c r="A6791" t="s">
        <v>6958</v>
      </c>
      <c r="B6791" t="s">
        <v>140</v>
      </c>
      <c r="C6791" t="s">
        <v>122</v>
      </c>
      <c r="D6791" t="s">
        <v>94</v>
      </c>
      <c r="E6791" t="s">
        <v>138</v>
      </c>
      <c r="F6791" s="1">
        <v>42996</v>
      </c>
      <c r="G6791" s="1">
        <v>43075</v>
      </c>
      <c r="H6791">
        <v>3779</v>
      </c>
      <c r="I6791" t="str">
        <f>IF(COUNTIF(Products!$A$2:$A$8,C6791)=0,C6791,"")</f>
        <v/>
      </c>
      <c r="J6791">
        <f>IF(OR(E6791="Prospecting",E6791="Engaging"),VLOOKUP(C6791,Products!$A$2:$C$8,3,FALSE),0)</f>
        <v>0</v>
      </c>
    </row>
    <row r="6792" spans="1:10" x14ac:dyDescent="0.25">
      <c r="A6792" t="s">
        <v>6959</v>
      </c>
      <c r="B6792" t="s">
        <v>140</v>
      </c>
      <c r="C6792" t="s">
        <v>122</v>
      </c>
      <c r="D6792" t="s">
        <v>77</v>
      </c>
      <c r="E6792" t="s">
        <v>138</v>
      </c>
      <c r="F6792" s="1">
        <v>42996</v>
      </c>
      <c r="G6792" s="1">
        <v>43044</v>
      </c>
      <c r="H6792">
        <v>5231</v>
      </c>
      <c r="I6792" t="str">
        <f>IF(COUNTIF(Products!$A$2:$A$8,C6792)=0,C6792,"")</f>
        <v/>
      </c>
      <c r="J6792">
        <f>IF(OR(E6792="Prospecting",E6792="Engaging"),VLOOKUP(C6792,Products!$A$2:$C$8,3,FALSE),0)</f>
        <v>0</v>
      </c>
    </row>
    <row r="6793" spans="1:10" x14ac:dyDescent="0.25">
      <c r="A6793" t="s">
        <v>6960</v>
      </c>
      <c r="B6793" t="s">
        <v>224</v>
      </c>
      <c r="C6793" t="s">
        <v>126</v>
      </c>
      <c r="D6793" t="s">
        <v>73</v>
      </c>
      <c r="E6793" t="s">
        <v>159</v>
      </c>
      <c r="F6793" s="1">
        <v>42996</v>
      </c>
      <c r="G6793" s="1">
        <v>43006</v>
      </c>
      <c r="H6793">
        <v>0</v>
      </c>
      <c r="I6793" t="str">
        <f>IF(COUNTIF(Products!$A$2:$A$8,C6793)=0,C6793,"")</f>
        <v/>
      </c>
      <c r="J6793">
        <f>IF(OR(E6793="Prospecting",E6793="Engaging"),VLOOKUP(C6793,Products!$A$2:$C$8,3,FALSE),0)</f>
        <v>0</v>
      </c>
    </row>
    <row r="6794" spans="1:10" x14ac:dyDescent="0.25">
      <c r="A6794" t="s">
        <v>6961</v>
      </c>
      <c r="B6794" t="s">
        <v>224</v>
      </c>
      <c r="C6794" t="s">
        <v>126</v>
      </c>
      <c r="D6794" t="s">
        <v>108</v>
      </c>
      <c r="E6794" t="s">
        <v>159</v>
      </c>
      <c r="F6794" s="1">
        <v>42996</v>
      </c>
      <c r="G6794" s="1">
        <v>43065</v>
      </c>
      <c r="H6794">
        <v>0</v>
      </c>
      <c r="I6794" t="str">
        <f>IF(COUNTIF(Products!$A$2:$A$8,C6794)=0,C6794,"")</f>
        <v/>
      </c>
      <c r="J6794">
        <f>IF(OR(E6794="Prospecting",E6794="Engaging"),VLOOKUP(C6794,Products!$A$2:$C$8,3,FALSE),0)</f>
        <v>0</v>
      </c>
    </row>
    <row r="6795" spans="1:10" x14ac:dyDescent="0.25">
      <c r="A6795" t="s">
        <v>6962</v>
      </c>
      <c r="B6795" t="s">
        <v>164</v>
      </c>
      <c r="C6795" t="s">
        <v>125</v>
      </c>
      <c r="D6795" t="s">
        <v>39</v>
      </c>
      <c r="E6795" t="s">
        <v>138</v>
      </c>
      <c r="F6795" s="1">
        <v>42996</v>
      </c>
      <c r="G6795" s="1">
        <v>43071</v>
      </c>
      <c r="H6795">
        <v>2918</v>
      </c>
      <c r="I6795" t="str">
        <f>IF(COUNTIF(Products!$A$2:$A$8,C6795)=0,C6795,"")</f>
        <v/>
      </c>
      <c r="J6795">
        <f>IF(OR(E6795="Prospecting",E6795="Engaging"),VLOOKUP(C6795,Products!$A$2:$C$8,3,FALSE),0)</f>
        <v>0</v>
      </c>
    </row>
    <row r="6796" spans="1:10" x14ac:dyDescent="0.25">
      <c r="A6796" t="s">
        <v>6963</v>
      </c>
      <c r="B6796" t="s">
        <v>154</v>
      </c>
      <c r="C6796" t="s">
        <v>125</v>
      </c>
      <c r="E6796" t="s">
        <v>155</v>
      </c>
      <c r="F6796" s="1">
        <v>42996</v>
      </c>
      <c r="I6796" t="str">
        <f>IF(COUNTIF(Products!$A$2:$A$8,C6796)=0,C6796,"")</f>
        <v/>
      </c>
      <c r="J6796">
        <f>IF(OR(E6796="Prospecting",E6796="Engaging"),VLOOKUP(C6796,Products!$A$2:$C$8,3,FALSE),0)</f>
        <v>3393</v>
      </c>
    </row>
    <row r="6797" spans="1:10" x14ac:dyDescent="0.25">
      <c r="A6797" t="s">
        <v>6964</v>
      </c>
      <c r="B6797" t="s">
        <v>303</v>
      </c>
      <c r="C6797" t="s">
        <v>127</v>
      </c>
      <c r="D6797" t="s">
        <v>46</v>
      </c>
      <c r="E6797" t="s">
        <v>159</v>
      </c>
      <c r="F6797" s="1">
        <v>42996</v>
      </c>
      <c r="G6797" s="1">
        <v>43074</v>
      </c>
      <c r="H6797">
        <v>0</v>
      </c>
      <c r="I6797" t="str">
        <f>IF(COUNTIF(Products!$A$2:$A$8,C6797)=0,C6797,"")</f>
        <v/>
      </c>
      <c r="J6797">
        <f>IF(OR(E6797="Prospecting",E6797="Engaging"),VLOOKUP(C6797,Products!$A$2:$C$8,3,FALSE),0)</f>
        <v>0</v>
      </c>
    </row>
    <row r="6798" spans="1:10" x14ac:dyDescent="0.25">
      <c r="A6798" t="s">
        <v>6965</v>
      </c>
      <c r="B6798" t="s">
        <v>303</v>
      </c>
      <c r="C6798" t="s">
        <v>122</v>
      </c>
      <c r="D6798" t="s">
        <v>42</v>
      </c>
      <c r="E6798" t="s">
        <v>138</v>
      </c>
      <c r="F6798" s="1">
        <v>42996</v>
      </c>
      <c r="G6798" s="1">
        <v>43005</v>
      </c>
      <c r="H6798">
        <v>4902</v>
      </c>
      <c r="I6798" t="str">
        <f>IF(COUNTIF(Products!$A$2:$A$8,C6798)=0,C6798,"")</f>
        <v/>
      </c>
      <c r="J6798">
        <f>IF(OR(E6798="Prospecting",E6798="Engaging"),VLOOKUP(C6798,Products!$A$2:$C$8,3,FALSE),0)</f>
        <v>0</v>
      </c>
    </row>
    <row r="6799" spans="1:10" x14ac:dyDescent="0.25">
      <c r="A6799" t="s">
        <v>6966</v>
      </c>
      <c r="B6799" t="s">
        <v>180</v>
      </c>
      <c r="C6799" t="s">
        <v>120</v>
      </c>
      <c r="D6799" t="s">
        <v>60</v>
      </c>
      <c r="E6799" t="s">
        <v>138</v>
      </c>
      <c r="F6799" s="1">
        <v>42996</v>
      </c>
      <c r="G6799" s="1">
        <v>43061</v>
      </c>
      <c r="H6799">
        <v>531</v>
      </c>
      <c r="I6799" t="str">
        <f>IF(COUNTIF(Products!$A$2:$A$8,C6799)=0,C6799,"")</f>
        <v/>
      </c>
      <c r="J6799">
        <f>IF(OR(E6799="Prospecting",E6799="Engaging"),VLOOKUP(C6799,Products!$A$2:$C$8,3,FALSE),0)</f>
        <v>0</v>
      </c>
    </row>
    <row r="6800" spans="1:10" x14ac:dyDescent="0.25">
      <c r="A6800" t="s">
        <v>6967</v>
      </c>
      <c r="B6800" t="s">
        <v>191</v>
      </c>
      <c r="C6800" t="s">
        <v>120</v>
      </c>
      <c r="E6800" t="s">
        <v>155</v>
      </c>
      <c r="F6800" s="1">
        <v>42996</v>
      </c>
      <c r="I6800" t="str">
        <f>IF(COUNTIF(Products!$A$2:$A$8,C6800)=0,C6800,"")</f>
        <v/>
      </c>
      <c r="J6800">
        <f>IF(OR(E6800="Prospecting",E6800="Engaging"),VLOOKUP(C6800,Products!$A$2:$C$8,3,FALSE),0)</f>
        <v>550</v>
      </c>
    </row>
    <row r="6801" spans="1:10" x14ac:dyDescent="0.25">
      <c r="A6801" t="s">
        <v>6968</v>
      </c>
      <c r="B6801" t="s">
        <v>191</v>
      </c>
      <c r="C6801" t="s">
        <v>126</v>
      </c>
      <c r="D6801" t="s">
        <v>93</v>
      </c>
      <c r="E6801" t="s">
        <v>159</v>
      </c>
      <c r="F6801" s="1">
        <v>42996</v>
      </c>
      <c r="G6801" s="1">
        <v>43060</v>
      </c>
      <c r="H6801">
        <v>0</v>
      </c>
      <c r="I6801" t="str">
        <f>IF(COUNTIF(Products!$A$2:$A$8,C6801)=0,C6801,"")</f>
        <v/>
      </c>
      <c r="J6801">
        <f>IF(OR(E6801="Prospecting",E6801="Engaging"),VLOOKUP(C6801,Products!$A$2:$C$8,3,FALSE),0)</f>
        <v>0</v>
      </c>
    </row>
    <row r="6802" spans="1:10" x14ac:dyDescent="0.25">
      <c r="A6802" t="s">
        <v>6969</v>
      </c>
      <c r="B6802" t="s">
        <v>191</v>
      </c>
      <c r="C6802" t="s">
        <v>120</v>
      </c>
      <c r="D6802" t="s">
        <v>93</v>
      </c>
      <c r="E6802" t="s">
        <v>138</v>
      </c>
      <c r="F6802" s="1">
        <v>42996</v>
      </c>
      <c r="G6802" s="1">
        <v>43069</v>
      </c>
      <c r="H6802">
        <v>526</v>
      </c>
      <c r="I6802" t="str">
        <f>IF(COUNTIF(Products!$A$2:$A$8,C6802)=0,C6802,"")</f>
        <v/>
      </c>
      <c r="J6802">
        <f>IF(OR(E6802="Prospecting",E6802="Engaging"),VLOOKUP(C6802,Products!$A$2:$C$8,3,FALSE),0)</f>
        <v>0</v>
      </c>
    </row>
    <row r="6803" spans="1:10" x14ac:dyDescent="0.25">
      <c r="A6803" t="s">
        <v>6970</v>
      </c>
      <c r="B6803" t="s">
        <v>217</v>
      </c>
      <c r="C6803" t="s">
        <v>120</v>
      </c>
      <c r="D6803" t="s">
        <v>88</v>
      </c>
      <c r="E6803" t="s">
        <v>159</v>
      </c>
      <c r="F6803" s="1">
        <v>42996</v>
      </c>
      <c r="G6803" s="1">
        <v>43050</v>
      </c>
      <c r="H6803">
        <v>0</v>
      </c>
      <c r="I6803" t="str">
        <f>IF(COUNTIF(Products!$A$2:$A$8,C6803)=0,C6803,"")</f>
        <v/>
      </c>
      <c r="J6803">
        <f>IF(OR(E6803="Prospecting",E6803="Engaging"),VLOOKUP(C6803,Products!$A$2:$C$8,3,FALSE),0)</f>
        <v>0</v>
      </c>
    </row>
    <row r="6804" spans="1:10" x14ac:dyDescent="0.25">
      <c r="A6804" t="s">
        <v>6971</v>
      </c>
      <c r="B6804" t="s">
        <v>217</v>
      </c>
      <c r="C6804" t="s">
        <v>120</v>
      </c>
      <c r="D6804" t="s">
        <v>70</v>
      </c>
      <c r="E6804" t="s">
        <v>138</v>
      </c>
      <c r="F6804" s="1">
        <v>42996</v>
      </c>
      <c r="G6804" s="1">
        <v>43056</v>
      </c>
      <c r="H6804">
        <v>485</v>
      </c>
      <c r="I6804" t="str">
        <f>IF(COUNTIF(Products!$A$2:$A$8,C6804)=0,C6804,"")</f>
        <v/>
      </c>
      <c r="J6804">
        <f>IF(OR(E6804="Prospecting",E6804="Engaging"),VLOOKUP(C6804,Products!$A$2:$C$8,3,FALSE),0)</f>
        <v>0</v>
      </c>
    </row>
    <row r="6805" spans="1:10" x14ac:dyDescent="0.25">
      <c r="A6805" t="s">
        <v>6972</v>
      </c>
      <c r="B6805" t="s">
        <v>162</v>
      </c>
      <c r="C6805" t="s">
        <v>125</v>
      </c>
      <c r="E6805" t="s">
        <v>155</v>
      </c>
      <c r="F6805" s="1">
        <v>42996</v>
      </c>
      <c r="I6805" t="str">
        <f>IF(COUNTIF(Products!$A$2:$A$8,C6805)=0,C6805,"")</f>
        <v/>
      </c>
      <c r="J6805">
        <f>IF(OR(E6805="Prospecting",E6805="Engaging"),VLOOKUP(C6805,Products!$A$2:$C$8,3,FALSE),0)</f>
        <v>3393</v>
      </c>
    </row>
    <row r="6806" spans="1:10" x14ac:dyDescent="0.25">
      <c r="A6806" t="s">
        <v>6973</v>
      </c>
      <c r="B6806" t="s">
        <v>137</v>
      </c>
      <c r="C6806" t="s">
        <v>120</v>
      </c>
      <c r="D6806" t="s">
        <v>89</v>
      </c>
      <c r="E6806" t="s">
        <v>138</v>
      </c>
      <c r="F6806" s="1">
        <v>42996</v>
      </c>
      <c r="G6806" s="1">
        <v>43094</v>
      </c>
      <c r="H6806">
        <v>520</v>
      </c>
      <c r="I6806" t="str">
        <f>IF(COUNTIF(Products!$A$2:$A$8,C6806)=0,C6806,"")</f>
        <v/>
      </c>
      <c r="J6806">
        <f>IF(OR(E6806="Prospecting",E6806="Engaging"),VLOOKUP(C6806,Products!$A$2:$C$8,3,FALSE),0)</f>
        <v>0</v>
      </c>
    </row>
    <row r="6807" spans="1:10" x14ac:dyDescent="0.25">
      <c r="A6807" t="s">
        <v>6974</v>
      </c>
      <c r="B6807" t="s">
        <v>152</v>
      </c>
      <c r="C6807" t="s">
        <v>127</v>
      </c>
      <c r="D6807" t="s">
        <v>36</v>
      </c>
      <c r="E6807" t="s">
        <v>138</v>
      </c>
      <c r="F6807" s="1">
        <v>42996</v>
      </c>
      <c r="G6807" s="1">
        <v>43092</v>
      </c>
      <c r="H6807">
        <v>1020</v>
      </c>
      <c r="I6807" t="str">
        <f>IF(COUNTIF(Products!$A$2:$A$8,C6807)=0,C6807,"")</f>
        <v/>
      </c>
      <c r="J6807">
        <f>IF(OR(E6807="Prospecting",E6807="Engaging"),VLOOKUP(C6807,Products!$A$2:$C$8,3,FALSE),0)</f>
        <v>0</v>
      </c>
    </row>
    <row r="6808" spans="1:10" x14ac:dyDescent="0.25">
      <c r="A6808" t="s">
        <v>6975</v>
      </c>
      <c r="B6808" t="s">
        <v>193</v>
      </c>
      <c r="C6808" t="s">
        <v>127</v>
      </c>
      <c r="D6808" t="s">
        <v>73</v>
      </c>
      <c r="E6808" t="s">
        <v>159</v>
      </c>
      <c r="F6808" s="1">
        <v>42996</v>
      </c>
      <c r="G6808" s="1">
        <v>43073</v>
      </c>
      <c r="H6808">
        <v>0</v>
      </c>
      <c r="I6808" t="str">
        <f>IF(COUNTIF(Products!$A$2:$A$8,C6808)=0,C6808,"")</f>
        <v/>
      </c>
      <c r="J6808">
        <f>IF(OR(E6808="Prospecting",E6808="Engaging"),VLOOKUP(C6808,Products!$A$2:$C$8,3,FALSE),0)</f>
        <v>0</v>
      </c>
    </row>
    <row r="6809" spans="1:10" x14ac:dyDescent="0.25">
      <c r="A6809" t="s">
        <v>6976</v>
      </c>
      <c r="B6809" t="s">
        <v>193</v>
      </c>
      <c r="C6809" t="s">
        <v>125</v>
      </c>
      <c r="D6809" t="s">
        <v>110</v>
      </c>
      <c r="E6809" t="s">
        <v>159</v>
      </c>
      <c r="F6809" s="1">
        <v>42996</v>
      </c>
      <c r="G6809" s="1">
        <v>43089</v>
      </c>
      <c r="H6809">
        <v>0</v>
      </c>
      <c r="I6809" t="str">
        <f>IF(COUNTIF(Products!$A$2:$A$8,C6809)=0,C6809,"")</f>
        <v/>
      </c>
      <c r="J6809">
        <f>IF(OR(E6809="Prospecting",E6809="Engaging"),VLOOKUP(C6809,Products!$A$2:$C$8,3,FALSE),0)</f>
        <v>0</v>
      </c>
    </row>
    <row r="6810" spans="1:10" x14ac:dyDescent="0.25">
      <c r="A6810" t="s">
        <v>6977</v>
      </c>
      <c r="B6810" t="s">
        <v>187</v>
      </c>
      <c r="C6810" t="s">
        <v>122</v>
      </c>
      <c r="D6810" t="s">
        <v>35</v>
      </c>
      <c r="E6810" t="s">
        <v>138</v>
      </c>
      <c r="F6810" s="1">
        <v>42996</v>
      </c>
      <c r="G6810" s="1">
        <v>43054</v>
      </c>
      <c r="H6810">
        <v>4205</v>
      </c>
      <c r="I6810" t="str">
        <f>IF(COUNTIF(Products!$A$2:$A$8,C6810)=0,C6810,"")</f>
        <v/>
      </c>
      <c r="J6810">
        <f>IF(OR(E6810="Prospecting",E6810="Engaging"),VLOOKUP(C6810,Products!$A$2:$C$8,3,FALSE),0)</f>
        <v>0</v>
      </c>
    </row>
    <row r="6811" spans="1:10" x14ac:dyDescent="0.25">
      <c r="A6811" t="s">
        <v>6978</v>
      </c>
      <c r="B6811" t="s">
        <v>148</v>
      </c>
      <c r="C6811" t="s">
        <v>120</v>
      </c>
      <c r="D6811" t="s">
        <v>29</v>
      </c>
      <c r="E6811" t="s">
        <v>159</v>
      </c>
      <c r="F6811" s="1">
        <v>42996</v>
      </c>
      <c r="G6811" s="1">
        <v>43044</v>
      </c>
      <c r="H6811">
        <v>0</v>
      </c>
      <c r="I6811" t="str">
        <f>IF(COUNTIF(Products!$A$2:$A$8,C6811)=0,C6811,"")</f>
        <v/>
      </c>
      <c r="J6811">
        <f>IF(OR(E6811="Prospecting",E6811="Engaging"),VLOOKUP(C6811,Products!$A$2:$C$8,3,FALSE),0)</f>
        <v>0</v>
      </c>
    </row>
    <row r="6812" spans="1:10" x14ac:dyDescent="0.25">
      <c r="A6812" t="s">
        <v>6979</v>
      </c>
      <c r="B6812" t="s">
        <v>144</v>
      </c>
      <c r="C6812" t="s">
        <v>126</v>
      </c>
      <c r="D6812" t="s">
        <v>63</v>
      </c>
      <c r="E6812" t="s">
        <v>155</v>
      </c>
      <c r="F6812" s="1">
        <v>42996</v>
      </c>
      <c r="I6812" t="str">
        <f>IF(COUNTIF(Products!$A$2:$A$8,C6812)=0,C6812,"")</f>
        <v/>
      </c>
      <c r="J6812">
        <f>IF(OR(E6812="Prospecting",E6812="Engaging"),VLOOKUP(C6812,Products!$A$2:$C$8,3,FALSE),0)</f>
        <v>5482</v>
      </c>
    </row>
    <row r="6813" spans="1:10" x14ac:dyDescent="0.25">
      <c r="A6813" t="s">
        <v>6980</v>
      </c>
      <c r="B6813" t="s">
        <v>144</v>
      </c>
      <c r="C6813" t="s">
        <v>123</v>
      </c>
      <c r="D6813" t="s">
        <v>103</v>
      </c>
      <c r="E6813" t="s">
        <v>155</v>
      </c>
      <c r="F6813" s="1">
        <v>42996</v>
      </c>
      <c r="I6813" t="str">
        <f>IF(COUNTIF(Products!$A$2:$A$8,C6813)=0,C6813,"")</f>
        <v/>
      </c>
      <c r="J6813">
        <f>IF(OR(E6813="Prospecting",E6813="Engaging"),VLOOKUP(C6813,Products!$A$2:$C$8,3,FALSE),0)</f>
        <v>55</v>
      </c>
    </row>
    <row r="6814" spans="1:10" x14ac:dyDescent="0.25">
      <c r="A6814" t="s">
        <v>6981</v>
      </c>
      <c r="B6814" t="s">
        <v>146</v>
      </c>
      <c r="C6814" t="s">
        <v>127</v>
      </c>
      <c r="D6814" t="s">
        <v>46</v>
      </c>
      <c r="E6814" t="s">
        <v>159</v>
      </c>
      <c r="F6814" s="1">
        <v>42997</v>
      </c>
      <c r="G6814" s="1">
        <v>43008</v>
      </c>
      <c r="H6814">
        <v>0</v>
      </c>
      <c r="I6814" t="str">
        <f>IF(COUNTIF(Products!$A$2:$A$8,C6814)=0,C6814,"")</f>
        <v/>
      </c>
      <c r="J6814">
        <f>IF(OR(E6814="Prospecting",E6814="Engaging"),VLOOKUP(C6814,Products!$A$2:$C$8,3,FALSE),0)</f>
        <v>0</v>
      </c>
    </row>
    <row r="6815" spans="1:10" x14ac:dyDescent="0.25">
      <c r="A6815" t="s">
        <v>6982</v>
      </c>
      <c r="B6815" t="s">
        <v>264</v>
      </c>
      <c r="C6815" t="s">
        <v>127</v>
      </c>
      <c r="D6815" t="s">
        <v>88</v>
      </c>
      <c r="E6815" t="s">
        <v>159</v>
      </c>
      <c r="F6815" s="1">
        <v>42997</v>
      </c>
      <c r="G6815" s="1">
        <v>43047</v>
      </c>
      <c r="H6815">
        <v>0</v>
      </c>
      <c r="I6815" t="str">
        <f>IF(COUNTIF(Products!$A$2:$A$8,C6815)=0,C6815,"")</f>
        <v/>
      </c>
      <c r="J6815">
        <f>IF(OR(E6815="Prospecting",E6815="Engaging"),VLOOKUP(C6815,Products!$A$2:$C$8,3,FALSE),0)</f>
        <v>0</v>
      </c>
    </row>
    <row r="6816" spans="1:10" x14ac:dyDescent="0.25">
      <c r="A6816" t="s">
        <v>6983</v>
      </c>
      <c r="B6816" t="s">
        <v>239</v>
      </c>
      <c r="C6816" t="s">
        <v>126</v>
      </c>
      <c r="E6816" t="s">
        <v>155</v>
      </c>
      <c r="F6816" s="1">
        <v>42997</v>
      </c>
      <c r="I6816" t="str">
        <f>IF(COUNTIF(Products!$A$2:$A$8,C6816)=0,C6816,"")</f>
        <v/>
      </c>
      <c r="J6816">
        <f>IF(OR(E6816="Prospecting",E6816="Engaging"),VLOOKUP(C6816,Products!$A$2:$C$8,3,FALSE),0)</f>
        <v>5482</v>
      </c>
    </row>
    <row r="6817" spans="1:10" x14ac:dyDescent="0.25">
      <c r="A6817" t="s">
        <v>6984</v>
      </c>
      <c r="B6817" t="s">
        <v>140</v>
      </c>
      <c r="C6817" t="s">
        <v>122</v>
      </c>
      <c r="D6817" t="s">
        <v>30</v>
      </c>
      <c r="E6817" t="s">
        <v>138</v>
      </c>
      <c r="F6817" s="1">
        <v>42997</v>
      </c>
      <c r="G6817" s="1">
        <v>43076</v>
      </c>
      <c r="H6817">
        <v>4990</v>
      </c>
      <c r="I6817" t="str">
        <f>IF(COUNTIF(Products!$A$2:$A$8,C6817)=0,C6817,"")</f>
        <v/>
      </c>
      <c r="J6817">
        <f>IF(OR(E6817="Prospecting",E6817="Engaging"),VLOOKUP(C6817,Products!$A$2:$C$8,3,FALSE),0)</f>
        <v>0</v>
      </c>
    </row>
    <row r="6818" spans="1:10" x14ac:dyDescent="0.25">
      <c r="A6818" t="s">
        <v>6985</v>
      </c>
      <c r="B6818" t="s">
        <v>140</v>
      </c>
      <c r="C6818" t="s">
        <v>122</v>
      </c>
      <c r="D6818" t="s">
        <v>33</v>
      </c>
      <c r="E6818" t="s">
        <v>138</v>
      </c>
      <c r="F6818" s="1">
        <v>42997</v>
      </c>
      <c r="G6818" s="1">
        <v>43007</v>
      </c>
      <c r="H6818">
        <v>5450</v>
      </c>
      <c r="I6818" t="str">
        <f>IF(COUNTIF(Products!$A$2:$A$8,C6818)=0,C6818,"")</f>
        <v/>
      </c>
      <c r="J6818">
        <f>IF(OR(E6818="Prospecting",E6818="Engaging"),VLOOKUP(C6818,Products!$A$2:$C$8,3,FALSE),0)</f>
        <v>0</v>
      </c>
    </row>
    <row r="6819" spans="1:10" x14ac:dyDescent="0.25">
      <c r="A6819" t="s">
        <v>6986</v>
      </c>
      <c r="B6819" t="s">
        <v>173</v>
      </c>
      <c r="C6819" t="s">
        <v>123</v>
      </c>
      <c r="D6819" t="s">
        <v>59</v>
      </c>
      <c r="E6819" t="s">
        <v>138</v>
      </c>
      <c r="F6819" s="1">
        <v>42997</v>
      </c>
      <c r="G6819" s="1">
        <v>43050</v>
      </c>
      <c r="H6819">
        <v>53</v>
      </c>
      <c r="I6819" t="str">
        <f>IF(COUNTIF(Products!$A$2:$A$8,C6819)=0,C6819,"")</f>
        <v/>
      </c>
      <c r="J6819">
        <f>IF(OR(E6819="Prospecting",E6819="Engaging"),VLOOKUP(C6819,Products!$A$2:$C$8,3,FALSE),0)</f>
        <v>0</v>
      </c>
    </row>
    <row r="6820" spans="1:10" x14ac:dyDescent="0.25">
      <c r="A6820" t="s">
        <v>6987</v>
      </c>
      <c r="B6820" t="s">
        <v>303</v>
      </c>
      <c r="C6820" t="s">
        <v>122</v>
      </c>
      <c r="D6820" t="s">
        <v>32</v>
      </c>
      <c r="E6820" t="s">
        <v>138</v>
      </c>
      <c r="F6820" s="1">
        <v>42997</v>
      </c>
      <c r="G6820" s="1">
        <v>43003</v>
      </c>
      <c r="H6820">
        <v>3678</v>
      </c>
      <c r="I6820" t="str">
        <f>IF(COUNTIF(Products!$A$2:$A$8,C6820)=0,C6820,"")</f>
        <v/>
      </c>
      <c r="J6820">
        <f>IF(OR(E6820="Prospecting",E6820="Engaging"),VLOOKUP(C6820,Products!$A$2:$C$8,3,FALSE),0)</f>
        <v>0</v>
      </c>
    </row>
    <row r="6821" spans="1:10" x14ac:dyDescent="0.25">
      <c r="A6821" t="s">
        <v>6988</v>
      </c>
      <c r="B6821" t="s">
        <v>180</v>
      </c>
      <c r="C6821" t="s">
        <v>122</v>
      </c>
      <c r="D6821" t="s">
        <v>78</v>
      </c>
      <c r="E6821" t="s">
        <v>159</v>
      </c>
      <c r="F6821" s="1">
        <v>42997</v>
      </c>
      <c r="G6821" s="1">
        <v>43007</v>
      </c>
      <c r="H6821">
        <v>0</v>
      </c>
      <c r="I6821" t="str">
        <f>IF(COUNTIF(Products!$A$2:$A$8,C6821)=0,C6821,"")</f>
        <v/>
      </c>
      <c r="J6821">
        <f>IF(OR(E6821="Prospecting",E6821="Engaging"),VLOOKUP(C6821,Products!$A$2:$C$8,3,FALSE),0)</f>
        <v>0</v>
      </c>
    </row>
    <row r="6822" spans="1:10" x14ac:dyDescent="0.25">
      <c r="A6822" t="s">
        <v>6989</v>
      </c>
      <c r="B6822" t="s">
        <v>180</v>
      </c>
      <c r="C6822" t="s">
        <v>125</v>
      </c>
      <c r="D6822" t="s">
        <v>75</v>
      </c>
      <c r="E6822" t="s">
        <v>159</v>
      </c>
      <c r="F6822" s="1">
        <v>42997</v>
      </c>
      <c r="G6822" s="1">
        <v>43066</v>
      </c>
      <c r="H6822">
        <v>0</v>
      </c>
      <c r="I6822" t="str">
        <f>IF(COUNTIF(Products!$A$2:$A$8,C6822)=0,C6822,"")</f>
        <v/>
      </c>
      <c r="J6822">
        <f>IF(OR(E6822="Prospecting",E6822="Engaging"),VLOOKUP(C6822,Products!$A$2:$C$8,3,FALSE),0)</f>
        <v>0</v>
      </c>
    </row>
    <row r="6823" spans="1:10" x14ac:dyDescent="0.25">
      <c r="A6823" t="s">
        <v>6990</v>
      </c>
      <c r="B6823" t="s">
        <v>191</v>
      </c>
      <c r="C6823" t="s">
        <v>120</v>
      </c>
      <c r="D6823" t="s">
        <v>38</v>
      </c>
      <c r="E6823" t="s">
        <v>138</v>
      </c>
      <c r="F6823" s="1">
        <v>42997</v>
      </c>
      <c r="G6823" s="1">
        <v>43057</v>
      </c>
      <c r="H6823">
        <v>555</v>
      </c>
      <c r="I6823" t="str">
        <f>IF(COUNTIF(Products!$A$2:$A$8,C6823)=0,C6823,"")</f>
        <v/>
      </c>
      <c r="J6823">
        <f>IF(OR(E6823="Prospecting",E6823="Engaging"),VLOOKUP(C6823,Products!$A$2:$C$8,3,FALSE),0)</f>
        <v>0</v>
      </c>
    </row>
    <row r="6824" spans="1:10" x14ac:dyDescent="0.25">
      <c r="A6824" t="s">
        <v>6991</v>
      </c>
      <c r="B6824" t="s">
        <v>217</v>
      </c>
      <c r="C6824" t="s">
        <v>120</v>
      </c>
      <c r="D6824" t="s">
        <v>85</v>
      </c>
      <c r="E6824" t="s">
        <v>138</v>
      </c>
      <c r="F6824" s="1">
        <v>42997</v>
      </c>
      <c r="G6824" s="1">
        <v>43085</v>
      </c>
      <c r="H6824">
        <v>492</v>
      </c>
      <c r="I6824" t="str">
        <f>IF(COUNTIF(Products!$A$2:$A$8,C6824)=0,C6824,"")</f>
        <v/>
      </c>
      <c r="J6824">
        <f>IF(OR(E6824="Prospecting",E6824="Engaging"),VLOOKUP(C6824,Products!$A$2:$C$8,3,FALSE),0)</f>
        <v>0</v>
      </c>
    </row>
    <row r="6825" spans="1:10" x14ac:dyDescent="0.25">
      <c r="A6825" t="s">
        <v>6992</v>
      </c>
      <c r="B6825" t="s">
        <v>205</v>
      </c>
      <c r="C6825" t="s">
        <v>127</v>
      </c>
      <c r="D6825" t="s">
        <v>26</v>
      </c>
      <c r="E6825" t="s">
        <v>159</v>
      </c>
      <c r="F6825" s="1">
        <v>42997</v>
      </c>
      <c r="G6825" s="1">
        <v>43062</v>
      </c>
      <c r="H6825">
        <v>0</v>
      </c>
      <c r="I6825" t="str">
        <f>IF(COUNTIF(Products!$A$2:$A$8,C6825)=0,C6825,"")</f>
        <v/>
      </c>
      <c r="J6825">
        <f>IF(OR(E6825="Prospecting",E6825="Engaging"),VLOOKUP(C6825,Products!$A$2:$C$8,3,FALSE),0)</f>
        <v>0</v>
      </c>
    </row>
    <row r="6826" spans="1:10" x14ac:dyDescent="0.25">
      <c r="A6826" t="s">
        <v>6993</v>
      </c>
      <c r="B6826" t="s">
        <v>205</v>
      </c>
      <c r="C6826" t="s">
        <v>127</v>
      </c>
      <c r="D6826" t="s">
        <v>77</v>
      </c>
      <c r="E6826" t="s">
        <v>159</v>
      </c>
      <c r="F6826" s="1">
        <v>42997</v>
      </c>
      <c r="G6826" s="1">
        <v>43049</v>
      </c>
      <c r="H6826">
        <v>0</v>
      </c>
      <c r="I6826" t="str">
        <f>IF(COUNTIF(Products!$A$2:$A$8,C6826)=0,C6826,"")</f>
        <v/>
      </c>
      <c r="J6826">
        <f>IF(OR(E6826="Prospecting",E6826="Engaging"),VLOOKUP(C6826,Products!$A$2:$C$8,3,FALSE),0)</f>
        <v>0</v>
      </c>
    </row>
    <row r="6827" spans="1:10" x14ac:dyDescent="0.25">
      <c r="A6827" t="s">
        <v>6994</v>
      </c>
      <c r="B6827" t="s">
        <v>205</v>
      </c>
      <c r="C6827" t="s">
        <v>120</v>
      </c>
      <c r="D6827" t="s">
        <v>55</v>
      </c>
      <c r="E6827" t="s">
        <v>138</v>
      </c>
      <c r="F6827" s="1">
        <v>42997</v>
      </c>
      <c r="G6827" s="1">
        <v>43056</v>
      </c>
      <c r="H6827">
        <v>574</v>
      </c>
      <c r="I6827" t="str">
        <f>IF(COUNTIF(Products!$A$2:$A$8,C6827)=0,C6827,"")</f>
        <v/>
      </c>
      <c r="J6827">
        <f>IF(OR(E6827="Prospecting",E6827="Engaging"),VLOOKUP(C6827,Products!$A$2:$C$8,3,FALSE),0)</f>
        <v>0</v>
      </c>
    </row>
    <row r="6828" spans="1:10" x14ac:dyDescent="0.25">
      <c r="A6828" t="s">
        <v>6995</v>
      </c>
      <c r="B6828" t="s">
        <v>162</v>
      </c>
      <c r="C6828" t="s">
        <v>127</v>
      </c>
      <c r="E6828" t="s">
        <v>155</v>
      </c>
      <c r="F6828" s="1">
        <v>42997</v>
      </c>
      <c r="I6828" t="str">
        <f>IF(COUNTIF(Products!$A$2:$A$8,C6828)=0,C6828,"")</f>
        <v/>
      </c>
      <c r="J6828">
        <f>IF(OR(E6828="Prospecting",E6828="Engaging"),VLOOKUP(C6828,Products!$A$2:$C$8,3,FALSE),0)</f>
        <v>1096</v>
      </c>
    </row>
    <row r="6829" spans="1:10" x14ac:dyDescent="0.25">
      <c r="A6829" t="s">
        <v>6996</v>
      </c>
      <c r="B6829" t="s">
        <v>162</v>
      </c>
      <c r="C6829" t="s">
        <v>122</v>
      </c>
      <c r="D6829" t="s">
        <v>44</v>
      </c>
      <c r="E6829" t="s">
        <v>138</v>
      </c>
      <c r="F6829" s="1">
        <v>42997</v>
      </c>
      <c r="G6829" s="1">
        <v>43078</v>
      </c>
      <c r="H6829">
        <v>4709</v>
      </c>
      <c r="I6829" t="str">
        <f>IF(COUNTIF(Products!$A$2:$A$8,C6829)=0,C6829,"")</f>
        <v/>
      </c>
      <c r="J6829">
        <f>IF(OR(E6829="Prospecting",E6829="Engaging"),VLOOKUP(C6829,Products!$A$2:$C$8,3,FALSE),0)</f>
        <v>0</v>
      </c>
    </row>
    <row r="6830" spans="1:10" x14ac:dyDescent="0.25">
      <c r="A6830" t="s">
        <v>6997</v>
      </c>
      <c r="B6830" t="s">
        <v>152</v>
      </c>
      <c r="C6830" t="s">
        <v>125</v>
      </c>
      <c r="D6830" t="s">
        <v>27</v>
      </c>
      <c r="E6830" t="s">
        <v>138</v>
      </c>
      <c r="F6830" s="1">
        <v>42997</v>
      </c>
      <c r="G6830" s="1">
        <v>43073</v>
      </c>
      <c r="H6830">
        <v>3079</v>
      </c>
      <c r="I6830" t="str">
        <f>IF(COUNTIF(Products!$A$2:$A$8,C6830)=0,C6830,"")</f>
        <v/>
      </c>
      <c r="J6830">
        <f>IF(OR(E6830="Prospecting",E6830="Engaging"),VLOOKUP(C6830,Products!$A$2:$C$8,3,FALSE),0)</f>
        <v>0</v>
      </c>
    </row>
    <row r="6831" spans="1:10" x14ac:dyDescent="0.25">
      <c r="A6831" t="s">
        <v>6998</v>
      </c>
      <c r="B6831" t="s">
        <v>193</v>
      </c>
      <c r="C6831" t="s">
        <v>122</v>
      </c>
      <c r="D6831" t="s">
        <v>25</v>
      </c>
      <c r="E6831" t="s">
        <v>138</v>
      </c>
      <c r="F6831" s="1">
        <v>42997</v>
      </c>
      <c r="G6831" s="1">
        <v>43002</v>
      </c>
      <c r="H6831">
        <v>4369</v>
      </c>
      <c r="I6831" t="str">
        <f>IF(COUNTIF(Products!$A$2:$A$8,C6831)=0,C6831,"")</f>
        <v/>
      </c>
      <c r="J6831">
        <f>IF(OR(E6831="Prospecting",E6831="Engaging"),VLOOKUP(C6831,Products!$A$2:$C$8,3,FALSE),0)</f>
        <v>0</v>
      </c>
    </row>
    <row r="6832" spans="1:10" x14ac:dyDescent="0.25">
      <c r="A6832" t="s">
        <v>6999</v>
      </c>
      <c r="B6832" t="s">
        <v>187</v>
      </c>
      <c r="C6832" t="s">
        <v>125</v>
      </c>
      <c r="E6832" t="s">
        <v>155</v>
      </c>
      <c r="F6832" s="1">
        <v>42997</v>
      </c>
      <c r="I6832" t="str">
        <f>IF(COUNTIF(Products!$A$2:$A$8,C6832)=0,C6832,"")</f>
        <v/>
      </c>
      <c r="J6832">
        <f>IF(OR(E6832="Prospecting",E6832="Engaging"),VLOOKUP(C6832,Products!$A$2:$C$8,3,FALSE),0)</f>
        <v>3393</v>
      </c>
    </row>
    <row r="6833" spans="1:10" x14ac:dyDescent="0.25">
      <c r="A6833" t="s">
        <v>7000</v>
      </c>
      <c r="B6833" t="s">
        <v>169</v>
      </c>
      <c r="C6833" t="s">
        <v>123</v>
      </c>
      <c r="D6833" t="s">
        <v>85</v>
      </c>
      <c r="E6833" t="s">
        <v>159</v>
      </c>
      <c r="F6833" s="1">
        <v>42997</v>
      </c>
      <c r="G6833" s="1">
        <v>43000</v>
      </c>
      <c r="H6833">
        <v>0</v>
      </c>
      <c r="I6833" t="str">
        <f>IF(COUNTIF(Products!$A$2:$A$8,C6833)=0,C6833,"")</f>
        <v/>
      </c>
      <c r="J6833">
        <f>IF(OR(E6833="Prospecting",E6833="Engaging"),VLOOKUP(C6833,Products!$A$2:$C$8,3,FALSE),0)</f>
        <v>0</v>
      </c>
    </row>
    <row r="6834" spans="1:10" x14ac:dyDescent="0.25">
      <c r="A6834" t="s">
        <v>7001</v>
      </c>
      <c r="B6834" t="s">
        <v>169</v>
      </c>
      <c r="C6834" t="s">
        <v>126</v>
      </c>
      <c r="D6834" t="s">
        <v>95</v>
      </c>
      <c r="E6834" t="s">
        <v>138</v>
      </c>
      <c r="F6834" s="1">
        <v>42997</v>
      </c>
      <c r="G6834" s="1">
        <v>43100</v>
      </c>
      <c r="H6834">
        <v>6000</v>
      </c>
      <c r="I6834" t="str">
        <f>IF(COUNTIF(Products!$A$2:$A$8,C6834)=0,C6834,"")</f>
        <v/>
      </c>
      <c r="J6834">
        <f>IF(OR(E6834="Prospecting",E6834="Engaging"),VLOOKUP(C6834,Products!$A$2:$C$8,3,FALSE),0)</f>
        <v>0</v>
      </c>
    </row>
    <row r="6835" spans="1:10" x14ac:dyDescent="0.25">
      <c r="A6835" t="s">
        <v>7002</v>
      </c>
      <c r="B6835" t="s">
        <v>177</v>
      </c>
      <c r="C6835" t="s">
        <v>125</v>
      </c>
      <c r="D6835" t="s">
        <v>67</v>
      </c>
      <c r="E6835" t="s">
        <v>138</v>
      </c>
      <c r="F6835" s="1">
        <v>42997</v>
      </c>
      <c r="G6835" s="1">
        <v>43100</v>
      </c>
      <c r="H6835">
        <v>3248</v>
      </c>
      <c r="I6835" t="str">
        <f>IF(COUNTIF(Products!$A$2:$A$8,C6835)=0,C6835,"")</f>
        <v/>
      </c>
      <c r="J6835">
        <f>IF(OR(E6835="Prospecting",E6835="Engaging"),VLOOKUP(C6835,Products!$A$2:$C$8,3,FALSE),0)</f>
        <v>0</v>
      </c>
    </row>
    <row r="6836" spans="1:10" x14ac:dyDescent="0.25">
      <c r="A6836" t="s">
        <v>7003</v>
      </c>
      <c r="B6836" t="s">
        <v>144</v>
      </c>
      <c r="C6836" t="s">
        <v>125</v>
      </c>
      <c r="D6836" t="s">
        <v>75</v>
      </c>
      <c r="E6836" t="s">
        <v>138</v>
      </c>
      <c r="F6836" s="1">
        <v>42997</v>
      </c>
      <c r="G6836" s="1">
        <v>43058</v>
      </c>
      <c r="H6836">
        <v>4249</v>
      </c>
      <c r="I6836" t="str">
        <f>IF(COUNTIF(Products!$A$2:$A$8,C6836)=0,C6836,"")</f>
        <v/>
      </c>
      <c r="J6836">
        <f>IF(OR(E6836="Prospecting",E6836="Engaging"),VLOOKUP(C6836,Products!$A$2:$C$8,3,FALSE),0)</f>
        <v>0</v>
      </c>
    </row>
    <row r="6837" spans="1:10" x14ac:dyDescent="0.25">
      <c r="A6837" t="s">
        <v>7004</v>
      </c>
      <c r="B6837" t="s">
        <v>222</v>
      </c>
      <c r="C6837" t="s">
        <v>125</v>
      </c>
      <c r="D6837" t="s">
        <v>103</v>
      </c>
      <c r="E6837" t="s">
        <v>155</v>
      </c>
      <c r="F6837" s="1">
        <v>42998</v>
      </c>
      <c r="I6837" t="str">
        <f>IF(COUNTIF(Products!$A$2:$A$8,C6837)=0,C6837,"")</f>
        <v/>
      </c>
      <c r="J6837">
        <f>IF(OR(E6837="Prospecting",E6837="Engaging"),VLOOKUP(C6837,Products!$A$2:$C$8,3,FALSE),0)</f>
        <v>3393</v>
      </c>
    </row>
    <row r="6838" spans="1:10" x14ac:dyDescent="0.25">
      <c r="A6838" t="s">
        <v>7005</v>
      </c>
      <c r="B6838" t="s">
        <v>222</v>
      </c>
      <c r="C6838" t="s">
        <v>120</v>
      </c>
      <c r="D6838" t="s">
        <v>10</v>
      </c>
      <c r="E6838" t="s">
        <v>138</v>
      </c>
      <c r="F6838" s="1">
        <v>42998</v>
      </c>
      <c r="G6838" s="1">
        <v>43095</v>
      </c>
      <c r="H6838">
        <v>563</v>
      </c>
      <c r="I6838" t="str">
        <f>IF(COUNTIF(Products!$A$2:$A$8,C6838)=0,C6838,"")</f>
        <v/>
      </c>
      <c r="J6838">
        <f>IF(OR(E6838="Prospecting",E6838="Engaging"),VLOOKUP(C6838,Products!$A$2:$C$8,3,FALSE),0)</f>
        <v>0</v>
      </c>
    </row>
    <row r="6839" spans="1:10" x14ac:dyDescent="0.25">
      <c r="A6839" t="s">
        <v>7006</v>
      </c>
      <c r="B6839" t="s">
        <v>239</v>
      </c>
      <c r="C6839" t="s">
        <v>122</v>
      </c>
      <c r="D6839" t="s">
        <v>50</v>
      </c>
      <c r="E6839" t="s">
        <v>138</v>
      </c>
      <c r="F6839" s="1">
        <v>42998</v>
      </c>
      <c r="G6839" s="1">
        <v>43007</v>
      </c>
      <c r="H6839">
        <v>5037</v>
      </c>
      <c r="I6839" t="str">
        <f>IF(COUNTIF(Products!$A$2:$A$8,C6839)=0,C6839,"")</f>
        <v/>
      </c>
      <c r="J6839">
        <f>IF(OR(E6839="Prospecting",E6839="Engaging"),VLOOKUP(C6839,Products!$A$2:$C$8,3,FALSE),0)</f>
        <v>0</v>
      </c>
    </row>
    <row r="6840" spans="1:10" x14ac:dyDescent="0.25">
      <c r="A6840" t="s">
        <v>7007</v>
      </c>
      <c r="B6840" t="s">
        <v>171</v>
      </c>
      <c r="C6840" t="s">
        <v>122</v>
      </c>
      <c r="D6840" t="s">
        <v>67</v>
      </c>
      <c r="E6840" t="s">
        <v>138</v>
      </c>
      <c r="F6840" s="1">
        <v>42998</v>
      </c>
      <c r="G6840" s="1">
        <v>43085</v>
      </c>
      <c r="H6840">
        <v>4865</v>
      </c>
      <c r="I6840" t="str">
        <f>IF(COUNTIF(Products!$A$2:$A$8,C6840)=0,C6840,"")</f>
        <v/>
      </c>
      <c r="J6840">
        <f>IF(OR(E6840="Prospecting",E6840="Engaging"),VLOOKUP(C6840,Products!$A$2:$C$8,3,FALSE),0)</f>
        <v>0</v>
      </c>
    </row>
    <row r="6841" spans="1:10" x14ac:dyDescent="0.25">
      <c r="A6841" t="s">
        <v>7008</v>
      </c>
      <c r="B6841" t="s">
        <v>140</v>
      </c>
      <c r="C6841" t="s">
        <v>122</v>
      </c>
      <c r="D6841" t="s">
        <v>77</v>
      </c>
      <c r="E6841" t="s">
        <v>138</v>
      </c>
      <c r="F6841" s="1">
        <v>42998</v>
      </c>
      <c r="G6841" s="1">
        <v>43087</v>
      </c>
      <c r="H6841">
        <v>5192</v>
      </c>
      <c r="I6841" t="str">
        <f>IF(COUNTIF(Products!$A$2:$A$8,C6841)=0,C6841,"")</f>
        <v/>
      </c>
      <c r="J6841">
        <f>IF(OR(E6841="Prospecting",E6841="Engaging"),VLOOKUP(C6841,Products!$A$2:$C$8,3,FALSE),0)</f>
        <v>0</v>
      </c>
    </row>
    <row r="6842" spans="1:10" x14ac:dyDescent="0.25">
      <c r="A6842" t="s">
        <v>7009</v>
      </c>
      <c r="B6842" t="s">
        <v>224</v>
      </c>
      <c r="C6842" t="s">
        <v>127</v>
      </c>
      <c r="D6842" t="s">
        <v>67</v>
      </c>
      <c r="E6842" t="s">
        <v>159</v>
      </c>
      <c r="F6842" s="1">
        <v>42998</v>
      </c>
      <c r="G6842" s="1">
        <v>43092</v>
      </c>
      <c r="H6842">
        <v>0</v>
      </c>
      <c r="I6842" t="str">
        <f>IF(COUNTIF(Products!$A$2:$A$8,C6842)=0,C6842,"")</f>
        <v/>
      </c>
      <c r="J6842">
        <f>IF(OR(E6842="Prospecting",E6842="Engaging"),VLOOKUP(C6842,Products!$A$2:$C$8,3,FALSE),0)</f>
        <v>0</v>
      </c>
    </row>
    <row r="6843" spans="1:10" x14ac:dyDescent="0.25">
      <c r="A6843" t="s">
        <v>7010</v>
      </c>
      <c r="B6843" t="s">
        <v>173</v>
      </c>
      <c r="C6843" t="s">
        <v>126</v>
      </c>
      <c r="E6843" t="s">
        <v>155</v>
      </c>
      <c r="F6843" s="1">
        <v>42998</v>
      </c>
      <c r="I6843" t="str">
        <f>IF(COUNTIF(Products!$A$2:$A$8,C6843)=0,C6843,"")</f>
        <v/>
      </c>
      <c r="J6843">
        <f>IF(OR(E6843="Prospecting",E6843="Engaging"),VLOOKUP(C6843,Products!$A$2:$C$8,3,FALSE),0)</f>
        <v>5482</v>
      </c>
    </row>
    <row r="6844" spans="1:10" x14ac:dyDescent="0.25">
      <c r="A6844" t="s">
        <v>7011</v>
      </c>
      <c r="B6844" t="s">
        <v>173</v>
      </c>
      <c r="C6844" t="s">
        <v>123</v>
      </c>
      <c r="E6844" t="s">
        <v>155</v>
      </c>
      <c r="F6844" s="1">
        <v>42998</v>
      </c>
      <c r="I6844" t="str">
        <f>IF(COUNTIF(Products!$A$2:$A$8,C6844)=0,C6844,"")</f>
        <v/>
      </c>
      <c r="J6844">
        <f>IF(OR(E6844="Prospecting",E6844="Engaging"),VLOOKUP(C6844,Products!$A$2:$C$8,3,FALSE),0)</f>
        <v>55</v>
      </c>
    </row>
    <row r="6845" spans="1:10" x14ac:dyDescent="0.25">
      <c r="A6845" t="s">
        <v>7012</v>
      </c>
      <c r="B6845" t="s">
        <v>173</v>
      </c>
      <c r="C6845" t="s">
        <v>123</v>
      </c>
      <c r="D6845" t="s">
        <v>34</v>
      </c>
      <c r="E6845" t="s">
        <v>138</v>
      </c>
      <c r="F6845" s="1">
        <v>42998</v>
      </c>
      <c r="G6845" s="1">
        <v>43100</v>
      </c>
      <c r="H6845">
        <v>41</v>
      </c>
      <c r="I6845" t="str">
        <f>IF(COUNTIF(Products!$A$2:$A$8,C6845)=0,C6845,"")</f>
        <v/>
      </c>
      <c r="J6845">
        <f>IF(OR(E6845="Prospecting",E6845="Engaging"),VLOOKUP(C6845,Products!$A$2:$C$8,3,FALSE),0)</f>
        <v>0</v>
      </c>
    </row>
    <row r="6846" spans="1:10" x14ac:dyDescent="0.25">
      <c r="A6846" t="s">
        <v>7013</v>
      </c>
      <c r="B6846" t="s">
        <v>164</v>
      </c>
      <c r="C6846" t="s">
        <v>123</v>
      </c>
      <c r="D6846" t="s">
        <v>29</v>
      </c>
      <c r="E6846" t="s">
        <v>138</v>
      </c>
      <c r="F6846" s="1">
        <v>42998</v>
      </c>
      <c r="G6846" s="1">
        <v>43004</v>
      </c>
      <c r="H6846">
        <v>59</v>
      </c>
      <c r="I6846" t="str">
        <f>IF(COUNTIF(Products!$A$2:$A$8,C6846)=0,C6846,"")</f>
        <v/>
      </c>
      <c r="J6846">
        <f>IF(OR(E6846="Prospecting",E6846="Engaging"),VLOOKUP(C6846,Products!$A$2:$C$8,3,FALSE),0)</f>
        <v>0</v>
      </c>
    </row>
    <row r="6847" spans="1:10" x14ac:dyDescent="0.25">
      <c r="A6847" t="s">
        <v>7014</v>
      </c>
      <c r="B6847" t="s">
        <v>154</v>
      </c>
      <c r="C6847" t="s">
        <v>126</v>
      </c>
      <c r="D6847" t="s">
        <v>56</v>
      </c>
      <c r="E6847" t="s">
        <v>159</v>
      </c>
      <c r="F6847" s="1">
        <v>42998</v>
      </c>
      <c r="G6847" s="1">
        <v>43009</v>
      </c>
      <c r="H6847">
        <v>0</v>
      </c>
      <c r="I6847" t="str">
        <f>IF(COUNTIF(Products!$A$2:$A$8,C6847)=0,C6847,"")</f>
        <v/>
      </c>
      <c r="J6847">
        <f>IF(OR(E6847="Prospecting",E6847="Engaging"),VLOOKUP(C6847,Products!$A$2:$C$8,3,FALSE),0)</f>
        <v>0</v>
      </c>
    </row>
    <row r="6848" spans="1:10" x14ac:dyDescent="0.25">
      <c r="A6848" t="s">
        <v>7015</v>
      </c>
      <c r="B6848" t="s">
        <v>154</v>
      </c>
      <c r="C6848" t="s">
        <v>123</v>
      </c>
      <c r="D6848" t="s">
        <v>17</v>
      </c>
      <c r="E6848" t="s">
        <v>138</v>
      </c>
      <c r="F6848" s="1">
        <v>42998</v>
      </c>
      <c r="G6848" s="1">
        <v>43063</v>
      </c>
      <c r="H6848">
        <v>58</v>
      </c>
      <c r="I6848" t="str">
        <f>IF(COUNTIF(Products!$A$2:$A$8,C6848)=0,C6848,"")</f>
        <v/>
      </c>
      <c r="J6848">
        <f>IF(OR(E6848="Prospecting",E6848="Engaging"),VLOOKUP(C6848,Products!$A$2:$C$8,3,FALSE),0)</f>
        <v>0</v>
      </c>
    </row>
    <row r="6849" spans="1:10" x14ac:dyDescent="0.25">
      <c r="A6849" t="s">
        <v>7016</v>
      </c>
      <c r="B6849" t="s">
        <v>303</v>
      </c>
      <c r="C6849" t="s">
        <v>122</v>
      </c>
      <c r="D6849" t="s">
        <v>88</v>
      </c>
      <c r="E6849" t="s">
        <v>138</v>
      </c>
      <c r="F6849" s="1">
        <v>42998</v>
      </c>
      <c r="G6849" s="1">
        <v>43008</v>
      </c>
      <c r="H6849">
        <v>4361</v>
      </c>
      <c r="I6849" t="str">
        <f>IF(COUNTIF(Products!$A$2:$A$8,C6849)=0,C6849,"")</f>
        <v/>
      </c>
      <c r="J6849">
        <f>IF(OR(E6849="Prospecting",E6849="Engaging"),VLOOKUP(C6849,Products!$A$2:$C$8,3,FALSE),0)</f>
        <v>0</v>
      </c>
    </row>
    <row r="6850" spans="1:10" x14ac:dyDescent="0.25">
      <c r="A6850" t="s">
        <v>7017</v>
      </c>
      <c r="B6850" t="s">
        <v>180</v>
      </c>
      <c r="C6850" t="s">
        <v>122</v>
      </c>
      <c r="E6850" t="s">
        <v>155</v>
      </c>
      <c r="F6850" s="1">
        <v>42998</v>
      </c>
      <c r="I6850" t="str">
        <f>IF(COUNTIF(Products!$A$2:$A$8,C6850)=0,C6850,"")</f>
        <v/>
      </c>
      <c r="J6850">
        <f>IF(OR(E6850="Prospecting",E6850="Engaging"),VLOOKUP(C6850,Products!$A$2:$C$8,3,FALSE),0)</f>
        <v>4821</v>
      </c>
    </row>
    <row r="6851" spans="1:10" x14ac:dyDescent="0.25">
      <c r="A6851" t="s">
        <v>7018</v>
      </c>
      <c r="B6851" t="s">
        <v>180</v>
      </c>
      <c r="C6851" t="s">
        <v>126</v>
      </c>
      <c r="D6851" t="s">
        <v>72</v>
      </c>
      <c r="E6851" t="s">
        <v>138</v>
      </c>
      <c r="F6851" s="1">
        <v>42998</v>
      </c>
      <c r="G6851" s="1">
        <v>43078</v>
      </c>
      <c r="H6851">
        <v>4906</v>
      </c>
      <c r="I6851" t="str">
        <f>IF(COUNTIF(Products!$A$2:$A$8,C6851)=0,C6851,"")</f>
        <v/>
      </c>
      <c r="J6851">
        <f>IF(OR(E6851="Prospecting",E6851="Engaging"),VLOOKUP(C6851,Products!$A$2:$C$8,3,FALSE),0)</f>
        <v>0</v>
      </c>
    </row>
    <row r="6852" spans="1:10" x14ac:dyDescent="0.25">
      <c r="A6852" t="s">
        <v>7019</v>
      </c>
      <c r="B6852" t="s">
        <v>150</v>
      </c>
      <c r="C6852" t="s">
        <v>120</v>
      </c>
      <c r="D6852" t="s">
        <v>56</v>
      </c>
      <c r="E6852" t="s">
        <v>138</v>
      </c>
      <c r="F6852" s="1">
        <v>42998</v>
      </c>
      <c r="G6852" s="1">
        <v>43007</v>
      </c>
      <c r="H6852">
        <v>587</v>
      </c>
      <c r="I6852" t="str">
        <f>IF(COUNTIF(Products!$A$2:$A$8,C6852)=0,C6852,"")</f>
        <v/>
      </c>
      <c r="J6852">
        <f>IF(OR(E6852="Prospecting",E6852="Engaging"),VLOOKUP(C6852,Products!$A$2:$C$8,3,FALSE),0)</f>
        <v>0</v>
      </c>
    </row>
    <row r="6853" spans="1:10" x14ac:dyDescent="0.25">
      <c r="A6853" t="s">
        <v>7020</v>
      </c>
      <c r="B6853" t="s">
        <v>150</v>
      </c>
      <c r="C6853" t="s">
        <v>122</v>
      </c>
      <c r="D6853" t="s">
        <v>109</v>
      </c>
      <c r="E6853" t="s">
        <v>138</v>
      </c>
      <c r="F6853" s="1">
        <v>42998</v>
      </c>
      <c r="G6853" s="1">
        <v>43063</v>
      </c>
      <c r="H6853">
        <v>4487</v>
      </c>
      <c r="I6853" t="str">
        <f>IF(COUNTIF(Products!$A$2:$A$8,C6853)=0,C6853,"")</f>
        <v/>
      </c>
      <c r="J6853">
        <f>IF(OR(E6853="Prospecting",E6853="Engaging"),VLOOKUP(C6853,Products!$A$2:$C$8,3,FALSE),0)</f>
        <v>0</v>
      </c>
    </row>
    <row r="6854" spans="1:10" x14ac:dyDescent="0.25">
      <c r="A6854" t="s">
        <v>7021</v>
      </c>
      <c r="B6854" t="s">
        <v>137</v>
      </c>
      <c r="C6854" t="s">
        <v>125</v>
      </c>
      <c r="D6854" t="s">
        <v>22</v>
      </c>
      <c r="E6854" t="s">
        <v>138</v>
      </c>
      <c r="F6854" s="1">
        <v>42998</v>
      </c>
      <c r="G6854" s="1">
        <v>43097</v>
      </c>
      <c r="H6854">
        <v>3627</v>
      </c>
      <c r="I6854" t="str">
        <f>IF(COUNTIF(Products!$A$2:$A$8,C6854)=0,C6854,"")</f>
        <v/>
      </c>
      <c r="J6854">
        <f>IF(OR(E6854="Prospecting",E6854="Engaging"),VLOOKUP(C6854,Products!$A$2:$C$8,3,FALSE),0)</f>
        <v>0</v>
      </c>
    </row>
    <row r="6855" spans="1:10" x14ac:dyDescent="0.25">
      <c r="A6855" t="s">
        <v>7022</v>
      </c>
      <c r="B6855" t="s">
        <v>166</v>
      </c>
      <c r="C6855" t="s">
        <v>127</v>
      </c>
      <c r="D6855" t="s">
        <v>29</v>
      </c>
      <c r="E6855" t="s">
        <v>155</v>
      </c>
      <c r="F6855" s="1">
        <v>42998</v>
      </c>
      <c r="I6855" t="str">
        <f>IF(COUNTIF(Products!$A$2:$A$8,C6855)=0,C6855,"")</f>
        <v/>
      </c>
      <c r="J6855">
        <f>IF(OR(E6855="Prospecting",E6855="Engaging"),VLOOKUP(C6855,Products!$A$2:$C$8,3,FALSE),0)</f>
        <v>1096</v>
      </c>
    </row>
    <row r="6856" spans="1:10" x14ac:dyDescent="0.25">
      <c r="A6856" t="s">
        <v>7023</v>
      </c>
      <c r="B6856" t="s">
        <v>166</v>
      </c>
      <c r="C6856" t="s">
        <v>127</v>
      </c>
      <c r="D6856" t="s">
        <v>82</v>
      </c>
      <c r="E6856" t="s">
        <v>138</v>
      </c>
      <c r="F6856" s="1">
        <v>42998</v>
      </c>
      <c r="G6856" s="1">
        <v>43091</v>
      </c>
      <c r="H6856">
        <v>920</v>
      </c>
      <c r="I6856" t="str">
        <f>IF(COUNTIF(Products!$A$2:$A$8,C6856)=0,C6856,"")</f>
        <v/>
      </c>
      <c r="J6856">
        <f>IF(OR(E6856="Prospecting",E6856="Engaging"),VLOOKUP(C6856,Products!$A$2:$C$8,3,FALSE),0)</f>
        <v>0</v>
      </c>
    </row>
    <row r="6857" spans="1:10" x14ac:dyDescent="0.25">
      <c r="A6857" t="s">
        <v>7024</v>
      </c>
      <c r="B6857" t="s">
        <v>148</v>
      </c>
      <c r="C6857" t="s">
        <v>123</v>
      </c>
      <c r="D6857" t="s">
        <v>116</v>
      </c>
      <c r="E6857" t="s">
        <v>155</v>
      </c>
      <c r="F6857" s="1">
        <v>42998</v>
      </c>
      <c r="I6857" t="str">
        <f>IF(COUNTIF(Products!$A$2:$A$8,C6857)=0,C6857,"")</f>
        <v/>
      </c>
      <c r="J6857">
        <f>IF(OR(E6857="Prospecting",E6857="Engaging"),VLOOKUP(C6857,Products!$A$2:$C$8,3,FALSE),0)</f>
        <v>55</v>
      </c>
    </row>
    <row r="6858" spans="1:10" x14ac:dyDescent="0.25">
      <c r="A6858" t="s">
        <v>7025</v>
      </c>
      <c r="B6858" t="s">
        <v>148</v>
      </c>
      <c r="C6858" t="s">
        <v>125</v>
      </c>
      <c r="E6858" t="s">
        <v>155</v>
      </c>
      <c r="F6858" s="1">
        <v>42998</v>
      </c>
      <c r="I6858" t="str">
        <f>IF(COUNTIF(Products!$A$2:$A$8,C6858)=0,C6858,"")</f>
        <v/>
      </c>
      <c r="J6858">
        <f>IF(OR(E6858="Prospecting",E6858="Engaging"),VLOOKUP(C6858,Products!$A$2:$C$8,3,FALSE),0)</f>
        <v>3393</v>
      </c>
    </row>
    <row r="6859" spans="1:10" x14ac:dyDescent="0.25">
      <c r="A6859" t="s">
        <v>7026</v>
      </c>
      <c r="B6859" t="s">
        <v>148</v>
      </c>
      <c r="C6859" t="s">
        <v>120</v>
      </c>
      <c r="D6859" t="s">
        <v>47</v>
      </c>
      <c r="E6859" t="s">
        <v>138</v>
      </c>
      <c r="F6859" s="1">
        <v>42998</v>
      </c>
      <c r="G6859" s="1">
        <v>43009</v>
      </c>
      <c r="H6859">
        <v>552</v>
      </c>
      <c r="I6859" t="str">
        <f>IF(COUNTIF(Products!$A$2:$A$8,C6859)=0,C6859,"")</f>
        <v/>
      </c>
      <c r="J6859">
        <f>IF(OR(E6859="Prospecting",E6859="Engaging"),VLOOKUP(C6859,Products!$A$2:$C$8,3,FALSE),0)</f>
        <v>0</v>
      </c>
    </row>
    <row r="6860" spans="1:10" x14ac:dyDescent="0.25">
      <c r="A6860" t="s">
        <v>7027</v>
      </c>
      <c r="B6860" t="s">
        <v>148</v>
      </c>
      <c r="C6860" t="s">
        <v>123</v>
      </c>
      <c r="D6860" t="s">
        <v>71</v>
      </c>
      <c r="E6860" t="s">
        <v>138</v>
      </c>
      <c r="F6860" s="1">
        <v>42998</v>
      </c>
      <c r="G6860" s="1">
        <v>43084</v>
      </c>
      <c r="H6860">
        <v>54</v>
      </c>
      <c r="I6860" t="str">
        <f>IF(COUNTIF(Products!$A$2:$A$8,C6860)=0,C6860,"")</f>
        <v/>
      </c>
      <c r="J6860">
        <f>IF(OR(E6860="Prospecting",E6860="Engaging"),VLOOKUP(C6860,Products!$A$2:$C$8,3,FALSE),0)</f>
        <v>0</v>
      </c>
    </row>
    <row r="6861" spans="1:10" x14ac:dyDescent="0.25">
      <c r="A6861" t="s">
        <v>7028</v>
      </c>
      <c r="B6861" t="s">
        <v>177</v>
      </c>
      <c r="C6861" t="s">
        <v>120</v>
      </c>
      <c r="D6861" t="s">
        <v>20</v>
      </c>
      <c r="E6861" t="s">
        <v>138</v>
      </c>
      <c r="F6861" s="1">
        <v>42998</v>
      </c>
      <c r="G6861" s="1">
        <v>43083</v>
      </c>
      <c r="H6861">
        <v>472</v>
      </c>
      <c r="I6861" t="str">
        <f>IF(COUNTIF(Products!$A$2:$A$8,C6861)=0,C6861,"")</f>
        <v/>
      </c>
      <c r="J6861">
        <f>IF(OR(E6861="Prospecting",E6861="Engaging"),VLOOKUP(C6861,Products!$A$2:$C$8,3,FALSE),0)</f>
        <v>0</v>
      </c>
    </row>
    <row r="6862" spans="1:10" x14ac:dyDescent="0.25">
      <c r="A6862" t="s">
        <v>7029</v>
      </c>
      <c r="B6862" t="s">
        <v>196</v>
      </c>
      <c r="C6862" t="s">
        <v>126</v>
      </c>
      <c r="D6862" t="s">
        <v>108</v>
      </c>
      <c r="E6862" t="s">
        <v>159</v>
      </c>
      <c r="F6862" s="1">
        <v>42998</v>
      </c>
      <c r="G6862" s="1">
        <v>43063</v>
      </c>
      <c r="H6862">
        <v>0</v>
      </c>
      <c r="I6862" t="str">
        <f>IF(COUNTIF(Products!$A$2:$A$8,C6862)=0,C6862,"")</f>
        <v/>
      </c>
      <c r="J6862">
        <f>IF(OR(E6862="Prospecting",E6862="Engaging"),VLOOKUP(C6862,Products!$A$2:$C$8,3,FALSE),0)</f>
        <v>0</v>
      </c>
    </row>
    <row r="6863" spans="1:10" x14ac:dyDescent="0.25">
      <c r="A6863" t="s">
        <v>7030</v>
      </c>
      <c r="B6863" t="s">
        <v>144</v>
      </c>
      <c r="C6863" t="s">
        <v>122</v>
      </c>
      <c r="E6863" t="s">
        <v>155</v>
      </c>
      <c r="F6863" s="1">
        <v>42998</v>
      </c>
      <c r="I6863" t="str">
        <f>IF(COUNTIF(Products!$A$2:$A$8,C6863)=0,C6863,"")</f>
        <v/>
      </c>
      <c r="J6863">
        <f>IF(OR(E6863="Prospecting",E6863="Engaging"),VLOOKUP(C6863,Products!$A$2:$C$8,3,FALSE),0)</f>
        <v>4821</v>
      </c>
    </row>
    <row r="6864" spans="1:10" x14ac:dyDescent="0.25">
      <c r="A6864" t="s">
        <v>7031</v>
      </c>
      <c r="B6864" t="s">
        <v>146</v>
      </c>
      <c r="C6864" t="s">
        <v>123</v>
      </c>
      <c r="D6864" t="s">
        <v>103</v>
      </c>
      <c r="E6864" t="s">
        <v>138</v>
      </c>
      <c r="F6864" s="1">
        <v>42999</v>
      </c>
      <c r="G6864" s="1">
        <v>43008</v>
      </c>
      <c r="H6864">
        <v>66</v>
      </c>
      <c r="I6864" t="str">
        <f>IF(COUNTIF(Products!$A$2:$A$8,C6864)=0,C6864,"")</f>
        <v/>
      </c>
      <c r="J6864">
        <f>IF(OR(E6864="Prospecting",E6864="Engaging"),VLOOKUP(C6864,Products!$A$2:$C$8,3,FALSE),0)</f>
        <v>0</v>
      </c>
    </row>
    <row r="6865" spans="1:10" x14ac:dyDescent="0.25">
      <c r="A6865" t="s">
        <v>7032</v>
      </c>
      <c r="B6865" t="s">
        <v>222</v>
      </c>
      <c r="C6865" t="s">
        <v>122</v>
      </c>
      <c r="D6865" t="s">
        <v>110</v>
      </c>
      <c r="E6865" t="s">
        <v>159</v>
      </c>
      <c r="F6865" s="1">
        <v>42999</v>
      </c>
      <c r="G6865" s="1">
        <v>43071</v>
      </c>
      <c r="H6865">
        <v>0</v>
      </c>
      <c r="I6865" t="str">
        <f>IF(COUNTIF(Products!$A$2:$A$8,C6865)=0,C6865,"")</f>
        <v/>
      </c>
      <c r="J6865">
        <f>IF(OR(E6865="Prospecting",E6865="Engaging"),VLOOKUP(C6865,Products!$A$2:$C$8,3,FALSE),0)</f>
        <v>0</v>
      </c>
    </row>
    <row r="6866" spans="1:10" x14ac:dyDescent="0.25">
      <c r="A6866" t="s">
        <v>7033</v>
      </c>
      <c r="B6866" t="s">
        <v>207</v>
      </c>
      <c r="C6866" t="s">
        <v>127</v>
      </c>
      <c r="D6866" t="s">
        <v>25</v>
      </c>
      <c r="E6866" t="s">
        <v>138</v>
      </c>
      <c r="F6866" s="1">
        <v>42999</v>
      </c>
      <c r="G6866" s="1">
        <v>43060</v>
      </c>
      <c r="H6866">
        <v>1039</v>
      </c>
      <c r="I6866" t="str">
        <f>IF(COUNTIF(Products!$A$2:$A$8,C6866)=0,C6866,"")</f>
        <v/>
      </c>
      <c r="J6866">
        <f>IF(OR(E6866="Prospecting",E6866="Engaging"),VLOOKUP(C6866,Products!$A$2:$C$8,3,FALSE),0)</f>
        <v>0</v>
      </c>
    </row>
    <row r="6867" spans="1:10" x14ac:dyDescent="0.25">
      <c r="A6867" t="s">
        <v>7034</v>
      </c>
      <c r="B6867" t="s">
        <v>239</v>
      </c>
      <c r="C6867" t="s">
        <v>127</v>
      </c>
      <c r="D6867" t="s">
        <v>84</v>
      </c>
      <c r="E6867" t="s">
        <v>159</v>
      </c>
      <c r="F6867" s="1">
        <v>42999</v>
      </c>
      <c r="G6867" s="1">
        <v>43061</v>
      </c>
      <c r="H6867">
        <v>0</v>
      </c>
      <c r="I6867" t="str">
        <f>IF(COUNTIF(Products!$A$2:$A$8,C6867)=0,C6867,"")</f>
        <v/>
      </c>
      <c r="J6867">
        <f>IF(OR(E6867="Prospecting",E6867="Engaging"),VLOOKUP(C6867,Products!$A$2:$C$8,3,FALSE),0)</f>
        <v>0</v>
      </c>
    </row>
    <row r="6868" spans="1:10" x14ac:dyDescent="0.25">
      <c r="A6868" t="s">
        <v>7035</v>
      </c>
      <c r="B6868" t="s">
        <v>239</v>
      </c>
      <c r="C6868" t="s">
        <v>122</v>
      </c>
      <c r="D6868" t="s">
        <v>67</v>
      </c>
      <c r="E6868" t="s">
        <v>159</v>
      </c>
      <c r="F6868" s="1">
        <v>42999</v>
      </c>
      <c r="G6868" s="1">
        <v>43003</v>
      </c>
      <c r="H6868">
        <v>0</v>
      </c>
      <c r="I6868" t="str">
        <f>IF(COUNTIF(Products!$A$2:$A$8,C6868)=0,C6868,"")</f>
        <v/>
      </c>
      <c r="J6868">
        <f>IF(OR(E6868="Prospecting",E6868="Engaging"),VLOOKUP(C6868,Products!$A$2:$C$8,3,FALSE),0)</f>
        <v>0</v>
      </c>
    </row>
    <row r="6869" spans="1:10" x14ac:dyDescent="0.25">
      <c r="A6869" t="s">
        <v>7036</v>
      </c>
      <c r="B6869" t="s">
        <v>239</v>
      </c>
      <c r="C6869" t="s">
        <v>120</v>
      </c>
      <c r="D6869" t="s">
        <v>19</v>
      </c>
      <c r="E6869" t="s">
        <v>138</v>
      </c>
      <c r="F6869" s="1">
        <v>42999</v>
      </c>
      <c r="G6869" s="1">
        <v>43090</v>
      </c>
      <c r="H6869">
        <v>550</v>
      </c>
      <c r="I6869" t="str">
        <f>IF(COUNTIF(Products!$A$2:$A$8,C6869)=0,C6869,"")</f>
        <v/>
      </c>
      <c r="J6869">
        <f>IF(OR(E6869="Prospecting",E6869="Engaging"),VLOOKUP(C6869,Products!$A$2:$C$8,3,FALSE),0)</f>
        <v>0</v>
      </c>
    </row>
    <row r="6870" spans="1:10" x14ac:dyDescent="0.25">
      <c r="A6870" t="s">
        <v>7037</v>
      </c>
      <c r="B6870" t="s">
        <v>171</v>
      </c>
      <c r="C6870" t="s">
        <v>122</v>
      </c>
      <c r="E6870" t="s">
        <v>155</v>
      </c>
      <c r="F6870" s="1">
        <v>42999</v>
      </c>
      <c r="I6870" t="str">
        <f>IF(COUNTIF(Products!$A$2:$A$8,C6870)=0,C6870,"")</f>
        <v/>
      </c>
      <c r="J6870">
        <f>IF(OR(E6870="Prospecting",E6870="Engaging"),VLOOKUP(C6870,Products!$A$2:$C$8,3,FALSE),0)</f>
        <v>4821</v>
      </c>
    </row>
    <row r="6871" spans="1:10" x14ac:dyDescent="0.25">
      <c r="A6871" t="s">
        <v>7038</v>
      </c>
      <c r="B6871" t="s">
        <v>140</v>
      </c>
      <c r="C6871" t="s">
        <v>122</v>
      </c>
      <c r="D6871" t="s">
        <v>85</v>
      </c>
      <c r="E6871" t="s">
        <v>159</v>
      </c>
      <c r="F6871" s="1">
        <v>42999</v>
      </c>
      <c r="G6871" s="1">
        <v>43064</v>
      </c>
      <c r="H6871">
        <v>0</v>
      </c>
      <c r="I6871" t="str">
        <f>IF(COUNTIF(Products!$A$2:$A$8,C6871)=0,C6871,"")</f>
        <v/>
      </c>
      <c r="J6871">
        <f>IF(OR(E6871="Prospecting",E6871="Engaging"),VLOOKUP(C6871,Products!$A$2:$C$8,3,FALSE),0)</f>
        <v>0</v>
      </c>
    </row>
    <row r="6872" spans="1:10" x14ac:dyDescent="0.25">
      <c r="A6872" t="s">
        <v>7039</v>
      </c>
      <c r="B6872" t="s">
        <v>140</v>
      </c>
      <c r="C6872" t="s">
        <v>122</v>
      </c>
      <c r="D6872" t="s">
        <v>104</v>
      </c>
      <c r="E6872" t="s">
        <v>138</v>
      </c>
      <c r="F6872" s="1">
        <v>42999</v>
      </c>
      <c r="G6872" s="1">
        <v>43099</v>
      </c>
      <c r="H6872">
        <v>4570</v>
      </c>
      <c r="I6872" t="str">
        <f>IF(COUNTIF(Products!$A$2:$A$8,C6872)=0,C6872,"")</f>
        <v/>
      </c>
      <c r="J6872">
        <f>IF(OR(E6872="Prospecting",E6872="Engaging"),VLOOKUP(C6872,Products!$A$2:$C$8,3,FALSE),0)</f>
        <v>0</v>
      </c>
    </row>
    <row r="6873" spans="1:10" x14ac:dyDescent="0.25">
      <c r="A6873" t="s">
        <v>7040</v>
      </c>
      <c r="B6873" t="s">
        <v>224</v>
      </c>
      <c r="C6873" t="s">
        <v>122</v>
      </c>
      <c r="D6873" t="s">
        <v>10</v>
      </c>
      <c r="E6873" t="s">
        <v>159</v>
      </c>
      <c r="F6873" s="1">
        <v>42999</v>
      </c>
      <c r="G6873" s="1">
        <v>43069</v>
      </c>
      <c r="H6873">
        <v>0</v>
      </c>
      <c r="I6873" t="str">
        <f>IF(COUNTIF(Products!$A$2:$A$8,C6873)=0,C6873,"")</f>
        <v/>
      </c>
      <c r="J6873">
        <f>IF(OR(E6873="Prospecting",E6873="Engaging"),VLOOKUP(C6873,Products!$A$2:$C$8,3,FALSE),0)</f>
        <v>0</v>
      </c>
    </row>
    <row r="6874" spans="1:10" x14ac:dyDescent="0.25">
      <c r="A6874" t="s">
        <v>7041</v>
      </c>
      <c r="B6874" t="s">
        <v>158</v>
      </c>
      <c r="C6874" t="s">
        <v>126</v>
      </c>
      <c r="D6874" t="s">
        <v>27</v>
      </c>
      <c r="E6874" t="s">
        <v>138</v>
      </c>
      <c r="F6874" s="1">
        <v>42999</v>
      </c>
      <c r="G6874" s="1">
        <v>43074</v>
      </c>
      <c r="H6874">
        <v>5138</v>
      </c>
      <c r="I6874" t="str">
        <f>IF(COUNTIF(Products!$A$2:$A$8,C6874)=0,C6874,"")</f>
        <v/>
      </c>
      <c r="J6874">
        <f>IF(OR(E6874="Prospecting",E6874="Engaging"),VLOOKUP(C6874,Products!$A$2:$C$8,3,FALSE),0)</f>
        <v>0</v>
      </c>
    </row>
    <row r="6875" spans="1:10" x14ac:dyDescent="0.25">
      <c r="A6875" t="s">
        <v>7042</v>
      </c>
      <c r="B6875" t="s">
        <v>154</v>
      </c>
      <c r="C6875" t="s">
        <v>125</v>
      </c>
      <c r="D6875" t="s">
        <v>71</v>
      </c>
      <c r="E6875" t="s">
        <v>138</v>
      </c>
      <c r="F6875" s="1">
        <v>42999</v>
      </c>
      <c r="G6875" s="1">
        <v>43071</v>
      </c>
      <c r="H6875">
        <v>3063</v>
      </c>
      <c r="I6875" t="str">
        <f>IF(COUNTIF(Products!$A$2:$A$8,C6875)=0,C6875,"")</f>
        <v/>
      </c>
      <c r="J6875">
        <f>IF(OR(E6875="Prospecting",E6875="Engaging"),VLOOKUP(C6875,Products!$A$2:$C$8,3,FALSE),0)</f>
        <v>0</v>
      </c>
    </row>
    <row r="6876" spans="1:10" x14ac:dyDescent="0.25">
      <c r="A6876" t="s">
        <v>7043</v>
      </c>
      <c r="B6876" t="s">
        <v>180</v>
      </c>
      <c r="C6876" t="s">
        <v>127</v>
      </c>
      <c r="D6876" t="s">
        <v>100</v>
      </c>
      <c r="E6876" t="s">
        <v>159</v>
      </c>
      <c r="F6876" s="1">
        <v>42999</v>
      </c>
      <c r="G6876" s="1">
        <v>43010</v>
      </c>
      <c r="H6876">
        <v>0</v>
      </c>
      <c r="I6876" t="str">
        <f>IF(COUNTIF(Products!$A$2:$A$8,C6876)=0,C6876,"")</f>
        <v/>
      </c>
      <c r="J6876">
        <f>IF(OR(E6876="Prospecting",E6876="Engaging"),VLOOKUP(C6876,Products!$A$2:$C$8,3,FALSE),0)</f>
        <v>0</v>
      </c>
    </row>
    <row r="6877" spans="1:10" x14ac:dyDescent="0.25">
      <c r="A6877" t="s">
        <v>7044</v>
      </c>
      <c r="B6877" t="s">
        <v>191</v>
      </c>
      <c r="C6877" t="s">
        <v>120</v>
      </c>
      <c r="D6877" t="s">
        <v>57</v>
      </c>
      <c r="E6877" t="s">
        <v>138</v>
      </c>
      <c r="F6877" s="1">
        <v>42999</v>
      </c>
      <c r="G6877" s="1">
        <v>43099</v>
      </c>
      <c r="H6877">
        <v>613</v>
      </c>
      <c r="I6877" t="str">
        <f>IF(COUNTIF(Products!$A$2:$A$8,C6877)=0,C6877,"")</f>
        <v/>
      </c>
      <c r="J6877">
        <f>IF(OR(E6877="Prospecting",E6877="Engaging"),VLOOKUP(C6877,Products!$A$2:$C$8,3,FALSE),0)</f>
        <v>0</v>
      </c>
    </row>
    <row r="6878" spans="1:10" x14ac:dyDescent="0.25">
      <c r="A6878" t="s">
        <v>7045</v>
      </c>
      <c r="B6878" t="s">
        <v>191</v>
      </c>
      <c r="C6878" t="s">
        <v>122</v>
      </c>
      <c r="D6878" t="s">
        <v>82</v>
      </c>
      <c r="E6878" t="s">
        <v>138</v>
      </c>
      <c r="F6878" s="1">
        <v>42999</v>
      </c>
      <c r="G6878" s="1">
        <v>43053</v>
      </c>
      <c r="H6878">
        <v>4808</v>
      </c>
      <c r="I6878" t="str">
        <f>IF(COUNTIF(Products!$A$2:$A$8,C6878)=0,C6878,"")</f>
        <v/>
      </c>
      <c r="J6878">
        <f>IF(OR(E6878="Prospecting",E6878="Engaging"),VLOOKUP(C6878,Products!$A$2:$C$8,3,FALSE),0)</f>
        <v>0</v>
      </c>
    </row>
    <row r="6879" spans="1:10" x14ac:dyDescent="0.25">
      <c r="A6879" t="s">
        <v>7046</v>
      </c>
      <c r="B6879" t="s">
        <v>217</v>
      </c>
      <c r="C6879" t="s">
        <v>126</v>
      </c>
      <c r="D6879" t="s">
        <v>27</v>
      </c>
      <c r="E6879" t="s">
        <v>138</v>
      </c>
      <c r="F6879" s="1">
        <v>42999</v>
      </c>
      <c r="G6879" s="1">
        <v>43065</v>
      </c>
      <c r="H6879">
        <v>5160</v>
      </c>
      <c r="I6879" t="str">
        <f>IF(COUNTIF(Products!$A$2:$A$8,C6879)=0,C6879,"")</f>
        <v/>
      </c>
      <c r="J6879">
        <f>IF(OR(E6879="Prospecting",E6879="Engaging"),VLOOKUP(C6879,Products!$A$2:$C$8,3,FALSE),0)</f>
        <v>0</v>
      </c>
    </row>
    <row r="6880" spans="1:10" x14ac:dyDescent="0.25">
      <c r="A6880" t="s">
        <v>7047</v>
      </c>
      <c r="B6880" t="s">
        <v>150</v>
      </c>
      <c r="C6880" t="s">
        <v>120</v>
      </c>
      <c r="D6880" t="s">
        <v>66</v>
      </c>
      <c r="E6880" t="s">
        <v>138</v>
      </c>
      <c r="F6880" s="1">
        <v>42999</v>
      </c>
      <c r="G6880" s="1">
        <v>43009</v>
      </c>
      <c r="H6880">
        <v>566</v>
      </c>
      <c r="I6880" t="str">
        <f>IF(COUNTIF(Products!$A$2:$A$8,C6880)=0,C6880,"")</f>
        <v/>
      </c>
      <c r="J6880">
        <f>IF(OR(E6880="Prospecting",E6880="Engaging"),VLOOKUP(C6880,Products!$A$2:$C$8,3,FALSE),0)</f>
        <v>0</v>
      </c>
    </row>
    <row r="6881" spans="1:10" x14ac:dyDescent="0.25">
      <c r="A6881" t="s">
        <v>7048</v>
      </c>
      <c r="B6881" t="s">
        <v>205</v>
      </c>
      <c r="C6881" t="s">
        <v>123</v>
      </c>
      <c r="D6881" t="s">
        <v>77</v>
      </c>
      <c r="E6881" t="s">
        <v>138</v>
      </c>
      <c r="F6881" s="1">
        <v>42999</v>
      </c>
      <c r="G6881" s="1">
        <v>43005</v>
      </c>
      <c r="H6881">
        <v>68</v>
      </c>
      <c r="I6881" t="str">
        <f>IF(COUNTIF(Products!$A$2:$A$8,C6881)=0,C6881,"")</f>
        <v/>
      </c>
      <c r="J6881">
        <f>IF(OR(E6881="Prospecting",E6881="Engaging"),VLOOKUP(C6881,Products!$A$2:$C$8,3,FALSE),0)</f>
        <v>0</v>
      </c>
    </row>
    <row r="6882" spans="1:10" x14ac:dyDescent="0.25">
      <c r="A6882" t="s">
        <v>7049</v>
      </c>
      <c r="B6882" t="s">
        <v>162</v>
      </c>
      <c r="C6882" t="s">
        <v>120</v>
      </c>
      <c r="D6882" t="s">
        <v>67</v>
      </c>
      <c r="E6882" t="s">
        <v>159</v>
      </c>
      <c r="F6882" s="1">
        <v>42999</v>
      </c>
      <c r="G6882" s="1">
        <v>43011</v>
      </c>
      <c r="H6882">
        <v>0</v>
      </c>
      <c r="I6882" t="str">
        <f>IF(COUNTIF(Products!$A$2:$A$8,C6882)=0,C6882,"")</f>
        <v/>
      </c>
      <c r="J6882">
        <f>IF(OR(E6882="Prospecting",E6882="Engaging"),VLOOKUP(C6882,Products!$A$2:$C$8,3,FALSE),0)</f>
        <v>0</v>
      </c>
    </row>
    <row r="6883" spans="1:10" x14ac:dyDescent="0.25">
      <c r="A6883" t="s">
        <v>7050</v>
      </c>
      <c r="B6883" t="s">
        <v>193</v>
      </c>
      <c r="C6883" t="s">
        <v>122</v>
      </c>
      <c r="D6883" t="s">
        <v>102</v>
      </c>
      <c r="E6883" t="s">
        <v>138</v>
      </c>
      <c r="F6883" s="1">
        <v>42999</v>
      </c>
      <c r="G6883" s="1">
        <v>43091</v>
      </c>
      <c r="H6883">
        <v>5600</v>
      </c>
      <c r="I6883" t="str">
        <f>IF(COUNTIF(Products!$A$2:$A$8,C6883)=0,C6883,"")</f>
        <v/>
      </c>
      <c r="J6883">
        <f>IF(OR(E6883="Prospecting",E6883="Engaging"),VLOOKUP(C6883,Products!$A$2:$C$8,3,FALSE),0)</f>
        <v>0</v>
      </c>
    </row>
    <row r="6884" spans="1:10" x14ac:dyDescent="0.25">
      <c r="A6884" t="s">
        <v>7051</v>
      </c>
      <c r="B6884" t="s">
        <v>169</v>
      </c>
      <c r="C6884" t="s">
        <v>123</v>
      </c>
      <c r="D6884" t="s">
        <v>30</v>
      </c>
      <c r="E6884" t="s">
        <v>138</v>
      </c>
      <c r="F6884" s="1">
        <v>42999</v>
      </c>
      <c r="G6884" s="1">
        <v>43081</v>
      </c>
      <c r="H6884">
        <v>61</v>
      </c>
      <c r="I6884" t="str">
        <f>IF(COUNTIF(Products!$A$2:$A$8,C6884)=0,C6884,"")</f>
        <v/>
      </c>
      <c r="J6884">
        <f>IF(OR(E6884="Prospecting",E6884="Engaging"),VLOOKUP(C6884,Products!$A$2:$C$8,3,FALSE),0)</f>
        <v>0</v>
      </c>
    </row>
    <row r="6885" spans="1:10" x14ac:dyDescent="0.25">
      <c r="A6885" t="s">
        <v>7052</v>
      </c>
      <c r="B6885" t="s">
        <v>148</v>
      </c>
      <c r="C6885" t="s">
        <v>123</v>
      </c>
      <c r="D6885" t="s">
        <v>59</v>
      </c>
      <c r="E6885" t="s">
        <v>159</v>
      </c>
      <c r="F6885" s="1">
        <v>42999</v>
      </c>
      <c r="G6885" s="1">
        <v>43072</v>
      </c>
      <c r="H6885">
        <v>0</v>
      </c>
      <c r="I6885" t="str">
        <f>IF(COUNTIF(Products!$A$2:$A$8,C6885)=0,C6885,"")</f>
        <v/>
      </c>
      <c r="J6885">
        <f>IF(OR(E6885="Prospecting",E6885="Engaging"),VLOOKUP(C6885,Products!$A$2:$C$8,3,FALSE),0)</f>
        <v>0</v>
      </c>
    </row>
    <row r="6886" spans="1:10" x14ac:dyDescent="0.25">
      <c r="A6886" t="s">
        <v>7053</v>
      </c>
      <c r="B6886" t="s">
        <v>196</v>
      </c>
      <c r="C6886" t="s">
        <v>125</v>
      </c>
      <c r="D6886" t="s">
        <v>108</v>
      </c>
      <c r="E6886" t="s">
        <v>159</v>
      </c>
      <c r="F6886" s="1">
        <v>42999</v>
      </c>
      <c r="G6886" s="1">
        <v>43068</v>
      </c>
      <c r="H6886">
        <v>0</v>
      </c>
      <c r="I6886" t="str">
        <f>IF(COUNTIF(Products!$A$2:$A$8,C6886)=0,C6886,"")</f>
        <v/>
      </c>
      <c r="J6886">
        <f>IF(OR(E6886="Prospecting",E6886="Engaging"),VLOOKUP(C6886,Products!$A$2:$C$8,3,FALSE),0)</f>
        <v>0</v>
      </c>
    </row>
    <row r="6887" spans="1:10" x14ac:dyDescent="0.25">
      <c r="A6887" t="s">
        <v>7054</v>
      </c>
      <c r="B6887" t="s">
        <v>207</v>
      </c>
      <c r="C6887" t="s">
        <v>127</v>
      </c>
      <c r="D6887" t="s">
        <v>84</v>
      </c>
      <c r="E6887" t="s">
        <v>159</v>
      </c>
      <c r="F6887" s="1">
        <v>43000</v>
      </c>
      <c r="G6887" s="1">
        <v>43066</v>
      </c>
      <c r="H6887">
        <v>0</v>
      </c>
      <c r="I6887" t="str">
        <f>IF(COUNTIF(Products!$A$2:$A$8,C6887)=0,C6887,"")</f>
        <v/>
      </c>
      <c r="J6887">
        <f>IF(OR(E6887="Prospecting",E6887="Engaging"),VLOOKUP(C6887,Products!$A$2:$C$8,3,FALSE),0)</f>
        <v>0</v>
      </c>
    </row>
    <row r="6888" spans="1:10" x14ac:dyDescent="0.25">
      <c r="A6888" t="s">
        <v>7055</v>
      </c>
      <c r="B6888" t="s">
        <v>207</v>
      </c>
      <c r="C6888" t="s">
        <v>126</v>
      </c>
      <c r="D6888" t="s">
        <v>37</v>
      </c>
      <c r="E6888" t="s">
        <v>159</v>
      </c>
      <c r="F6888" s="1">
        <v>43000</v>
      </c>
      <c r="G6888" s="1">
        <v>43063</v>
      </c>
      <c r="H6888">
        <v>0</v>
      </c>
      <c r="I6888" t="str">
        <f>IF(COUNTIF(Products!$A$2:$A$8,C6888)=0,C6888,"")</f>
        <v/>
      </c>
      <c r="J6888">
        <f>IF(OR(E6888="Prospecting",E6888="Engaging"),VLOOKUP(C6888,Products!$A$2:$C$8,3,FALSE),0)</f>
        <v>0</v>
      </c>
    </row>
    <row r="6889" spans="1:10" x14ac:dyDescent="0.25">
      <c r="A6889" t="s">
        <v>7056</v>
      </c>
      <c r="B6889" t="s">
        <v>239</v>
      </c>
      <c r="C6889" t="s">
        <v>120</v>
      </c>
      <c r="D6889" t="s">
        <v>115</v>
      </c>
      <c r="E6889" t="s">
        <v>159</v>
      </c>
      <c r="F6889" s="1">
        <v>43000</v>
      </c>
      <c r="G6889" s="1">
        <v>43068</v>
      </c>
      <c r="H6889">
        <v>0</v>
      </c>
      <c r="I6889" t="str">
        <f>IF(COUNTIF(Products!$A$2:$A$8,C6889)=0,C6889,"")</f>
        <v/>
      </c>
      <c r="J6889">
        <f>IF(OR(E6889="Prospecting",E6889="Engaging"),VLOOKUP(C6889,Products!$A$2:$C$8,3,FALSE),0)</f>
        <v>0</v>
      </c>
    </row>
    <row r="6890" spans="1:10" x14ac:dyDescent="0.25">
      <c r="A6890" t="s">
        <v>7057</v>
      </c>
      <c r="B6890" t="s">
        <v>171</v>
      </c>
      <c r="C6890" t="s">
        <v>126</v>
      </c>
      <c r="E6890" t="s">
        <v>155</v>
      </c>
      <c r="F6890" s="1">
        <v>43000</v>
      </c>
      <c r="I6890" t="str">
        <f>IF(COUNTIF(Products!$A$2:$A$8,C6890)=0,C6890,"")</f>
        <v/>
      </c>
      <c r="J6890">
        <f>IF(OR(E6890="Prospecting",E6890="Engaging"),VLOOKUP(C6890,Products!$A$2:$C$8,3,FALSE),0)</f>
        <v>5482</v>
      </c>
    </row>
    <row r="6891" spans="1:10" x14ac:dyDescent="0.25">
      <c r="A6891" t="s">
        <v>7058</v>
      </c>
      <c r="B6891" t="s">
        <v>171</v>
      </c>
      <c r="C6891" t="s">
        <v>122</v>
      </c>
      <c r="D6891" t="s">
        <v>102</v>
      </c>
      <c r="E6891" t="s">
        <v>138</v>
      </c>
      <c r="F6891" s="1">
        <v>43000</v>
      </c>
      <c r="G6891" s="1">
        <v>43092</v>
      </c>
      <c r="H6891">
        <v>4976</v>
      </c>
      <c r="I6891" t="str">
        <f>IF(COUNTIF(Products!$A$2:$A$8,C6891)=0,C6891,"")</f>
        <v/>
      </c>
      <c r="J6891">
        <f>IF(OR(E6891="Prospecting",E6891="Engaging"),VLOOKUP(C6891,Products!$A$2:$C$8,3,FALSE),0)</f>
        <v>0</v>
      </c>
    </row>
    <row r="6892" spans="1:10" x14ac:dyDescent="0.25">
      <c r="A6892" t="s">
        <v>7059</v>
      </c>
      <c r="B6892" t="s">
        <v>140</v>
      </c>
      <c r="C6892" t="s">
        <v>122</v>
      </c>
      <c r="D6892" t="s">
        <v>55</v>
      </c>
      <c r="E6892" t="s">
        <v>159</v>
      </c>
      <c r="F6892" s="1">
        <v>43000</v>
      </c>
      <c r="G6892" s="1">
        <v>43011</v>
      </c>
      <c r="H6892">
        <v>0</v>
      </c>
      <c r="I6892" t="str">
        <f>IF(COUNTIF(Products!$A$2:$A$8,C6892)=0,C6892,"")</f>
        <v/>
      </c>
      <c r="J6892">
        <f>IF(OR(E6892="Prospecting",E6892="Engaging"),VLOOKUP(C6892,Products!$A$2:$C$8,3,FALSE),0)</f>
        <v>0</v>
      </c>
    </row>
    <row r="6893" spans="1:10" x14ac:dyDescent="0.25">
      <c r="A6893" t="s">
        <v>7060</v>
      </c>
      <c r="B6893" t="s">
        <v>140</v>
      </c>
      <c r="C6893" t="s">
        <v>122</v>
      </c>
      <c r="D6893" t="s">
        <v>32</v>
      </c>
      <c r="E6893" t="s">
        <v>138</v>
      </c>
      <c r="F6893" s="1">
        <v>43000</v>
      </c>
      <c r="G6893" s="1">
        <v>43093</v>
      </c>
      <c r="H6893">
        <v>4991</v>
      </c>
      <c r="I6893" t="str">
        <f>IF(COUNTIF(Products!$A$2:$A$8,C6893)=0,C6893,"")</f>
        <v/>
      </c>
      <c r="J6893">
        <f>IF(OR(E6893="Prospecting",E6893="Engaging"),VLOOKUP(C6893,Products!$A$2:$C$8,3,FALSE),0)</f>
        <v>0</v>
      </c>
    </row>
    <row r="6894" spans="1:10" x14ac:dyDescent="0.25">
      <c r="A6894" t="s">
        <v>7061</v>
      </c>
      <c r="B6894" t="s">
        <v>224</v>
      </c>
      <c r="C6894" t="s">
        <v>120</v>
      </c>
      <c r="D6894" t="s">
        <v>16</v>
      </c>
      <c r="E6894" t="s">
        <v>159</v>
      </c>
      <c r="F6894" s="1">
        <v>43000</v>
      </c>
      <c r="G6894" s="1">
        <v>43012</v>
      </c>
      <c r="H6894">
        <v>0</v>
      </c>
      <c r="I6894" t="str">
        <f>IF(COUNTIF(Products!$A$2:$A$8,C6894)=0,C6894,"")</f>
        <v/>
      </c>
      <c r="J6894">
        <f>IF(OR(E6894="Prospecting",E6894="Engaging"),VLOOKUP(C6894,Products!$A$2:$C$8,3,FALSE),0)</f>
        <v>0</v>
      </c>
    </row>
    <row r="6895" spans="1:10" x14ac:dyDescent="0.25">
      <c r="A6895" t="s">
        <v>7062</v>
      </c>
      <c r="B6895" t="s">
        <v>224</v>
      </c>
      <c r="C6895" t="s">
        <v>122</v>
      </c>
      <c r="D6895" t="s">
        <v>106</v>
      </c>
      <c r="E6895" t="s">
        <v>138</v>
      </c>
      <c r="F6895" s="1">
        <v>43000</v>
      </c>
      <c r="G6895" s="1">
        <v>43012</v>
      </c>
      <c r="H6895">
        <v>5868</v>
      </c>
      <c r="I6895" t="str">
        <f>IF(COUNTIF(Products!$A$2:$A$8,C6895)=0,C6895,"")</f>
        <v/>
      </c>
      <c r="J6895">
        <f>IF(OR(E6895="Prospecting",E6895="Engaging"),VLOOKUP(C6895,Products!$A$2:$C$8,3,FALSE),0)</f>
        <v>0</v>
      </c>
    </row>
    <row r="6896" spans="1:10" x14ac:dyDescent="0.25">
      <c r="A6896" t="s">
        <v>7063</v>
      </c>
      <c r="B6896" t="s">
        <v>173</v>
      </c>
      <c r="C6896" t="s">
        <v>125</v>
      </c>
      <c r="D6896" t="s">
        <v>71</v>
      </c>
      <c r="E6896" t="s">
        <v>155</v>
      </c>
      <c r="F6896" s="1">
        <v>43000</v>
      </c>
      <c r="I6896" t="str">
        <f>IF(COUNTIF(Products!$A$2:$A$8,C6896)=0,C6896,"")</f>
        <v/>
      </c>
      <c r="J6896">
        <f>IF(OR(E6896="Prospecting",E6896="Engaging"),VLOOKUP(C6896,Products!$A$2:$C$8,3,FALSE),0)</f>
        <v>3393</v>
      </c>
    </row>
    <row r="6897" spans="1:10" x14ac:dyDescent="0.25">
      <c r="A6897" t="s">
        <v>7064</v>
      </c>
      <c r="B6897" t="s">
        <v>158</v>
      </c>
      <c r="C6897" t="s">
        <v>127</v>
      </c>
      <c r="D6897" t="s">
        <v>64</v>
      </c>
      <c r="E6897" t="s">
        <v>159</v>
      </c>
      <c r="F6897" s="1">
        <v>43000</v>
      </c>
      <c r="G6897" s="1">
        <v>43090</v>
      </c>
      <c r="H6897">
        <v>0</v>
      </c>
      <c r="I6897" t="str">
        <f>IF(COUNTIF(Products!$A$2:$A$8,C6897)=0,C6897,"")</f>
        <v/>
      </c>
      <c r="J6897">
        <f>IF(OR(E6897="Prospecting",E6897="Engaging"),VLOOKUP(C6897,Products!$A$2:$C$8,3,FALSE),0)</f>
        <v>0</v>
      </c>
    </row>
    <row r="6898" spans="1:10" x14ac:dyDescent="0.25">
      <c r="A6898" t="s">
        <v>7065</v>
      </c>
      <c r="B6898" t="s">
        <v>158</v>
      </c>
      <c r="C6898" t="s">
        <v>122</v>
      </c>
      <c r="D6898" t="s">
        <v>14</v>
      </c>
      <c r="E6898" t="s">
        <v>138</v>
      </c>
      <c r="F6898" s="1">
        <v>43000</v>
      </c>
      <c r="G6898" s="1">
        <v>43063</v>
      </c>
      <c r="H6898">
        <v>4938</v>
      </c>
      <c r="I6898" t="str">
        <f>IF(COUNTIF(Products!$A$2:$A$8,C6898)=0,C6898,"")</f>
        <v/>
      </c>
      <c r="J6898">
        <f>IF(OR(E6898="Prospecting",E6898="Engaging"),VLOOKUP(C6898,Products!$A$2:$C$8,3,FALSE),0)</f>
        <v>0</v>
      </c>
    </row>
    <row r="6899" spans="1:10" x14ac:dyDescent="0.25">
      <c r="A6899" t="s">
        <v>7066</v>
      </c>
      <c r="B6899" t="s">
        <v>158</v>
      </c>
      <c r="C6899" t="s">
        <v>125</v>
      </c>
      <c r="D6899" t="s">
        <v>88</v>
      </c>
      <c r="E6899" t="s">
        <v>138</v>
      </c>
      <c r="F6899" s="1">
        <v>43000</v>
      </c>
      <c r="G6899" s="1">
        <v>43083</v>
      </c>
      <c r="H6899">
        <v>3772</v>
      </c>
      <c r="I6899" t="str">
        <f>IF(COUNTIF(Products!$A$2:$A$8,C6899)=0,C6899,"")</f>
        <v/>
      </c>
      <c r="J6899">
        <f>IF(OR(E6899="Prospecting",E6899="Engaging"),VLOOKUP(C6899,Products!$A$2:$C$8,3,FALSE),0)</f>
        <v>0</v>
      </c>
    </row>
    <row r="6900" spans="1:10" x14ac:dyDescent="0.25">
      <c r="A6900" t="s">
        <v>7067</v>
      </c>
      <c r="B6900" t="s">
        <v>154</v>
      </c>
      <c r="C6900" t="s">
        <v>126</v>
      </c>
      <c r="D6900" t="s">
        <v>23</v>
      </c>
      <c r="E6900" t="s">
        <v>138</v>
      </c>
      <c r="F6900" s="1">
        <v>43000</v>
      </c>
      <c r="G6900" s="1">
        <v>43010</v>
      </c>
      <c r="H6900">
        <v>5784</v>
      </c>
      <c r="I6900" t="str">
        <f>IF(COUNTIF(Products!$A$2:$A$8,C6900)=0,C6900,"")</f>
        <v/>
      </c>
      <c r="J6900">
        <f>IF(OR(E6900="Prospecting",E6900="Engaging"),VLOOKUP(C6900,Products!$A$2:$C$8,3,FALSE),0)</f>
        <v>0</v>
      </c>
    </row>
    <row r="6901" spans="1:10" x14ac:dyDescent="0.25">
      <c r="A6901" t="s">
        <v>7068</v>
      </c>
      <c r="B6901" t="s">
        <v>303</v>
      </c>
      <c r="C6901" t="s">
        <v>122</v>
      </c>
      <c r="D6901" t="s">
        <v>28</v>
      </c>
      <c r="E6901" t="s">
        <v>138</v>
      </c>
      <c r="F6901" s="1">
        <v>43000</v>
      </c>
      <c r="G6901" s="1">
        <v>43010</v>
      </c>
      <c r="H6901">
        <v>3485</v>
      </c>
      <c r="I6901" t="str">
        <f>IF(COUNTIF(Products!$A$2:$A$8,C6901)=0,C6901,"")</f>
        <v/>
      </c>
      <c r="J6901">
        <f>IF(OR(E6901="Prospecting",E6901="Engaging"),VLOOKUP(C6901,Products!$A$2:$C$8,3,FALSE),0)</f>
        <v>0</v>
      </c>
    </row>
    <row r="6902" spans="1:10" x14ac:dyDescent="0.25">
      <c r="A6902" t="s">
        <v>7069</v>
      </c>
      <c r="B6902" t="s">
        <v>180</v>
      </c>
      <c r="C6902" t="s">
        <v>120</v>
      </c>
      <c r="D6902" t="s">
        <v>38</v>
      </c>
      <c r="E6902" t="s">
        <v>138</v>
      </c>
      <c r="F6902" s="1">
        <v>43000</v>
      </c>
      <c r="G6902" s="1">
        <v>43006</v>
      </c>
      <c r="H6902">
        <v>675</v>
      </c>
      <c r="I6902" t="str">
        <f>IF(COUNTIF(Products!$A$2:$A$8,C6902)=0,C6902,"")</f>
        <v/>
      </c>
      <c r="J6902">
        <f>IF(OR(E6902="Prospecting",E6902="Engaging"),VLOOKUP(C6902,Products!$A$2:$C$8,3,FALSE),0)</f>
        <v>0</v>
      </c>
    </row>
    <row r="6903" spans="1:10" x14ac:dyDescent="0.25">
      <c r="A6903" t="s">
        <v>7070</v>
      </c>
      <c r="B6903" t="s">
        <v>191</v>
      </c>
      <c r="C6903" t="s">
        <v>120</v>
      </c>
      <c r="D6903" t="s">
        <v>41</v>
      </c>
      <c r="E6903" t="s">
        <v>159</v>
      </c>
      <c r="F6903" s="1">
        <v>43000</v>
      </c>
      <c r="G6903" s="1">
        <v>43067</v>
      </c>
      <c r="H6903">
        <v>0</v>
      </c>
      <c r="I6903" t="str">
        <f>IF(COUNTIF(Products!$A$2:$A$8,C6903)=0,C6903,"")</f>
        <v/>
      </c>
      <c r="J6903">
        <f>IF(OR(E6903="Prospecting",E6903="Engaging"),VLOOKUP(C6903,Products!$A$2:$C$8,3,FALSE),0)</f>
        <v>0</v>
      </c>
    </row>
    <row r="6904" spans="1:10" x14ac:dyDescent="0.25">
      <c r="A6904" t="s">
        <v>7071</v>
      </c>
      <c r="B6904" t="s">
        <v>162</v>
      </c>
      <c r="C6904" t="s">
        <v>123</v>
      </c>
      <c r="D6904" t="s">
        <v>83</v>
      </c>
      <c r="E6904" t="s">
        <v>159</v>
      </c>
      <c r="F6904" s="1">
        <v>43000</v>
      </c>
      <c r="G6904" s="1">
        <v>43067</v>
      </c>
      <c r="H6904">
        <v>0</v>
      </c>
      <c r="I6904" t="str">
        <f>IF(COUNTIF(Products!$A$2:$A$8,C6904)=0,C6904,"")</f>
        <v/>
      </c>
      <c r="J6904">
        <f>IF(OR(E6904="Prospecting",E6904="Engaging"),VLOOKUP(C6904,Products!$A$2:$C$8,3,FALSE),0)</f>
        <v>0</v>
      </c>
    </row>
    <row r="6905" spans="1:10" x14ac:dyDescent="0.25">
      <c r="A6905" t="s">
        <v>7072</v>
      </c>
      <c r="B6905" t="s">
        <v>166</v>
      </c>
      <c r="C6905" t="s">
        <v>127</v>
      </c>
      <c r="D6905" t="s">
        <v>34</v>
      </c>
      <c r="E6905" t="s">
        <v>159</v>
      </c>
      <c r="F6905" s="1">
        <v>43000</v>
      </c>
      <c r="G6905" s="1">
        <v>43041</v>
      </c>
      <c r="H6905">
        <v>0</v>
      </c>
      <c r="I6905" t="str">
        <f>IF(COUNTIF(Products!$A$2:$A$8,C6905)=0,C6905,"")</f>
        <v/>
      </c>
      <c r="J6905">
        <f>IF(OR(E6905="Prospecting",E6905="Engaging"),VLOOKUP(C6905,Products!$A$2:$C$8,3,FALSE),0)</f>
        <v>0</v>
      </c>
    </row>
    <row r="6906" spans="1:10" x14ac:dyDescent="0.25">
      <c r="A6906" t="s">
        <v>7073</v>
      </c>
      <c r="B6906" t="s">
        <v>166</v>
      </c>
      <c r="C6906" t="s">
        <v>123</v>
      </c>
      <c r="D6906" t="s">
        <v>78</v>
      </c>
      <c r="E6906" t="s">
        <v>138</v>
      </c>
      <c r="F6906" s="1">
        <v>43000</v>
      </c>
      <c r="G6906" s="1">
        <v>43009</v>
      </c>
      <c r="H6906">
        <v>55</v>
      </c>
      <c r="I6906" t="str">
        <f>IF(COUNTIF(Products!$A$2:$A$8,C6906)=0,C6906,"")</f>
        <v/>
      </c>
      <c r="J6906">
        <f>IF(OR(E6906="Prospecting",E6906="Engaging"),VLOOKUP(C6906,Products!$A$2:$C$8,3,FALSE),0)</f>
        <v>0</v>
      </c>
    </row>
    <row r="6907" spans="1:10" x14ac:dyDescent="0.25">
      <c r="A6907" t="s">
        <v>7074</v>
      </c>
      <c r="B6907" t="s">
        <v>169</v>
      </c>
      <c r="C6907" t="s">
        <v>123</v>
      </c>
      <c r="D6907" t="s">
        <v>103</v>
      </c>
      <c r="E6907" t="s">
        <v>159</v>
      </c>
      <c r="F6907" s="1">
        <v>43000</v>
      </c>
      <c r="G6907" s="1">
        <v>43085</v>
      </c>
      <c r="H6907">
        <v>0</v>
      </c>
      <c r="I6907" t="str">
        <f>IF(COUNTIF(Products!$A$2:$A$8,C6907)=0,C6907,"")</f>
        <v/>
      </c>
      <c r="J6907">
        <f>IF(OR(E6907="Prospecting",E6907="Engaging"),VLOOKUP(C6907,Products!$A$2:$C$8,3,FALSE),0)</f>
        <v>0</v>
      </c>
    </row>
    <row r="6908" spans="1:10" x14ac:dyDescent="0.25">
      <c r="A6908" t="s">
        <v>7075</v>
      </c>
      <c r="B6908" t="s">
        <v>169</v>
      </c>
      <c r="C6908" t="s">
        <v>125</v>
      </c>
      <c r="D6908" t="s">
        <v>85</v>
      </c>
      <c r="E6908" t="s">
        <v>159</v>
      </c>
      <c r="F6908" s="1">
        <v>43000</v>
      </c>
      <c r="G6908" s="1">
        <v>43081</v>
      </c>
      <c r="H6908">
        <v>0</v>
      </c>
      <c r="I6908" t="str">
        <f>IF(COUNTIF(Products!$A$2:$A$8,C6908)=0,C6908,"")</f>
        <v/>
      </c>
      <c r="J6908">
        <f>IF(OR(E6908="Prospecting",E6908="Engaging"),VLOOKUP(C6908,Products!$A$2:$C$8,3,FALSE),0)</f>
        <v>0</v>
      </c>
    </row>
    <row r="6909" spans="1:10" x14ac:dyDescent="0.25">
      <c r="A6909" t="s">
        <v>7076</v>
      </c>
      <c r="B6909" t="s">
        <v>169</v>
      </c>
      <c r="C6909" t="s">
        <v>126</v>
      </c>
      <c r="D6909" t="s">
        <v>32</v>
      </c>
      <c r="E6909" t="s">
        <v>138</v>
      </c>
      <c r="F6909" s="1">
        <v>43000</v>
      </c>
      <c r="G6909" s="1">
        <v>43009</v>
      </c>
      <c r="H6909">
        <v>5775</v>
      </c>
      <c r="I6909" t="str">
        <f>IF(COUNTIF(Products!$A$2:$A$8,C6909)=0,C6909,"")</f>
        <v/>
      </c>
      <c r="J6909">
        <f>IF(OR(E6909="Prospecting",E6909="Engaging"),VLOOKUP(C6909,Products!$A$2:$C$8,3,FALSE),0)</f>
        <v>0</v>
      </c>
    </row>
    <row r="6910" spans="1:10" x14ac:dyDescent="0.25">
      <c r="A6910" t="s">
        <v>7077</v>
      </c>
      <c r="B6910" t="s">
        <v>148</v>
      </c>
      <c r="C6910" t="s">
        <v>120</v>
      </c>
      <c r="D6910" t="s">
        <v>61</v>
      </c>
      <c r="E6910" t="s">
        <v>138</v>
      </c>
      <c r="F6910" s="1">
        <v>43000</v>
      </c>
      <c r="G6910" s="1">
        <v>43057</v>
      </c>
      <c r="H6910">
        <v>651</v>
      </c>
      <c r="I6910" t="str">
        <f>IF(COUNTIF(Products!$A$2:$A$8,C6910)=0,C6910,"")</f>
        <v/>
      </c>
      <c r="J6910">
        <f>IF(OR(E6910="Prospecting",E6910="Engaging"),VLOOKUP(C6910,Products!$A$2:$C$8,3,FALSE),0)</f>
        <v>0</v>
      </c>
    </row>
    <row r="6911" spans="1:10" x14ac:dyDescent="0.25">
      <c r="A6911" t="s">
        <v>7078</v>
      </c>
      <c r="B6911" t="s">
        <v>148</v>
      </c>
      <c r="C6911" t="s">
        <v>120</v>
      </c>
      <c r="D6911" t="s">
        <v>90</v>
      </c>
      <c r="E6911" t="s">
        <v>138</v>
      </c>
      <c r="F6911" s="1">
        <v>43000</v>
      </c>
      <c r="G6911" s="1">
        <v>43061</v>
      </c>
      <c r="H6911">
        <v>570</v>
      </c>
      <c r="I6911" t="str">
        <f>IF(COUNTIF(Products!$A$2:$A$8,C6911)=0,C6911,"")</f>
        <v/>
      </c>
      <c r="J6911">
        <f>IF(OR(E6911="Prospecting",E6911="Engaging"),VLOOKUP(C6911,Products!$A$2:$C$8,3,FALSE),0)</f>
        <v>0</v>
      </c>
    </row>
    <row r="6912" spans="1:10" x14ac:dyDescent="0.25">
      <c r="A6912" t="s">
        <v>7079</v>
      </c>
      <c r="B6912" t="s">
        <v>148</v>
      </c>
      <c r="C6912" t="s">
        <v>123</v>
      </c>
      <c r="D6912" t="s">
        <v>17</v>
      </c>
      <c r="E6912" t="s">
        <v>138</v>
      </c>
      <c r="F6912" s="1">
        <v>43000</v>
      </c>
      <c r="G6912" s="1">
        <v>43099</v>
      </c>
      <c r="H6912">
        <v>54</v>
      </c>
      <c r="I6912" t="str">
        <f>IF(COUNTIF(Products!$A$2:$A$8,C6912)=0,C6912,"")</f>
        <v/>
      </c>
      <c r="J6912">
        <f>IF(OR(E6912="Prospecting",E6912="Engaging"),VLOOKUP(C6912,Products!$A$2:$C$8,3,FALSE),0)</f>
        <v>0</v>
      </c>
    </row>
    <row r="6913" spans="1:10" x14ac:dyDescent="0.25">
      <c r="A6913" t="s">
        <v>7080</v>
      </c>
      <c r="B6913" t="s">
        <v>148</v>
      </c>
      <c r="C6913" t="s">
        <v>123</v>
      </c>
      <c r="D6913" t="s">
        <v>90</v>
      </c>
      <c r="E6913" t="s">
        <v>138</v>
      </c>
      <c r="F6913" s="1">
        <v>43000</v>
      </c>
      <c r="G6913" s="1">
        <v>43007</v>
      </c>
      <c r="H6913">
        <v>47</v>
      </c>
      <c r="I6913" t="str">
        <f>IF(COUNTIF(Products!$A$2:$A$8,C6913)=0,C6913,"")</f>
        <v/>
      </c>
      <c r="J6913">
        <f>IF(OR(E6913="Prospecting",E6913="Engaging"),VLOOKUP(C6913,Products!$A$2:$C$8,3,FALSE),0)</f>
        <v>0</v>
      </c>
    </row>
    <row r="6914" spans="1:10" x14ac:dyDescent="0.25">
      <c r="A6914" t="s">
        <v>7081</v>
      </c>
      <c r="B6914" t="s">
        <v>196</v>
      </c>
      <c r="C6914" t="s">
        <v>123</v>
      </c>
      <c r="D6914" t="s">
        <v>92</v>
      </c>
      <c r="E6914" t="s">
        <v>138</v>
      </c>
      <c r="F6914" s="1">
        <v>43000</v>
      </c>
      <c r="G6914" s="1">
        <v>43047</v>
      </c>
      <c r="H6914">
        <v>56</v>
      </c>
      <c r="I6914" t="str">
        <f>IF(COUNTIF(Products!$A$2:$A$8,C6914)=0,C6914,"")</f>
        <v/>
      </c>
      <c r="J6914">
        <f>IF(OR(E6914="Prospecting",E6914="Engaging"),VLOOKUP(C6914,Products!$A$2:$C$8,3,FALSE),0)</f>
        <v>0</v>
      </c>
    </row>
    <row r="6915" spans="1:10" x14ac:dyDescent="0.25">
      <c r="A6915" t="s">
        <v>7082</v>
      </c>
      <c r="B6915" t="s">
        <v>222</v>
      </c>
      <c r="C6915" t="s">
        <v>127</v>
      </c>
      <c r="D6915" t="s">
        <v>106</v>
      </c>
      <c r="E6915" t="s">
        <v>159</v>
      </c>
      <c r="F6915" s="1">
        <v>43001</v>
      </c>
      <c r="G6915" s="1">
        <v>43013</v>
      </c>
      <c r="H6915">
        <v>0</v>
      </c>
      <c r="I6915" t="str">
        <f>IF(COUNTIF(Products!$A$2:$A$8,C6915)=0,C6915,"")</f>
        <v/>
      </c>
      <c r="J6915">
        <f>IF(OR(E6915="Prospecting",E6915="Engaging"),VLOOKUP(C6915,Products!$A$2:$C$8,3,FALSE),0)</f>
        <v>0</v>
      </c>
    </row>
    <row r="6916" spans="1:10" x14ac:dyDescent="0.25">
      <c r="A6916" t="s">
        <v>7083</v>
      </c>
      <c r="B6916" t="s">
        <v>140</v>
      </c>
      <c r="C6916" t="s">
        <v>122</v>
      </c>
      <c r="D6916" t="s">
        <v>85</v>
      </c>
      <c r="E6916" t="s">
        <v>159</v>
      </c>
      <c r="F6916" s="1">
        <v>43001</v>
      </c>
      <c r="G6916" s="1">
        <v>43081</v>
      </c>
      <c r="H6916">
        <v>0</v>
      </c>
      <c r="I6916" t="str">
        <f>IF(COUNTIF(Products!$A$2:$A$8,C6916)=0,C6916,"")</f>
        <v/>
      </c>
      <c r="J6916">
        <f>IF(OR(E6916="Prospecting",E6916="Engaging"),VLOOKUP(C6916,Products!$A$2:$C$8,3,FALSE),0)</f>
        <v>0</v>
      </c>
    </row>
    <row r="6917" spans="1:10" x14ac:dyDescent="0.25">
      <c r="A6917" t="s">
        <v>7084</v>
      </c>
      <c r="B6917" t="s">
        <v>140</v>
      </c>
      <c r="C6917" t="s">
        <v>122</v>
      </c>
      <c r="D6917" t="s">
        <v>14</v>
      </c>
      <c r="E6917" t="s">
        <v>138</v>
      </c>
      <c r="F6917" s="1">
        <v>43001</v>
      </c>
      <c r="G6917" s="1">
        <v>43008</v>
      </c>
      <c r="H6917">
        <v>4422</v>
      </c>
      <c r="I6917" t="str">
        <f>IF(COUNTIF(Products!$A$2:$A$8,C6917)=0,C6917,"")</f>
        <v/>
      </c>
      <c r="J6917">
        <f>IF(OR(E6917="Prospecting",E6917="Engaging"),VLOOKUP(C6917,Products!$A$2:$C$8,3,FALSE),0)</f>
        <v>0</v>
      </c>
    </row>
    <row r="6918" spans="1:10" x14ac:dyDescent="0.25">
      <c r="A6918" t="s">
        <v>7085</v>
      </c>
      <c r="B6918" t="s">
        <v>140</v>
      </c>
      <c r="C6918" t="s">
        <v>122</v>
      </c>
      <c r="D6918" t="s">
        <v>61</v>
      </c>
      <c r="E6918" t="s">
        <v>138</v>
      </c>
      <c r="F6918" s="1">
        <v>43001</v>
      </c>
      <c r="G6918" s="1">
        <v>43010</v>
      </c>
      <c r="H6918">
        <v>5357</v>
      </c>
      <c r="I6918" t="str">
        <f>IF(COUNTIF(Products!$A$2:$A$8,C6918)=0,C6918,"")</f>
        <v/>
      </c>
      <c r="J6918">
        <f>IF(OR(E6918="Prospecting",E6918="Engaging"),VLOOKUP(C6918,Products!$A$2:$C$8,3,FALSE),0)</f>
        <v>0</v>
      </c>
    </row>
    <row r="6919" spans="1:10" x14ac:dyDescent="0.25">
      <c r="A6919" t="s">
        <v>7086</v>
      </c>
      <c r="B6919" t="s">
        <v>158</v>
      </c>
      <c r="C6919" t="s">
        <v>123</v>
      </c>
      <c r="D6919" t="s">
        <v>14</v>
      </c>
      <c r="E6919" t="s">
        <v>159</v>
      </c>
      <c r="F6919" s="1">
        <v>43001</v>
      </c>
      <c r="G6919" s="1">
        <v>43009</v>
      </c>
      <c r="H6919">
        <v>0</v>
      </c>
      <c r="I6919" t="str">
        <f>IF(COUNTIF(Products!$A$2:$A$8,C6919)=0,C6919,"")</f>
        <v/>
      </c>
      <c r="J6919">
        <f>IF(OR(E6919="Prospecting",E6919="Engaging"),VLOOKUP(C6919,Products!$A$2:$C$8,3,FALSE),0)</f>
        <v>0</v>
      </c>
    </row>
    <row r="6920" spans="1:10" x14ac:dyDescent="0.25">
      <c r="A6920" t="s">
        <v>7087</v>
      </c>
      <c r="B6920" t="s">
        <v>158</v>
      </c>
      <c r="C6920" t="s">
        <v>127</v>
      </c>
      <c r="D6920" t="s">
        <v>28</v>
      </c>
      <c r="E6920" t="s">
        <v>138</v>
      </c>
      <c r="F6920" s="1">
        <v>43001</v>
      </c>
      <c r="G6920" s="1">
        <v>43005</v>
      </c>
      <c r="H6920">
        <v>1047</v>
      </c>
      <c r="I6920" t="str">
        <f>IF(COUNTIF(Products!$A$2:$A$8,C6920)=0,C6920,"")</f>
        <v/>
      </c>
      <c r="J6920">
        <f>IF(OR(E6920="Prospecting",E6920="Engaging"),VLOOKUP(C6920,Products!$A$2:$C$8,3,FALSE),0)</f>
        <v>0</v>
      </c>
    </row>
    <row r="6921" spans="1:10" x14ac:dyDescent="0.25">
      <c r="A6921" t="s">
        <v>7088</v>
      </c>
      <c r="B6921" t="s">
        <v>158</v>
      </c>
      <c r="C6921" t="s">
        <v>122</v>
      </c>
      <c r="D6921" t="s">
        <v>88</v>
      </c>
      <c r="E6921" t="s">
        <v>138</v>
      </c>
      <c r="F6921" s="1">
        <v>43001</v>
      </c>
      <c r="G6921" s="1">
        <v>43098</v>
      </c>
      <c r="H6921">
        <v>5013</v>
      </c>
      <c r="I6921" t="str">
        <f>IF(COUNTIF(Products!$A$2:$A$8,C6921)=0,C6921,"")</f>
        <v/>
      </c>
      <c r="J6921">
        <f>IF(OR(E6921="Prospecting",E6921="Engaging"),VLOOKUP(C6921,Products!$A$2:$C$8,3,FALSE),0)</f>
        <v>0</v>
      </c>
    </row>
    <row r="6922" spans="1:10" x14ac:dyDescent="0.25">
      <c r="A6922" t="s">
        <v>7089</v>
      </c>
      <c r="B6922" t="s">
        <v>164</v>
      </c>
      <c r="C6922" t="s">
        <v>125</v>
      </c>
      <c r="D6922" t="s">
        <v>44</v>
      </c>
      <c r="E6922" t="s">
        <v>138</v>
      </c>
      <c r="F6922" s="1">
        <v>43001</v>
      </c>
      <c r="G6922" s="1">
        <v>43003</v>
      </c>
      <c r="H6922">
        <v>3197</v>
      </c>
      <c r="I6922" t="str">
        <f>IF(COUNTIF(Products!$A$2:$A$8,C6922)=0,C6922,"")</f>
        <v/>
      </c>
      <c r="J6922">
        <f>IF(OR(E6922="Prospecting",E6922="Engaging"),VLOOKUP(C6922,Products!$A$2:$C$8,3,FALSE),0)</f>
        <v>0</v>
      </c>
    </row>
    <row r="6923" spans="1:10" x14ac:dyDescent="0.25">
      <c r="A6923" t="s">
        <v>7090</v>
      </c>
      <c r="B6923" t="s">
        <v>303</v>
      </c>
      <c r="C6923" t="s">
        <v>127</v>
      </c>
      <c r="D6923" t="s">
        <v>32</v>
      </c>
      <c r="E6923" t="s">
        <v>159</v>
      </c>
      <c r="F6923" s="1">
        <v>43001</v>
      </c>
      <c r="G6923" s="1">
        <v>43013</v>
      </c>
      <c r="H6923">
        <v>0</v>
      </c>
      <c r="I6923" t="str">
        <f>IF(COUNTIF(Products!$A$2:$A$8,C6923)=0,C6923,"")</f>
        <v/>
      </c>
      <c r="J6923">
        <f>IF(OR(E6923="Prospecting",E6923="Engaging"),VLOOKUP(C6923,Products!$A$2:$C$8,3,FALSE),0)</f>
        <v>0</v>
      </c>
    </row>
    <row r="6924" spans="1:10" x14ac:dyDescent="0.25">
      <c r="A6924" t="s">
        <v>7091</v>
      </c>
      <c r="B6924" t="s">
        <v>303</v>
      </c>
      <c r="C6924" t="s">
        <v>127</v>
      </c>
      <c r="D6924" t="s">
        <v>116</v>
      </c>
      <c r="E6924" t="s">
        <v>138</v>
      </c>
      <c r="F6924" s="1">
        <v>43001</v>
      </c>
      <c r="G6924" s="1">
        <v>43010</v>
      </c>
      <c r="H6924">
        <v>1127</v>
      </c>
      <c r="I6924" t="str">
        <f>IF(COUNTIF(Products!$A$2:$A$8,C6924)=0,C6924,"")</f>
        <v/>
      </c>
      <c r="J6924">
        <f>IF(OR(E6924="Prospecting",E6924="Engaging"),VLOOKUP(C6924,Products!$A$2:$C$8,3,FALSE),0)</f>
        <v>0</v>
      </c>
    </row>
    <row r="6925" spans="1:10" x14ac:dyDescent="0.25">
      <c r="A6925" t="s">
        <v>7092</v>
      </c>
      <c r="B6925" t="s">
        <v>180</v>
      </c>
      <c r="C6925" t="s">
        <v>120</v>
      </c>
      <c r="E6925" t="s">
        <v>155</v>
      </c>
      <c r="F6925" s="1">
        <v>43001</v>
      </c>
      <c r="I6925" t="str">
        <f>IF(COUNTIF(Products!$A$2:$A$8,C6925)=0,C6925,"")</f>
        <v/>
      </c>
      <c r="J6925">
        <f>IF(OR(E6925="Prospecting",E6925="Engaging"),VLOOKUP(C6925,Products!$A$2:$C$8,3,FALSE),0)</f>
        <v>550</v>
      </c>
    </row>
    <row r="6926" spans="1:10" x14ac:dyDescent="0.25">
      <c r="A6926" t="s">
        <v>7093</v>
      </c>
      <c r="B6926" t="s">
        <v>180</v>
      </c>
      <c r="C6926" t="s">
        <v>122</v>
      </c>
      <c r="D6926" t="s">
        <v>67</v>
      </c>
      <c r="E6926" t="s">
        <v>155</v>
      </c>
      <c r="F6926" s="1">
        <v>43001</v>
      </c>
      <c r="I6926" t="str">
        <f>IF(COUNTIF(Products!$A$2:$A$8,C6926)=0,C6926,"")</f>
        <v/>
      </c>
      <c r="J6926">
        <f>IF(OR(E6926="Prospecting",E6926="Engaging"),VLOOKUP(C6926,Products!$A$2:$C$8,3,FALSE),0)</f>
        <v>4821</v>
      </c>
    </row>
    <row r="6927" spans="1:10" x14ac:dyDescent="0.25">
      <c r="A6927" t="s">
        <v>7094</v>
      </c>
      <c r="B6927" t="s">
        <v>180</v>
      </c>
      <c r="C6927" t="s">
        <v>120</v>
      </c>
      <c r="D6927" t="s">
        <v>82</v>
      </c>
      <c r="E6927" t="s">
        <v>138</v>
      </c>
      <c r="F6927" s="1">
        <v>43001</v>
      </c>
      <c r="G6927" s="1">
        <v>43093</v>
      </c>
      <c r="H6927">
        <v>468</v>
      </c>
      <c r="I6927" t="str">
        <f>IF(COUNTIF(Products!$A$2:$A$8,C6927)=0,C6927,"")</f>
        <v/>
      </c>
      <c r="J6927">
        <f>IF(OR(E6927="Prospecting",E6927="Engaging"),VLOOKUP(C6927,Products!$A$2:$C$8,3,FALSE),0)</f>
        <v>0</v>
      </c>
    </row>
    <row r="6928" spans="1:10" x14ac:dyDescent="0.25">
      <c r="A6928" t="s">
        <v>7095</v>
      </c>
      <c r="B6928" t="s">
        <v>180</v>
      </c>
      <c r="C6928" t="s">
        <v>123</v>
      </c>
      <c r="D6928" t="s">
        <v>87</v>
      </c>
      <c r="E6928" t="s">
        <v>138</v>
      </c>
      <c r="F6928" s="1">
        <v>43001</v>
      </c>
      <c r="G6928" s="1">
        <v>43058</v>
      </c>
      <c r="H6928">
        <v>55</v>
      </c>
      <c r="I6928" t="str">
        <f>IF(COUNTIF(Products!$A$2:$A$8,C6928)=0,C6928,"")</f>
        <v/>
      </c>
      <c r="J6928">
        <f>IF(OR(E6928="Prospecting",E6928="Engaging"),VLOOKUP(C6928,Products!$A$2:$C$8,3,FALSE),0)</f>
        <v>0</v>
      </c>
    </row>
    <row r="6929" spans="1:10" x14ac:dyDescent="0.25">
      <c r="A6929" t="s">
        <v>7096</v>
      </c>
      <c r="B6929" t="s">
        <v>191</v>
      </c>
      <c r="C6929" t="s">
        <v>123</v>
      </c>
      <c r="D6929" t="s">
        <v>44</v>
      </c>
      <c r="E6929" t="s">
        <v>138</v>
      </c>
      <c r="F6929" s="1">
        <v>43001</v>
      </c>
      <c r="G6929" s="1">
        <v>43009</v>
      </c>
      <c r="H6929">
        <v>57</v>
      </c>
      <c r="I6929" t="str">
        <f>IF(COUNTIF(Products!$A$2:$A$8,C6929)=0,C6929,"")</f>
        <v/>
      </c>
      <c r="J6929">
        <f>IF(OR(E6929="Prospecting",E6929="Engaging"),VLOOKUP(C6929,Products!$A$2:$C$8,3,FALSE),0)</f>
        <v>0</v>
      </c>
    </row>
    <row r="6930" spans="1:10" x14ac:dyDescent="0.25">
      <c r="A6930" t="s">
        <v>7097</v>
      </c>
      <c r="B6930" t="s">
        <v>217</v>
      </c>
      <c r="C6930" t="s">
        <v>123</v>
      </c>
      <c r="D6930" t="s">
        <v>116</v>
      </c>
      <c r="E6930" t="s">
        <v>159</v>
      </c>
      <c r="F6930" s="1">
        <v>43001</v>
      </c>
      <c r="G6930" s="1">
        <v>43046</v>
      </c>
      <c r="H6930">
        <v>0</v>
      </c>
      <c r="I6930" t="str">
        <f>IF(COUNTIF(Products!$A$2:$A$8,C6930)=0,C6930,"")</f>
        <v/>
      </c>
      <c r="J6930">
        <f>IF(OR(E6930="Prospecting",E6930="Engaging"),VLOOKUP(C6930,Products!$A$2:$C$8,3,FALSE),0)</f>
        <v>0</v>
      </c>
    </row>
    <row r="6931" spans="1:10" x14ac:dyDescent="0.25">
      <c r="A6931" t="s">
        <v>7098</v>
      </c>
      <c r="B6931" t="s">
        <v>217</v>
      </c>
      <c r="C6931" t="s">
        <v>127</v>
      </c>
      <c r="D6931" t="s">
        <v>85</v>
      </c>
      <c r="E6931" t="s">
        <v>138</v>
      </c>
      <c r="F6931" s="1">
        <v>43001</v>
      </c>
      <c r="G6931" s="1">
        <v>43066</v>
      </c>
      <c r="H6931">
        <v>946</v>
      </c>
      <c r="I6931" t="str">
        <f>IF(COUNTIF(Products!$A$2:$A$8,C6931)=0,C6931,"")</f>
        <v/>
      </c>
      <c r="J6931">
        <f>IF(OR(E6931="Prospecting",E6931="Engaging"),VLOOKUP(C6931,Products!$A$2:$C$8,3,FALSE),0)</f>
        <v>0</v>
      </c>
    </row>
    <row r="6932" spans="1:10" x14ac:dyDescent="0.25">
      <c r="A6932" t="s">
        <v>7099</v>
      </c>
      <c r="B6932" t="s">
        <v>150</v>
      </c>
      <c r="C6932" t="s">
        <v>120</v>
      </c>
      <c r="D6932" t="s">
        <v>107</v>
      </c>
      <c r="E6932" t="s">
        <v>159</v>
      </c>
      <c r="F6932" s="1">
        <v>43001</v>
      </c>
      <c r="G6932" s="1">
        <v>43010</v>
      </c>
      <c r="H6932">
        <v>0</v>
      </c>
      <c r="I6932" t="str">
        <f>IF(COUNTIF(Products!$A$2:$A$8,C6932)=0,C6932,"")</f>
        <v/>
      </c>
      <c r="J6932">
        <f>IF(OR(E6932="Prospecting",E6932="Engaging"),VLOOKUP(C6932,Products!$A$2:$C$8,3,FALSE),0)</f>
        <v>0</v>
      </c>
    </row>
    <row r="6933" spans="1:10" x14ac:dyDescent="0.25">
      <c r="A6933" t="s">
        <v>7100</v>
      </c>
      <c r="B6933" t="s">
        <v>162</v>
      </c>
      <c r="C6933" t="s">
        <v>120</v>
      </c>
      <c r="D6933" t="s">
        <v>114</v>
      </c>
      <c r="E6933" t="s">
        <v>159</v>
      </c>
      <c r="F6933" s="1">
        <v>43001</v>
      </c>
      <c r="G6933" s="1">
        <v>43053</v>
      </c>
      <c r="H6933">
        <v>0</v>
      </c>
      <c r="I6933" t="str">
        <f>IF(COUNTIF(Products!$A$2:$A$8,C6933)=0,C6933,"")</f>
        <v/>
      </c>
      <c r="J6933">
        <f>IF(OR(E6933="Prospecting",E6933="Engaging"),VLOOKUP(C6933,Products!$A$2:$C$8,3,FALSE),0)</f>
        <v>0</v>
      </c>
    </row>
    <row r="6934" spans="1:10" x14ac:dyDescent="0.25">
      <c r="A6934" t="s">
        <v>7101</v>
      </c>
      <c r="B6934" t="s">
        <v>162</v>
      </c>
      <c r="C6934" t="s">
        <v>123</v>
      </c>
      <c r="D6934" t="s">
        <v>47</v>
      </c>
      <c r="E6934" t="s">
        <v>159</v>
      </c>
      <c r="F6934" s="1">
        <v>43001</v>
      </c>
      <c r="G6934" s="1">
        <v>43045</v>
      </c>
      <c r="H6934">
        <v>0</v>
      </c>
      <c r="I6934" t="str">
        <f>IF(COUNTIF(Products!$A$2:$A$8,C6934)=0,C6934,"")</f>
        <v/>
      </c>
      <c r="J6934">
        <f>IF(OR(E6934="Prospecting",E6934="Engaging"),VLOOKUP(C6934,Products!$A$2:$C$8,3,FALSE),0)</f>
        <v>0</v>
      </c>
    </row>
    <row r="6935" spans="1:10" x14ac:dyDescent="0.25">
      <c r="A6935" t="s">
        <v>7102</v>
      </c>
      <c r="B6935" t="s">
        <v>137</v>
      </c>
      <c r="C6935" t="s">
        <v>123</v>
      </c>
      <c r="D6935" t="s">
        <v>36</v>
      </c>
      <c r="E6935" t="s">
        <v>159</v>
      </c>
      <c r="F6935" s="1">
        <v>43001</v>
      </c>
      <c r="G6935" s="1">
        <v>43066</v>
      </c>
      <c r="H6935">
        <v>0</v>
      </c>
      <c r="I6935" t="str">
        <f>IF(COUNTIF(Products!$A$2:$A$8,C6935)=0,C6935,"")</f>
        <v/>
      </c>
      <c r="J6935">
        <f>IF(OR(E6935="Prospecting",E6935="Engaging"),VLOOKUP(C6935,Products!$A$2:$C$8,3,FALSE),0)</f>
        <v>0</v>
      </c>
    </row>
    <row r="6936" spans="1:10" x14ac:dyDescent="0.25">
      <c r="A6936" t="s">
        <v>7103</v>
      </c>
      <c r="B6936" t="s">
        <v>187</v>
      </c>
      <c r="C6936" t="s">
        <v>122</v>
      </c>
      <c r="D6936" t="s">
        <v>25</v>
      </c>
      <c r="E6936" t="s">
        <v>159</v>
      </c>
      <c r="F6936" s="1">
        <v>43001</v>
      </c>
      <c r="G6936" s="1">
        <v>43013</v>
      </c>
      <c r="H6936">
        <v>0</v>
      </c>
      <c r="I6936" t="str">
        <f>IF(COUNTIF(Products!$A$2:$A$8,C6936)=0,C6936,"")</f>
        <v/>
      </c>
      <c r="J6936">
        <f>IF(OR(E6936="Prospecting",E6936="Engaging"),VLOOKUP(C6936,Products!$A$2:$C$8,3,FALSE),0)</f>
        <v>0</v>
      </c>
    </row>
    <row r="6937" spans="1:10" x14ac:dyDescent="0.25">
      <c r="A6937" t="s">
        <v>7104</v>
      </c>
      <c r="B6937" t="s">
        <v>148</v>
      </c>
      <c r="C6937" t="s">
        <v>125</v>
      </c>
      <c r="E6937" t="s">
        <v>155</v>
      </c>
      <c r="F6937" s="1">
        <v>43001</v>
      </c>
      <c r="I6937" t="str">
        <f>IF(COUNTIF(Products!$A$2:$A$8,C6937)=0,C6937,"")</f>
        <v/>
      </c>
      <c r="J6937">
        <f>IF(OR(E6937="Prospecting",E6937="Engaging"),VLOOKUP(C6937,Products!$A$2:$C$8,3,FALSE),0)</f>
        <v>3393</v>
      </c>
    </row>
    <row r="6938" spans="1:10" x14ac:dyDescent="0.25">
      <c r="A6938" t="s">
        <v>7105</v>
      </c>
      <c r="B6938" t="s">
        <v>148</v>
      </c>
      <c r="C6938" t="s">
        <v>122</v>
      </c>
      <c r="D6938" t="s">
        <v>61</v>
      </c>
      <c r="E6938" t="s">
        <v>138</v>
      </c>
      <c r="F6938" s="1">
        <v>43001</v>
      </c>
      <c r="G6938" s="1">
        <v>43086</v>
      </c>
      <c r="H6938">
        <v>4415</v>
      </c>
      <c r="I6938" t="str">
        <f>IF(COUNTIF(Products!$A$2:$A$8,C6938)=0,C6938,"")</f>
        <v/>
      </c>
      <c r="J6938">
        <f>IF(OR(E6938="Prospecting",E6938="Engaging"),VLOOKUP(C6938,Products!$A$2:$C$8,3,FALSE),0)</f>
        <v>0</v>
      </c>
    </row>
    <row r="6939" spans="1:10" x14ac:dyDescent="0.25">
      <c r="A6939" t="s">
        <v>7106</v>
      </c>
      <c r="B6939" t="s">
        <v>177</v>
      </c>
      <c r="C6939" t="s">
        <v>123</v>
      </c>
      <c r="D6939" t="s">
        <v>16</v>
      </c>
      <c r="E6939" t="s">
        <v>138</v>
      </c>
      <c r="F6939" s="1">
        <v>43001</v>
      </c>
      <c r="G6939" s="1">
        <v>43010</v>
      </c>
      <c r="H6939">
        <v>60</v>
      </c>
      <c r="I6939" t="str">
        <f>IF(COUNTIF(Products!$A$2:$A$8,C6939)=0,C6939,"")</f>
        <v/>
      </c>
      <c r="J6939">
        <f>IF(OR(E6939="Prospecting",E6939="Engaging"),VLOOKUP(C6939,Products!$A$2:$C$8,3,FALSE),0)</f>
        <v>0</v>
      </c>
    </row>
    <row r="6940" spans="1:10" x14ac:dyDescent="0.25">
      <c r="A6940" t="s">
        <v>7107</v>
      </c>
      <c r="B6940" t="s">
        <v>144</v>
      </c>
      <c r="C6940" t="s">
        <v>126</v>
      </c>
      <c r="D6940" t="s">
        <v>57</v>
      </c>
      <c r="E6940" t="s">
        <v>138</v>
      </c>
      <c r="F6940" s="1">
        <v>43001</v>
      </c>
      <c r="G6940" s="1">
        <v>43009</v>
      </c>
      <c r="H6940">
        <v>5865</v>
      </c>
      <c r="I6940" t="str">
        <f>IF(COUNTIF(Products!$A$2:$A$8,C6940)=0,C6940,"")</f>
        <v/>
      </c>
      <c r="J6940">
        <f>IF(OR(E6940="Prospecting",E6940="Engaging"),VLOOKUP(C6940,Products!$A$2:$C$8,3,FALSE),0)</f>
        <v>0</v>
      </c>
    </row>
    <row r="6941" spans="1:10" x14ac:dyDescent="0.25">
      <c r="A6941" t="s">
        <v>7108</v>
      </c>
      <c r="B6941" t="s">
        <v>146</v>
      </c>
      <c r="C6941" t="s">
        <v>126</v>
      </c>
      <c r="D6941" t="s">
        <v>104</v>
      </c>
      <c r="E6941" t="s">
        <v>159</v>
      </c>
      <c r="F6941" s="1">
        <v>43002</v>
      </c>
      <c r="G6941" s="1">
        <v>43062</v>
      </c>
      <c r="H6941">
        <v>0</v>
      </c>
      <c r="I6941" t="str">
        <f>IF(COUNTIF(Products!$A$2:$A$8,C6941)=0,C6941,"")</f>
        <v/>
      </c>
      <c r="J6941">
        <f>IF(OR(E6941="Prospecting",E6941="Engaging"),VLOOKUP(C6941,Products!$A$2:$C$8,3,FALSE),0)</f>
        <v>0</v>
      </c>
    </row>
    <row r="6942" spans="1:10" x14ac:dyDescent="0.25">
      <c r="A6942" t="s">
        <v>7109</v>
      </c>
      <c r="B6942" t="s">
        <v>146</v>
      </c>
      <c r="C6942" t="s">
        <v>123</v>
      </c>
      <c r="D6942" t="s">
        <v>26</v>
      </c>
      <c r="E6942" t="s">
        <v>159</v>
      </c>
      <c r="F6942" s="1">
        <v>43002</v>
      </c>
      <c r="G6942" s="1">
        <v>43066</v>
      </c>
      <c r="H6942">
        <v>0</v>
      </c>
      <c r="I6942" t="str">
        <f>IF(COUNTIF(Products!$A$2:$A$8,C6942)=0,C6942,"")</f>
        <v/>
      </c>
      <c r="J6942">
        <f>IF(OR(E6942="Prospecting",E6942="Engaging"),VLOOKUP(C6942,Products!$A$2:$C$8,3,FALSE),0)</f>
        <v>0</v>
      </c>
    </row>
    <row r="6943" spans="1:10" x14ac:dyDescent="0.25">
      <c r="A6943" t="s">
        <v>7110</v>
      </c>
      <c r="B6943" t="s">
        <v>222</v>
      </c>
      <c r="C6943" t="s">
        <v>127</v>
      </c>
      <c r="D6943" t="s">
        <v>67</v>
      </c>
      <c r="E6943" t="s">
        <v>159</v>
      </c>
      <c r="F6943" s="1">
        <v>43002</v>
      </c>
      <c r="G6943" s="1">
        <v>43083</v>
      </c>
      <c r="H6943">
        <v>0</v>
      </c>
      <c r="I6943" t="str">
        <f>IF(COUNTIF(Products!$A$2:$A$8,C6943)=0,C6943,"")</f>
        <v/>
      </c>
      <c r="J6943">
        <f>IF(OR(E6943="Prospecting",E6943="Engaging"),VLOOKUP(C6943,Products!$A$2:$C$8,3,FALSE),0)</f>
        <v>0</v>
      </c>
    </row>
    <row r="6944" spans="1:10" x14ac:dyDescent="0.25">
      <c r="A6944" t="s">
        <v>7111</v>
      </c>
      <c r="B6944" t="s">
        <v>264</v>
      </c>
      <c r="C6944" t="s">
        <v>125</v>
      </c>
      <c r="D6944" t="s">
        <v>53</v>
      </c>
      <c r="E6944" t="s">
        <v>159</v>
      </c>
      <c r="F6944" s="1">
        <v>43002</v>
      </c>
      <c r="G6944" s="1">
        <v>43012</v>
      </c>
      <c r="H6944">
        <v>0</v>
      </c>
      <c r="I6944" t="str">
        <f>IF(COUNTIF(Products!$A$2:$A$8,C6944)=0,C6944,"")</f>
        <v/>
      </c>
      <c r="J6944">
        <f>IF(OR(E6944="Prospecting",E6944="Engaging"),VLOOKUP(C6944,Products!$A$2:$C$8,3,FALSE),0)</f>
        <v>0</v>
      </c>
    </row>
    <row r="6945" spans="1:10" x14ac:dyDescent="0.25">
      <c r="A6945" t="s">
        <v>7112</v>
      </c>
      <c r="B6945" t="s">
        <v>264</v>
      </c>
      <c r="C6945" t="s">
        <v>123</v>
      </c>
      <c r="D6945" t="s">
        <v>89</v>
      </c>
      <c r="E6945" t="s">
        <v>138</v>
      </c>
      <c r="F6945" s="1">
        <v>43002</v>
      </c>
      <c r="G6945" s="1">
        <v>43010</v>
      </c>
      <c r="H6945">
        <v>54</v>
      </c>
      <c r="I6945" t="str">
        <f>IF(COUNTIF(Products!$A$2:$A$8,C6945)=0,C6945,"")</f>
        <v/>
      </c>
      <c r="J6945">
        <f>IF(OR(E6945="Prospecting",E6945="Engaging"),VLOOKUP(C6945,Products!$A$2:$C$8,3,FALSE),0)</f>
        <v>0</v>
      </c>
    </row>
    <row r="6946" spans="1:10" x14ac:dyDescent="0.25">
      <c r="A6946" t="s">
        <v>7113</v>
      </c>
      <c r="B6946" t="s">
        <v>239</v>
      </c>
      <c r="C6946" t="s">
        <v>122</v>
      </c>
      <c r="D6946" t="s">
        <v>81</v>
      </c>
      <c r="E6946" t="s">
        <v>138</v>
      </c>
      <c r="F6946" s="1">
        <v>43002</v>
      </c>
      <c r="G6946" s="1">
        <v>43096</v>
      </c>
      <c r="H6946">
        <v>5069</v>
      </c>
      <c r="I6946" t="str">
        <f>IF(COUNTIF(Products!$A$2:$A$8,C6946)=0,C6946,"")</f>
        <v/>
      </c>
      <c r="J6946">
        <f>IF(OR(E6946="Prospecting",E6946="Engaging"),VLOOKUP(C6946,Products!$A$2:$C$8,3,FALSE),0)</f>
        <v>0</v>
      </c>
    </row>
    <row r="6947" spans="1:10" x14ac:dyDescent="0.25">
      <c r="A6947" t="s">
        <v>7114</v>
      </c>
      <c r="B6947" t="s">
        <v>171</v>
      </c>
      <c r="C6947" t="s">
        <v>126</v>
      </c>
      <c r="D6947" t="s">
        <v>69</v>
      </c>
      <c r="E6947" t="s">
        <v>138</v>
      </c>
      <c r="F6947" s="1">
        <v>43002</v>
      </c>
      <c r="G6947" s="1">
        <v>43013</v>
      </c>
      <c r="H6947">
        <v>5378</v>
      </c>
      <c r="I6947" t="str">
        <f>IF(COUNTIF(Products!$A$2:$A$8,C6947)=0,C6947,"")</f>
        <v/>
      </c>
      <c r="J6947">
        <f>IF(OR(E6947="Prospecting",E6947="Engaging"),VLOOKUP(C6947,Products!$A$2:$C$8,3,FALSE),0)</f>
        <v>0</v>
      </c>
    </row>
    <row r="6948" spans="1:10" x14ac:dyDescent="0.25">
      <c r="A6948" t="s">
        <v>7115</v>
      </c>
      <c r="B6948" t="s">
        <v>171</v>
      </c>
      <c r="C6948" t="s">
        <v>122</v>
      </c>
      <c r="D6948" t="s">
        <v>73</v>
      </c>
      <c r="E6948" t="s">
        <v>138</v>
      </c>
      <c r="F6948" s="1">
        <v>43002</v>
      </c>
      <c r="G6948" s="1">
        <v>43073</v>
      </c>
      <c r="H6948">
        <v>5255</v>
      </c>
      <c r="I6948" t="str">
        <f>IF(COUNTIF(Products!$A$2:$A$8,C6948)=0,C6948,"")</f>
        <v/>
      </c>
      <c r="J6948">
        <f>IF(OR(E6948="Prospecting",E6948="Engaging"),VLOOKUP(C6948,Products!$A$2:$C$8,3,FALSE),0)</f>
        <v>0</v>
      </c>
    </row>
    <row r="6949" spans="1:10" x14ac:dyDescent="0.25">
      <c r="A6949" t="s">
        <v>7116</v>
      </c>
      <c r="B6949" t="s">
        <v>140</v>
      </c>
      <c r="C6949" t="s">
        <v>127</v>
      </c>
      <c r="D6949" t="s">
        <v>33</v>
      </c>
      <c r="E6949" t="s">
        <v>159</v>
      </c>
      <c r="F6949" s="1">
        <v>43002</v>
      </c>
      <c r="G6949" s="1">
        <v>43012</v>
      </c>
      <c r="H6949">
        <v>0</v>
      </c>
      <c r="I6949" t="str">
        <f>IF(COUNTIF(Products!$A$2:$A$8,C6949)=0,C6949,"")</f>
        <v/>
      </c>
      <c r="J6949">
        <f>IF(OR(E6949="Prospecting",E6949="Engaging"),VLOOKUP(C6949,Products!$A$2:$C$8,3,FALSE),0)</f>
        <v>0</v>
      </c>
    </row>
    <row r="6950" spans="1:10" x14ac:dyDescent="0.25">
      <c r="A6950" t="s">
        <v>7117</v>
      </c>
      <c r="B6950" t="s">
        <v>140</v>
      </c>
      <c r="C6950" t="s">
        <v>126</v>
      </c>
      <c r="D6950" t="s">
        <v>28</v>
      </c>
      <c r="E6950" t="s">
        <v>138</v>
      </c>
      <c r="F6950" s="1">
        <v>43002</v>
      </c>
      <c r="G6950" s="1">
        <v>43011</v>
      </c>
      <c r="H6950">
        <v>5144</v>
      </c>
      <c r="I6950" t="str">
        <f>IF(COUNTIF(Products!$A$2:$A$8,C6950)=0,C6950,"")</f>
        <v/>
      </c>
      <c r="J6950">
        <f>IF(OR(E6950="Prospecting",E6950="Engaging"),VLOOKUP(C6950,Products!$A$2:$C$8,3,FALSE),0)</f>
        <v>0</v>
      </c>
    </row>
    <row r="6951" spans="1:10" x14ac:dyDescent="0.25">
      <c r="A6951" t="s">
        <v>7118</v>
      </c>
      <c r="B6951" t="s">
        <v>224</v>
      </c>
      <c r="C6951" t="s">
        <v>126</v>
      </c>
      <c r="D6951" t="s">
        <v>37</v>
      </c>
      <c r="E6951" t="s">
        <v>159</v>
      </c>
      <c r="F6951" s="1">
        <v>43002</v>
      </c>
      <c r="G6951" s="1">
        <v>43055</v>
      </c>
      <c r="H6951">
        <v>0</v>
      </c>
      <c r="I6951" t="str">
        <f>IF(COUNTIF(Products!$A$2:$A$8,C6951)=0,C6951,"")</f>
        <v/>
      </c>
      <c r="J6951">
        <f>IF(OR(E6951="Prospecting",E6951="Engaging"),VLOOKUP(C6951,Products!$A$2:$C$8,3,FALSE),0)</f>
        <v>0</v>
      </c>
    </row>
    <row r="6952" spans="1:10" x14ac:dyDescent="0.25">
      <c r="A6952" t="s">
        <v>7119</v>
      </c>
      <c r="B6952" t="s">
        <v>154</v>
      </c>
      <c r="C6952" t="s">
        <v>126</v>
      </c>
      <c r="D6952" t="s">
        <v>83</v>
      </c>
      <c r="E6952" t="s">
        <v>138</v>
      </c>
      <c r="F6952" s="1">
        <v>43002</v>
      </c>
      <c r="G6952" s="1">
        <v>43011</v>
      </c>
      <c r="H6952">
        <v>5527</v>
      </c>
      <c r="I6952" t="str">
        <f>IF(COUNTIF(Products!$A$2:$A$8,C6952)=0,C6952,"")</f>
        <v/>
      </c>
      <c r="J6952">
        <f>IF(OR(E6952="Prospecting",E6952="Engaging"),VLOOKUP(C6952,Products!$A$2:$C$8,3,FALSE),0)</f>
        <v>0</v>
      </c>
    </row>
    <row r="6953" spans="1:10" x14ac:dyDescent="0.25">
      <c r="A6953" t="s">
        <v>7120</v>
      </c>
      <c r="B6953" t="s">
        <v>191</v>
      </c>
      <c r="C6953" t="s">
        <v>125</v>
      </c>
      <c r="D6953" t="s">
        <v>75</v>
      </c>
      <c r="E6953" t="s">
        <v>159</v>
      </c>
      <c r="F6953" s="1">
        <v>43002</v>
      </c>
      <c r="G6953" s="1">
        <v>43088</v>
      </c>
      <c r="H6953">
        <v>0</v>
      </c>
      <c r="I6953" t="str">
        <f>IF(COUNTIF(Products!$A$2:$A$8,C6953)=0,C6953,"")</f>
        <v/>
      </c>
      <c r="J6953">
        <f>IF(OR(E6953="Prospecting",E6953="Engaging"),VLOOKUP(C6953,Products!$A$2:$C$8,3,FALSE),0)</f>
        <v>0</v>
      </c>
    </row>
    <row r="6954" spans="1:10" x14ac:dyDescent="0.25">
      <c r="A6954" t="s">
        <v>7121</v>
      </c>
      <c r="B6954" t="s">
        <v>217</v>
      </c>
      <c r="C6954" t="s">
        <v>120</v>
      </c>
      <c r="D6954" t="s">
        <v>61</v>
      </c>
      <c r="E6954" t="s">
        <v>159</v>
      </c>
      <c r="F6954" s="1">
        <v>43002</v>
      </c>
      <c r="G6954" s="1">
        <v>43010</v>
      </c>
      <c r="H6954">
        <v>0</v>
      </c>
      <c r="I6954" t="str">
        <f>IF(COUNTIF(Products!$A$2:$A$8,C6954)=0,C6954,"")</f>
        <v/>
      </c>
      <c r="J6954">
        <f>IF(OR(E6954="Prospecting",E6954="Engaging"),VLOOKUP(C6954,Products!$A$2:$C$8,3,FALSE),0)</f>
        <v>0</v>
      </c>
    </row>
    <row r="6955" spans="1:10" x14ac:dyDescent="0.25">
      <c r="A6955" t="s">
        <v>7122</v>
      </c>
      <c r="B6955" t="s">
        <v>217</v>
      </c>
      <c r="C6955" t="s">
        <v>120</v>
      </c>
      <c r="D6955" t="s">
        <v>30</v>
      </c>
      <c r="E6955" t="s">
        <v>138</v>
      </c>
      <c r="F6955" s="1">
        <v>43002</v>
      </c>
      <c r="G6955" s="1">
        <v>43090</v>
      </c>
      <c r="H6955">
        <v>452</v>
      </c>
      <c r="I6955" t="str">
        <f>IF(COUNTIF(Products!$A$2:$A$8,C6955)=0,C6955,"")</f>
        <v/>
      </c>
      <c r="J6955">
        <f>IF(OR(E6955="Prospecting",E6955="Engaging"),VLOOKUP(C6955,Products!$A$2:$C$8,3,FALSE),0)</f>
        <v>0</v>
      </c>
    </row>
    <row r="6956" spans="1:10" x14ac:dyDescent="0.25">
      <c r="A6956" t="s">
        <v>7123</v>
      </c>
      <c r="B6956" t="s">
        <v>150</v>
      </c>
      <c r="C6956" t="s">
        <v>125</v>
      </c>
      <c r="D6956" t="s">
        <v>67</v>
      </c>
      <c r="E6956" t="s">
        <v>159</v>
      </c>
      <c r="F6956" s="1">
        <v>43002</v>
      </c>
      <c r="G6956" s="1">
        <v>43013</v>
      </c>
      <c r="H6956">
        <v>0</v>
      </c>
      <c r="I6956" t="str">
        <f>IF(COUNTIF(Products!$A$2:$A$8,C6956)=0,C6956,"")</f>
        <v/>
      </c>
      <c r="J6956">
        <f>IF(OR(E6956="Prospecting",E6956="Engaging"),VLOOKUP(C6956,Products!$A$2:$C$8,3,FALSE),0)</f>
        <v>0</v>
      </c>
    </row>
    <row r="6957" spans="1:10" x14ac:dyDescent="0.25">
      <c r="A6957" t="s">
        <v>7124</v>
      </c>
      <c r="B6957" t="s">
        <v>137</v>
      </c>
      <c r="C6957" t="s">
        <v>126</v>
      </c>
      <c r="D6957" t="s">
        <v>103</v>
      </c>
      <c r="E6957" t="s">
        <v>138</v>
      </c>
      <c r="F6957" s="1">
        <v>43002</v>
      </c>
      <c r="G6957" s="1">
        <v>43097</v>
      </c>
      <c r="H6957">
        <v>7300</v>
      </c>
      <c r="I6957" t="str">
        <f>IF(COUNTIF(Products!$A$2:$A$8,C6957)=0,C6957,"")</f>
        <v/>
      </c>
      <c r="J6957">
        <f>IF(OR(E6957="Prospecting",E6957="Engaging"),VLOOKUP(C6957,Products!$A$2:$C$8,3,FALSE),0)</f>
        <v>0</v>
      </c>
    </row>
    <row r="6958" spans="1:10" x14ac:dyDescent="0.25">
      <c r="A6958" t="s">
        <v>7125</v>
      </c>
      <c r="B6958" t="s">
        <v>169</v>
      </c>
      <c r="C6958" t="s">
        <v>123</v>
      </c>
      <c r="D6958" t="s">
        <v>51</v>
      </c>
      <c r="E6958" t="s">
        <v>159</v>
      </c>
      <c r="F6958" s="1">
        <v>43002</v>
      </c>
      <c r="G6958" s="1">
        <v>43048</v>
      </c>
      <c r="H6958">
        <v>0</v>
      </c>
      <c r="I6958" t="str">
        <f>IF(COUNTIF(Products!$A$2:$A$8,C6958)=0,C6958,"")</f>
        <v/>
      </c>
      <c r="J6958">
        <f>IF(OR(E6958="Prospecting",E6958="Engaging"),VLOOKUP(C6958,Products!$A$2:$C$8,3,FALSE),0)</f>
        <v>0</v>
      </c>
    </row>
    <row r="6959" spans="1:10" x14ac:dyDescent="0.25">
      <c r="A6959" t="s">
        <v>7126</v>
      </c>
      <c r="B6959" t="s">
        <v>148</v>
      </c>
      <c r="C6959" t="s">
        <v>126</v>
      </c>
      <c r="D6959" t="s">
        <v>17</v>
      </c>
      <c r="E6959" t="s">
        <v>138</v>
      </c>
      <c r="F6959" s="1">
        <v>43002</v>
      </c>
      <c r="G6959" s="1">
        <v>43065</v>
      </c>
      <c r="H6959">
        <v>5196</v>
      </c>
      <c r="I6959" t="str">
        <f>IF(COUNTIF(Products!$A$2:$A$8,C6959)=0,C6959,"")</f>
        <v/>
      </c>
      <c r="J6959">
        <f>IF(OR(E6959="Prospecting",E6959="Engaging"),VLOOKUP(C6959,Products!$A$2:$C$8,3,FALSE),0)</f>
        <v>0</v>
      </c>
    </row>
    <row r="6960" spans="1:10" x14ac:dyDescent="0.25">
      <c r="A6960" t="s">
        <v>7127</v>
      </c>
      <c r="B6960" t="s">
        <v>148</v>
      </c>
      <c r="C6960" t="s">
        <v>126</v>
      </c>
      <c r="D6960" t="s">
        <v>39</v>
      </c>
      <c r="E6960" t="s">
        <v>138</v>
      </c>
      <c r="F6960" s="1">
        <v>43002</v>
      </c>
      <c r="G6960" s="1">
        <v>43095</v>
      </c>
      <c r="H6960">
        <v>5624</v>
      </c>
      <c r="I6960" t="str">
        <f>IF(COUNTIF(Products!$A$2:$A$8,C6960)=0,C6960,"")</f>
        <v/>
      </c>
      <c r="J6960">
        <f>IF(OR(E6960="Prospecting",E6960="Engaging"),VLOOKUP(C6960,Products!$A$2:$C$8,3,FALSE),0)</f>
        <v>0</v>
      </c>
    </row>
    <row r="6961" spans="1:10" x14ac:dyDescent="0.25">
      <c r="A6961" t="s">
        <v>7128</v>
      </c>
      <c r="B6961" t="s">
        <v>148</v>
      </c>
      <c r="C6961" t="s">
        <v>125</v>
      </c>
      <c r="D6961" t="s">
        <v>66</v>
      </c>
      <c r="E6961" t="s">
        <v>138</v>
      </c>
      <c r="F6961" s="1">
        <v>43002</v>
      </c>
      <c r="G6961" s="1">
        <v>43084</v>
      </c>
      <c r="H6961">
        <v>4110</v>
      </c>
      <c r="I6961" t="str">
        <f>IF(COUNTIF(Products!$A$2:$A$8,C6961)=0,C6961,"")</f>
        <v/>
      </c>
      <c r="J6961">
        <f>IF(OR(E6961="Prospecting",E6961="Engaging"),VLOOKUP(C6961,Products!$A$2:$C$8,3,FALSE),0)</f>
        <v>0</v>
      </c>
    </row>
    <row r="6962" spans="1:10" x14ac:dyDescent="0.25">
      <c r="A6962" t="s">
        <v>7129</v>
      </c>
      <c r="B6962" t="s">
        <v>146</v>
      </c>
      <c r="C6962" t="s">
        <v>120</v>
      </c>
      <c r="D6962" t="s">
        <v>32</v>
      </c>
      <c r="E6962" t="s">
        <v>159</v>
      </c>
      <c r="F6962" s="1">
        <v>43003</v>
      </c>
      <c r="G6962" s="1">
        <v>43012</v>
      </c>
      <c r="H6962">
        <v>0</v>
      </c>
      <c r="I6962" t="str">
        <f>IF(COUNTIF(Products!$A$2:$A$8,C6962)=0,C6962,"")</f>
        <v/>
      </c>
      <c r="J6962">
        <f>IF(OR(E6962="Prospecting",E6962="Engaging"),VLOOKUP(C6962,Products!$A$2:$C$8,3,FALSE),0)</f>
        <v>0</v>
      </c>
    </row>
    <row r="6963" spans="1:10" x14ac:dyDescent="0.25">
      <c r="A6963" t="s">
        <v>7130</v>
      </c>
      <c r="B6963" t="s">
        <v>146</v>
      </c>
      <c r="C6963" t="s">
        <v>123</v>
      </c>
      <c r="D6963" t="s">
        <v>26</v>
      </c>
      <c r="E6963" t="s">
        <v>138</v>
      </c>
      <c r="F6963" s="1">
        <v>43003</v>
      </c>
      <c r="G6963" s="1">
        <v>43087</v>
      </c>
      <c r="H6963">
        <v>53</v>
      </c>
      <c r="I6963" t="str">
        <f>IF(COUNTIF(Products!$A$2:$A$8,C6963)=0,C6963,"")</f>
        <v/>
      </c>
      <c r="J6963">
        <f>IF(OR(E6963="Prospecting",E6963="Engaging"),VLOOKUP(C6963,Products!$A$2:$C$8,3,FALSE),0)</f>
        <v>0</v>
      </c>
    </row>
    <row r="6964" spans="1:10" x14ac:dyDescent="0.25">
      <c r="A6964" t="s">
        <v>7131</v>
      </c>
      <c r="B6964" t="s">
        <v>207</v>
      </c>
      <c r="C6964" t="s">
        <v>122</v>
      </c>
      <c r="D6964" t="s">
        <v>25</v>
      </c>
      <c r="E6964" t="s">
        <v>138</v>
      </c>
      <c r="F6964" s="1">
        <v>43003</v>
      </c>
      <c r="G6964" s="1">
        <v>43005</v>
      </c>
      <c r="H6964">
        <v>5727</v>
      </c>
      <c r="I6964" t="str">
        <f>IF(COUNTIF(Products!$A$2:$A$8,C6964)=0,C6964,"")</f>
        <v/>
      </c>
      <c r="J6964">
        <f>IF(OR(E6964="Prospecting",E6964="Engaging"),VLOOKUP(C6964,Products!$A$2:$C$8,3,FALSE),0)</f>
        <v>0</v>
      </c>
    </row>
    <row r="6965" spans="1:10" x14ac:dyDescent="0.25">
      <c r="A6965" t="s">
        <v>7132</v>
      </c>
      <c r="B6965" t="s">
        <v>207</v>
      </c>
      <c r="C6965" t="s">
        <v>122</v>
      </c>
      <c r="D6965" t="s">
        <v>84</v>
      </c>
      <c r="E6965" t="s">
        <v>138</v>
      </c>
      <c r="F6965" s="1">
        <v>43003</v>
      </c>
      <c r="G6965" s="1">
        <v>43006</v>
      </c>
      <c r="H6965">
        <v>4308</v>
      </c>
      <c r="I6965" t="str">
        <f>IF(COUNTIF(Products!$A$2:$A$8,C6965)=0,C6965,"")</f>
        <v/>
      </c>
      <c r="J6965">
        <f>IF(OR(E6965="Prospecting",E6965="Engaging"),VLOOKUP(C6965,Products!$A$2:$C$8,3,FALSE),0)</f>
        <v>0</v>
      </c>
    </row>
    <row r="6966" spans="1:10" x14ac:dyDescent="0.25">
      <c r="A6966" t="s">
        <v>7133</v>
      </c>
      <c r="B6966" t="s">
        <v>207</v>
      </c>
      <c r="C6966" t="s">
        <v>125</v>
      </c>
      <c r="D6966" t="s">
        <v>84</v>
      </c>
      <c r="E6966" t="s">
        <v>138</v>
      </c>
      <c r="F6966" s="1">
        <v>43003</v>
      </c>
      <c r="G6966" s="1">
        <v>43078</v>
      </c>
      <c r="H6966">
        <v>3329</v>
      </c>
      <c r="I6966" t="str">
        <f>IF(COUNTIF(Products!$A$2:$A$8,C6966)=0,C6966,"")</f>
        <v/>
      </c>
      <c r="J6966">
        <f>IF(OR(E6966="Prospecting",E6966="Engaging"),VLOOKUP(C6966,Products!$A$2:$C$8,3,FALSE),0)</f>
        <v>0</v>
      </c>
    </row>
    <row r="6967" spans="1:10" x14ac:dyDescent="0.25">
      <c r="A6967" t="s">
        <v>7134</v>
      </c>
      <c r="B6967" t="s">
        <v>171</v>
      </c>
      <c r="C6967" t="s">
        <v>127</v>
      </c>
      <c r="D6967" t="s">
        <v>68</v>
      </c>
      <c r="E6967" t="s">
        <v>159</v>
      </c>
      <c r="F6967" s="1">
        <v>43003</v>
      </c>
      <c r="G6967" s="1">
        <v>43011</v>
      </c>
      <c r="H6967">
        <v>0</v>
      </c>
      <c r="I6967" t="str">
        <f>IF(COUNTIF(Products!$A$2:$A$8,C6967)=0,C6967,"")</f>
        <v/>
      </c>
      <c r="J6967">
        <f>IF(OR(E6967="Prospecting",E6967="Engaging"),VLOOKUP(C6967,Products!$A$2:$C$8,3,FALSE),0)</f>
        <v>0</v>
      </c>
    </row>
    <row r="6968" spans="1:10" x14ac:dyDescent="0.25">
      <c r="A6968" t="s">
        <v>7135</v>
      </c>
      <c r="B6968" t="s">
        <v>140</v>
      </c>
      <c r="C6968" t="s">
        <v>126</v>
      </c>
      <c r="D6968" t="s">
        <v>61</v>
      </c>
      <c r="E6968" t="s">
        <v>159</v>
      </c>
      <c r="F6968" s="1">
        <v>43003</v>
      </c>
      <c r="G6968" s="1">
        <v>43012</v>
      </c>
      <c r="H6968">
        <v>0</v>
      </c>
      <c r="I6968" t="str">
        <f>IF(COUNTIF(Products!$A$2:$A$8,C6968)=0,C6968,"")</f>
        <v/>
      </c>
      <c r="J6968">
        <f>IF(OR(E6968="Prospecting",E6968="Engaging"),VLOOKUP(C6968,Products!$A$2:$C$8,3,FALSE),0)</f>
        <v>0</v>
      </c>
    </row>
    <row r="6969" spans="1:10" x14ac:dyDescent="0.25">
      <c r="A6969" t="s">
        <v>7136</v>
      </c>
      <c r="B6969" t="s">
        <v>173</v>
      </c>
      <c r="C6969" t="s">
        <v>123</v>
      </c>
      <c r="D6969" t="s">
        <v>34</v>
      </c>
      <c r="E6969" t="s">
        <v>159</v>
      </c>
      <c r="F6969" s="1">
        <v>43003</v>
      </c>
      <c r="G6969" s="1">
        <v>43012</v>
      </c>
      <c r="H6969">
        <v>0</v>
      </c>
      <c r="I6969" t="str">
        <f>IF(COUNTIF(Products!$A$2:$A$8,C6969)=0,C6969,"")</f>
        <v/>
      </c>
      <c r="J6969">
        <f>IF(OR(E6969="Prospecting",E6969="Engaging"),VLOOKUP(C6969,Products!$A$2:$C$8,3,FALSE),0)</f>
        <v>0</v>
      </c>
    </row>
    <row r="6970" spans="1:10" x14ac:dyDescent="0.25">
      <c r="A6970" t="s">
        <v>7137</v>
      </c>
      <c r="B6970" t="s">
        <v>154</v>
      </c>
      <c r="C6970" t="s">
        <v>123</v>
      </c>
      <c r="D6970" t="s">
        <v>10</v>
      </c>
      <c r="E6970" t="s">
        <v>155</v>
      </c>
      <c r="F6970" s="1">
        <v>43003</v>
      </c>
      <c r="I6970" t="str">
        <f>IF(COUNTIF(Products!$A$2:$A$8,C6970)=0,C6970,"")</f>
        <v/>
      </c>
      <c r="J6970">
        <f>IF(OR(E6970="Prospecting",E6970="Engaging"),VLOOKUP(C6970,Products!$A$2:$C$8,3,FALSE),0)</f>
        <v>55</v>
      </c>
    </row>
    <row r="6971" spans="1:10" x14ac:dyDescent="0.25">
      <c r="A6971" t="s">
        <v>7138</v>
      </c>
      <c r="B6971" t="s">
        <v>303</v>
      </c>
      <c r="C6971" t="s">
        <v>120</v>
      </c>
      <c r="D6971" t="s">
        <v>55</v>
      </c>
      <c r="E6971" t="s">
        <v>159</v>
      </c>
      <c r="F6971" s="1">
        <v>43003</v>
      </c>
      <c r="G6971" s="1">
        <v>43011</v>
      </c>
      <c r="H6971">
        <v>0</v>
      </c>
      <c r="I6971" t="str">
        <f>IF(COUNTIF(Products!$A$2:$A$8,C6971)=0,C6971,"")</f>
        <v/>
      </c>
      <c r="J6971">
        <f>IF(OR(E6971="Prospecting",E6971="Engaging"),VLOOKUP(C6971,Products!$A$2:$C$8,3,FALSE),0)</f>
        <v>0</v>
      </c>
    </row>
    <row r="6972" spans="1:10" x14ac:dyDescent="0.25">
      <c r="A6972" t="s">
        <v>7139</v>
      </c>
      <c r="B6972" t="s">
        <v>303</v>
      </c>
      <c r="C6972" t="s">
        <v>126</v>
      </c>
      <c r="D6972" t="s">
        <v>36</v>
      </c>
      <c r="E6972" t="s">
        <v>159</v>
      </c>
      <c r="F6972" s="1">
        <v>43003</v>
      </c>
      <c r="G6972" s="1">
        <v>43077</v>
      </c>
      <c r="H6972">
        <v>0</v>
      </c>
      <c r="I6972" t="str">
        <f>IF(COUNTIF(Products!$A$2:$A$8,C6972)=0,C6972,"")</f>
        <v/>
      </c>
      <c r="J6972">
        <f>IF(OR(E6972="Prospecting",E6972="Engaging"),VLOOKUP(C6972,Products!$A$2:$C$8,3,FALSE),0)</f>
        <v>0</v>
      </c>
    </row>
    <row r="6973" spans="1:10" x14ac:dyDescent="0.25">
      <c r="A6973" t="s">
        <v>7140</v>
      </c>
      <c r="B6973" t="s">
        <v>180</v>
      </c>
      <c r="C6973" t="s">
        <v>126</v>
      </c>
      <c r="D6973" t="s">
        <v>71</v>
      </c>
      <c r="E6973" t="s">
        <v>138</v>
      </c>
      <c r="F6973" s="1">
        <v>43003</v>
      </c>
      <c r="G6973" s="1">
        <v>43066</v>
      </c>
      <c r="H6973">
        <v>6105</v>
      </c>
      <c r="I6973" t="str">
        <f>IF(COUNTIF(Products!$A$2:$A$8,C6973)=0,C6973,"")</f>
        <v/>
      </c>
      <c r="J6973">
        <f>IF(OR(E6973="Prospecting",E6973="Engaging"),VLOOKUP(C6973,Products!$A$2:$C$8,3,FALSE),0)</f>
        <v>0</v>
      </c>
    </row>
    <row r="6974" spans="1:10" x14ac:dyDescent="0.25">
      <c r="A6974" t="s">
        <v>7141</v>
      </c>
      <c r="B6974" t="s">
        <v>191</v>
      </c>
      <c r="C6974" t="s">
        <v>120</v>
      </c>
      <c r="D6974" t="s">
        <v>107</v>
      </c>
      <c r="E6974" t="s">
        <v>138</v>
      </c>
      <c r="F6974" s="1">
        <v>43003</v>
      </c>
      <c r="G6974" s="1">
        <v>43052</v>
      </c>
      <c r="H6974">
        <v>549</v>
      </c>
      <c r="I6974" t="str">
        <f>IF(COUNTIF(Products!$A$2:$A$8,C6974)=0,C6974,"")</f>
        <v/>
      </c>
      <c r="J6974">
        <f>IF(OR(E6974="Prospecting",E6974="Engaging"),VLOOKUP(C6974,Products!$A$2:$C$8,3,FALSE),0)</f>
        <v>0</v>
      </c>
    </row>
    <row r="6975" spans="1:10" x14ac:dyDescent="0.25">
      <c r="A6975" t="s">
        <v>7142</v>
      </c>
      <c r="B6975" t="s">
        <v>191</v>
      </c>
      <c r="C6975" t="s">
        <v>122</v>
      </c>
      <c r="D6975" t="s">
        <v>34</v>
      </c>
      <c r="E6975" t="s">
        <v>138</v>
      </c>
      <c r="F6975" s="1">
        <v>43003</v>
      </c>
      <c r="G6975" s="1">
        <v>43051</v>
      </c>
      <c r="H6975">
        <v>4828</v>
      </c>
      <c r="I6975" t="str">
        <f>IF(COUNTIF(Products!$A$2:$A$8,C6975)=0,C6975,"")</f>
        <v/>
      </c>
      <c r="J6975">
        <f>IF(OR(E6975="Prospecting",E6975="Engaging"),VLOOKUP(C6975,Products!$A$2:$C$8,3,FALSE),0)</f>
        <v>0</v>
      </c>
    </row>
    <row r="6976" spans="1:10" x14ac:dyDescent="0.25">
      <c r="A6976" t="s">
        <v>7143</v>
      </c>
      <c r="B6976" t="s">
        <v>205</v>
      </c>
      <c r="C6976" t="s">
        <v>127</v>
      </c>
      <c r="D6976" t="s">
        <v>36</v>
      </c>
      <c r="E6976" t="s">
        <v>159</v>
      </c>
      <c r="F6976" s="1">
        <v>43003</v>
      </c>
      <c r="G6976" s="1">
        <v>43012</v>
      </c>
      <c r="H6976">
        <v>0</v>
      </c>
      <c r="I6976" t="str">
        <f>IF(COUNTIF(Products!$A$2:$A$8,C6976)=0,C6976,"")</f>
        <v/>
      </c>
      <c r="J6976">
        <f>IF(OR(E6976="Prospecting",E6976="Engaging"),VLOOKUP(C6976,Products!$A$2:$C$8,3,FALSE),0)</f>
        <v>0</v>
      </c>
    </row>
    <row r="6977" spans="1:10" x14ac:dyDescent="0.25">
      <c r="A6977" t="s">
        <v>7144</v>
      </c>
      <c r="B6977" t="s">
        <v>162</v>
      </c>
      <c r="C6977" t="s">
        <v>120</v>
      </c>
      <c r="D6977" t="s">
        <v>109</v>
      </c>
      <c r="E6977" t="s">
        <v>159</v>
      </c>
      <c r="F6977" s="1">
        <v>43003</v>
      </c>
      <c r="G6977" s="1">
        <v>43011</v>
      </c>
      <c r="H6977">
        <v>0</v>
      </c>
      <c r="I6977" t="str">
        <f>IF(COUNTIF(Products!$A$2:$A$8,C6977)=0,C6977,"")</f>
        <v/>
      </c>
      <c r="J6977">
        <f>IF(OR(E6977="Prospecting",E6977="Engaging"),VLOOKUP(C6977,Products!$A$2:$C$8,3,FALSE),0)</f>
        <v>0</v>
      </c>
    </row>
    <row r="6978" spans="1:10" x14ac:dyDescent="0.25">
      <c r="A6978" t="s">
        <v>7145</v>
      </c>
      <c r="B6978" t="s">
        <v>137</v>
      </c>
      <c r="C6978" t="s">
        <v>120</v>
      </c>
      <c r="D6978" t="s">
        <v>42</v>
      </c>
      <c r="E6978" t="s">
        <v>159</v>
      </c>
      <c r="F6978" s="1">
        <v>43003</v>
      </c>
      <c r="G6978" s="1">
        <v>43012</v>
      </c>
      <c r="H6978">
        <v>0</v>
      </c>
      <c r="I6978" t="str">
        <f>IF(COUNTIF(Products!$A$2:$A$8,C6978)=0,C6978,"")</f>
        <v/>
      </c>
      <c r="J6978">
        <f>IF(OR(E6978="Prospecting",E6978="Engaging"),VLOOKUP(C6978,Products!$A$2:$C$8,3,FALSE),0)</f>
        <v>0</v>
      </c>
    </row>
    <row r="6979" spans="1:10" x14ac:dyDescent="0.25">
      <c r="A6979" t="s">
        <v>7146</v>
      </c>
      <c r="B6979" t="s">
        <v>137</v>
      </c>
      <c r="C6979" t="s">
        <v>123</v>
      </c>
      <c r="D6979" t="s">
        <v>116</v>
      </c>
      <c r="E6979" t="s">
        <v>159</v>
      </c>
      <c r="F6979" s="1">
        <v>43003</v>
      </c>
      <c r="G6979" s="1">
        <v>43069</v>
      </c>
      <c r="H6979">
        <v>0</v>
      </c>
      <c r="I6979" t="str">
        <f>IF(COUNTIF(Products!$A$2:$A$8,C6979)=0,C6979,"")</f>
        <v/>
      </c>
      <c r="J6979">
        <f>IF(OR(E6979="Prospecting",E6979="Engaging"),VLOOKUP(C6979,Products!$A$2:$C$8,3,FALSE),0)</f>
        <v>0</v>
      </c>
    </row>
    <row r="6980" spans="1:10" x14ac:dyDescent="0.25">
      <c r="A6980" t="s">
        <v>7147</v>
      </c>
      <c r="B6980" t="s">
        <v>152</v>
      </c>
      <c r="C6980" t="s">
        <v>127</v>
      </c>
      <c r="D6980" t="s">
        <v>116</v>
      </c>
      <c r="E6980" t="s">
        <v>138</v>
      </c>
      <c r="F6980" s="1">
        <v>43003</v>
      </c>
      <c r="G6980" s="1">
        <v>43012</v>
      </c>
      <c r="H6980">
        <v>1189</v>
      </c>
      <c r="I6980" t="str">
        <f>IF(COUNTIF(Products!$A$2:$A$8,C6980)=0,C6980,"")</f>
        <v/>
      </c>
      <c r="J6980">
        <f>IF(OR(E6980="Prospecting",E6980="Engaging"),VLOOKUP(C6980,Products!$A$2:$C$8,3,FALSE),0)</f>
        <v>0</v>
      </c>
    </row>
    <row r="6981" spans="1:10" x14ac:dyDescent="0.25">
      <c r="A6981" t="s">
        <v>7148</v>
      </c>
      <c r="B6981" t="s">
        <v>152</v>
      </c>
      <c r="C6981" t="s">
        <v>123</v>
      </c>
      <c r="D6981" t="s">
        <v>61</v>
      </c>
      <c r="E6981" t="s">
        <v>138</v>
      </c>
      <c r="F6981" s="1">
        <v>43003</v>
      </c>
      <c r="G6981" s="1">
        <v>43067</v>
      </c>
      <c r="H6981">
        <v>51</v>
      </c>
      <c r="I6981" t="str">
        <f>IF(COUNTIF(Products!$A$2:$A$8,C6981)=0,C6981,"")</f>
        <v/>
      </c>
      <c r="J6981">
        <f>IF(OR(E6981="Prospecting",E6981="Engaging"),VLOOKUP(C6981,Products!$A$2:$C$8,3,FALSE),0)</f>
        <v>0</v>
      </c>
    </row>
    <row r="6982" spans="1:10" x14ac:dyDescent="0.25">
      <c r="A6982" t="s">
        <v>7149</v>
      </c>
      <c r="B6982" t="s">
        <v>193</v>
      </c>
      <c r="C6982" t="s">
        <v>127</v>
      </c>
      <c r="D6982" t="s">
        <v>73</v>
      </c>
      <c r="E6982" t="s">
        <v>159</v>
      </c>
      <c r="F6982" s="1">
        <v>43003</v>
      </c>
      <c r="G6982" s="1">
        <v>43093</v>
      </c>
      <c r="H6982">
        <v>0</v>
      </c>
      <c r="I6982" t="str">
        <f>IF(COUNTIF(Products!$A$2:$A$8,C6982)=0,C6982,"")</f>
        <v/>
      </c>
      <c r="J6982">
        <f>IF(OR(E6982="Prospecting",E6982="Engaging"),VLOOKUP(C6982,Products!$A$2:$C$8,3,FALSE),0)</f>
        <v>0</v>
      </c>
    </row>
    <row r="6983" spans="1:10" x14ac:dyDescent="0.25">
      <c r="A6983" t="s">
        <v>7150</v>
      </c>
      <c r="B6983" t="s">
        <v>166</v>
      </c>
      <c r="C6983" t="s">
        <v>122</v>
      </c>
      <c r="E6983" t="s">
        <v>155</v>
      </c>
      <c r="F6983" s="1">
        <v>43003</v>
      </c>
      <c r="I6983" t="str">
        <f>IF(COUNTIF(Products!$A$2:$A$8,C6983)=0,C6983,"")</f>
        <v/>
      </c>
      <c r="J6983">
        <f>IF(OR(E6983="Prospecting",E6983="Engaging"),VLOOKUP(C6983,Products!$A$2:$C$8,3,FALSE),0)</f>
        <v>4821</v>
      </c>
    </row>
    <row r="6984" spans="1:10" x14ac:dyDescent="0.25">
      <c r="A6984" t="s">
        <v>7151</v>
      </c>
      <c r="B6984" t="s">
        <v>166</v>
      </c>
      <c r="C6984" t="s">
        <v>125</v>
      </c>
      <c r="D6984" t="s">
        <v>107</v>
      </c>
      <c r="E6984" t="s">
        <v>159</v>
      </c>
      <c r="F6984" s="1">
        <v>43003</v>
      </c>
      <c r="G6984" s="1">
        <v>43011</v>
      </c>
      <c r="H6984">
        <v>0</v>
      </c>
      <c r="I6984" t="str">
        <f>IF(COUNTIF(Products!$A$2:$A$8,C6984)=0,C6984,"")</f>
        <v/>
      </c>
      <c r="J6984">
        <f>IF(OR(E6984="Prospecting",E6984="Engaging"),VLOOKUP(C6984,Products!$A$2:$C$8,3,FALSE),0)</f>
        <v>0</v>
      </c>
    </row>
    <row r="6985" spans="1:10" x14ac:dyDescent="0.25">
      <c r="A6985" t="s">
        <v>7152</v>
      </c>
      <c r="B6985" t="s">
        <v>169</v>
      </c>
      <c r="C6985" t="s">
        <v>127</v>
      </c>
      <c r="D6985" t="s">
        <v>36</v>
      </c>
      <c r="E6985" t="s">
        <v>159</v>
      </c>
      <c r="F6985" s="1">
        <v>43003</v>
      </c>
      <c r="G6985" s="1">
        <v>43011</v>
      </c>
      <c r="H6985">
        <v>0</v>
      </c>
      <c r="I6985" t="str">
        <f>IF(COUNTIF(Products!$A$2:$A$8,C6985)=0,C6985,"")</f>
        <v/>
      </c>
      <c r="J6985">
        <f>IF(OR(E6985="Prospecting",E6985="Engaging"),VLOOKUP(C6985,Products!$A$2:$C$8,3,FALSE),0)</f>
        <v>0</v>
      </c>
    </row>
    <row r="6986" spans="1:10" x14ac:dyDescent="0.25">
      <c r="A6986" t="s">
        <v>7153</v>
      </c>
      <c r="B6986" t="s">
        <v>169</v>
      </c>
      <c r="C6986" t="s">
        <v>123</v>
      </c>
      <c r="D6986" t="s">
        <v>27</v>
      </c>
      <c r="E6986" t="s">
        <v>138</v>
      </c>
      <c r="F6986" s="1">
        <v>43003</v>
      </c>
      <c r="G6986" s="1">
        <v>43059</v>
      </c>
      <c r="H6986">
        <v>55</v>
      </c>
      <c r="I6986" t="str">
        <f>IF(COUNTIF(Products!$A$2:$A$8,C6986)=0,C6986,"")</f>
        <v/>
      </c>
      <c r="J6986">
        <f>IF(OR(E6986="Prospecting",E6986="Engaging"),VLOOKUP(C6986,Products!$A$2:$C$8,3,FALSE),0)</f>
        <v>0</v>
      </c>
    </row>
    <row r="6987" spans="1:10" x14ac:dyDescent="0.25">
      <c r="A6987" t="s">
        <v>7154</v>
      </c>
      <c r="B6987" t="s">
        <v>169</v>
      </c>
      <c r="C6987" t="s">
        <v>123</v>
      </c>
      <c r="D6987" t="s">
        <v>30</v>
      </c>
      <c r="E6987" t="s">
        <v>138</v>
      </c>
      <c r="F6987" s="1">
        <v>43003</v>
      </c>
      <c r="G6987" s="1">
        <v>43012</v>
      </c>
      <c r="H6987">
        <v>53</v>
      </c>
      <c r="I6987" t="str">
        <f>IF(COUNTIF(Products!$A$2:$A$8,C6987)=0,C6987,"")</f>
        <v/>
      </c>
      <c r="J6987">
        <f>IF(OR(E6987="Prospecting",E6987="Engaging"),VLOOKUP(C6987,Products!$A$2:$C$8,3,FALSE),0)</f>
        <v>0</v>
      </c>
    </row>
    <row r="6988" spans="1:10" x14ac:dyDescent="0.25">
      <c r="A6988" t="s">
        <v>7155</v>
      </c>
      <c r="B6988" t="s">
        <v>148</v>
      </c>
      <c r="C6988" t="s">
        <v>123</v>
      </c>
      <c r="D6988" t="s">
        <v>83</v>
      </c>
      <c r="E6988" t="s">
        <v>159</v>
      </c>
      <c r="F6988" s="1">
        <v>43003</v>
      </c>
      <c r="G6988" s="1">
        <v>43013</v>
      </c>
      <c r="H6988">
        <v>0</v>
      </c>
      <c r="I6988" t="str">
        <f>IF(COUNTIF(Products!$A$2:$A$8,C6988)=0,C6988,"")</f>
        <v/>
      </c>
      <c r="J6988">
        <f>IF(OR(E6988="Prospecting",E6988="Engaging"),VLOOKUP(C6988,Products!$A$2:$C$8,3,FALSE),0)</f>
        <v>0</v>
      </c>
    </row>
    <row r="6989" spans="1:10" x14ac:dyDescent="0.25">
      <c r="A6989" t="s">
        <v>7156</v>
      </c>
      <c r="B6989" t="s">
        <v>196</v>
      </c>
      <c r="C6989" t="s">
        <v>126</v>
      </c>
      <c r="D6989" t="s">
        <v>35</v>
      </c>
      <c r="E6989" t="s">
        <v>138</v>
      </c>
      <c r="F6989" s="1">
        <v>43003</v>
      </c>
      <c r="G6989" s="1">
        <v>43078</v>
      </c>
      <c r="H6989">
        <v>5960</v>
      </c>
      <c r="I6989" t="str">
        <f>IF(COUNTIF(Products!$A$2:$A$8,C6989)=0,C6989,"")</f>
        <v/>
      </c>
      <c r="J6989">
        <f>IF(OR(E6989="Prospecting",E6989="Engaging"),VLOOKUP(C6989,Products!$A$2:$C$8,3,FALSE),0)</f>
        <v>0</v>
      </c>
    </row>
    <row r="6990" spans="1:10" x14ac:dyDescent="0.25">
      <c r="A6990" t="s">
        <v>7157</v>
      </c>
      <c r="B6990" t="s">
        <v>144</v>
      </c>
      <c r="C6990" t="s">
        <v>125</v>
      </c>
      <c r="D6990" t="s">
        <v>59</v>
      </c>
      <c r="E6990" t="s">
        <v>138</v>
      </c>
      <c r="F6990" s="1">
        <v>43003</v>
      </c>
      <c r="G6990" s="1">
        <v>43012</v>
      </c>
      <c r="H6990">
        <v>3438</v>
      </c>
      <c r="I6990" t="str">
        <f>IF(COUNTIF(Products!$A$2:$A$8,C6990)=0,C6990,"")</f>
        <v/>
      </c>
      <c r="J6990">
        <f>IF(OR(E6990="Prospecting",E6990="Engaging"),VLOOKUP(C6990,Products!$A$2:$C$8,3,FALSE),0)</f>
        <v>0</v>
      </c>
    </row>
    <row r="6991" spans="1:10" x14ac:dyDescent="0.25">
      <c r="A6991" t="s">
        <v>7158</v>
      </c>
      <c r="B6991" t="s">
        <v>146</v>
      </c>
      <c r="C6991" t="s">
        <v>123</v>
      </c>
      <c r="D6991" t="s">
        <v>22</v>
      </c>
      <c r="E6991" t="s">
        <v>159</v>
      </c>
      <c r="F6991" s="1">
        <v>43004</v>
      </c>
      <c r="G6991" s="1">
        <v>43014</v>
      </c>
      <c r="H6991">
        <v>0</v>
      </c>
      <c r="I6991" t="str">
        <f>IF(COUNTIF(Products!$A$2:$A$8,C6991)=0,C6991,"")</f>
        <v/>
      </c>
      <c r="J6991">
        <f>IF(OR(E6991="Prospecting",E6991="Engaging"),VLOOKUP(C6991,Products!$A$2:$C$8,3,FALSE),0)</f>
        <v>0</v>
      </c>
    </row>
    <row r="6992" spans="1:10" x14ac:dyDescent="0.25">
      <c r="A6992" t="s">
        <v>7159</v>
      </c>
      <c r="B6992" t="s">
        <v>146</v>
      </c>
      <c r="C6992" t="s">
        <v>123</v>
      </c>
      <c r="D6992" t="s">
        <v>53</v>
      </c>
      <c r="E6992" t="s">
        <v>138</v>
      </c>
      <c r="F6992" s="1">
        <v>43004</v>
      </c>
      <c r="G6992" s="1">
        <v>43042</v>
      </c>
      <c r="H6992">
        <v>54</v>
      </c>
      <c r="I6992" t="str">
        <f>IF(COUNTIF(Products!$A$2:$A$8,C6992)=0,C6992,"")</f>
        <v/>
      </c>
      <c r="J6992">
        <f>IF(OR(E6992="Prospecting",E6992="Engaging"),VLOOKUP(C6992,Products!$A$2:$C$8,3,FALSE),0)</f>
        <v>0</v>
      </c>
    </row>
    <row r="6993" spans="1:10" x14ac:dyDescent="0.25">
      <c r="A6993" t="s">
        <v>7160</v>
      </c>
      <c r="B6993" t="s">
        <v>222</v>
      </c>
      <c r="C6993" t="s">
        <v>127</v>
      </c>
      <c r="D6993" t="s">
        <v>69</v>
      </c>
      <c r="E6993" t="s">
        <v>159</v>
      </c>
      <c r="F6993" s="1">
        <v>43004</v>
      </c>
      <c r="G6993" s="1">
        <v>43045</v>
      </c>
      <c r="H6993">
        <v>0</v>
      </c>
      <c r="I6993" t="str">
        <f>IF(COUNTIF(Products!$A$2:$A$8,C6993)=0,C6993,"")</f>
        <v/>
      </c>
      <c r="J6993">
        <f>IF(OR(E6993="Prospecting",E6993="Engaging"),VLOOKUP(C6993,Products!$A$2:$C$8,3,FALSE),0)</f>
        <v>0</v>
      </c>
    </row>
    <row r="6994" spans="1:10" x14ac:dyDescent="0.25">
      <c r="A6994" t="s">
        <v>7161</v>
      </c>
      <c r="B6994" t="s">
        <v>207</v>
      </c>
      <c r="C6994" t="s">
        <v>120</v>
      </c>
      <c r="D6994" t="s">
        <v>68</v>
      </c>
      <c r="E6994" t="s">
        <v>159</v>
      </c>
      <c r="F6994" s="1">
        <v>43004</v>
      </c>
      <c r="G6994" s="1">
        <v>43013</v>
      </c>
      <c r="H6994">
        <v>0</v>
      </c>
      <c r="I6994" t="str">
        <f>IF(COUNTIF(Products!$A$2:$A$8,C6994)=0,C6994,"")</f>
        <v/>
      </c>
      <c r="J6994">
        <f>IF(OR(E6994="Prospecting",E6994="Engaging"),VLOOKUP(C6994,Products!$A$2:$C$8,3,FALSE),0)</f>
        <v>0</v>
      </c>
    </row>
    <row r="6995" spans="1:10" x14ac:dyDescent="0.25">
      <c r="A6995" t="s">
        <v>7162</v>
      </c>
      <c r="B6995" t="s">
        <v>207</v>
      </c>
      <c r="C6995" t="s">
        <v>125</v>
      </c>
      <c r="D6995" t="s">
        <v>65</v>
      </c>
      <c r="E6995" t="s">
        <v>159</v>
      </c>
      <c r="F6995" s="1">
        <v>43004</v>
      </c>
      <c r="G6995" s="1">
        <v>43006</v>
      </c>
      <c r="H6995">
        <v>0</v>
      </c>
      <c r="I6995" t="str">
        <f>IF(COUNTIF(Products!$A$2:$A$8,C6995)=0,C6995,"")</f>
        <v/>
      </c>
      <c r="J6995">
        <f>IF(OR(E6995="Prospecting",E6995="Engaging"),VLOOKUP(C6995,Products!$A$2:$C$8,3,FALSE),0)</f>
        <v>0</v>
      </c>
    </row>
    <row r="6996" spans="1:10" x14ac:dyDescent="0.25">
      <c r="A6996" t="s">
        <v>7163</v>
      </c>
      <c r="B6996" t="s">
        <v>264</v>
      </c>
      <c r="C6996" t="s">
        <v>126</v>
      </c>
      <c r="D6996" t="s">
        <v>103</v>
      </c>
      <c r="E6996" t="s">
        <v>159</v>
      </c>
      <c r="F6996" s="1">
        <v>43004</v>
      </c>
      <c r="G6996" s="1">
        <v>43014</v>
      </c>
      <c r="H6996">
        <v>0</v>
      </c>
      <c r="I6996" t="str">
        <f>IF(COUNTIF(Products!$A$2:$A$8,C6996)=0,C6996,"")</f>
        <v/>
      </c>
      <c r="J6996">
        <f>IF(OR(E6996="Prospecting",E6996="Engaging"),VLOOKUP(C6996,Products!$A$2:$C$8,3,FALSE),0)</f>
        <v>0</v>
      </c>
    </row>
    <row r="6997" spans="1:10" x14ac:dyDescent="0.25">
      <c r="A6997" t="s">
        <v>7164</v>
      </c>
      <c r="B6997" t="s">
        <v>264</v>
      </c>
      <c r="C6997" t="s">
        <v>123</v>
      </c>
      <c r="D6997" t="s">
        <v>64</v>
      </c>
      <c r="E6997" t="s">
        <v>159</v>
      </c>
      <c r="F6997" s="1">
        <v>43004</v>
      </c>
      <c r="G6997" s="1">
        <v>43015</v>
      </c>
      <c r="H6997">
        <v>0</v>
      </c>
      <c r="I6997" t="str">
        <f>IF(COUNTIF(Products!$A$2:$A$8,C6997)=0,C6997,"")</f>
        <v/>
      </c>
      <c r="J6997">
        <f>IF(OR(E6997="Prospecting",E6997="Engaging"),VLOOKUP(C6997,Products!$A$2:$C$8,3,FALSE),0)</f>
        <v>0</v>
      </c>
    </row>
    <row r="6998" spans="1:10" x14ac:dyDescent="0.25">
      <c r="A6998" t="s">
        <v>7165</v>
      </c>
      <c r="B6998" t="s">
        <v>264</v>
      </c>
      <c r="C6998" t="s">
        <v>123</v>
      </c>
      <c r="D6998" t="s">
        <v>95</v>
      </c>
      <c r="E6998" t="s">
        <v>138</v>
      </c>
      <c r="F6998" s="1">
        <v>43004</v>
      </c>
      <c r="G6998" s="1">
        <v>43011</v>
      </c>
      <c r="H6998">
        <v>55</v>
      </c>
      <c r="I6998" t="str">
        <f>IF(COUNTIF(Products!$A$2:$A$8,C6998)=0,C6998,"")</f>
        <v/>
      </c>
      <c r="J6998">
        <f>IF(OR(E6998="Prospecting",E6998="Engaging"),VLOOKUP(C6998,Products!$A$2:$C$8,3,FALSE),0)</f>
        <v>0</v>
      </c>
    </row>
    <row r="6999" spans="1:10" x14ac:dyDescent="0.25">
      <c r="A6999" t="s">
        <v>7166</v>
      </c>
      <c r="B6999" t="s">
        <v>239</v>
      </c>
      <c r="C6999" t="s">
        <v>122</v>
      </c>
      <c r="E6999" t="s">
        <v>155</v>
      </c>
      <c r="F6999" s="1">
        <v>43004</v>
      </c>
      <c r="I6999" t="str">
        <f>IF(COUNTIF(Products!$A$2:$A$8,C6999)=0,C6999,"")</f>
        <v/>
      </c>
      <c r="J6999">
        <f>IF(OR(E6999="Prospecting",E6999="Engaging"),VLOOKUP(C6999,Products!$A$2:$C$8,3,FALSE),0)</f>
        <v>4821</v>
      </c>
    </row>
    <row r="7000" spans="1:10" x14ac:dyDescent="0.25">
      <c r="A7000" t="s">
        <v>7167</v>
      </c>
      <c r="B7000" t="s">
        <v>239</v>
      </c>
      <c r="C7000" t="s">
        <v>127</v>
      </c>
      <c r="D7000" t="s">
        <v>108</v>
      </c>
      <c r="E7000" t="s">
        <v>159</v>
      </c>
      <c r="F7000" s="1">
        <v>43004</v>
      </c>
      <c r="G7000" s="1">
        <v>43058</v>
      </c>
      <c r="H7000">
        <v>0</v>
      </c>
      <c r="I7000" t="str">
        <f>IF(COUNTIF(Products!$A$2:$A$8,C7000)=0,C7000,"")</f>
        <v/>
      </c>
      <c r="J7000">
        <f>IF(OR(E7000="Prospecting",E7000="Engaging"),VLOOKUP(C7000,Products!$A$2:$C$8,3,FALSE),0)</f>
        <v>0</v>
      </c>
    </row>
    <row r="7001" spans="1:10" x14ac:dyDescent="0.25">
      <c r="A7001" t="s">
        <v>7168</v>
      </c>
      <c r="B7001" t="s">
        <v>171</v>
      </c>
      <c r="C7001" t="s">
        <v>127</v>
      </c>
      <c r="D7001" t="s">
        <v>69</v>
      </c>
      <c r="E7001" t="s">
        <v>159</v>
      </c>
      <c r="F7001" s="1">
        <v>43004</v>
      </c>
      <c r="G7001" s="1">
        <v>43058</v>
      </c>
      <c r="H7001">
        <v>0</v>
      </c>
      <c r="I7001" t="str">
        <f>IF(COUNTIF(Products!$A$2:$A$8,C7001)=0,C7001,"")</f>
        <v/>
      </c>
      <c r="J7001">
        <f>IF(OR(E7001="Prospecting",E7001="Engaging"),VLOOKUP(C7001,Products!$A$2:$C$8,3,FALSE),0)</f>
        <v>0</v>
      </c>
    </row>
    <row r="7002" spans="1:10" x14ac:dyDescent="0.25">
      <c r="A7002" t="s">
        <v>7169</v>
      </c>
      <c r="B7002" t="s">
        <v>140</v>
      </c>
      <c r="C7002" t="s">
        <v>122</v>
      </c>
      <c r="D7002" t="s">
        <v>61</v>
      </c>
      <c r="E7002" t="s">
        <v>159</v>
      </c>
      <c r="F7002" s="1">
        <v>43004</v>
      </c>
      <c r="G7002" s="1">
        <v>43011</v>
      </c>
      <c r="H7002">
        <v>0</v>
      </c>
      <c r="I7002" t="str">
        <f>IF(COUNTIF(Products!$A$2:$A$8,C7002)=0,C7002,"")</f>
        <v/>
      </c>
      <c r="J7002">
        <f>IF(OR(E7002="Prospecting",E7002="Engaging"),VLOOKUP(C7002,Products!$A$2:$C$8,3,FALSE),0)</f>
        <v>0</v>
      </c>
    </row>
    <row r="7003" spans="1:10" x14ac:dyDescent="0.25">
      <c r="A7003" t="s">
        <v>7170</v>
      </c>
      <c r="B7003" t="s">
        <v>140</v>
      </c>
      <c r="C7003" t="s">
        <v>123</v>
      </c>
      <c r="D7003" t="s">
        <v>96</v>
      </c>
      <c r="E7003" t="s">
        <v>159</v>
      </c>
      <c r="F7003" s="1">
        <v>43004</v>
      </c>
      <c r="G7003" s="1">
        <v>43010</v>
      </c>
      <c r="H7003">
        <v>0</v>
      </c>
      <c r="I7003" t="str">
        <f>IF(COUNTIF(Products!$A$2:$A$8,C7003)=0,C7003,"")</f>
        <v/>
      </c>
      <c r="J7003">
        <f>IF(OR(E7003="Prospecting",E7003="Engaging"),VLOOKUP(C7003,Products!$A$2:$C$8,3,FALSE),0)</f>
        <v>0</v>
      </c>
    </row>
    <row r="7004" spans="1:10" x14ac:dyDescent="0.25">
      <c r="A7004" t="s">
        <v>7171</v>
      </c>
      <c r="B7004" t="s">
        <v>224</v>
      </c>
      <c r="C7004" t="s">
        <v>122</v>
      </c>
      <c r="D7004" t="s">
        <v>48</v>
      </c>
      <c r="E7004" t="s">
        <v>159</v>
      </c>
      <c r="F7004" s="1">
        <v>43004</v>
      </c>
      <c r="G7004" s="1">
        <v>43052</v>
      </c>
      <c r="H7004">
        <v>0</v>
      </c>
      <c r="I7004" t="str">
        <f>IF(COUNTIF(Products!$A$2:$A$8,C7004)=0,C7004,"")</f>
        <v/>
      </c>
      <c r="J7004">
        <f>IF(OR(E7004="Prospecting",E7004="Engaging"),VLOOKUP(C7004,Products!$A$2:$C$8,3,FALSE),0)</f>
        <v>0</v>
      </c>
    </row>
    <row r="7005" spans="1:10" x14ac:dyDescent="0.25">
      <c r="A7005" t="s">
        <v>7172</v>
      </c>
      <c r="B7005" t="s">
        <v>173</v>
      </c>
      <c r="C7005" t="s">
        <v>122</v>
      </c>
      <c r="D7005" t="s">
        <v>41</v>
      </c>
      <c r="E7005" t="s">
        <v>159</v>
      </c>
      <c r="F7005" s="1">
        <v>43004</v>
      </c>
      <c r="G7005" s="1">
        <v>43017</v>
      </c>
      <c r="H7005">
        <v>0</v>
      </c>
      <c r="I7005" t="str">
        <f>IF(COUNTIF(Products!$A$2:$A$8,C7005)=0,C7005,"")</f>
        <v/>
      </c>
      <c r="J7005">
        <f>IF(OR(E7005="Prospecting",E7005="Engaging"),VLOOKUP(C7005,Products!$A$2:$C$8,3,FALSE),0)</f>
        <v>0</v>
      </c>
    </row>
    <row r="7006" spans="1:10" x14ac:dyDescent="0.25">
      <c r="A7006" t="s">
        <v>7173</v>
      </c>
      <c r="B7006" t="s">
        <v>173</v>
      </c>
      <c r="C7006" t="s">
        <v>123</v>
      </c>
      <c r="D7006" t="s">
        <v>41</v>
      </c>
      <c r="E7006" t="s">
        <v>138</v>
      </c>
      <c r="F7006" s="1">
        <v>43004</v>
      </c>
      <c r="G7006" s="1">
        <v>43066</v>
      </c>
      <c r="H7006">
        <v>48</v>
      </c>
      <c r="I7006" t="str">
        <f>IF(COUNTIF(Products!$A$2:$A$8,C7006)=0,C7006,"")</f>
        <v/>
      </c>
      <c r="J7006">
        <f>IF(OR(E7006="Prospecting",E7006="Engaging"),VLOOKUP(C7006,Products!$A$2:$C$8,3,FALSE),0)</f>
        <v>0</v>
      </c>
    </row>
    <row r="7007" spans="1:10" x14ac:dyDescent="0.25">
      <c r="A7007" t="s">
        <v>7174</v>
      </c>
      <c r="B7007" t="s">
        <v>164</v>
      </c>
      <c r="C7007" t="s">
        <v>127</v>
      </c>
      <c r="D7007" t="s">
        <v>61</v>
      </c>
      <c r="E7007" t="s">
        <v>159</v>
      </c>
      <c r="F7007" s="1">
        <v>43004</v>
      </c>
      <c r="G7007" s="1">
        <v>43063</v>
      </c>
      <c r="H7007">
        <v>0</v>
      </c>
      <c r="I7007" t="str">
        <f>IF(COUNTIF(Products!$A$2:$A$8,C7007)=0,C7007,"")</f>
        <v/>
      </c>
      <c r="J7007">
        <f>IF(OR(E7007="Prospecting",E7007="Engaging"),VLOOKUP(C7007,Products!$A$2:$C$8,3,FALSE),0)</f>
        <v>0</v>
      </c>
    </row>
    <row r="7008" spans="1:10" x14ac:dyDescent="0.25">
      <c r="A7008" t="s">
        <v>7175</v>
      </c>
      <c r="B7008" t="s">
        <v>164</v>
      </c>
      <c r="C7008" t="s">
        <v>125</v>
      </c>
      <c r="D7008" t="s">
        <v>44</v>
      </c>
      <c r="E7008" t="s">
        <v>138</v>
      </c>
      <c r="F7008" s="1">
        <v>43004</v>
      </c>
      <c r="G7008" s="1">
        <v>43083</v>
      </c>
      <c r="H7008">
        <v>3553</v>
      </c>
      <c r="I7008" t="str">
        <f>IF(COUNTIF(Products!$A$2:$A$8,C7008)=0,C7008,"")</f>
        <v/>
      </c>
      <c r="J7008">
        <f>IF(OR(E7008="Prospecting",E7008="Engaging"),VLOOKUP(C7008,Products!$A$2:$C$8,3,FALSE),0)</f>
        <v>0</v>
      </c>
    </row>
    <row r="7009" spans="1:10" x14ac:dyDescent="0.25">
      <c r="A7009" t="s">
        <v>7176</v>
      </c>
      <c r="B7009" t="s">
        <v>154</v>
      </c>
      <c r="C7009" t="s">
        <v>126</v>
      </c>
      <c r="D7009" t="s">
        <v>107</v>
      </c>
      <c r="E7009" t="s">
        <v>159</v>
      </c>
      <c r="F7009" s="1">
        <v>43004</v>
      </c>
      <c r="G7009" s="1">
        <v>43012</v>
      </c>
      <c r="H7009">
        <v>0</v>
      </c>
      <c r="I7009" t="str">
        <f>IF(COUNTIF(Products!$A$2:$A$8,C7009)=0,C7009,"")</f>
        <v/>
      </c>
      <c r="J7009">
        <f>IF(OR(E7009="Prospecting",E7009="Engaging"),VLOOKUP(C7009,Products!$A$2:$C$8,3,FALSE),0)</f>
        <v>0</v>
      </c>
    </row>
    <row r="7010" spans="1:10" x14ac:dyDescent="0.25">
      <c r="A7010" t="s">
        <v>7177</v>
      </c>
      <c r="B7010" t="s">
        <v>191</v>
      </c>
      <c r="C7010" t="s">
        <v>122</v>
      </c>
      <c r="D7010" t="s">
        <v>66</v>
      </c>
      <c r="E7010" t="s">
        <v>138</v>
      </c>
      <c r="F7010" s="1">
        <v>43004</v>
      </c>
      <c r="G7010" s="1">
        <v>43013</v>
      </c>
      <c r="H7010">
        <v>4727</v>
      </c>
      <c r="I7010" t="str">
        <f>IF(COUNTIF(Products!$A$2:$A$8,C7010)=0,C7010,"")</f>
        <v/>
      </c>
      <c r="J7010">
        <f>IF(OR(E7010="Prospecting",E7010="Engaging"),VLOOKUP(C7010,Products!$A$2:$C$8,3,FALSE),0)</f>
        <v>0</v>
      </c>
    </row>
    <row r="7011" spans="1:10" x14ac:dyDescent="0.25">
      <c r="A7011" t="s">
        <v>7178</v>
      </c>
      <c r="B7011" t="s">
        <v>191</v>
      </c>
      <c r="C7011" t="s">
        <v>123</v>
      </c>
      <c r="D7011" t="s">
        <v>100</v>
      </c>
      <c r="E7011" t="s">
        <v>138</v>
      </c>
      <c r="F7011" s="1">
        <v>43004</v>
      </c>
      <c r="G7011" s="1">
        <v>43010</v>
      </c>
      <c r="H7011">
        <v>65</v>
      </c>
      <c r="I7011" t="str">
        <f>IF(COUNTIF(Products!$A$2:$A$8,C7011)=0,C7011,"")</f>
        <v/>
      </c>
      <c r="J7011">
        <f>IF(OR(E7011="Prospecting",E7011="Engaging"),VLOOKUP(C7011,Products!$A$2:$C$8,3,FALSE),0)</f>
        <v>0</v>
      </c>
    </row>
    <row r="7012" spans="1:10" x14ac:dyDescent="0.25">
      <c r="A7012" t="s">
        <v>7179</v>
      </c>
      <c r="B7012" t="s">
        <v>217</v>
      </c>
      <c r="C7012" t="s">
        <v>120</v>
      </c>
      <c r="D7012" t="s">
        <v>85</v>
      </c>
      <c r="E7012" t="s">
        <v>138</v>
      </c>
      <c r="F7012" s="1">
        <v>43004</v>
      </c>
      <c r="G7012" s="1">
        <v>43094</v>
      </c>
      <c r="H7012">
        <v>585</v>
      </c>
      <c r="I7012" t="str">
        <f>IF(COUNTIF(Products!$A$2:$A$8,C7012)=0,C7012,"")</f>
        <v/>
      </c>
      <c r="J7012">
        <f>IF(OR(E7012="Prospecting",E7012="Engaging"),VLOOKUP(C7012,Products!$A$2:$C$8,3,FALSE),0)</f>
        <v>0</v>
      </c>
    </row>
    <row r="7013" spans="1:10" x14ac:dyDescent="0.25">
      <c r="A7013" t="s">
        <v>7180</v>
      </c>
      <c r="B7013" t="s">
        <v>150</v>
      </c>
      <c r="C7013" t="s">
        <v>127</v>
      </c>
      <c r="E7013" t="s">
        <v>155</v>
      </c>
      <c r="F7013" s="1">
        <v>43004</v>
      </c>
      <c r="I7013" t="str">
        <f>IF(COUNTIF(Products!$A$2:$A$8,C7013)=0,C7013,"")</f>
        <v/>
      </c>
      <c r="J7013">
        <f>IF(OR(E7013="Prospecting",E7013="Engaging"),VLOOKUP(C7013,Products!$A$2:$C$8,3,FALSE),0)</f>
        <v>1096</v>
      </c>
    </row>
    <row r="7014" spans="1:10" x14ac:dyDescent="0.25">
      <c r="A7014" t="s">
        <v>7181</v>
      </c>
      <c r="B7014" t="s">
        <v>150</v>
      </c>
      <c r="C7014" t="s">
        <v>123</v>
      </c>
      <c r="D7014" t="s">
        <v>82</v>
      </c>
      <c r="E7014" t="s">
        <v>159</v>
      </c>
      <c r="F7014" s="1">
        <v>43004</v>
      </c>
      <c r="G7014" s="1">
        <v>43011</v>
      </c>
      <c r="H7014">
        <v>0</v>
      </c>
      <c r="I7014" t="str">
        <f>IF(COUNTIF(Products!$A$2:$A$8,C7014)=0,C7014,"")</f>
        <v/>
      </c>
      <c r="J7014">
        <f>IF(OR(E7014="Prospecting",E7014="Engaging"),VLOOKUP(C7014,Products!$A$2:$C$8,3,FALSE),0)</f>
        <v>0</v>
      </c>
    </row>
    <row r="7015" spans="1:10" x14ac:dyDescent="0.25">
      <c r="A7015" t="s">
        <v>7182</v>
      </c>
      <c r="B7015" t="s">
        <v>205</v>
      </c>
      <c r="C7015" t="s">
        <v>127</v>
      </c>
      <c r="D7015" t="s">
        <v>33</v>
      </c>
      <c r="E7015" t="s">
        <v>159</v>
      </c>
      <c r="F7015" s="1">
        <v>43004</v>
      </c>
      <c r="G7015" s="1">
        <v>43011</v>
      </c>
      <c r="H7015">
        <v>0</v>
      </c>
      <c r="I7015" t="str">
        <f>IF(COUNTIF(Products!$A$2:$A$8,C7015)=0,C7015,"")</f>
        <v/>
      </c>
      <c r="J7015">
        <f>IF(OR(E7015="Prospecting",E7015="Engaging"),VLOOKUP(C7015,Products!$A$2:$C$8,3,FALSE),0)</f>
        <v>0</v>
      </c>
    </row>
    <row r="7016" spans="1:10" x14ac:dyDescent="0.25">
      <c r="A7016" t="s">
        <v>7183</v>
      </c>
      <c r="B7016" t="s">
        <v>205</v>
      </c>
      <c r="C7016" t="s">
        <v>125</v>
      </c>
      <c r="D7016" t="s">
        <v>22</v>
      </c>
      <c r="E7016" t="s">
        <v>159</v>
      </c>
      <c r="F7016" s="1">
        <v>43004</v>
      </c>
      <c r="G7016" s="1">
        <v>43015</v>
      </c>
      <c r="H7016">
        <v>0</v>
      </c>
      <c r="I7016" t="str">
        <f>IF(COUNTIF(Products!$A$2:$A$8,C7016)=0,C7016,"")</f>
        <v/>
      </c>
      <c r="J7016">
        <f>IF(OR(E7016="Prospecting",E7016="Engaging"),VLOOKUP(C7016,Products!$A$2:$C$8,3,FALSE),0)</f>
        <v>0</v>
      </c>
    </row>
    <row r="7017" spans="1:10" x14ac:dyDescent="0.25">
      <c r="A7017" t="s">
        <v>7184</v>
      </c>
      <c r="B7017" t="s">
        <v>205</v>
      </c>
      <c r="C7017" t="s">
        <v>125</v>
      </c>
      <c r="D7017" t="s">
        <v>85</v>
      </c>
      <c r="E7017" t="s">
        <v>159</v>
      </c>
      <c r="F7017" s="1">
        <v>43004</v>
      </c>
      <c r="G7017" s="1">
        <v>43012</v>
      </c>
      <c r="H7017">
        <v>0</v>
      </c>
      <c r="I7017" t="str">
        <f>IF(COUNTIF(Products!$A$2:$A$8,C7017)=0,C7017,"")</f>
        <v/>
      </c>
      <c r="J7017">
        <f>IF(OR(E7017="Prospecting",E7017="Engaging"),VLOOKUP(C7017,Products!$A$2:$C$8,3,FALSE),0)</f>
        <v>0</v>
      </c>
    </row>
    <row r="7018" spans="1:10" x14ac:dyDescent="0.25">
      <c r="A7018" t="s">
        <v>7185</v>
      </c>
      <c r="B7018" t="s">
        <v>205</v>
      </c>
      <c r="C7018" t="s">
        <v>126</v>
      </c>
      <c r="D7018" t="s">
        <v>70</v>
      </c>
      <c r="E7018" t="s">
        <v>138</v>
      </c>
      <c r="F7018" s="1">
        <v>43004</v>
      </c>
      <c r="G7018" s="1">
        <v>43015</v>
      </c>
      <c r="H7018">
        <v>5708</v>
      </c>
      <c r="I7018" t="str">
        <f>IF(COUNTIF(Products!$A$2:$A$8,C7018)=0,C7018,"")</f>
        <v/>
      </c>
      <c r="J7018">
        <f>IF(OR(E7018="Prospecting",E7018="Engaging"),VLOOKUP(C7018,Products!$A$2:$C$8,3,FALSE),0)</f>
        <v>0</v>
      </c>
    </row>
    <row r="7019" spans="1:10" x14ac:dyDescent="0.25">
      <c r="A7019" t="s">
        <v>7186</v>
      </c>
      <c r="B7019" t="s">
        <v>162</v>
      </c>
      <c r="C7019" t="s">
        <v>123</v>
      </c>
      <c r="D7019" t="s">
        <v>61</v>
      </c>
      <c r="E7019" t="s">
        <v>159</v>
      </c>
      <c r="F7019" s="1">
        <v>43004</v>
      </c>
      <c r="G7019" s="1">
        <v>43013</v>
      </c>
      <c r="H7019">
        <v>0</v>
      </c>
      <c r="I7019" t="str">
        <f>IF(COUNTIF(Products!$A$2:$A$8,C7019)=0,C7019,"")</f>
        <v/>
      </c>
      <c r="J7019">
        <f>IF(OR(E7019="Prospecting",E7019="Engaging"),VLOOKUP(C7019,Products!$A$2:$C$8,3,FALSE),0)</f>
        <v>0</v>
      </c>
    </row>
    <row r="7020" spans="1:10" x14ac:dyDescent="0.25">
      <c r="A7020" t="s">
        <v>7187</v>
      </c>
      <c r="B7020" t="s">
        <v>137</v>
      </c>
      <c r="C7020" t="s">
        <v>120</v>
      </c>
      <c r="D7020" t="s">
        <v>14</v>
      </c>
      <c r="E7020" t="s">
        <v>138</v>
      </c>
      <c r="F7020" s="1">
        <v>43004</v>
      </c>
      <c r="G7020" s="1">
        <v>43054</v>
      </c>
      <c r="H7020">
        <v>571</v>
      </c>
      <c r="I7020" t="str">
        <f>IF(COUNTIF(Products!$A$2:$A$8,C7020)=0,C7020,"")</f>
        <v/>
      </c>
      <c r="J7020">
        <f>IF(OR(E7020="Prospecting",E7020="Engaging"),VLOOKUP(C7020,Products!$A$2:$C$8,3,FALSE),0)</f>
        <v>0</v>
      </c>
    </row>
    <row r="7021" spans="1:10" x14ac:dyDescent="0.25">
      <c r="A7021" t="s">
        <v>7188</v>
      </c>
      <c r="B7021" t="s">
        <v>137</v>
      </c>
      <c r="C7021" t="s">
        <v>120</v>
      </c>
      <c r="D7021" t="s">
        <v>91</v>
      </c>
      <c r="E7021" t="s">
        <v>138</v>
      </c>
      <c r="F7021" s="1">
        <v>43004</v>
      </c>
      <c r="G7021" s="1">
        <v>43093</v>
      </c>
      <c r="H7021">
        <v>619</v>
      </c>
      <c r="I7021" t="str">
        <f>IF(COUNTIF(Products!$A$2:$A$8,C7021)=0,C7021,"")</f>
        <v/>
      </c>
      <c r="J7021">
        <f>IF(OR(E7021="Prospecting",E7021="Engaging"),VLOOKUP(C7021,Products!$A$2:$C$8,3,FALSE),0)</f>
        <v>0</v>
      </c>
    </row>
    <row r="7022" spans="1:10" x14ac:dyDescent="0.25">
      <c r="A7022" t="s">
        <v>7189</v>
      </c>
      <c r="B7022" t="s">
        <v>193</v>
      </c>
      <c r="C7022" t="s">
        <v>125</v>
      </c>
      <c r="D7022" t="s">
        <v>37</v>
      </c>
      <c r="E7022" t="s">
        <v>138</v>
      </c>
      <c r="F7022" s="1">
        <v>43004</v>
      </c>
      <c r="G7022" s="1">
        <v>43011</v>
      </c>
      <c r="H7022">
        <v>2984</v>
      </c>
      <c r="I7022" t="str">
        <f>IF(COUNTIF(Products!$A$2:$A$8,C7022)=0,C7022,"")</f>
        <v/>
      </c>
      <c r="J7022">
        <f>IF(OR(E7022="Prospecting",E7022="Engaging"),VLOOKUP(C7022,Products!$A$2:$C$8,3,FALSE),0)</f>
        <v>0</v>
      </c>
    </row>
    <row r="7023" spans="1:10" x14ac:dyDescent="0.25">
      <c r="A7023" t="s">
        <v>7190</v>
      </c>
      <c r="B7023" t="s">
        <v>187</v>
      </c>
      <c r="C7023" t="s">
        <v>120</v>
      </c>
      <c r="D7023" t="s">
        <v>16</v>
      </c>
      <c r="E7023" t="s">
        <v>138</v>
      </c>
      <c r="F7023" s="1">
        <v>43004</v>
      </c>
      <c r="G7023" s="1">
        <v>43009</v>
      </c>
      <c r="H7023">
        <v>558</v>
      </c>
      <c r="I7023" t="str">
        <f>IF(COUNTIF(Products!$A$2:$A$8,C7023)=0,C7023,"")</f>
        <v/>
      </c>
      <c r="J7023">
        <f>IF(OR(E7023="Prospecting",E7023="Engaging"),VLOOKUP(C7023,Products!$A$2:$C$8,3,FALSE),0)</f>
        <v>0</v>
      </c>
    </row>
    <row r="7024" spans="1:10" x14ac:dyDescent="0.25">
      <c r="A7024" t="s">
        <v>7191</v>
      </c>
      <c r="B7024" t="s">
        <v>187</v>
      </c>
      <c r="C7024" t="s">
        <v>123</v>
      </c>
      <c r="D7024" t="s">
        <v>27</v>
      </c>
      <c r="E7024" t="s">
        <v>138</v>
      </c>
      <c r="F7024" s="1">
        <v>43004</v>
      </c>
      <c r="G7024" s="1">
        <v>43071</v>
      </c>
      <c r="H7024">
        <v>57</v>
      </c>
      <c r="I7024" t="str">
        <f>IF(COUNTIF(Products!$A$2:$A$8,C7024)=0,C7024,"")</f>
        <v/>
      </c>
      <c r="J7024">
        <f>IF(OR(E7024="Prospecting",E7024="Engaging"),VLOOKUP(C7024,Products!$A$2:$C$8,3,FALSE),0)</f>
        <v>0</v>
      </c>
    </row>
    <row r="7025" spans="1:10" x14ac:dyDescent="0.25">
      <c r="A7025" t="s">
        <v>7192</v>
      </c>
      <c r="B7025" t="s">
        <v>177</v>
      </c>
      <c r="C7025" t="s">
        <v>123</v>
      </c>
      <c r="D7025" t="s">
        <v>63</v>
      </c>
      <c r="E7025" t="s">
        <v>138</v>
      </c>
      <c r="F7025" s="1">
        <v>43004</v>
      </c>
      <c r="G7025" s="1">
        <v>43069</v>
      </c>
      <c r="H7025">
        <v>61</v>
      </c>
      <c r="I7025" t="str">
        <f>IF(COUNTIF(Products!$A$2:$A$8,C7025)=0,C7025,"")</f>
        <v/>
      </c>
      <c r="J7025">
        <f>IF(OR(E7025="Prospecting",E7025="Engaging"),VLOOKUP(C7025,Products!$A$2:$C$8,3,FALSE),0)</f>
        <v>0</v>
      </c>
    </row>
    <row r="7026" spans="1:10" x14ac:dyDescent="0.25">
      <c r="A7026" t="s">
        <v>7193</v>
      </c>
      <c r="B7026" t="s">
        <v>146</v>
      </c>
      <c r="C7026" t="s">
        <v>120</v>
      </c>
      <c r="D7026" t="s">
        <v>61</v>
      </c>
      <c r="E7026" t="s">
        <v>138</v>
      </c>
      <c r="F7026" s="1">
        <v>43005</v>
      </c>
      <c r="G7026" s="1">
        <v>43095</v>
      </c>
      <c r="H7026">
        <v>543</v>
      </c>
      <c r="I7026" t="str">
        <f>IF(COUNTIF(Products!$A$2:$A$8,C7026)=0,C7026,"")</f>
        <v/>
      </c>
      <c r="J7026">
        <f>IF(OR(E7026="Prospecting",E7026="Engaging"),VLOOKUP(C7026,Products!$A$2:$C$8,3,FALSE),0)</f>
        <v>0</v>
      </c>
    </row>
    <row r="7027" spans="1:10" x14ac:dyDescent="0.25">
      <c r="A7027" t="s">
        <v>7194</v>
      </c>
      <c r="B7027" t="s">
        <v>222</v>
      </c>
      <c r="C7027" t="s">
        <v>122</v>
      </c>
      <c r="D7027" t="s">
        <v>115</v>
      </c>
      <c r="E7027" t="s">
        <v>138</v>
      </c>
      <c r="F7027" s="1">
        <v>43005</v>
      </c>
      <c r="G7027" s="1">
        <v>43081</v>
      </c>
      <c r="H7027">
        <v>4125</v>
      </c>
      <c r="I7027" t="str">
        <f>IF(COUNTIF(Products!$A$2:$A$8,C7027)=0,C7027,"")</f>
        <v/>
      </c>
      <c r="J7027">
        <f>IF(OR(E7027="Prospecting",E7027="Engaging"),VLOOKUP(C7027,Products!$A$2:$C$8,3,FALSE),0)</f>
        <v>0</v>
      </c>
    </row>
    <row r="7028" spans="1:10" x14ac:dyDescent="0.25">
      <c r="A7028" t="s">
        <v>7195</v>
      </c>
      <c r="B7028" t="s">
        <v>207</v>
      </c>
      <c r="C7028" t="s">
        <v>126</v>
      </c>
      <c r="D7028" t="s">
        <v>48</v>
      </c>
      <c r="E7028" t="s">
        <v>138</v>
      </c>
      <c r="F7028" s="1">
        <v>43005</v>
      </c>
      <c r="G7028" s="1">
        <v>43098</v>
      </c>
      <c r="H7028">
        <v>5301</v>
      </c>
      <c r="I7028" t="str">
        <f>IF(COUNTIF(Products!$A$2:$A$8,C7028)=0,C7028,"")</f>
        <v/>
      </c>
      <c r="J7028">
        <f>IF(OR(E7028="Prospecting",E7028="Engaging"),VLOOKUP(C7028,Products!$A$2:$C$8,3,FALSE),0)</f>
        <v>0</v>
      </c>
    </row>
    <row r="7029" spans="1:10" x14ac:dyDescent="0.25">
      <c r="A7029" t="s">
        <v>7196</v>
      </c>
      <c r="B7029" t="s">
        <v>239</v>
      </c>
      <c r="C7029" t="s">
        <v>120</v>
      </c>
      <c r="D7029" t="s">
        <v>68</v>
      </c>
      <c r="E7029" t="s">
        <v>138</v>
      </c>
      <c r="F7029" s="1">
        <v>43005</v>
      </c>
      <c r="G7029" s="1">
        <v>43013</v>
      </c>
      <c r="H7029">
        <v>495</v>
      </c>
      <c r="I7029" t="str">
        <f>IF(COUNTIF(Products!$A$2:$A$8,C7029)=0,C7029,"")</f>
        <v/>
      </c>
      <c r="J7029">
        <f>IF(OR(E7029="Prospecting",E7029="Engaging"),VLOOKUP(C7029,Products!$A$2:$C$8,3,FALSE),0)</f>
        <v>0</v>
      </c>
    </row>
    <row r="7030" spans="1:10" x14ac:dyDescent="0.25">
      <c r="A7030" t="s">
        <v>7197</v>
      </c>
      <c r="B7030" t="s">
        <v>239</v>
      </c>
      <c r="C7030" t="s">
        <v>127</v>
      </c>
      <c r="D7030" t="s">
        <v>16</v>
      </c>
      <c r="E7030" t="s">
        <v>138</v>
      </c>
      <c r="F7030" s="1">
        <v>43005</v>
      </c>
      <c r="G7030" s="1">
        <v>43013</v>
      </c>
      <c r="H7030">
        <v>955</v>
      </c>
      <c r="I7030" t="str">
        <f>IF(COUNTIF(Products!$A$2:$A$8,C7030)=0,C7030,"")</f>
        <v/>
      </c>
      <c r="J7030">
        <f>IF(OR(E7030="Prospecting",E7030="Engaging"),VLOOKUP(C7030,Products!$A$2:$C$8,3,FALSE),0)</f>
        <v>0</v>
      </c>
    </row>
    <row r="7031" spans="1:10" x14ac:dyDescent="0.25">
      <c r="A7031" t="s">
        <v>7198</v>
      </c>
      <c r="B7031" t="s">
        <v>171</v>
      </c>
      <c r="C7031" t="s">
        <v>127</v>
      </c>
      <c r="D7031" t="s">
        <v>65</v>
      </c>
      <c r="E7031" t="s">
        <v>138</v>
      </c>
      <c r="F7031" s="1">
        <v>43005</v>
      </c>
      <c r="G7031" s="1">
        <v>43012</v>
      </c>
      <c r="H7031">
        <v>1225</v>
      </c>
      <c r="I7031" t="str">
        <f>IF(COUNTIF(Products!$A$2:$A$8,C7031)=0,C7031,"")</f>
        <v/>
      </c>
      <c r="J7031">
        <f>IF(OR(E7031="Prospecting",E7031="Engaging"),VLOOKUP(C7031,Products!$A$2:$C$8,3,FALSE),0)</f>
        <v>0</v>
      </c>
    </row>
    <row r="7032" spans="1:10" x14ac:dyDescent="0.25">
      <c r="A7032" t="s">
        <v>7199</v>
      </c>
      <c r="B7032" t="s">
        <v>140</v>
      </c>
      <c r="C7032" t="s">
        <v>122</v>
      </c>
      <c r="D7032" t="s">
        <v>88</v>
      </c>
      <c r="E7032" t="s">
        <v>159</v>
      </c>
      <c r="F7032" s="1">
        <v>43005</v>
      </c>
      <c r="G7032" s="1">
        <v>43010</v>
      </c>
      <c r="H7032">
        <v>0</v>
      </c>
      <c r="I7032" t="str">
        <f>IF(COUNTIF(Products!$A$2:$A$8,C7032)=0,C7032,"")</f>
        <v/>
      </c>
      <c r="J7032">
        <f>IF(OR(E7032="Prospecting",E7032="Engaging"),VLOOKUP(C7032,Products!$A$2:$C$8,3,FALSE),0)</f>
        <v>0</v>
      </c>
    </row>
    <row r="7033" spans="1:10" x14ac:dyDescent="0.25">
      <c r="A7033" t="s">
        <v>7200</v>
      </c>
      <c r="B7033" t="s">
        <v>140</v>
      </c>
      <c r="C7033" t="s">
        <v>120</v>
      </c>
      <c r="D7033" t="s">
        <v>28</v>
      </c>
      <c r="E7033" t="s">
        <v>138</v>
      </c>
      <c r="F7033" s="1">
        <v>43005</v>
      </c>
      <c r="G7033" s="1">
        <v>43094</v>
      </c>
      <c r="H7033">
        <v>608</v>
      </c>
      <c r="I7033" t="str">
        <f>IF(COUNTIF(Products!$A$2:$A$8,C7033)=0,C7033,"")</f>
        <v/>
      </c>
      <c r="J7033">
        <f>IF(OR(E7033="Prospecting",E7033="Engaging"),VLOOKUP(C7033,Products!$A$2:$C$8,3,FALSE),0)</f>
        <v>0</v>
      </c>
    </row>
    <row r="7034" spans="1:10" x14ac:dyDescent="0.25">
      <c r="A7034" t="s">
        <v>7201</v>
      </c>
      <c r="B7034" t="s">
        <v>140</v>
      </c>
      <c r="C7034" t="s">
        <v>122</v>
      </c>
      <c r="D7034" t="s">
        <v>77</v>
      </c>
      <c r="E7034" t="s">
        <v>138</v>
      </c>
      <c r="F7034" s="1">
        <v>43005</v>
      </c>
      <c r="G7034" s="1">
        <v>43052</v>
      </c>
      <c r="H7034">
        <v>4515</v>
      </c>
      <c r="I7034" t="str">
        <f>IF(COUNTIF(Products!$A$2:$A$8,C7034)=0,C7034,"")</f>
        <v/>
      </c>
      <c r="J7034">
        <f>IF(OR(E7034="Prospecting",E7034="Engaging"),VLOOKUP(C7034,Products!$A$2:$C$8,3,FALSE),0)</f>
        <v>0</v>
      </c>
    </row>
    <row r="7035" spans="1:10" x14ac:dyDescent="0.25">
      <c r="A7035" t="s">
        <v>7202</v>
      </c>
      <c r="B7035" t="s">
        <v>224</v>
      </c>
      <c r="C7035" t="s">
        <v>122</v>
      </c>
      <c r="D7035" t="s">
        <v>92</v>
      </c>
      <c r="E7035" t="s">
        <v>159</v>
      </c>
      <c r="F7035" s="1">
        <v>43005</v>
      </c>
      <c r="G7035" s="1">
        <v>43014</v>
      </c>
      <c r="H7035">
        <v>0</v>
      </c>
      <c r="I7035" t="str">
        <f>IF(COUNTIF(Products!$A$2:$A$8,C7035)=0,C7035,"")</f>
        <v/>
      </c>
      <c r="J7035">
        <f>IF(OR(E7035="Prospecting",E7035="Engaging"),VLOOKUP(C7035,Products!$A$2:$C$8,3,FALSE),0)</f>
        <v>0</v>
      </c>
    </row>
    <row r="7036" spans="1:10" x14ac:dyDescent="0.25">
      <c r="A7036" t="s">
        <v>7203</v>
      </c>
      <c r="B7036" t="s">
        <v>173</v>
      </c>
      <c r="C7036" t="s">
        <v>125</v>
      </c>
      <c r="D7036" t="s">
        <v>57</v>
      </c>
      <c r="E7036" t="s">
        <v>138</v>
      </c>
      <c r="F7036" s="1">
        <v>43005</v>
      </c>
      <c r="G7036" s="1">
        <v>43087</v>
      </c>
      <c r="H7036">
        <v>3772</v>
      </c>
      <c r="I7036" t="str">
        <f>IF(COUNTIF(Products!$A$2:$A$8,C7036)=0,C7036,"")</f>
        <v/>
      </c>
      <c r="J7036">
        <f>IF(OR(E7036="Prospecting",E7036="Engaging"),VLOOKUP(C7036,Products!$A$2:$C$8,3,FALSE),0)</f>
        <v>0</v>
      </c>
    </row>
    <row r="7037" spans="1:10" x14ac:dyDescent="0.25">
      <c r="A7037" t="s">
        <v>7204</v>
      </c>
      <c r="B7037" t="s">
        <v>198</v>
      </c>
      <c r="C7037" t="s">
        <v>125</v>
      </c>
      <c r="D7037" t="s">
        <v>67</v>
      </c>
      <c r="E7037" t="s">
        <v>159</v>
      </c>
      <c r="F7037" s="1">
        <v>43005</v>
      </c>
      <c r="G7037" s="1">
        <v>43013</v>
      </c>
      <c r="H7037">
        <v>0</v>
      </c>
      <c r="I7037" t="str">
        <f>IF(COUNTIF(Products!$A$2:$A$8,C7037)=0,C7037,"")</f>
        <v/>
      </c>
      <c r="J7037">
        <f>IF(OR(E7037="Prospecting",E7037="Engaging"),VLOOKUP(C7037,Products!$A$2:$C$8,3,FALSE),0)</f>
        <v>0</v>
      </c>
    </row>
    <row r="7038" spans="1:10" x14ac:dyDescent="0.25">
      <c r="A7038" t="s">
        <v>7205</v>
      </c>
      <c r="B7038" t="s">
        <v>158</v>
      </c>
      <c r="C7038" t="s">
        <v>120</v>
      </c>
      <c r="D7038" t="s">
        <v>14</v>
      </c>
      <c r="E7038" t="s">
        <v>138</v>
      </c>
      <c r="F7038" s="1">
        <v>43005</v>
      </c>
      <c r="G7038" s="1">
        <v>43077</v>
      </c>
      <c r="H7038">
        <v>540</v>
      </c>
      <c r="I7038" t="str">
        <f>IF(COUNTIF(Products!$A$2:$A$8,C7038)=0,C7038,"")</f>
        <v/>
      </c>
      <c r="J7038">
        <f>IF(OR(E7038="Prospecting",E7038="Engaging"),VLOOKUP(C7038,Products!$A$2:$C$8,3,FALSE),0)</f>
        <v>0</v>
      </c>
    </row>
    <row r="7039" spans="1:10" x14ac:dyDescent="0.25">
      <c r="A7039" t="s">
        <v>7206</v>
      </c>
      <c r="B7039" t="s">
        <v>158</v>
      </c>
      <c r="C7039" t="s">
        <v>125</v>
      </c>
      <c r="D7039" t="s">
        <v>22</v>
      </c>
      <c r="E7039" t="s">
        <v>138</v>
      </c>
      <c r="F7039" s="1">
        <v>43005</v>
      </c>
      <c r="G7039" s="1">
        <v>43008</v>
      </c>
      <c r="H7039">
        <v>2800</v>
      </c>
      <c r="I7039" t="str">
        <f>IF(COUNTIF(Products!$A$2:$A$8,C7039)=0,C7039,"")</f>
        <v/>
      </c>
      <c r="J7039">
        <f>IF(OR(E7039="Prospecting",E7039="Engaging"),VLOOKUP(C7039,Products!$A$2:$C$8,3,FALSE),0)</f>
        <v>0</v>
      </c>
    </row>
    <row r="7040" spans="1:10" x14ac:dyDescent="0.25">
      <c r="A7040" t="s">
        <v>7207</v>
      </c>
      <c r="B7040" t="s">
        <v>158</v>
      </c>
      <c r="C7040" t="s">
        <v>125</v>
      </c>
      <c r="D7040" t="s">
        <v>94</v>
      </c>
      <c r="E7040" t="s">
        <v>138</v>
      </c>
      <c r="F7040" s="1">
        <v>43005</v>
      </c>
      <c r="G7040" s="1">
        <v>43013</v>
      </c>
      <c r="H7040">
        <v>3250</v>
      </c>
      <c r="I7040" t="str">
        <f>IF(COUNTIF(Products!$A$2:$A$8,C7040)=0,C7040,"")</f>
        <v/>
      </c>
      <c r="J7040">
        <f>IF(OR(E7040="Prospecting",E7040="Engaging"),VLOOKUP(C7040,Products!$A$2:$C$8,3,FALSE),0)</f>
        <v>0</v>
      </c>
    </row>
    <row r="7041" spans="1:10" x14ac:dyDescent="0.25">
      <c r="A7041" t="s">
        <v>7208</v>
      </c>
      <c r="B7041" t="s">
        <v>164</v>
      </c>
      <c r="C7041" t="s">
        <v>127</v>
      </c>
      <c r="D7041" t="s">
        <v>82</v>
      </c>
      <c r="E7041" t="s">
        <v>138</v>
      </c>
      <c r="F7041" s="1">
        <v>43005</v>
      </c>
      <c r="G7041" s="1">
        <v>43015</v>
      </c>
      <c r="H7041">
        <v>1232</v>
      </c>
      <c r="I7041" t="str">
        <f>IF(COUNTIF(Products!$A$2:$A$8,C7041)=0,C7041,"")</f>
        <v/>
      </c>
      <c r="J7041">
        <f>IF(OR(E7041="Prospecting",E7041="Engaging"),VLOOKUP(C7041,Products!$A$2:$C$8,3,FALSE),0)</f>
        <v>0</v>
      </c>
    </row>
    <row r="7042" spans="1:10" x14ac:dyDescent="0.25">
      <c r="A7042" t="s">
        <v>7209</v>
      </c>
      <c r="B7042" t="s">
        <v>164</v>
      </c>
      <c r="C7042" t="s">
        <v>125</v>
      </c>
      <c r="D7042" t="s">
        <v>60</v>
      </c>
      <c r="E7042" t="s">
        <v>138</v>
      </c>
      <c r="F7042" s="1">
        <v>43005</v>
      </c>
      <c r="G7042" s="1">
        <v>43012</v>
      </c>
      <c r="H7042">
        <v>2811</v>
      </c>
      <c r="I7042" t="str">
        <f>IF(COUNTIF(Products!$A$2:$A$8,C7042)=0,C7042,"")</f>
        <v/>
      </c>
      <c r="J7042">
        <f>IF(OR(E7042="Prospecting",E7042="Engaging"),VLOOKUP(C7042,Products!$A$2:$C$8,3,FALSE),0)</f>
        <v>0</v>
      </c>
    </row>
    <row r="7043" spans="1:10" x14ac:dyDescent="0.25">
      <c r="A7043" t="s">
        <v>7210</v>
      </c>
      <c r="B7043" t="s">
        <v>154</v>
      </c>
      <c r="C7043" t="s">
        <v>122</v>
      </c>
      <c r="E7043" t="s">
        <v>155</v>
      </c>
      <c r="F7043" s="1">
        <v>43005</v>
      </c>
      <c r="I7043" t="str">
        <f>IF(COUNTIF(Products!$A$2:$A$8,C7043)=0,C7043,"")</f>
        <v/>
      </c>
      <c r="J7043">
        <f>IF(OR(E7043="Prospecting",E7043="Engaging"),VLOOKUP(C7043,Products!$A$2:$C$8,3,FALSE),0)</f>
        <v>4821</v>
      </c>
    </row>
    <row r="7044" spans="1:10" x14ac:dyDescent="0.25">
      <c r="A7044" t="s">
        <v>7211</v>
      </c>
      <c r="B7044" t="s">
        <v>154</v>
      </c>
      <c r="C7044" t="s">
        <v>127</v>
      </c>
      <c r="D7044" t="s">
        <v>72</v>
      </c>
      <c r="E7044" t="s">
        <v>138</v>
      </c>
      <c r="F7044" s="1">
        <v>43005</v>
      </c>
      <c r="G7044" s="1">
        <v>43076</v>
      </c>
      <c r="H7044">
        <v>1178</v>
      </c>
      <c r="I7044" t="str">
        <f>IF(COUNTIF(Products!$A$2:$A$8,C7044)=0,C7044,"")</f>
        <v/>
      </c>
      <c r="J7044">
        <f>IF(OR(E7044="Prospecting",E7044="Engaging"),VLOOKUP(C7044,Products!$A$2:$C$8,3,FALSE),0)</f>
        <v>0</v>
      </c>
    </row>
    <row r="7045" spans="1:10" x14ac:dyDescent="0.25">
      <c r="A7045" t="s">
        <v>7212</v>
      </c>
      <c r="B7045" t="s">
        <v>303</v>
      </c>
      <c r="C7045" t="s">
        <v>122</v>
      </c>
      <c r="D7045" t="s">
        <v>104</v>
      </c>
      <c r="E7045" t="s">
        <v>138</v>
      </c>
      <c r="F7045" s="1">
        <v>43005</v>
      </c>
      <c r="G7045" s="1">
        <v>43091</v>
      </c>
      <c r="H7045">
        <v>4869</v>
      </c>
      <c r="I7045" t="str">
        <f>IF(COUNTIF(Products!$A$2:$A$8,C7045)=0,C7045,"")</f>
        <v/>
      </c>
      <c r="J7045">
        <f>IF(OR(E7045="Prospecting",E7045="Engaging"),VLOOKUP(C7045,Products!$A$2:$C$8,3,FALSE),0)</f>
        <v>0</v>
      </c>
    </row>
    <row r="7046" spans="1:10" x14ac:dyDescent="0.25">
      <c r="A7046" t="s">
        <v>7213</v>
      </c>
      <c r="B7046" t="s">
        <v>180</v>
      </c>
      <c r="C7046" t="s">
        <v>125</v>
      </c>
      <c r="D7046" t="s">
        <v>23</v>
      </c>
      <c r="E7046" t="s">
        <v>159</v>
      </c>
      <c r="F7046" s="1">
        <v>43005</v>
      </c>
      <c r="G7046" s="1">
        <v>43072</v>
      </c>
      <c r="H7046">
        <v>0</v>
      </c>
      <c r="I7046" t="str">
        <f>IF(COUNTIF(Products!$A$2:$A$8,C7046)=0,C7046,"")</f>
        <v/>
      </c>
      <c r="J7046">
        <f>IF(OR(E7046="Prospecting",E7046="Engaging"),VLOOKUP(C7046,Products!$A$2:$C$8,3,FALSE),0)</f>
        <v>0</v>
      </c>
    </row>
    <row r="7047" spans="1:10" x14ac:dyDescent="0.25">
      <c r="A7047" t="s">
        <v>7214</v>
      </c>
      <c r="B7047" t="s">
        <v>217</v>
      </c>
      <c r="C7047" t="s">
        <v>126</v>
      </c>
      <c r="D7047" t="s">
        <v>32</v>
      </c>
      <c r="E7047" t="s">
        <v>159</v>
      </c>
      <c r="F7047" s="1">
        <v>43005</v>
      </c>
      <c r="G7047" s="1">
        <v>43010</v>
      </c>
      <c r="H7047">
        <v>0</v>
      </c>
      <c r="I7047" t="str">
        <f>IF(COUNTIF(Products!$A$2:$A$8,C7047)=0,C7047,"")</f>
        <v/>
      </c>
      <c r="J7047">
        <f>IF(OR(E7047="Prospecting",E7047="Engaging"),VLOOKUP(C7047,Products!$A$2:$C$8,3,FALSE),0)</f>
        <v>0</v>
      </c>
    </row>
    <row r="7048" spans="1:10" x14ac:dyDescent="0.25">
      <c r="A7048" t="s">
        <v>7215</v>
      </c>
      <c r="B7048" t="s">
        <v>217</v>
      </c>
      <c r="C7048" t="s">
        <v>120</v>
      </c>
      <c r="D7048" t="s">
        <v>27</v>
      </c>
      <c r="E7048" t="s">
        <v>138</v>
      </c>
      <c r="F7048" s="1">
        <v>43005</v>
      </c>
      <c r="G7048" s="1">
        <v>43087</v>
      </c>
      <c r="H7048">
        <v>507</v>
      </c>
      <c r="I7048" t="str">
        <f>IF(COUNTIF(Products!$A$2:$A$8,C7048)=0,C7048,"")</f>
        <v/>
      </c>
      <c r="J7048">
        <f>IF(OR(E7048="Prospecting",E7048="Engaging"),VLOOKUP(C7048,Products!$A$2:$C$8,3,FALSE),0)</f>
        <v>0</v>
      </c>
    </row>
    <row r="7049" spans="1:10" x14ac:dyDescent="0.25">
      <c r="A7049" t="s">
        <v>7216</v>
      </c>
      <c r="B7049" t="s">
        <v>217</v>
      </c>
      <c r="C7049" t="s">
        <v>125</v>
      </c>
      <c r="D7049" t="s">
        <v>14</v>
      </c>
      <c r="E7049" t="s">
        <v>138</v>
      </c>
      <c r="F7049" s="1">
        <v>43005</v>
      </c>
      <c r="G7049" s="1">
        <v>43014</v>
      </c>
      <c r="H7049">
        <v>3681</v>
      </c>
      <c r="I7049" t="str">
        <f>IF(COUNTIF(Products!$A$2:$A$8,C7049)=0,C7049,"")</f>
        <v/>
      </c>
      <c r="J7049">
        <f>IF(OR(E7049="Prospecting",E7049="Engaging"),VLOOKUP(C7049,Products!$A$2:$C$8,3,FALSE),0)</f>
        <v>0</v>
      </c>
    </row>
    <row r="7050" spans="1:10" x14ac:dyDescent="0.25">
      <c r="A7050" t="s">
        <v>7217</v>
      </c>
      <c r="B7050" t="s">
        <v>150</v>
      </c>
      <c r="C7050" t="s">
        <v>127</v>
      </c>
      <c r="D7050" t="s">
        <v>34</v>
      </c>
      <c r="E7050" t="s">
        <v>159</v>
      </c>
      <c r="F7050" s="1">
        <v>43005</v>
      </c>
      <c r="G7050" s="1">
        <v>43009</v>
      </c>
      <c r="H7050">
        <v>0</v>
      </c>
      <c r="I7050" t="str">
        <f>IF(COUNTIF(Products!$A$2:$A$8,C7050)=0,C7050,"")</f>
        <v/>
      </c>
      <c r="J7050">
        <f>IF(OR(E7050="Prospecting",E7050="Engaging"),VLOOKUP(C7050,Products!$A$2:$C$8,3,FALSE),0)</f>
        <v>0</v>
      </c>
    </row>
    <row r="7051" spans="1:10" x14ac:dyDescent="0.25">
      <c r="A7051" t="s">
        <v>7218</v>
      </c>
      <c r="B7051" t="s">
        <v>205</v>
      </c>
      <c r="C7051" t="s">
        <v>127</v>
      </c>
      <c r="D7051" t="s">
        <v>36</v>
      </c>
      <c r="E7051" t="s">
        <v>159</v>
      </c>
      <c r="F7051" s="1">
        <v>43005</v>
      </c>
      <c r="G7051" s="1">
        <v>43010</v>
      </c>
      <c r="H7051">
        <v>0</v>
      </c>
      <c r="I7051" t="str">
        <f>IF(COUNTIF(Products!$A$2:$A$8,C7051)=0,C7051,"")</f>
        <v/>
      </c>
      <c r="J7051">
        <f>IF(OR(E7051="Prospecting",E7051="Engaging"),VLOOKUP(C7051,Products!$A$2:$C$8,3,FALSE),0)</f>
        <v>0</v>
      </c>
    </row>
    <row r="7052" spans="1:10" x14ac:dyDescent="0.25">
      <c r="A7052" t="s">
        <v>7219</v>
      </c>
      <c r="B7052" t="s">
        <v>205</v>
      </c>
      <c r="C7052" t="s">
        <v>126</v>
      </c>
      <c r="D7052" t="s">
        <v>104</v>
      </c>
      <c r="E7052" t="s">
        <v>138</v>
      </c>
      <c r="F7052" s="1">
        <v>43005</v>
      </c>
      <c r="G7052" s="1">
        <v>43013</v>
      </c>
      <c r="H7052">
        <v>5280</v>
      </c>
      <c r="I7052" t="str">
        <f>IF(COUNTIF(Products!$A$2:$A$8,C7052)=0,C7052,"")</f>
        <v/>
      </c>
      <c r="J7052">
        <f>IF(OR(E7052="Prospecting",E7052="Engaging"),VLOOKUP(C7052,Products!$A$2:$C$8,3,FALSE),0)</f>
        <v>0</v>
      </c>
    </row>
    <row r="7053" spans="1:10" x14ac:dyDescent="0.25">
      <c r="A7053" t="s">
        <v>7220</v>
      </c>
      <c r="B7053" t="s">
        <v>166</v>
      </c>
      <c r="C7053" t="s">
        <v>128</v>
      </c>
      <c r="D7053" t="s">
        <v>10</v>
      </c>
      <c r="E7053" t="s">
        <v>155</v>
      </c>
      <c r="F7053" s="1">
        <v>43005</v>
      </c>
      <c r="I7053" t="str">
        <f>IF(COUNTIF(Products!$A$2:$A$8,C7053)=0,C7053,"")</f>
        <v/>
      </c>
      <c r="J7053">
        <f>IF(OR(E7053="Prospecting",E7053="Engaging"),VLOOKUP(C7053,Products!$A$2:$C$8,3,FALSE),0)</f>
        <v>26768</v>
      </c>
    </row>
    <row r="7054" spans="1:10" x14ac:dyDescent="0.25">
      <c r="A7054" t="s">
        <v>7221</v>
      </c>
      <c r="B7054" t="s">
        <v>166</v>
      </c>
      <c r="C7054" t="s">
        <v>123</v>
      </c>
      <c r="D7054" t="s">
        <v>44</v>
      </c>
      <c r="E7054" t="s">
        <v>138</v>
      </c>
      <c r="F7054" s="1">
        <v>43005</v>
      </c>
      <c r="G7054" s="1">
        <v>43066</v>
      </c>
      <c r="H7054">
        <v>50</v>
      </c>
      <c r="I7054" t="str">
        <f>IF(COUNTIF(Products!$A$2:$A$8,C7054)=0,C7054,"")</f>
        <v/>
      </c>
      <c r="J7054">
        <f>IF(OR(E7054="Prospecting",E7054="Engaging"),VLOOKUP(C7054,Products!$A$2:$C$8,3,FALSE),0)</f>
        <v>0</v>
      </c>
    </row>
    <row r="7055" spans="1:10" x14ac:dyDescent="0.25">
      <c r="A7055" t="s">
        <v>7222</v>
      </c>
      <c r="B7055" t="s">
        <v>169</v>
      </c>
      <c r="C7055" t="s">
        <v>123</v>
      </c>
      <c r="D7055" t="s">
        <v>51</v>
      </c>
      <c r="E7055" t="s">
        <v>138</v>
      </c>
      <c r="F7055" s="1">
        <v>43005</v>
      </c>
      <c r="G7055" s="1">
        <v>43007</v>
      </c>
      <c r="H7055">
        <v>59</v>
      </c>
      <c r="I7055" t="str">
        <f>IF(COUNTIF(Products!$A$2:$A$8,C7055)=0,C7055,"")</f>
        <v/>
      </c>
      <c r="J7055">
        <f>IF(OR(E7055="Prospecting",E7055="Engaging"),VLOOKUP(C7055,Products!$A$2:$C$8,3,FALSE),0)</f>
        <v>0</v>
      </c>
    </row>
    <row r="7056" spans="1:10" x14ac:dyDescent="0.25">
      <c r="A7056" t="s">
        <v>7223</v>
      </c>
      <c r="B7056" t="s">
        <v>148</v>
      </c>
      <c r="C7056" t="s">
        <v>125</v>
      </c>
      <c r="D7056" t="s">
        <v>67</v>
      </c>
      <c r="E7056" t="s">
        <v>138</v>
      </c>
      <c r="F7056" s="1">
        <v>43005</v>
      </c>
      <c r="G7056" s="1">
        <v>43011</v>
      </c>
      <c r="H7056">
        <v>3794</v>
      </c>
      <c r="I7056" t="str">
        <f>IF(COUNTIF(Products!$A$2:$A$8,C7056)=0,C7056,"")</f>
        <v/>
      </c>
      <c r="J7056">
        <f>IF(OR(E7056="Prospecting",E7056="Engaging"),VLOOKUP(C7056,Products!$A$2:$C$8,3,FALSE),0)</f>
        <v>0</v>
      </c>
    </row>
    <row r="7057" spans="1:10" x14ac:dyDescent="0.25">
      <c r="A7057" t="s">
        <v>7224</v>
      </c>
      <c r="B7057" t="s">
        <v>196</v>
      </c>
      <c r="C7057" t="s">
        <v>125</v>
      </c>
      <c r="D7057" t="s">
        <v>48</v>
      </c>
      <c r="E7057" t="s">
        <v>138</v>
      </c>
      <c r="F7057" s="1">
        <v>43005</v>
      </c>
      <c r="G7057" s="1">
        <v>43011</v>
      </c>
      <c r="H7057">
        <v>3786</v>
      </c>
      <c r="I7057" t="str">
        <f>IF(COUNTIF(Products!$A$2:$A$8,C7057)=0,C7057,"")</f>
        <v/>
      </c>
      <c r="J7057">
        <f>IF(OR(E7057="Prospecting",E7057="Engaging"),VLOOKUP(C7057,Products!$A$2:$C$8,3,FALSE),0)</f>
        <v>0</v>
      </c>
    </row>
    <row r="7058" spans="1:10" x14ac:dyDescent="0.25">
      <c r="A7058" t="s">
        <v>7225</v>
      </c>
      <c r="B7058" t="s">
        <v>207</v>
      </c>
      <c r="C7058" t="s">
        <v>127</v>
      </c>
      <c r="D7058" t="s">
        <v>27</v>
      </c>
      <c r="E7058" t="s">
        <v>159</v>
      </c>
      <c r="F7058" s="1">
        <v>43006</v>
      </c>
      <c r="G7058" s="1">
        <v>43015</v>
      </c>
      <c r="H7058">
        <v>0</v>
      </c>
      <c r="I7058" t="str">
        <f>IF(COUNTIF(Products!$A$2:$A$8,C7058)=0,C7058,"")</f>
        <v/>
      </c>
      <c r="J7058">
        <f>IF(OR(E7058="Prospecting",E7058="Engaging"),VLOOKUP(C7058,Products!$A$2:$C$8,3,FALSE),0)</f>
        <v>0</v>
      </c>
    </row>
    <row r="7059" spans="1:10" x14ac:dyDescent="0.25">
      <c r="A7059" t="s">
        <v>7226</v>
      </c>
      <c r="B7059" t="s">
        <v>224</v>
      </c>
      <c r="C7059" t="s">
        <v>125</v>
      </c>
      <c r="D7059" t="s">
        <v>84</v>
      </c>
      <c r="E7059" t="s">
        <v>159</v>
      </c>
      <c r="F7059" s="1">
        <v>43006</v>
      </c>
      <c r="G7059" s="1">
        <v>43088</v>
      </c>
      <c r="H7059">
        <v>0</v>
      </c>
      <c r="I7059" t="str">
        <f>IF(COUNTIF(Products!$A$2:$A$8,C7059)=0,C7059,"")</f>
        <v/>
      </c>
      <c r="J7059">
        <f>IF(OR(E7059="Prospecting",E7059="Engaging"),VLOOKUP(C7059,Products!$A$2:$C$8,3,FALSE),0)</f>
        <v>0</v>
      </c>
    </row>
    <row r="7060" spans="1:10" x14ac:dyDescent="0.25">
      <c r="A7060" t="s">
        <v>7227</v>
      </c>
      <c r="B7060" t="s">
        <v>224</v>
      </c>
      <c r="C7060" t="s">
        <v>122</v>
      </c>
      <c r="D7060" t="s">
        <v>73</v>
      </c>
      <c r="E7060" t="s">
        <v>138</v>
      </c>
      <c r="F7060" s="1">
        <v>43006</v>
      </c>
      <c r="G7060" s="1">
        <v>43015</v>
      </c>
      <c r="H7060">
        <v>5553</v>
      </c>
      <c r="I7060" t="str">
        <f>IF(COUNTIF(Products!$A$2:$A$8,C7060)=0,C7060,"")</f>
        <v/>
      </c>
      <c r="J7060">
        <f>IF(OR(E7060="Prospecting",E7060="Engaging"),VLOOKUP(C7060,Products!$A$2:$C$8,3,FALSE),0)</f>
        <v>0</v>
      </c>
    </row>
    <row r="7061" spans="1:10" x14ac:dyDescent="0.25">
      <c r="A7061" t="s">
        <v>7228</v>
      </c>
      <c r="B7061" t="s">
        <v>224</v>
      </c>
      <c r="C7061" t="s">
        <v>125</v>
      </c>
      <c r="D7061" t="s">
        <v>69</v>
      </c>
      <c r="E7061" t="s">
        <v>138</v>
      </c>
      <c r="F7061" s="1">
        <v>43006</v>
      </c>
      <c r="G7061" s="1">
        <v>43016</v>
      </c>
      <c r="H7061">
        <v>3557</v>
      </c>
      <c r="I7061" t="str">
        <f>IF(COUNTIF(Products!$A$2:$A$8,C7061)=0,C7061,"")</f>
        <v/>
      </c>
      <c r="J7061">
        <f>IF(OR(E7061="Prospecting",E7061="Engaging"),VLOOKUP(C7061,Products!$A$2:$C$8,3,FALSE),0)</f>
        <v>0</v>
      </c>
    </row>
    <row r="7062" spans="1:10" x14ac:dyDescent="0.25">
      <c r="A7062" t="s">
        <v>7229</v>
      </c>
      <c r="B7062" t="s">
        <v>173</v>
      </c>
      <c r="C7062" t="s">
        <v>123</v>
      </c>
      <c r="D7062" t="s">
        <v>57</v>
      </c>
      <c r="E7062" t="s">
        <v>138</v>
      </c>
      <c r="F7062" s="1">
        <v>43006</v>
      </c>
      <c r="G7062" s="1">
        <v>43016</v>
      </c>
      <c r="H7062">
        <v>63</v>
      </c>
      <c r="I7062" t="str">
        <f>IF(COUNTIF(Products!$A$2:$A$8,C7062)=0,C7062,"")</f>
        <v/>
      </c>
      <c r="J7062">
        <f>IF(OR(E7062="Prospecting",E7062="Engaging"),VLOOKUP(C7062,Products!$A$2:$C$8,3,FALSE),0)</f>
        <v>0</v>
      </c>
    </row>
    <row r="7063" spans="1:10" x14ac:dyDescent="0.25">
      <c r="A7063" t="s">
        <v>7230</v>
      </c>
      <c r="B7063" t="s">
        <v>158</v>
      </c>
      <c r="C7063" t="s">
        <v>120</v>
      </c>
      <c r="D7063" t="s">
        <v>28</v>
      </c>
      <c r="E7063" t="s">
        <v>159</v>
      </c>
      <c r="F7063" s="1">
        <v>43006</v>
      </c>
      <c r="G7063" s="1">
        <v>43050</v>
      </c>
      <c r="H7063">
        <v>0</v>
      </c>
      <c r="I7063" t="str">
        <f>IF(COUNTIF(Products!$A$2:$A$8,C7063)=0,C7063,"")</f>
        <v/>
      </c>
      <c r="J7063">
        <f>IF(OR(E7063="Prospecting",E7063="Engaging"),VLOOKUP(C7063,Products!$A$2:$C$8,3,FALSE),0)</f>
        <v>0</v>
      </c>
    </row>
    <row r="7064" spans="1:10" x14ac:dyDescent="0.25">
      <c r="A7064" t="s">
        <v>7231</v>
      </c>
      <c r="B7064" t="s">
        <v>217</v>
      </c>
      <c r="C7064" t="s">
        <v>125</v>
      </c>
      <c r="D7064" t="s">
        <v>91</v>
      </c>
      <c r="E7064" t="s">
        <v>138</v>
      </c>
      <c r="F7064" s="1">
        <v>43006</v>
      </c>
      <c r="G7064" s="1">
        <v>43014</v>
      </c>
      <c r="H7064">
        <v>3704</v>
      </c>
      <c r="I7064" t="str">
        <f>IF(COUNTIF(Products!$A$2:$A$8,C7064)=0,C7064,"")</f>
        <v/>
      </c>
      <c r="J7064">
        <f>IF(OR(E7064="Prospecting",E7064="Engaging"),VLOOKUP(C7064,Products!$A$2:$C$8,3,FALSE),0)</f>
        <v>0</v>
      </c>
    </row>
    <row r="7065" spans="1:10" x14ac:dyDescent="0.25">
      <c r="A7065" t="s">
        <v>7232</v>
      </c>
      <c r="B7065" t="s">
        <v>150</v>
      </c>
      <c r="C7065" t="s">
        <v>122</v>
      </c>
      <c r="E7065" t="s">
        <v>155</v>
      </c>
      <c r="F7065" s="1">
        <v>43006</v>
      </c>
      <c r="I7065" t="str">
        <f>IF(COUNTIF(Products!$A$2:$A$8,C7065)=0,C7065,"")</f>
        <v/>
      </c>
      <c r="J7065">
        <f>IF(OR(E7065="Prospecting",E7065="Engaging"),VLOOKUP(C7065,Products!$A$2:$C$8,3,FALSE),0)</f>
        <v>4821</v>
      </c>
    </row>
    <row r="7066" spans="1:10" x14ac:dyDescent="0.25">
      <c r="A7066" t="s">
        <v>7233</v>
      </c>
      <c r="B7066" t="s">
        <v>205</v>
      </c>
      <c r="C7066" t="s">
        <v>127</v>
      </c>
      <c r="D7066" t="s">
        <v>55</v>
      </c>
      <c r="E7066" t="s">
        <v>159</v>
      </c>
      <c r="F7066" s="1">
        <v>43006</v>
      </c>
      <c r="G7066" s="1">
        <v>43042</v>
      </c>
      <c r="H7066">
        <v>0</v>
      </c>
      <c r="I7066" t="str">
        <f>IF(COUNTIF(Products!$A$2:$A$8,C7066)=0,C7066,"")</f>
        <v/>
      </c>
      <c r="J7066">
        <f>IF(OR(E7066="Prospecting",E7066="Engaging"),VLOOKUP(C7066,Products!$A$2:$C$8,3,FALSE),0)</f>
        <v>0</v>
      </c>
    </row>
    <row r="7067" spans="1:10" x14ac:dyDescent="0.25">
      <c r="A7067" t="s">
        <v>7234</v>
      </c>
      <c r="B7067" t="s">
        <v>205</v>
      </c>
      <c r="C7067" t="s">
        <v>125</v>
      </c>
      <c r="D7067" t="s">
        <v>61</v>
      </c>
      <c r="E7067" t="s">
        <v>159</v>
      </c>
      <c r="F7067" s="1">
        <v>43006</v>
      </c>
      <c r="G7067" s="1">
        <v>43011</v>
      </c>
      <c r="H7067">
        <v>0</v>
      </c>
      <c r="I7067" t="str">
        <f>IF(COUNTIF(Products!$A$2:$A$8,C7067)=0,C7067,"")</f>
        <v/>
      </c>
      <c r="J7067">
        <f>IF(OR(E7067="Prospecting",E7067="Engaging"),VLOOKUP(C7067,Products!$A$2:$C$8,3,FALSE),0)</f>
        <v>0</v>
      </c>
    </row>
    <row r="7068" spans="1:10" x14ac:dyDescent="0.25">
      <c r="A7068" t="s">
        <v>7235</v>
      </c>
      <c r="B7068" t="s">
        <v>205</v>
      </c>
      <c r="C7068" t="s">
        <v>127</v>
      </c>
      <c r="D7068" t="s">
        <v>88</v>
      </c>
      <c r="E7068" t="s">
        <v>138</v>
      </c>
      <c r="F7068" s="1">
        <v>43006</v>
      </c>
      <c r="G7068" s="1">
        <v>43069</v>
      </c>
      <c r="H7068">
        <v>1133</v>
      </c>
      <c r="I7068" t="str">
        <f>IF(COUNTIF(Products!$A$2:$A$8,C7068)=0,C7068,"")</f>
        <v/>
      </c>
      <c r="J7068">
        <f>IF(OR(E7068="Prospecting",E7068="Engaging"),VLOOKUP(C7068,Products!$A$2:$C$8,3,FALSE),0)</f>
        <v>0</v>
      </c>
    </row>
    <row r="7069" spans="1:10" x14ac:dyDescent="0.25">
      <c r="A7069" t="s">
        <v>7236</v>
      </c>
      <c r="B7069" t="s">
        <v>162</v>
      </c>
      <c r="C7069" t="s">
        <v>127</v>
      </c>
      <c r="D7069" t="s">
        <v>69</v>
      </c>
      <c r="E7069" t="s">
        <v>138</v>
      </c>
      <c r="F7069" s="1">
        <v>43006</v>
      </c>
      <c r="G7069" s="1">
        <v>43078</v>
      </c>
      <c r="H7069">
        <v>1292</v>
      </c>
      <c r="I7069" t="str">
        <f>IF(COUNTIF(Products!$A$2:$A$8,C7069)=0,C7069,"")</f>
        <v/>
      </c>
      <c r="J7069">
        <f>IF(OR(E7069="Prospecting",E7069="Engaging"),VLOOKUP(C7069,Products!$A$2:$C$8,3,FALSE),0)</f>
        <v>0</v>
      </c>
    </row>
    <row r="7070" spans="1:10" x14ac:dyDescent="0.25">
      <c r="A7070" t="s">
        <v>7237</v>
      </c>
      <c r="B7070" t="s">
        <v>166</v>
      </c>
      <c r="C7070" t="s">
        <v>125</v>
      </c>
      <c r="D7070" t="s">
        <v>83</v>
      </c>
      <c r="E7070" t="s">
        <v>138</v>
      </c>
      <c r="F7070" s="1">
        <v>43006</v>
      </c>
      <c r="G7070" s="1">
        <v>43073</v>
      </c>
      <c r="H7070">
        <v>3278</v>
      </c>
      <c r="I7070" t="str">
        <f>IF(COUNTIF(Products!$A$2:$A$8,C7070)=0,C7070,"")</f>
        <v/>
      </c>
      <c r="J7070">
        <f>IF(OR(E7070="Prospecting",E7070="Engaging"),VLOOKUP(C7070,Products!$A$2:$C$8,3,FALSE),0)</f>
        <v>0</v>
      </c>
    </row>
    <row r="7071" spans="1:10" x14ac:dyDescent="0.25">
      <c r="A7071" t="s">
        <v>7238</v>
      </c>
      <c r="B7071" t="s">
        <v>169</v>
      </c>
      <c r="C7071" t="s">
        <v>123</v>
      </c>
      <c r="D7071" t="s">
        <v>26</v>
      </c>
      <c r="E7071" t="s">
        <v>138</v>
      </c>
      <c r="F7071" s="1">
        <v>43006</v>
      </c>
      <c r="G7071" s="1">
        <v>43013</v>
      </c>
      <c r="H7071">
        <v>55</v>
      </c>
      <c r="I7071" t="str">
        <f>IF(COUNTIF(Products!$A$2:$A$8,C7071)=0,C7071,"")</f>
        <v/>
      </c>
      <c r="J7071">
        <f>IF(OR(E7071="Prospecting",E7071="Engaging"),VLOOKUP(C7071,Products!$A$2:$C$8,3,FALSE),0)</f>
        <v>0</v>
      </c>
    </row>
    <row r="7072" spans="1:10" x14ac:dyDescent="0.25">
      <c r="A7072" t="s">
        <v>7239</v>
      </c>
      <c r="B7072" t="s">
        <v>148</v>
      </c>
      <c r="C7072" t="s">
        <v>120</v>
      </c>
      <c r="D7072" t="s">
        <v>44</v>
      </c>
      <c r="E7072" t="s">
        <v>138</v>
      </c>
      <c r="F7072" s="1">
        <v>43006</v>
      </c>
      <c r="G7072" s="1">
        <v>43092</v>
      </c>
      <c r="H7072">
        <v>498</v>
      </c>
      <c r="I7072" t="str">
        <f>IF(COUNTIF(Products!$A$2:$A$8,C7072)=0,C7072,"")</f>
        <v/>
      </c>
      <c r="J7072">
        <f>IF(OR(E7072="Prospecting",E7072="Engaging"),VLOOKUP(C7072,Products!$A$2:$C$8,3,FALSE),0)</f>
        <v>0</v>
      </c>
    </row>
    <row r="7073" spans="1:10" x14ac:dyDescent="0.25">
      <c r="A7073" t="s">
        <v>7240</v>
      </c>
      <c r="B7073" t="s">
        <v>148</v>
      </c>
      <c r="C7073" t="s">
        <v>123</v>
      </c>
      <c r="D7073" t="s">
        <v>100</v>
      </c>
      <c r="E7073" t="s">
        <v>138</v>
      </c>
      <c r="F7073" s="1">
        <v>43006</v>
      </c>
      <c r="G7073" s="1">
        <v>43099</v>
      </c>
      <c r="H7073">
        <v>55</v>
      </c>
      <c r="I7073" t="str">
        <f>IF(COUNTIF(Products!$A$2:$A$8,C7073)=0,C7073,"")</f>
        <v/>
      </c>
      <c r="J7073">
        <f>IF(OR(E7073="Prospecting",E7073="Engaging"),VLOOKUP(C7073,Products!$A$2:$C$8,3,FALSE),0)</f>
        <v>0</v>
      </c>
    </row>
    <row r="7074" spans="1:10" x14ac:dyDescent="0.25">
      <c r="A7074" t="s">
        <v>7241</v>
      </c>
      <c r="B7074" t="s">
        <v>196</v>
      </c>
      <c r="C7074" t="s">
        <v>126</v>
      </c>
      <c r="E7074" t="s">
        <v>155</v>
      </c>
      <c r="F7074" s="1">
        <v>43006</v>
      </c>
      <c r="I7074" t="str">
        <f>IF(COUNTIF(Products!$A$2:$A$8,C7074)=0,C7074,"")</f>
        <v/>
      </c>
      <c r="J7074">
        <f>IF(OR(E7074="Prospecting",E7074="Engaging"),VLOOKUP(C7074,Products!$A$2:$C$8,3,FALSE),0)</f>
        <v>5482</v>
      </c>
    </row>
    <row r="7075" spans="1:10" x14ac:dyDescent="0.25">
      <c r="A7075" t="s">
        <v>7242</v>
      </c>
      <c r="B7075" t="s">
        <v>144</v>
      </c>
      <c r="C7075" t="s">
        <v>120</v>
      </c>
      <c r="D7075" t="s">
        <v>23</v>
      </c>
      <c r="E7075" t="s">
        <v>138</v>
      </c>
      <c r="F7075" s="1">
        <v>43006</v>
      </c>
      <c r="G7075" s="1">
        <v>43013</v>
      </c>
      <c r="H7075">
        <v>571</v>
      </c>
      <c r="I7075" t="str">
        <f>IF(COUNTIF(Products!$A$2:$A$8,C7075)=0,C7075,"")</f>
        <v/>
      </c>
      <c r="J7075">
        <f>IF(OR(E7075="Prospecting",E7075="Engaging"),VLOOKUP(C7075,Products!$A$2:$C$8,3,FALSE),0)</f>
        <v>0</v>
      </c>
    </row>
    <row r="7076" spans="1:10" x14ac:dyDescent="0.25">
      <c r="A7076" t="s">
        <v>7243</v>
      </c>
      <c r="B7076" t="s">
        <v>171</v>
      </c>
      <c r="C7076" t="s">
        <v>127</v>
      </c>
      <c r="E7076" t="s">
        <v>155</v>
      </c>
      <c r="F7076" s="1">
        <v>43007</v>
      </c>
      <c r="I7076" t="str">
        <f>IF(COUNTIF(Products!$A$2:$A$8,C7076)=0,C7076,"")</f>
        <v/>
      </c>
      <c r="J7076">
        <f>IF(OR(E7076="Prospecting",E7076="Engaging"),VLOOKUP(C7076,Products!$A$2:$C$8,3,FALSE),0)</f>
        <v>1096</v>
      </c>
    </row>
    <row r="7077" spans="1:10" x14ac:dyDescent="0.25">
      <c r="A7077" t="s">
        <v>7244</v>
      </c>
      <c r="B7077" t="s">
        <v>171</v>
      </c>
      <c r="C7077" t="s">
        <v>122</v>
      </c>
      <c r="D7077" t="s">
        <v>20</v>
      </c>
      <c r="E7077" t="s">
        <v>138</v>
      </c>
      <c r="F7077" s="1">
        <v>43007</v>
      </c>
      <c r="G7077" s="1">
        <v>43013</v>
      </c>
      <c r="H7077">
        <v>4942</v>
      </c>
      <c r="I7077" t="str">
        <f>IF(COUNTIF(Products!$A$2:$A$8,C7077)=0,C7077,"")</f>
        <v/>
      </c>
      <c r="J7077">
        <f>IF(OR(E7077="Prospecting",E7077="Engaging"),VLOOKUP(C7077,Products!$A$2:$C$8,3,FALSE),0)</f>
        <v>0</v>
      </c>
    </row>
    <row r="7078" spans="1:10" x14ac:dyDescent="0.25">
      <c r="A7078" t="s">
        <v>7245</v>
      </c>
      <c r="B7078" t="s">
        <v>140</v>
      </c>
      <c r="C7078" t="s">
        <v>127</v>
      </c>
      <c r="D7078" t="s">
        <v>96</v>
      </c>
      <c r="E7078" t="s">
        <v>159</v>
      </c>
      <c r="F7078" s="1">
        <v>43007</v>
      </c>
      <c r="G7078" s="1">
        <v>43013</v>
      </c>
      <c r="H7078">
        <v>0</v>
      </c>
      <c r="I7078" t="str">
        <f>IF(COUNTIF(Products!$A$2:$A$8,C7078)=0,C7078,"")</f>
        <v/>
      </c>
      <c r="J7078">
        <f>IF(OR(E7078="Prospecting",E7078="Engaging"),VLOOKUP(C7078,Products!$A$2:$C$8,3,FALSE),0)</f>
        <v>0</v>
      </c>
    </row>
    <row r="7079" spans="1:10" x14ac:dyDescent="0.25">
      <c r="A7079" t="s">
        <v>7246</v>
      </c>
      <c r="B7079" t="s">
        <v>224</v>
      </c>
      <c r="C7079" t="s">
        <v>123</v>
      </c>
      <c r="D7079" t="s">
        <v>16</v>
      </c>
      <c r="E7079" t="s">
        <v>159</v>
      </c>
      <c r="F7079" s="1">
        <v>43007</v>
      </c>
      <c r="G7079" s="1">
        <v>43076</v>
      </c>
      <c r="H7079">
        <v>0</v>
      </c>
      <c r="I7079" t="str">
        <f>IF(COUNTIF(Products!$A$2:$A$8,C7079)=0,C7079,"")</f>
        <v/>
      </c>
      <c r="J7079">
        <f>IF(OR(E7079="Prospecting",E7079="Engaging"),VLOOKUP(C7079,Products!$A$2:$C$8,3,FALSE),0)</f>
        <v>0</v>
      </c>
    </row>
    <row r="7080" spans="1:10" x14ac:dyDescent="0.25">
      <c r="A7080" t="s">
        <v>7247</v>
      </c>
      <c r="B7080" t="s">
        <v>173</v>
      </c>
      <c r="C7080" t="s">
        <v>122</v>
      </c>
      <c r="D7080" t="s">
        <v>93</v>
      </c>
      <c r="E7080" t="s">
        <v>138</v>
      </c>
      <c r="F7080" s="1">
        <v>43007</v>
      </c>
      <c r="G7080" s="1">
        <v>43009</v>
      </c>
      <c r="H7080">
        <v>5340</v>
      </c>
      <c r="I7080" t="str">
        <f>IF(COUNTIF(Products!$A$2:$A$8,C7080)=0,C7080,"")</f>
        <v/>
      </c>
      <c r="J7080">
        <f>IF(OR(E7080="Prospecting",E7080="Engaging"),VLOOKUP(C7080,Products!$A$2:$C$8,3,FALSE),0)</f>
        <v>0</v>
      </c>
    </row>
    <row r="7081" spans="1:10" x14ac:dyDescent="0.25">
      <c r="A7081" t="s">
        <v>7248</v>
      </c>
      <c r="B7081" t="s">
        <v>198</v>
      </c>
      <c r="C7081" t="s">
        <v>120</v>
      </c>
      <c r="D7081" t="s">
        <v>106</v>
      </c>
      <c r="E7081" t="s">
        <v>159</v>
      </c>
      <c r="F7081" s="1">
        <v>43007</v>
      </c>
      <c r="G7081" s="1">
        <v>43011</v>
      </c>
      <c r="H7081">
        <v>0</v>
      </c>
      <c r="I7081" t="str">
        <f>IF(COUNTIF(Products!$A$2:$A$8,C7081)=0,C7081,"")</f>
        <v/>
      </c>
      <c r="J7081">
        <f>IF(OR(E7081="Prospecting",E7081="Engaging"),VLOOKUP(C7081,Products!$A$2:$C$8,3,FALSE),0)</f>
        <v>0</v>
      </c>
    </row>
    <row r="7082" spans="1:10" x14ac:dyDescent="0.25">
      <c r="A7082" t="s">
        <v>7249</v>
      </c>
      <c r="B7082" t="s">
        <v>198</v>
      </c>
      <c r="C7082" t="s">
        <v>125</v>
      </c>
      <c r="D7082" t="s">
        <v>115</v>
      </c>
      <c r="E7082" t="s">
        <v>159</v>
      </c>
      <c r="F7082" s="1">
        <v>43007</v>
      </c>
      <c r="G7082" s="1">
        <v>43016</v>
      </c>
      <c r="H7082">
        <v>0</v>
      </c>
      <c r="I7082" t="str">
        <f>IF(COUNTIF(Products!$A$2:$A$8,C7082)=0,C7082,"")</f>
        <v/>
      </c>
      <c r="J7082">
        <f>IF(OR(E7082="Prospecting",E7082="Engaging"),VLOOKUP(C7082,Products!$A$2:$C$8,3,FALSE),0)</f>
        <v>0</v>
      </c>
    </row>
    <row r="7083" spans="1:10" x14ac:dyDescent="0.25">
      <c r="A7083" t="s">
        <v>7250</v>
      </c>
      <c r="B7083" t="s">
        <v>158</v>
      </c>
      <c r="C7083" t="s">
        <v>126</v>
      </c>
      <c r="D7083" t="s">
        <v>64</v>
      </c>
      <c r="E7083" t="s">
        <v>138</v>
      </c>
      <c r="F7083" s="1">
        <v>43007</v>
      </c>
      <c r="G7083" s="1">
        <v>43017</v>
      </c>
      <c r="H7083">
        <v>5689</v>
      </c>
      <c r="I7083" t="str">
        <f>IF(COUNTIF(Products!$A$2:$A$8,C7083)=0,C7083,"")</f>
        <v/>
      </c>
      <c r="J7083">
        <f>IF(OR(E7083="Prospecting",E7083="Engaging"),VLOOKUP(C7083,Products!$A$2:$C$8,3,FALSE),0)</f>
        <v>0</v>
      </c>
    </row>
    <row r="7084" spans="1:10" x14ac:dyDescent="0.25">
      <c r="A7084" t="s">
        <v>7251</v>
      </c>
      <c r="B7084" t="s">
        <v>154</v>
      </c>
      <c r="C7084" t="s">
        <v>120</v>
      </c>
      <c r="D7084" t="s">
        <v>87</v>
      </c>
      <c r="E7084" t="s">
        <v>159</v>
      </c>
      <c r="F7084" s="1">
        <v>43007</v>
      </c>
      <c r="G7084" s="1">
        <v>43016</v>
      </c>
      <c r="H7084">
        <v>0</v>
      </c>
      <c r="I7084" t="str">
        <f>IF(COUNTIF(Products!$A$2:$A$8,C7084)=0,C7084,"")</f>
        <v/>
      </c>
      <c r="J7084">
        <f>IF(OR(E7084="Prospecting",E7084="Engaging"),VLOOKUP(C7084,Products!$A$2:$C$8,3,FALSE),0)</f>
        <v>0</v>
      </c>
    </row>
    <row r="7085" spans="1:10" x14ac:dyDescent="0.25">
      <c r="A7085" t="s">
        <v>7252</v>
      </c>
      <c r="B7085" t="s">
        <v>154</v>
      </c>
      <c r="C7085" t="s">
        <v>123</v>
      </c>
      <c r="D7085" t="s">
        <v>72</v>
      </c>
      <c r="E7085" t="s">
        <v>159</v>
      </c>
      <c r="F7085" s="1">
        <v>43007</v>
      </c>
      <c r="G7085" s="1">
        <v>43019</v>
      </c>
      <c r="H7085">
        <v>0</v>
      </c>
      <c r="I7085" t="str">
        <f>IF(COUNTIF(Products!$A$2:$A$8,C7085)=0,C7085,"")</f>
        <v/>
      </c>
      <c r="J7085">
        <f>IF(OR(E7085="Prospecting",E7085="Engaging"),VLOOKUP(C7085,Products!$A$2:$C$8,3,FALSE),0)</f>
        <v>0</v>
      </c>
    </row>
    <row r="7086" spans="1:10" x14ac:dyDescent="0.25">
      <c r="A7086" t="s">
        <v>7253</v>
      </c>
      <c r="B7086" t="s">
        <v>217</v>
      </c>
      <c r="C7086" t="s">
        <v>123</v>
      </c>
      <c r="D7086" t="s">
        <v>36</v>
      </c>
      <c r="E7086" t="s">
        <v>138</v>
      </c>
      <c r="F7086" s="1">
        <v>43007</v>
      </c>
      <c r="G7086" s="1">
        <v>43099</v>
      </c>
      <c r="H7086">
        <v>52</v>
      </c>
      <c r="I7086" t="str">
        <f>IF(COUNTIF(Products!$A$2:$A$8,C7086)=0,C7086,"")</f>
        <v/>
      </c>
      <c r="J7086">
        <f>IF(OR(E7086="Prospecting",E7086="Engaging"),VLOOKUP(C7086,Products!$A$2:$C$8,3,FALSE),0)</f>
        <v>0</v>
      </c>
    </row>
    <row r="7087" spans="1:10" x14ac:dyDescent="0.25">
      <c r="A7087" t="s">
        <v>7254</v>
      </c>
      <c r="B7087" t="s">
        <v>217</v>
      </c>
      <c r="C7087" t="s">
        <v>125</v>
      </c>
      <c r="D7087" t="s">
        <v>85</v>
      </c>
      <c r="E7087" t="s">
        <v>138</v>
      </c>
      <c r="F7087" s="1">
        <v>43007</v>
      </c>
      <c r="G7087" s="1">
        <v>43079</v>
      </c>
      <c r="H7087">
        <v>3131</v>
      </c>
      <c r="I7087" t="str">
        <f>IF(COUNTIF(Products!$A$2:$A$8,C7087)=0,C7087,"")</f>
        <v/>
      </c>
      <c r="J7087">
        <f>IF(OR(E7087="Prospecting",E7087="Engaging"),VLOOKUP(C7087,Products!$A$2:$C$8,3,FALSE),0)</f>
        <v>0</v>
      </c>
    </row>
    <row r="7088" spans="1:10" x14ac:dyDescent="0.25">
      <c r="A7088" t="s">
        <v>7255</v>
      </c>
      <c r="B7088" t="s">
        <v>150</v>
      </c>
      <c r="C7088" t="s">
        <v>127</v>
      </c>
      <c r="D7088" t="s">
        <v>69</v>
      </c>
      <c r="E7088" t="s">
        <v>159</v>
      </c>
      <c r="F7088" s="1">
        <v>43007</v>
      </c>
      <c r="G7088" s="1">
        <v>43017</v>
      </c>
      <c r="H7088">
        <v>0</v>
      </c>
      <c r="I7088" t="str">
        <f>IF(COUNTIF(Products!$A$2:$A$8,C7088)=0,C7088,"")</f>
        <v/>
      </c>
      <c r="J7088">
        <f>IF(OR(E7088="Prospecting",E7088="Engaging"),VLOOKUP(C7088,Products!$A$2:$C$8,3,FALSE),0)</f>
        <v>0</v>
      </c>
    </row>
    <row r="7089" spans="1:10" x14ac:dyDescent="0.25">
      <c r="A7089" t="s">
        <v>7256</v>
      </c>
      <c r="B7089" t="s">
        <v>150</v>
      </c>
      <c r="C7089" t="s">
        <v>126</v>
      </c>
      <c r="D7089" t="s">
        <v>93</v>
      </c>
      <c r="E7089" t="s">
        <v>159</v>
      </c>
      <c r="F7089" s="1">
        <v>43007</v>
      </c>
      <c r="G7089" s="1">
        <v>43014</v>
      </c>
      <c r="H7089">
        <v>0</v>
      </c>
      <c r="I7089" t="str">
        <f>IF(COUNTIF(Products!$A$2:$A$8,C7089)=0,C7089,"")</f>
        <v/>
      </c>
      <c r="J7089">
        <f>IF(OR(E7089="Prospecting",E7089="Engaging"),VLOOKUP(C7089,Products!$A$2:$C$8,3,FALSE),0)</f>
        <v>0</v>
      </c>
    </row>
    <row r="7090" spans="1:10" x14ac:dyDescent="0.25">
      <c r="A7090" t="s">
        <v>7257</v>
      </c>
      <c r="B7090" t="s">
        <v>150</v>
      </c>
      <c r="C7090" t="s">
        <v>123</v>
      </c>
      <c r="D7090" t="s">
        <v>17</v>
      </c>
      <c r="E7090" t="s">
        <v>159</v>
      </c>
      <c r="F7090" s="1">
        <v>43007</v>
      </c>
      <c r="G7090" s="1">
        <v>43066</v>
      </c>
      <c r="H7090">
        <v>0</v>
      </c>
      <c r="I7090" t="str">
        <f>IF(COUNTIF(Products!$A$2:$A$8,C7090)=0,C7090,"")</f>
        <v/>
      </c>
      <c r="J7090">
        <f>IF(OR(E7090="Prospecting",E7090="Engaging"),VLOOKUP(C7090,Products!$A$2:$C$8,3,FALSE),0)</f>
        <v>0</v>
      </c>
    </row>
    <row r="7091" spans="1:10" x14ac:dyDescent="0.25">
      <c r="A7091" t="s">
        <v>7258</v>
      </c>
      <c r="B7091" t="s">
        <v>150</v>
      </c>
      <c r="C7091" t="s">
        <v>125</v>
      </c>
      <c r="D7091" t="s">
        <v>56</v>
      </c>
      <c r="E7091" t="s">
        <v>159</v>
      </c>
      <c r="F7091" s="1">
        <v>43007</v>
      </c>
      <c r="G7091" s="1">
        <v>43018</v>
      </c>
      <c r="H7091">
        <v>0</v>
      </c>
      <c r="I7091" t="str">
        <f>IF(COUNTIF(Products!$A$2:$A$8,C7091)=0,C7091,"")</f>
        <v/>
      </c>
      <c r="J7091">
        <f>IF(OR(E7091="Prospecting",E7091="Engaging"),VLOOKUP(C7091,Products!$A$2:$C$8,3,FALSE),0)</f>
        <v>0</v>
      </c>
    </row>
    <row r="7092" spans="1:10" x14ac:dyDescent="0.25">
      <c r="A7092" t="s">
        <v>7259</v>
      </c>
      <c r="B7092" t="s">
        <v>205</v>
      </c>
      <c r="C7092" t="s">
        <v>125</v>
      </c>
      <c r="D7092" t="s">
        <v>103</v>
      </c>
      <c r="E7092" t="s">
        <v>138</v>
      </c>
      <c r="F7092" s="1">
        <v>43007</v>
      </c>
      <c r="G7092" s="1">
        <v>43013</v>
      </c>
      <c r="H7092">
        <v>3957</v>
      </c>
      <c r="I7092" t="str">
        <f>IF(COUNTIF(Products!$A$2:$A$8,C7092)=0,C7092,"")</f>
        <v/>
      </c>
      <c r="J7092">
        <f>IF(OR(E7092="Prospecting",E7092="Engaging"),VLOOKUP(C7092,Products!$A$2:$C$8,3,FALSE),0)</f>
        <v>0</v>
      </c>
    </row>
    <row r="7093" spans="1:10" x14ac:dyDescent="0.25">
      <c r="A7093" t="s">
        <v>7260</v>
      </c>
      <c r="B7093" t="s">
        <v>152</v>
      </c>
      <c r="C7093" t="s">
        <v>120</v>
      </c>
      <c r="D7093" t="s">
        <v>104</v>
      </c>
      <c r="E7093" t="s">
        <v>138</v>
      </c>
      <c r="F7093" s="1">
        <v>43007</v>
      </c>
      <c r="G7093" s="1">
        <v>43099</v>
      </c>
      <c r="H7093">
        <v>523</v>
      </c>
      <c r="I7093" t="str">
        <f>IF(COUNTIF(Products!$A$2:$A$8,C7093)=0,C7093,"")</f>
        <v/>
      </c>
      <c r="J7093">
        <f>IF(OR(E7093="Prospecting",E7093="Engaging"),VLOOKUP(C7093,Products!$A$2:$C$8,3,FALSE),0)</f>
        <v>0</v>
      </c>
    </row>
    <row r="7094" spans="1:10" x14ac:dyDescent="0.25">
      <c r="A7094" t="s">
        <v>7261</v>
      </c>
      <c r="B7094" t="s">
        <v>152</v>
      </c>
      <c r="C7094" t="s">
        <v>127</v>
      </c>
      <c r="D7094" t="s">
        <v>104</v>
      </c>
      <c r="E7094" t="s">
        <v>138</v>
      </c>
      <c r="F7094" s="1">
        <v>43007</v>
      </c>
      <c r="G7094" s="1">
        <v>43090</v>
      </c>
      <c r="H7094">
        <v>1156</v>
      </c>
      <c r="I7094" t="str">
        <f>IF(COUNTIF(Products!$A$2:$A$8,C7094)=0,C7094,"")</f>
        <v/>
      </c>
      <c r="J7094">
        <f>IF(OR(E7094="Prospecting",E7094="Engaging"),VLOOKUP(C7094,Products!$A$2:$C$8,3,FALSE),0)</f>
        <v>0</v>
      </c>
    </row>
    <row r="7095" spans="1:10" x14ac:dyDescent="0.25">
      <c r="A7095" t="s">
        <v>7262</v>
      </c>
      <c r="B7095" t="s">
        <v>193</v>
      </c>
      <c r="C7095" t="s">
        <v>122</v>
      </c>
      <c r="D7095" t="s">
        <v>20</v>
      </c>
      <c r="E7095" t="s">
        <v>159</v>
      </c>
      <c r="F7095" s="1">
        <v>43007</v>
      </c>
      <c r="G7095" s="1">
        <v>43014</v>
      </c>
      <c r="H7095">
        <v>0</v>
      </c>
      <c r="I7095" t="str">
        <f>IF(COUNTIF(Products!$A$2:$A$8,C7095)=0,C7095,"")</f>
        <v/>
      </c>
      <c r="J7095">
        <f>IF(OR(E7095="Prospecting",E7095="Engaging"),VLOOKUP(C7095,Products!$A$2:$C$8,3,FALSE),0)</f>
        <v>0</v>
      </c>
    </row>
    <row r="7096" spans="1:10" x14ac:dyDescent="0.25">
      <c r="A7096" t="s">
        <v>7263</v>
      </c>
      <c r="B7096" t="s">
        <v>166</v>
      </c>
      <c r="C7096" t="s">
        <v>125</v>
      </c>
      <c r="D7096" t="s">
        <v>82</v>
      </c>
      <c r="E7096" t="s">
        <v>138</v>
      </c>
      <c r="F7096" s="1">
        <v>43007</v>
      </c>
      <c r="G7096" s="1">
        <v>43069</v>
      </c>
      <c r="H7096">
        <v>3509</v>
      </c>
      <c r="I7096" t="str">
        <f>IF(COUNTIF(Products!$A$2:$A$8,C7096)=0,C7096,"")</f>
        <v/>
      </c>
      <c r="J7096">
        <f>IF(OR(E7096="Prospecting",E7096="Engaging"),VLOOKUP(C7096,Products!$A$2:$C$8,3,FALSE),0)</f>
        <v>0</v>
      </c>
    </row>
    <row r="7097" spans="1:10" x14ac:dyDescent="0.25">
      <c r="A7097" t="s">
        <v>7264</v>
      </c>
      <c r="B7097" t="s">
        <v>187</v>
      </c>
      <c r="C7097" t="s">
        <v>122</v>
      </c>
      <c r="E7097" t="s">
        <v>155</v>
      </c>
      <c r="F7097" s="1">
        <v>43007</v>
      </c>
      <c r="I7097" t="str">
        <f>IF(COUNTIF(Products!$A$2:$A$8,C7097)=0,C7097,"")</f>
        <v/>
      </c>
      <c r="J7097">
        <f>IF(OR(E7097="Prospecting",E7097="Engaging"),VLOOKUP(C7097,Products!$A$2:$C$8,3,FALSE),0)</f>
        <v>4821</v>
      </c>
    </row>
    <row r="7098" spans="1:10" x14ac:dyDescent="0.25">
      <c r="A7098" t="s">
        <v>7265</v>
      </c>
      <c r="B7098" t="s">
        <v>169</v>
      </c>
      <c r="C7098" t="s">
        <v>123</v>
      </c>
      <c r="D7098" t="s">
        <v>61</v>
      </c>
      <c r="E7098" t="s">
        <v>159</v>
      </c>
      <c r="F7098" s="1">
        <v>43007</v>
      </c>
      <c r="G7098" s="1">
        <v>43016</v>
      </c>
      <c r="H7098">
        <v>0</v>
      </c>
      <c r="I7098" t="str">
        <f>IF(COUNTIF(Products!$A$2:$A$8,C7098)=0,C7098,"")</f>
        <v/>
      </c>
      <c r="J7098">
        <f>IF(OR(E7098="Prospecting",E7098="Engaging"),VLOOKUP(C7098,Products!$A$2:$C$8,3,FALSE),0)</f>
        <v>0</v>
      </c>
    </row>
    <row r="7099" spans="1:10" x14ac:dyDescent="0.25">
      <c r="A7099" t="s">
        <v>7266</v>
      </c>
      <c r="B7099" t="s">
        <v>169</v>
      </c>
      <c r="C7099" t="s">
        <v>125</v>
      </c>
      <c r="D7099" t="s">
        <v>36</v>
      </c>
      <c r="E7099" t="s">
        <v>159</v>
      </c>
      <c r="F7099" s="1">
        <v>43007</v>
      </c>
      <c r="G7099" s="1">
        <v>43011</v>
      </c>
      <c r="H7099">
        <v>0</v>
      </c>
      <c r="I7099" t="str">
        <f>IF(COUNTIF(Products!$A$2:$A$8,C7099)=0,C7099,"")</f>
        <v/>
      </c>
      <c r="J7099">
        <f>IF(OR(E7099="Prospecting",E7099="Engaging"),VLOOKUP(C7099,Products!$A$2:$C$8,3,FALSE),0)</f>
        <v>0</v>
      </c>
    </row>
    <row r="7100" spans="1:10" x14ac:dyDescent="0.25">
      <c r="A7100" t="s">
        <v>7267</v>
      </c>
      <c r="B7100" t="s">
        <v>148</v>
      </c>
      <c r="C7100" t="s">
        <v>123</v>
      </c>
      <c r="E7100" t="s">
        <v>155</v>
      </c>
      <c r="F7100" s="1">
        <v>43007</v>
      </c>
      <c r="I7100" t="str">
        <f>IF(COUNTIF(Products!$A$2:$A$8,C7100)=0,C7100,"")</f>
        <v/>
      </c>
      <c r="J7100">
        <f>IF(OR(E7100="Prospecting",E7100="Engaging"),VLOOKUP(C7100,Products!$A$2:$C$8,3,FALSE),0)</f>
        <v>55</v>
      </c>
    </row>
    <row r="7101" spans="1:10" x14ac:dyDescent="0.25">
      <c r="A7101" t="s">
        <v>7268</v>
      </c>
      <c r="B7101" t="s">
        <v>148</v>
      </c>
      <c r="C7101" t="s">
        <v>120</v>
      </c>
      <c r="D7101" t="s">
        <v>72</v>
      </c>
      <c r="E7101" t="s">
        <v>159</v>
      </c>
      <c r="F7101" s="1">
        <v>43007</v>
      </c>
      <c r="G7101" s="1">
        <v>43014</v>
      </c>
      <c r="H7101">
        <v>0</v>
      </c>
      <c r="I7101" t="str">
        <f>IF(COUNTIF(Products!$A$2:$A$8,C7101)=0,C7101,"")</f>
        <v/>
      </c>
      <c r="J7101">
        <f>IF(OR(E7101="Prospecting",E7101="Engaging"),VLOOKUP(C7101,Products!$A$2:$C$8,3,FALSE),0)</f>
        <v>0</v>
      </c>
    </row>
    <row r="7102" spans="1:10" x14ac:dyDescent="0.25">
      <c r="A7102" t="s">
        <v>7269</v>
      </c>
      <c r="B7102" t="s">
        <v>148</v>
      </c>
      <c r="C7102" t="s">
        <v>123</v>
      </c>
      <c r="D7102" t="s">
        <v>41</v>
      </c>
      <c r="E7102" t="s">
        <v>138</v>
      </c>
      <c r="F7102" s="1">
        <v>43007</v>
      </c>
      <c r="G7102" s="1">
        <v>43077</v>
      </c>
      <c r="H7102">
        <v>59</v>
      </c>
      <c r="I7102" t="str">
        <f>IF(COUNTIF(Products!$A$2:$A$8,C7102)=0,C7102,"")</f>
        <v/>
      </c>
      <c r="J7102">
        <f>IF(OR(E7102="Prospecting",E7102="Engaging"),VLOOKUP(C7102,Products!$A$2:$C$8,3,FALSE),0)</f>
        <v>0</v>
      </c>
    </row>
    <row r="7103" spans="1:10" x14ac:dyDescent="0.25">
      <c r="A7103" t="s">
        <v>7270</v>
      </c>
      <c r="B7103" t="s">
        <v>177</v>
      </c>
      <c r="C7103" t="s">
        <v>123</v>
      </c>
      <c r="D7103" t="s">
        <v>68</v>
      </c>
      <c r="E7103" t="s">
        <v>159</v>
      </c>
      <c r="F7103" s="1">
        <v>43007</v>
      </c>
      <c r="G7103" s="1">
        <v>43016</v>
      </c>
      <c r="H7103">
        <v>0</v>
      </c>
      <c r="I7103" t="str">
        <f>IF(COUNTIF(Products!$A$2:$A$8,C7103)=0,C7103,"")</f>
        <v/>
      </c>
      <c r="J7103">
        <f>IF(OR(E7103="Prospecting",E7103="Engaging"),VLOOKUP(C7103,Products!$A$2:$C$8,3,FALSE),0)</f>
        <v>0</v>
      </c>
    </row>
    <row r="7104" spans="1:10" x14ac:dyDescent="0.25">
      <c r="A7104" t="s">
        <v>7271</v>
      </c>
      <c r="B7104" t="s">
        <v>144</v>
      </c>
      <c r="C7104" t="s">
        <v>120</v>
      </c>
      <c r="D7104" t="s">
        <v>66</v>
      </c>
      <c r="E7104" t="s">
        <v>138</v>
      </c>
      <c r="F7104" s="1">
        <v>43007</v>
      </c>
      <c r="G7104" s="1">
        <v>43013</v>
      </c>
      <c r="H7104">
        <v>502</v>
      </c>
      <c r="I7104" t="str">
        <f>IF(COUNTIF(Products!$A$2:$A$8,C7104)=0,C7104,"")</f>
        <v/>
      </c>
      <c r="J7104">
        <f>IF(OR(E7104="Prospecting",E7104="Engaging"),VLOOKUP(C7104,Products!$A$2:$C$8,3,FALSE),0)</f>
        <v>0</v>
      </c>
    </row>
    <row r="7105" spans="1:10" x14ac:dyDescent="0.25">
      <c r="A7105" t="s">
        <v>7272</v>
      </c>
      <c r="B7105" t="s">
        <v>146</v>
      </c>
      <c r="C7105" t="s">
        <v>120</v>
      </c>
      <c r="D7105" t="s">
        <v>85</v>
      </c>
      <c r="E7105" t="s">
        <v>159</v>
      </c>
      <c r="F7105" s="1">
        <v>43008</v>
      </c>
      <c r="G7105" s="1">
        <v>43073</v>
      </c>
      <c r="H7105">
        <v>0</v>
      </c>
      <c r="I7105" t="str">
        <f>IF(COUNTIF(Products!$A$2:$A$8,C7105)=0,C7105,"")</f>
        <v/>
      </c>
      <c r="J7105">
        <f>IF(OR(E7105="Prospecting",E7105="Engaging"),VLOOKUP(C7105,Products!$A$2:$C$8,3,FALSE),0)</f>
        <v>0</v>
      </c>
    </row>
    <row r="7106" spans="1:10" x14ac:dyDescent="0.25">
      <c r="A7106" t="s">
        <v>7273</v>
      </c>
      <c r="B7106" t="s">
        <v>146</v>
      </c>
      <c r="C7106" t="s">
        <v>126</v>
      </c>
      <c r="D7106" t="s">
        <v>103</v>
      </c>
      <c r="E7106" t="s">
        <v>159</v>
      </c>
      <c r="F7106" s="1">
        <v>43008</v>
      </c>
      <c r="G7106" s="1">
        <v>43009</v>
      </c>
      <c r="H7106">
        <v>0</v>
      </c>
      <c r="I7106" t="str">
        <f>IF(COUNTIF(Products!$A$2:$A$8,C7106)=0,C7106,"")</f>
        <v/>
      </c>
      <c r="J7106">
        <f>IF(OR(E7106="Prospecting",E7106="Engaging"),VLOOKUP(C7106,Products!$A$2:$C$8,3,FALSE),0)</f>
        <v>0</v>
      </c>
    </row>
    <row r="7107" spans="1:10" x14ac:dyDescent="0.25">
      <c r="A7107" t="s">
        <v>7274</v>
      </c>
      <c r="B7107" t="s">
        <v>222</v>
      </c>
      <c r="C7107" t="s">
        <v>120</v>
      </c>
      <c r="D7107" t="s">
        <v>92</v>
      </c>
      <c r="E7107" t="s">
        <v>138</v>
      </c>
      <c r="F7107" s="1">
        <v>43008</v>
      </c>
      <c r="G7107" s="1">
        <v>43074</v>
      </c>
      <c r="H7107">
        <v>541</v>
      </c>
      <c r="I7107" t="str">
        <f>IF(COUNTIF(Products!$A$2:$A$8,C7107)=0,C7107,"")</f>
        <v/>
      </c>
      <c r="J7107">
        <f>IF(OR(E7107="Prospecting",E7107="Engaging"),VLOOKUP(C7107,Products!$A$2:$C$8,3,FALSE),0)</f>
        <v>0</v>
      </c>
    </row>
    <row r="7108" spans="1:10" x14ac:dyDescent="0.25">
      <c r="A7108" t="s">
        <v>7275</v>
      </c>
      <c r="B7108" t="s">
        <v>207</v>
      </c>
      <c r="C7108" t="s">
        <v>126</v>
      </c>
      <c r="D7108" t="s">
        <v>80</v>
      </c>
      <c r="E7108" t="s">
        <v>138</v>
      </c>
      <c r="F7108" s="1">
        <v>43008</v>
      </c>
      <c r="G7108" s="1">
        <v>43088</v>
      </c>
      <c r="H7108">
        <v>5026</v>
      </c>
      <c r="I7108" t="str">
        <f>IF(COUNTIF(Products!$A$2:$A$8,C7108)=0,C7108,"")</f>
        <v/>
      </c>
      <c r="J7108">
        <f>IF(OR(E7108="Prospecting",E7108="Engaging"),VLOOKUP(C7108,Products!$A$2:$C$8,3,FALSE),0)</f>
        <v>0</v>
      </c>
    </row>
    <row r="7109" spans="1:10" x14ac:dyDescent="0.25">
      <c r="A7109" t="s">
        <v>7276</v>
      </c>
      <c r="B7109" t="s">
        <v>264</v>
      </c>
      <c r="C7109" t="s">
        <v>125</v>
      </c>
      <c r="D7109" t="s">
        <v>36</v>
      </c>
      <c r="E7109" t="s">
        <v>138</v>
      </c>
      <c r="F7109" s="1">
        <v>43008</v>
      </c>
      <c r="G7109" s="1">
        <v>43018</v>
      </c>
      <c r="H7109">
        <v>3148</v>
      </c>
      <c r="I7109" t="str">
        <f>IF(COUNTIF(Products!$A$2:$A$8,C7109)=0,C7109,"")</f>
        <v/>
      </c>
      <c r="J7109">
        <f>IF(OR(E7109="Prospecting",E7109="Engaging"),VLOOKUP(C7109,Products!$A$2:$C$8,3,FALSE),0)</f>
        <v>0</v>
      </c>
    </row>
    <row r="7110" spans="1:10" x14ac:dyDescent="0.25">
      <c r="A7110" t="s">
        <v>7277</v>
      </c>
      <c r="B7110" t="s">
        <v>140</v>
      </c>
      <c r="C7110" t="s">
        <v>127</v>
      </c>
      <c r="D7110" t="s">
        <v>64</v>
      </c>
      <c r="E7110" t="s">
        <v>159</v>
      </c>
      <c r="F7110" s="1">
        <v>43008</v>
      </c>
      <c r="G7110" s="1">
        <v>43014</v>
      </c>
      <c r="H7110">
        <v>0</v>
      </c>
      <c r="I7110" t="str">
        <f>IF(COUNTIF(Products!$A$2:$A$8,C7110)=0,C7110,"")</f>
        <v/>
      </c>
      <c r="J7110">
        <f>IF(OR(E7110="Prospecting",E7110="Engaging"),VLOOKUP(C7110,Products!$A$2:$C$8,3,FALSE),0)</f>
        <v>0</v>
      </c>
    </row>
    <row r="7111" spans="1:10" x14ac:dyDescent="0.25">
      <c r="A7111" t="s">
        <v>7278</v>
      </c>
      <c r="B7111" t="s">
        <v>140</v>
      </c>
      <c r="C7111" t="s">
        <v>122</v>
      </c>
      <c r="D7111" t="s">
        <v>14</v>
      </c>
      <c r="E7111" t="s">
        <v>159</v>
      </c>
      <c r="F7111" s="1">
        <v>43008</v>
      </c>
      <c r="G7111" s="1">
        <v>43020</v>
      </c>
      <c r="H7111">
        <v>0</v>
      </c>
      <c r="I7111" t="str">
        <f>IF(COUNTIF(Products!$A$2:$A$8,C7111)=0,C7111,"")</f>
        <v/>
      </c>
      <c r="J7111">
        <f>IF(OR(E7111="Prospecting",E7111="Engaging"),VLOOKUP(C7111,Products!$A$2:$C$8,3,FALSE),0)</f>
        <v>0</v>
      </c>
    </row>
    <row r="7112" spans="1:10" x14ac:dyDescent="0.25">
      <c r="A7112" t="s">
        <v>7279</v>
      </c>
      <c r="B7112" t="s">
        <v>140</v>
      </c>
      <c r="C7112" t="s">
        <v>122</v>
      </c>
      <c r="D7112" t="s">
        <v>64</v>
      </c>
      <c r="E7112" t="s">
        <v>159</v>
      </c>
      <c r="F7112" s="1">
        <v>43008</v>
      </c>
      <c r="G7112" s="1">
        <v>43013</v>
      </c>
      <c r="H7112">
        <v>0</v>
      </c>
      <c r="I7112" t="str">
        <f>IF(COUNTIF(Products!$A$2:$A$8,C7112)=0,C7112,"")</f>
        <v/>
      </c>
      <c r="J7112">
        <f>IF(OR(E7112="Prospecting",E7112="Engaging"),VLOOKUP(C7112,Products!$A$2:$C$8,3,FALSE),0)</f>
        <v>0</v>
      </c>
    </row>
    <row r="7113" spans="1:10" x14ac:dyDescent="0.25">
      <c r="A7113" t="s">
        <v>7280</v>
      </c>
      <c r="B7113" t="s">
        <v>140</v>
      </c>
      <c r="C7113" t="s">
        <v>125</v>
      </c>
      <c r="D7113" t="s">
        <v>89</v>
      </c>
      <c r="E7113" t="s">
        <v>138</v>
      </c>
      <c r="F7113" s="1">
        <v>43008</v>
      </c>
      <c r="G7113" s="1">
        <v>43017</v>
      </c>
      <c r="H7113">
        <v>3006</v>
      </c>
      <c r="I7113" t="str">
        <f>IF(COUNTIF(Products!$A$2:$A$8,C7113)=0,C7113,"")</f>
        <v/>
      </c>
      <c r="J7113">
        <f>IF(OR(E7113="Prospecting",E7113="Engaging"),VLOOKUP(C7113,Products!$A$2:$C$8,3,FALSE),0)</f>
        <v>0</v>
      </c>
    </row>
    <row r="7114" spans="1:10" x14ac:dyDescent="0.25">
      <c r="A7114" t="s">
        <v>7281</v>
      </c>
      <c r="B7114" t="s">
        <v>198</v>
      </c>
      <c r="C7114" t="s">
        <v>123</v>
      </c>
      <c r="D7114" t="s">
        <v>73</v>
      </c>
      <c r="E7114" t="s">
        <v>159</v>
      </c>
      <c r="F7114" s="1">
        <v>43008</v>
      </c>
      <c r="G7114" s="1">
        <v>43088</v>
      </c>
      <c r="H7114">
        <v>0</v>
      </c>
      <c r="I7114" t="str">
        <f>IF(COUNTIF(Products!$A$2:$A$8,C7114)=0,C7114,"")</f>
        <v/>
      </c>
      <c r="J7114">
        <f>IF(OR(E7114="Prospecting",E7114="Engaging"),VLOOKUP(C7114,Products!$A$2:$C$8,3,FALSE),0)</f>
        <v>0</v>
      </c>
    </row>
    <row r="7115" spans="1:10" x14ac:dyDescent="0.25">
      <c r="A7115" t="s">
        <v>7282</v>
      </c>
      <c r="B7115" t="s">
        <v>198</v>
      </c>
      <c r="C7115" t="s">
        <v>122</v>
      </c>
      <c r="D7115" t="s">
        <v>67</v>
      </c>
      <c r="E7115" t="s">
        <v>138</v>
      </c>
      <c r="F7115" s="1">
        <v>43008</v>
      </c>
      <c r="G7115" s="1">
        <v>43015</v>
      </c>
      <c r="H7115">
        <v>5203</v>
      </c>
      <c r="I7115" t="str">
        <f>IF(COUNTIF(Products!$A$2:$A$8,C7115)=0,C7115,"")</f>
        <v/>
      </c>
      <c r="J7115">
        <f>IF(OR(E7115="Prospecting",E7115="Engaging"),VLOOKUP(C7115,Products!$A$2:$C$8,3,FALSE),0)</f>
        <v>0</v>
      </c>
    </row>
    <row r="7116" spans="1:10" x14ac:dyDescent="0.25">
      <c r="A7116" t="s">
        <v>7283</v>
      </c>
      <c r="B7116" t="s">
        <v>158</v>
      </c>
      <c r="C7116" t="s">
        <v>123</v>
      </c>
      <c r="D7116" t="s">
        <v>27</v>
      </c>
      <c r="E7116" t="s">
        <v>159</v>
      </c>
      <c r="F7116" s="1">
        <v>43008</v>
      </c>
      <c r="G7116" s="1">
        <v>43015</v>
      </c>
      <c r="H7116">
        <v>0</v>
      </c>
      <c r="I7116" t="str">
        <f>IF(COUNTIF(Products!$A$2:$A$8,C7116)=0,C7116,"")</f>
        <v/>
      </c>
      <c r="J7116">
        <f>IF(OR(E7116="Prospecting",E7116="Engaging"),VLOOKUP(C7116,Products!$A$2:$C$8,3,FALSE),0)</f>
        <v>0</v>
      </c>
    </row>
    <row r="7117" spans="1:10" x14ac:dyDescent="0.25">
      <c r="A7117" t="s">
        <v>7284</v>
      </c>
      <c r="B7117" t="s">
        <v>164</v>
      </c>
      <c r="C7117" t="s">
        <v>125</v>
      </c>
      <c r="D7117" t="s">
        <v>107</v>
      </c>
      <c r="E7117" t="s">
        <v>138</v>
      </c>
      <c r="F7117" s="1">
        <v>43008</v>
      </c>
      <c r="G7117" s="1">
        <v>43079</v>
      </c>
      <c r="H7117">
        <v>2927</v>
      </c>
      <c r="I7117" t="str">
        <f>IF(COUNTIF(Products!$A$2:$A$8,C7117)=0,C7117,"")</f>
        <v/>
      </c>
      <c r="J7117">
        <f>IF(OR(E7117="Prospecting",E7117="Engaging"),VLOOKUP(C7117,Products!$A$2:$C$8,3,FALSE),0)</f>
        <v>0</v>
      </c>
    </row>
    <row r="7118" spans="1:10" x14ac:dyDescent="0.25">
      <c r="A7118" t="s">
        <v>7285</v>
      </c>
      <c r="B7118" t="s">
        <v>154</v>
      </c>
      <c r="C7118" t="s">
        <v>126</v>
      </c>
      <c r="E7118" t="s">
        <v>155</v>
      </c>
      <c r="F7118" s="1">
        <v>43008</v>
      </c>
      <c r="I7118" t="str">
        <f>IF(COUNTIF(Products!$A$2:$A$8,C7118)=0,C7118,"")</f>
        <v/>
      </c>
      <c r="J7118">
        <f>IF(OR(E7118="Prospecting",E7118="Engaging"),VLOOKUP(C7118,Products!$A$2:$C$8,3,FALSE),0)</f>
        <v>5482</v>
      </c>
    </row>
    <row r="7119" spans="1:10" x14ac:dyDescent="0.25">
      <c r="A7119" t="s">
        <v>7286</v>
      </c>
      <c r="B7119" t="s">
        <v>191</v>
      </c>
      <c r="C7119" t="s">
        <v>120</v>
      </c>
      <c r="E7119" t="s">
        <v>155</v>
      </c>
      <c r="F7119" s="1">
        <v>43008</v>
      </c>
      <c r="I7119" t="str">
        <f>IF(COUNTIF(Products!$A$2:$A$8,C7119)=0,C7119,"")</f>
        <v/>
      </c>
      <c r="J7119">
        <f>IF(OR(E7119="Prospecting",E7119="Engaging"),VLOOKUP(C7119,Products!$A$2:$C$8,3,FALSE),0)</f>
        <v>550</v>
      </c>
    </row>
    <row r="7120" spans="1:10" x14ac:dyDescent="0.25">
      <c r="A7120" t="s">
        <v>7287</v>
      </c>
      <c r="B7120" t="s">
        <v>191</v>
      </c>
      <c r="C7120" t="s">
        <v>120</v>
      </c>
      <c r="D7120" t="s">
        <v>87</v>
      </c>
      <c r="E7120" t="s">
        <v>159</v>
      </c>
      <c r="F7120" s="1">
        <v>43008</v>
      </c>
      <c r="G7120" s="1">
        <v>43016</v>
      </c>
      <c r="H7120">
        <v>0</v>
      </c>
      <c r="I7120" t="str">
        <f>IF(COUNTIF(Products!$A$2:$A$8,C7120)=0,C7120,"")</f>
        <v/>
      </c>
      <c r="J7120">
        <f>IF(OR(E7120="Prospecting",E7120="Engaging"),VLOOKUP(C7120,Products!$A$2:$C$8,3,FALSE),0)</f>
        <v>0</v>
      </c>
    </row>
    <row r="7121" spans="1:10" x14ac:dyDescent="0.25">
      <c r="A7121" t="s">
        <v>7288</v>
      </c>
      <c r="B7121" t="s">
        <v>217</v>
      </c>
      <c r="C7121" t="s">
        <v>120</v>
      </c>
      <c r="D7121" t="s">
        <v>42</v>
      </c>
      <c r="E7121" t="s">
        <v>159</v>
      </c>
      <c r="F7121" s="1">
        <v>43008</v>
      </c>
      <c r="G7121" s="1">
        <v>43015</v>
      </c>
      <c r="H7121">
        <v>0</v>
      </c>
      <c r="I7121" t="str">
        <f>IF(COUNTIF(Products!$A$2:$A$8,C7121)=0,C7121,"")</f>
        <v/>
      </c>
      <c r="J7121">
        <f>IF(OR(E7121="Prospecting",E7121="Engaging"),VLOOKUP(C7121,Products!$A$2:$C$8,3,FALSE),0)</f>
        <v>0</v>
      </c>
    </row>
    <row r="7122" spans="1:10" x14ac:dyDescent="0.25">
      <c r="A7122" t="s">
        <v>7289</v>
      </c>
      <c r="B7122" t="s">
        <v>217</v>
      </c>
      <c r="C7122" t="s">
        <v>125</v>
      </c>
      <c r="D7122" t="s">
        <v>64</v>
      </c>
      <c r="E7122" t="s">
        <v>159</v>
      </c>
      <c r="F7122" s="1">
        <v>43008</v>
      </c>
      <c r="G7122" s="1">
        <v>43089</v>
      </c>
      <c r="H7122">
        <v>0</v>
      </c>
      <c r="I7122" t="str">
        <f>IF(COUNTIF(Products!$A$2:$A$8,C7122)=0,C7122,"")</f>
        <v/>
      </c>
      <c r="J7122">
        <f>IF(OR(E7122="Prospecting",E7122="Engaging"),VLOOKUP(C7122,Products!$A$2:$C$8,3,FALSE),0)</f>
        <v>0</v>
      </c>
    </row>
    <row r="7123" spans="1:10" x14ac:dyDescent="0.25">
      <c r="A7123" t="s">
        <v>7290</v>
      </c>
      <c r="B7123" t="s">
        <v>217</v>
      </c>
      <c r="C7123" t="s">
        <v>126</v>
      </c>
      <c r="D7123" t="s">
        <v>12</v>
      </c>
      <c r="E7123" t="s">
        <v>138</v>
      </c>
      <c r="F7123" s="1">
        <v>43008</v>
      </c>
      <c r="G7123" s="1">
        <v>43019</v>
      </c>
      <c r="H7123">
        <v>6156</v>
      </c>
      <c r="I7123" t="str">
        <f>IF(COUNTIF(Products!$A$2:$A$8,C7123)=0,C7123,"")</f>
        <v/>
      </c>
      <c r="J7123">
        <f>IF(OR(E7123="Prospecting",E7123="Engaging"),VLOOKUP(C7123,Products!$A$2:$C$8,3,FALSE),0)</f>
        <v>0</v>
      </c>
    </row>
    <row r="7124" spans="1:10" x14ac:dyDescent="0.25">
      <c r="A7124" t="s">
        <v>7291</v>
      </c>
      <c r="B7124" t="s">
        <v>205</v>
      </c>
      <c r="C7124" t="s">
        <v>122</v>
      </c>
      <c r="D7124" t="s">
        <v>77</v>
      </c>
      <c r="E7124" t="s">
        <v>138</v>
      </c>
      <c r="F7124" s="1">
        <v>43008</v>
      </c>
      <c r="G7124" s="1">
        <v>43017</v>
      </c>
      <c r="H7124">
        <v>5007</v>
      </c>
      <c r="I7124" t="str">
        <f>IF(COUNTIF(Products!$A$2:$A$8,C7124)=0,C7124,"")</f>
        <v/>
      </c>
      <c r="J7124">
        <f>IF(OR(E7124="Prospecting",E7124="Engaging"),VLOOKUP(C7124,Products!$A$2:$C$8,3,FALSE),0)</f>
        <v>0</v>
      </c>
    </row>
    <row r="7125" spans="1:10" x14ac:dyDescent="0.25">
      <c r="A7125" t="s">
        <v>7292</v>
      </c>
      <c r="B7125" t="s">
        <v>162</v>
      </c>
      <c r="C7125" t="s">
        <v>126</v>
      </c>
      <c r="E7125" t="s">
        <v>155</v>
      </c>
      <c r="F7125" s="1">
        <v>43008</v>
      </c>
      <c r="I7125" t="str">
        <f>IF(COUNTIF(Products!$A$2:$A$8,C7125)=0,C7125,"")</f>
        <v/>
      </c>
      <c r="J7125">
        <f>IF(OR(E7125="Prospecting",E7125="Engaging"),VLOOKUP(C7125,Products!$A$2:$C$8,3,FALSE),0)</f>
        <v>5482</v>
      </c>
    </row>
    <row r="7126" spans="1:10" x14ac:dyDescent="0.25">
      <c r="A7126" t="s">
        <v>7293</v>
      </c>
      <c r="B7126" t="s">
        <v>162</v>
      </c>
      <c r="C7126" t="s">
        <v>123</v>
      </c>
      <c r="D7126" t="s">
        <v>90</v>
      </c>
      <c r="E7126" t="s">
        <v>138</v>
      </c>
      <c r="F7126" s="1">
        <v>43008</v>
      </c>
      <c r="G7126" s="1">
        <v>43075</v>
      </c>
      <c r="H7126">
        <v>59</v>
      </c>
      <c r="I7126" t="str">
        <f>IF(COUNTIF(Products!$A$2:$A$8,C7126)=0,C7126,"")</f>
        <v/>
      </c>
      <c r="J7126">
        <f>IF(OR(E7126="Prospecting",E7126="Engaging"),VLOOKUP(C7126,Products!$A$2:$C$8,3,FALSE),0)</f>
        <v>0</v>
      </c>
    </row>
    <row r="7127" spans="1:10" x14ac:dyDescent="0.25">
      <c r="A7127" t="s">
        <v>7294</v>
      </c>
      <c r="B7127" t="s">
        <v>137</v>
      </c>
      <c r="C7127" t="s">
        <v>120</v>
      </c>
      <c r="D7127" t="s">
        <v>22</v>
      </c>
      <c r="E7127" t="s">
        <v>138</v>
      </c>
      <c r="F7127" s="1">
        <v>43008</v>
      </c>
      <c r="G7127" s="1">
        <v>43015</v>
      </c>
      <c r="H7127">
        <v>549</v>
      </c>
      <c r="I7127" t="str">
        <f>IF(COUNTIF(Products!$A$2:$A$8,C7127)=0,C7127,"")</f>
        <v/>
      </c>
      <c r="J7127">
        <f>IF(OR(E7127="Prospecting",E7127="Engaging"),VLOOKUP(C7127,Products!$A$2:$C$8,3,FALSE),0)</f>
        <v>0</v>
      </c>
    </row>
    <row r="7128" spans="1:10" x14ac:dyDescent="0.25">
      <c r="A7128" t="s">
        <v>7295</v>
      </c>
      <c r="B7128" t="s">
        <v>152</v>
      </c>
      <c r="C7128" t="s">
        <v>127</v>
      </c>
      <c r="D7128" t="s">
        <v>64</v>
      </c>
      <c r="E7128" t="s">
        <v>138</v>
      </c>
      <c r="F7128" s="1">
        <v>43008</v>
      </c>
      <c r="G7128" s="1">
        <v>43066</v>
      </c>
      <c r="H7128">
        <v>1117</v>
      </c>
      <c r="I7128" t="str">
        <f>IF(COUNTIF(Products!$A$2:$A$8,C7128)=0,C7128,"")</f>
        <v/>
      </c>
      <c r="J7128">
        <f>IF(OR(E7128="Prospecting",E7128="Engaging"),VLOOKUP(C7128,Products!$A$2:$C$8,3,FALSE),0)</f>
        <v>0</v>
      </c>
    </row>
    <row r="7129" spans="1:10" x14ac:dyDescent="0.25">
      <c r="A7129" t="s">
        <v>7296</v>
      </c>
      <c r="B7129" t="s">
        <v>169</v>
      </c>
      <c r="C7129" t="s">
        <v>123</v>
      </c>
      <c r="D7129" t="s">
        <v>94</v>
      </c>
      <c r="E7129" t="s">
        <v>138</v>
      </c>
      <c r="F7129" s="1">
        <v>43008</v>
      </c>
      <c r="G7129" s="1">
        <v>43016</v>
      </c>
      <c r="H7129">
        <v>57</v>
      </c>
      <c r="I7129" t="str">
        <f>IF(COUNTIF(Products!$A$2:$A$8,C7129)=0,C7129,"")</f>
        <v/>
      </c>
      <c r="J7129">
        <f>IF(OR(E7129="Prospecting",E7129="Engaging"),VLOOKUP(C7129,Products!$A$2:$C$8,3,FALSE),0)</f>
        <v>0</v>
      </c>
    </row>
    <row r="7130" spans="1:10" x14ac:dyDescent="0.25">
      <c r="A7130" t="s">
        <v>7297</v>
      </c>
      <c r="B7130" t="s">
        <v>148</v>
      </c>
      <c r="C7130" t="s">
        <v>126</v>
      </c>
      <c r="D7130" t="s">
        <v>104</v>
      </c>
      <c r="E7130" t="s">
        <v>155</v>
      </c>
      <c r="F7130" s="1">
        <v>43008</v>
      </c>
      <c r="I7130" t="str">
        <f>IF(COUNTIF(Products!$A$2:$A$8,C7130)=0,C7130,"")</f>
        <v/>
      </c>
      <c r="J7130">
        <f>IF(OR(E7130="Prospecting",E7130="Engaging"),VLOOKUP(C7130,Products!$A$2:$C$8,3,FALSE),0)</f>
        <v>5482</v>
      </c>
    </row>
    <row r="7131" spans="1:10" x14ac:dyDescent="0.25">
      <c r="A7131" t="s">
        <v>7298</v>
      </c>
      <c r="B7131" t="s">
        <v>148</v>
      </c>
      <c r="C7131" t="s">
        <v>120</v>
      </c>
      <c r="D7131" t="s">
        <v>72</v>
      </c>
      <c r="E7131" t="s">
        <v>159</v>
      </c>
      <c r="F7131" s="1">
        <v>43008</v>
      </c>
      <c r="G7131" s="1">
        <v>43017</v>
      </c>
      <c r="H7131">
        <v>0</v>
      </c>
      <c r="I7131" t="str">
        <f>IF(COUNTIF(Products!$A$2:$A$8,C7131)=0,C7131,"")</f>
        <v/>
      </c>
      <c r="J7131">
        <f>IF(OR(E7131="Prospecting",E7131="Engaging"),VLOOKUP(C7131,Products!$A$2:$C$8,3,FALSE),0)</f>
        <v>0</v>
      </c>
    </row>
    <row r="7132" spans="1:10" x14ac:dyDescent="0.25">
      <c r="A7132" t="s">
        <v>7299</v>
      </c>
      <c r="B7132" t="s">
        <v>177</v>
      </c>
      <c r="C7132" t="s">
        <v>123</v>
      </c>
      <c r="D7132" t="s">
        <v>7</v>
      </c>
      <c r="E7132" t="s">
        <v>159</v>
      </c>
      <c r="F7132" s="1">
        <v>43008</v>
      </c>
      <c r="G7132" s="1">
        <v>43016</v>
      </c>
      <c r="H7132">
        <v>0</v>
      </c>
      <c r="I7132" t="str">
        <f>IF(COUNTIF(Products!$A$2:$A$8,C7132)=0,C7132,"")</f>
        <v/>
      </c>
      <c r="J7132">
        <f>IF(OR(E7132="Prospecting",E7132="Engaging"),VLOOKUP(C7132,Products!$A$2:$C$8,3,FALSE),0)</f>
        <v>0</v>
      </c>
    </row>
    <row r="7133" spans="1:10" x14ac:dyDescent="0.25">
      <c r="A7133" t="s">
        <v>7300</v>
      </c>
      <c r="B7133" t="s">
        <v>177</v>
      </c>
      <c r="C7133" t="s">
        <v>123</v>
      </c>
      <c r="D7133" t="s">
        <v>92</v>
      </c>
      <c r="E7133" t="s">
        <v>138</v>
      </c>
      <c r="F7133" s="1">
        <v>43008</v>
      </c>
      <c r="G7133" s="1">
        <v>43093</v>
      </c>
      <c r="H7133">
        <v>55</v>
      </c>
      <c r="I7133" t="str">
        <f>IF(COUNTIF(Products!$A$2:$A$8,C7133)=0,C7133,"")</f>
        <v/>
      </c>
      <c r="J7133">
        <f>IF(OR(E7133="Prospecting",E7133="Engaging"),VLOOKUP(C7133,Products!$A$2:$C$8,3,FALSE),0)</f>
        <v>0</v>
      </c>
    </row>
    <row r="7134" spans="1:10" x14ac:dyDescent="0.25">
      <c r="A7134" t="s">
        <v>7301</v>
      </c>
      <c r="B7134" t="s">
        <v>177</v>
      </c>
      <c r="C7134" t="s">
        <v>123</v>
      </c>
      <c r="D7134" t="s">
        <v>105</v>
      </c>
      <c r="E7134" t="s">
        <v>138</v>
      </c>
      <c r="F7134" s="1">
        <v>43008</v>
      </c>
      <c r="G7134" s="1">
        <v>43091</v>
      </c>
      <c r="H7134">
        <v>63</v>
      </c>
      <c r="I7134" t="str">
        <f>IF(COUNTIF(Products!$A$2:$A$8,C7134)=0,C7134,"")</f>
        <v/>
      </c>
      <c r="J7134">
        <f>IF(OR(E7134="Prospecting",E7134="Engaging"),VLOOKUP(C7134,Products!$A$2:$C$8,3,FALSE),0)</f>
        <v>0</v>
      </c>
    </row>
    <row r="7135" spans="1:10" x14ac:dyDescent="0.25">
      <c r="A7135" t="s">
        <v>7302</v>
      </c>
      <c r="B7135" t="s">
        <v>144</v>
      </c>
      <c r="C7135" t="s">
        <v>127</v>
      </c>
      <c r="D7135" t="s">
        <v>87</v>
      </c>
      <c r="E7135" t="s">
        <v>138</v>
      </c>
      <c r="F7135" s="1">
        <v>43008</v>
      </c>
      <c r="G7135" s="1">
        <v>43016</v>
      </c>
      <c r="H7135">
        <v>1108</v>
      </c>
      <c r="I7135" t="str">
        <f>IF(COUNTIF(Products!$A$2:$A$8,C7135)=0,C7135,"")</f>
        <v/>
      </c>
      <c r="J7135">
        <f>IF(OR(E7135="Prospecting",E7135="Engaging"),VLOOKUP(C7135,Products!$A$2:$C$8,3,FALSE),0)</f>
        <v>0</v>
      </c>
    </row>
    <row r="7136" spans="1:10" x14ac:dyDescent="0.25">
      <c r="A7136" t="s">
        <v>7303</v>
      </c>
      <c r="B7136" t="s">
        <v>144</v>
      </c>
      <c r="C7136" t="s">
        <v>127</v>
      </c>
      <c r="D7136" t="s">
        <v>109</v>
      </c>
      <c r="E7136" t="s">
        <v>138</v>
      </c>
      <c r="F7136" s="1">
        <v>43008</v>
      </c>
      <c r="G7136" s="1">
        <v>43079</v>
      </c>
      <c r="H7136">
        <v>944</v>
      </c>
      <c r="I7136" t="str">
        <f>IF(COUNTIF(Products!$A$2:$A$8,C7136)=0,C7136,"")</f>
        <v/>
      </c>
      <c r="J7136">
        <f>IF(OR(E7136="Prospecting",E7136="Engaging"),VLOOKUP(C7136,Products!$A$2:$C$8,3,FALSE),0)</f>
        <v>0</v>
      </c>
    </row>
    <row r="7137" spans="1:10" x14ac:dyDescent="0.25">
      <c r="A7137" t="s">
        <v>7304</v>
      </c>
      <c r="B7137" t="s">
        <v>146</v>
      </c>
      <c r="C7137" t="s">
        <v>120</v>
      </c>
      <c r="D7137" t="s">
        <v>42</v>
      </c>
      <c r="E7137" t="s">
        <v>159</v>
      </c>
      <c r="F7137" s="1">
        <v>43009</v>
      </c>
      <c r="G7137" s="1">
        <v>43019</v>
      </c>
      <c r="H7137">
        <v>0</v>
      </c>
      <c r="I7137" t="str">
        <f>IF(COUNTIF(Products!$A$2:$A$8,C7137)=0,C7137,"")</f>
        <v/>
      </c>
      <c r="J7137">
        <f>IF(OR(E7137="Prospecting",E7137="Engaging"),VLOOKUP(C7137,Products!$A$2:$C$8,3,FALSE),0)</f>
        <v>0</v>
      </c>
    </row>
    <row r="7138" spans="1:10" x14ac:dyDescent="0.25">
      <c r="A7138" t="s">
        <v>7305</v>
      </c>
      <c r="B7138" t="s">
        <v>222</v>
      </c>
      <c r="C7138" t="s">
        <v>125</v>
      </c>
      <c r="D7138" t="s">
        <v>102</v>
      </c>
      <c r="E7138" t="s">
        <v>159</v>
      </c>
      <c r="F7138" s="1">
        <v>43009</v>
      </c>
      <c r="G7138" s="1">
        <v>43014</v>
      </c>
      <c r="H7138">
        <v>0</v>
      </c>
      <c r="I7138" t="str">
        <f>IF(COUNTIF(Products!$A$2:$A$8,C7138)=0,C7138,"")</f>
        <v/>
      </c>
      <c r="J7138">
        <f>IF(OR(E7138="Prospecting",E7138="Engaging"),VLOOKUP(C7138,Products!$A$2:$C$8,3,FALSE),0)</f>
        <v>0</v>
      </c>
    </row>
    <row r="7139" spans="1:10" x14ac:dyDescent="0.25">
      <c r="A7139" t="s">
        <v>7306</v>
      </c>
      <c r="B7139" t="s">
        <v>207</v>
      </c>
      <c r="C7139" t="s">
        <v>120</v>
      </c>
      <c r="D7139" t="s">
        <v>90</v>
      </c>
      <c r="E7139" t="s">
        <v>155</v>
      </c>
      <c r="F7139" s="1">
        <v>43009</v>
      </c>
      <c r="I7139" t="str">
        <f>IF(COUNTIF(Products!$A$2:$A$8,C7139)=0,C7139,"")</f>
        <v/>
      </c>
      <c r="J7139">
        <f>IF(OR(E7139="Prospecting",E7139="Engaging"),VLOOKUP(C7139,Products!$A$2:$C$8,3,FALSE),0)</f>
        <v>550</v>
      </c>
    </row>
    <row r="7140" spans="1:10" x14ac:dyDescent="0.25">
      <c r="A7140" t="s">
        <v>7307</v>
      </c>
      <c r="B7140" t="s">
        <v>207</v>
      </c>
      <c r="C7140" t="s">
        <v>127</v>
      </c>
      <c r="D7140" t="s">
        <v>23</v>
      </c>
      <c r="E7140" t="s">
        <v>155</v>
      </c>
      <c r="F7140" s="1">
        <v>43009</v>
      </c>
      <c r="I7140" t="str">
        <f>IF(COUNTIF(Products!$A$2:$A$8,C7140)=0,C7140,"")</f>
        <v/>
      </c>
      <c r="J7140">
        <f>IF(OR(E7140="Prospecting",E7140="Engaging"),VLOOKUP(C7140,Products!$A$2:$C$8,3,FALSE),0)</f>
        <v>1096</v>
      </c>
    </row>
    <row r="7141" spans="1:10" x14ac:dyDescent="0.25">
      <c r="A7141" t="s">
        <v>7308</v>
      </c>
      <c r="B7141" t="s">
        <v>207</v>
      </c>
      <c r="C7141" t="s">
        <v>120</v>
      </c>
      <c r="D7141" t="s">
        <v>69</v>
      </c>
      <c r="E7141" t="s">
        <v>159</v>
      </c>
      <c r="F7141" s="1">
        <v>43009</v>
      </c>
      <c r="G7141" s="1">
        <v>43070</v>
      </c>
      <c r="H7141">
        <v>0</v>
      </c>
      <c r="I7141" t="str">
        <f>IF(COUNTIF(Products!$A$2:$A$8,C7141)=0,C7141,"")</f>
        <v/>
      </c>
      <c r="J7141">
        <f>IF(OR(E7141="Prospecting",E7141="Engaging"),VLOOKUP(C7141,Products!$A$2:$C$8,3,FALSE),0)</f>
        <v>0</v>
      </c>
    </row>
    <row r="7142" spans="1:10" x14ac:dyDescent="0.25">
      <c r="A7142" t="s">
        <v>7309</v>
      </c>
      <c r="B7142" t="s">
        <v>264</v>
      </c>
      <c r="C7142" t="s">
        <v>126</v>
      </c>
      <c r="D7142" t="s">
        <v>96</v>
      </c>
      <c r="E7142" t="s">
        <v>138</v>
      </c>
      <c r="F7142" s="1">
        <v>43009</v>
      </c>
      <c r="G7142" s="1">
        <v>43079</v>
      </c>
      <c r="H7142">
        <v>3704</v>
      </c>
      <c r="I7142" t="str">
        <f>IF(COUNTIF(Products!$A$2:$A$8,C7142)=0,C7142,"")</f>
        <v/>
      </c>
      <c r="J7142">
        <f>IF(OR(E7142="Prospecting",E7142="Engaging"),VLOOKUP(C7142,Products!$A$2:$C$8,3,FALSE),0)</f>
        <v>0</v>
      </c>
    </row>
    <row r="7143" spans="1:10" x14ac:dyDescent="0.25">
      <c r="A7143" t="s">
        <v>7310</v>
      </c>
      <c r="B7143" t="s">
        <v>239</v>
      </c>
      <c r="C7143" t="s">
        <v>126</v>
      </c>
      <c r="D7143" t="s">
        <v>69</v>
      </c>
      <c r="E7143" t="s">
        <v>159</v>
      </c>
      <c r="F7143" s="1">
        <v>43009</v>
      </c>
      <c r="G7143" s="1">
        <v>43015</v>
      </c>
      <c r="H7143">
        <v>0</v>
      </c>
      <c r="I7143" t="str">
        <f>IF(COUNTIF(Products!$A$2:$A$8,C7143)=0,C7143,"")</f>
        <v/>
      </c>
      <c r="J7143">
        <f>IF(OR(E7143="Prospecting",E7143="Engaging"),VLOOKUP(C7143,Products!$A$2:$C$8,3,FALSE),0)</f>
        <v>0</v>
      </c>
    </row>
    <row r="7144" spans="1:10" x14ac:dyDescent="0.25">
      <c r="A7144" t="s">
        <v>7311</v>
      </c>
      <c r="B7144" t="s">
        <v>239</v>
      </c>
      <c r="C7144" t="s">
        <v>127</v>
      </c>
      <c r="D7144" t="s">
        <v>35</v>
      </c>
      <c r="E7144" t="s">
        <v>138</v>
      </c>
      <c r="F7144" s="1">
        <v>43009</v>
      </c>
      <c r="G7144" s="1">
        <v>43011</v>
      </c>
      <c r="H7144">
        <v>1076</v>
      </c>
      <c r="I7144" t="str">
        <f>IF(COUNTIF(Products!$A$2:$A$8,C7144)=0,C7144,"")</f>
        <v/>
      </c>
      <c r="J7144">
        <f>IF(OR(E7144="Prospecting",E7144="Engaging"),VLOOKUP(C7144,Products!$A$2:$C$8,3,FALSE),0)</f>
        <v>0</v>
      </c>
    </row>
    <row r="7145" spans="1:10" x14ac:dyDescent="0.25">
      <c r="A7145" t="s">
        <v>7312</v>
      </c>
      <c r="B7145" t="s">
        <v>239</v>
      </c>
      <c r="C7145" t="s">
        <v>126</v>
      </c>
      <c r="D7145" t="s">
        <v>73</v>
      </c>
      <c r="E7145" t="s">
        <v>138</v>
      </c>
      <c r="F7145" s="1">
        <v>43009</v>
      </c>
      <c r="G7145" s="1">
        <v>43087</v>
      </c>
      <c r="H7145">
        <v>5528</v>
      </c>
      <c r="I7145" t="str">
        <f>IF(COUNTIF(Products!$A$2:$A$8,C7145)=0,C7145,"")</f>
        <v/>
      </c>
      <c r="J7145">
        <f>IF(OR(E7145="Prospecting",E7145="Engaging"),VLOOKUP(C7145,Products!$A$2:$C$8,3,FALSE),0)</f>
        <v>0</v>
      </c>
    </row>
    <row r="7146" spans="1:10" x14ac:dyDescent="0.25">
      <c r="A7146" t="s">
        <v>7313</v>
      </c>
      <c r="B7146" t="s">
        <v>171</v>
      </c>
      <c r="C7146" t="s">
        <v>127</v>
      </c>
      <c r="D7146" t="s">
        <v>108</v>
      </c>
      <c r="E7146" t="s">
        <v>155</v>
      </c>
      <c r="F7146" s="1">
        <v>43009</v>
      </c>
      <c r="I7146" t="str">
        <f>IF(COUNTIF(Products!$A$2:$A$8,C7146)=0,C7146,"")</f>
        <v/>
      </c>
      <c r="J7146">
        <f>IF(OR(E7146="Prospecting",E7146="Engaging"),VLOOKUP(C7146,Products!$A$2:$C$8,3,FALSE),0)</f>
        <v>1096</v>
      </c>
    </row>
    <row r="7147" spans="1:10" x14ac:dyDescent="0.25">
      <c r="A7147" t="s">
        <v>7314</v>
      </c>
      <c r="B7147" t="s">
        <v>171</v>
      </c>
      <c r="C7147" t="s">
        <v>127</v>
      </c>
      <c r="D7147" t="s">
        <v>63</v>
      </c>
      <c r="E7147" t="s">
        <v>159</v>
      </c>
      <c r="F7147" s="1">
        <v>43009</v>
      </c>
      <c r="G7147" s="1">
        <v>43018</v>
      </c>
      <c r="H7147">
        <v>0</v>
      </c>
      <c r="I7147" t="str">
        <f>IF(COUNTIF(Products!$A$2:$A$8,C7147)=0,C7147,"")</f>
        <v/>
      </c>
      <c r="J7147">
        <f>IF(OR(E7147="Prospecting",E7147="Engaging"),VLOOKUP(C7147,Products!$A$2:$C$8,3,FALSE),0)</f>
        <v>0</v>
      </c>
    </row>
    <row r="7148" spans="1:10" x14ac:dyDescent="0.25">
      <c r="A7148" t="s">
        <v>7315</v>
      </c>
      <c r="B7148" t="s">
        <v>171</v>
      </c>
      <c r="C7148" t="s">
        <v>122</v>
      </c>
      <c r="D7148" t="s">
        <v>110</v>
      </c>
      <c r="E7148" t="s">
        <v>159</v>
      </c>
      <c r="F7148" s="1">
        <v>43009</v>
      </c>
      <c r="G7148" s="1">
        <v>43070</v>
      </c>
      <c r="H7148">
        <v>0</v>
      </c>
      <c r="I7148" t="str">
        <f>IF(COUNTIF(Products!$A$2:$A$8,C7148)=0,C7148,"")</f>
        <v/>
      </c>
      <c r="J7148">
        <f>IF(OR(E7148="Prospecting",E7148="Engaging"),VLOOKUP(C7148,Products!$A$2:$C$8,3,FALSE),0)</f>
        <v>0</v>
      </c>
    </row>
    <row r="7149" spans="1:10" x14ac:dyDescent="0.25">
      <c r="A7149" t="s">
        <v>7316</v>
      </c>
      <c r="B7149" t="s">
        <v>140</v>
      </c>
      <c r="C7149" t="s">
        <v>122</v>
      </c>
      <c r="D7149" t="s">
        <v>89</v>
      </c>
      <c r="E7149" t="s">
        <v>159</v>
      </c>
      <c r="F7149" s="1">
        <v>43009</v>
      </c>
      <c r="G7149" s="1">
        <v>43016</v>
      </c>
      <c r="H7149">
        <v>0</v>
      </c>
      <c r="I7149" t="str">
        <f>IF(COUNTIF(Products!$A$2:$A$8,C7149)=0,C7149,"")</f>
        <v/>
      </c>
      <c r="J7149">
        <f>IF(OR(E7149="Prospecting",E7149="Engaging"),VLOOKUP(C7149,Products!$A$2:$C$8,3,FALSE),0)</f>
        <v>0</v>
      </c>
    </row>
    <row r="7150" spans="1:10" x14ac:dyDescent="0.25">
      <c r="A7150" t="s">
        <v>7317</v>
      </c>
      <c r="B7150" t="s">
        <v>140</v>
      </c>
      <c r="C7150" t="s">
        <v>122</v>
      </c>
      <c r="D7150" t="s">
        <v>53</v>
      </c>
      <c r="E7150" t="s">
        <v>138</v>
      </c>
      <c r="F7150" s="1">
        <v>43009</v>
      </c>
      <c r="G7150" s="1">
        <v>43017</v>
      </c>
      <c r="H7150">
        <v>4594</v>
      </c>
      <c r="I7150" t="str">
        <f>IF(COUNTIF(Products!$A$2:$A$8,C7150)=0,C7150,"")</f>
        <v/>
      </c>
      <c r="J7150">
        <f>IF(OR(E7150="Prospecting",E7150="Engaging"),VLOOKUP(C7150,Products!$A$2:$C$8,3,FALSE),0)</f>
        <v>0</v>
      </c>
    </row>
    <row r="7151" spans="1:10" x14ac:dyDescent="0.25">
      <c r="A7151" t="s">
        <v>7318</v>
      </c>
      <c r="B7151" t="s">
        <v>140</v>
      </c>
      <c r="C7151" t="s">
        <v>122</v>
      </c>
      <c r="D7151" t="s">
        <v>91</v>
      </c>
      <c r="E7151" t="s">
        <v>138</v>
      </c>
      <c r="F7151" s="1">
        <v>43009</v>
      </c>
      <c r="G7151" s="1">
        <v>43075</v>
      </c>
      <c r="H7151">
        <v>6166</v>
      </c>
      <c r="I7151" t="str">
        <f>IF(COUNTIF(Products!$A$2:$A$8,C7151)=0,C7151,"")</f>
        <v/>
      </c>
      <c r="J7151">
        <f>IF(OR(E7151="Prospecting",E7151="Engaging"),VLOOKUP(C7151,Products!$A$2:$C$8,3,FALSE),0)</f>
        <v>0</v>
      </c>
    </row>
    <row r="7152" spans="1:10" x14ac:dyDescent="0.25">
      <c r="A7152" t="s">
        <v>7319</v>
      </c>
      <c r="B7152" t="s">
        <v>224</v>
      </c>
      <c r="C7152" t="s">
        <v>120</v>
      </c>
      <c r="D7152" t="s">
        <v>68</v>
      </c>
      <c r="E7152" t="s">
        <v>159</v>
      </c>
      <c r="F7152" s="1">
        <v>43009</v>
      </c>
      <c r="G7152" s="1">
        <v>43015</v>
      </c>
      <c r="H7152">
        <v>0</v>
      </c>
      <c r="I7152" t="str">
        <f>IF(COUNTIF(Products!$A$2:$A$8,C7152)=0,C7152,"")</f>
        <v/>
      </c>
      <c r="J7152">
        <f>IF(OR(E7152="Prospecting",E7152="Engaging"),VLOOKUP(C7152,Products!$A$2:$C$8,3,FALSE),0)</f>
        <v>0</v>
      </c>
    </row>
    <row r="7153" spans="1:10" x14ac:dyDescent="0.25">
      <c r="A7153" t="s">
        <v>7320</v>
      </c>
      <c r="B7153" t="s">
        <v>224</v>
      </c>
      <c r="C7153" t="s">
        <v>126</v>
      </c>
      <c r="D7153" t="s">
        <v>19</v>
      </c>
      <c r="E7153" t="s">
        <v>138</v>
      </c>
      <c r="F7153" s="1">
        <v>43009</v>
      </c>
      <c r="G7153" s="1">
        <v>43099</v>
      </c>
      <c r="H7153">
        <v>5270</v>
      </c>
      <c r="I7153" t="str">
        <f>IF(COUNTIF(Products!$A$2:$A$8,C7153)=0,C7153,"")</f>
        <v/>
      </c>
      <c r="J7153">
        <f>IF(OR(E7153="Prospecting",E7153="Engaging"),VLOOKUP(C7153,Products!$A$2:$C$8,3,FALSE),0)</f>
        <v>0</v>
      </c>
    </row>
    <row r="7154" spans="1:10" x14ac:dyDescent="0.25">
      <c r="A7154" t="s">
        <v>7321</v>
      </c>
      <c r="B7154" t="s">
        <v>198</v>
      </c>
      <c r="C7154" t="s">
        <v>126</v>
      </c>
      <c r="D7154" t="s">
        <v>98</v>
      </c>
      <c r="E7154" t="s">
        <v>159</v>
      </c>
      <c r="F7154" s="1">
        <v>43009</v>
      </c>
      <c r="G7154" s="1">
        <v>43056</v>
      </c>
      <c r="H7154">
        <v>0</v>
      </c>
      <c r="I7154" t="str">
        <f>IF(COUNTIF(Products!$A$2:$A$8,C7154)=0,C7154,"")</f>
        <v/>
      </c>
      <c r="J7154">
        <f>IF(OR(E7154="Prospecting",E7154="Engaging"),VLOOKUP(C7154,Products!$A$2:$C$8,3,FALSE),0)</f>
        <v>0</v>
      </c>
    </row>
    <row r="7155" spans="1:10" x14ac:dyDescent="0.25">
      <c r="A7155" t="s">
        <v>7322</v>
      </c>
      <c r="B7155" t="s">
        <v>164</v>
      </c>
      <c r="C7155" t="s">
        <v>127</v>
      </c>
      <c r="D7155" t="s">
        <v>107</v>
      </c>
      <c r="E7155" t="s">
        <v>159</v>
      </c>
      <c r="F7155" s="1">
        <v>43009</v>
      </c>
      <c r="G7155" s="1">
        <v>43016</v>
      </c>
      <c r="H7155">
        <v>0</v>
      </c>
      <c r="I7155" t="str">
        <f>IF(COUNTIF(Products!$A$2:$A$8,C7155)=0,C7155,"")</f>
        <v/>
      </c>
      <c r="J7155">
        <f>IF(OR(E7155="Prospecting",E7155="Engaging"),VLOOKUP(C7155,Products!$A$2:$C$8,3,FALSE),0)</f>
        <v>0</v>
      </c>
    </row>
    <row r="7156" spans="1:10" x14ac:dyDescent="0.25">
      <c r="A7156" t="s">
        <v>7323</v>
      </c>
      <c r="B7156" t="s">
        <v>164</v>
      </c>
      <c r="C7156" t="s">
        <v>125</v>
      </c>
      <c r="D7156" t="s">
        <v>23</v>
      </c>
      <c r="E7156" t="s">
        <v>138</v>
      </c>
      <c r="F7156" s="1">
        <v>43009</v>
      </c>
      <c r="G7156" s="1">
        <v>43013</v>
      </c>
      <c r="H7156">
        <v>3169</v>
      </c>
      <c r="I7156" t="str">
        <f>IF(COUNTIF(Products!$A$2:$A$8,C7156)=0,C7156,"")</f>
        <v/>
      </c>
      <c r="J7156">
        <f>IF(OR(E7156="Prospecting",E7156="Engaging"),VLOOKUP(C7156,Products!$A$2:$C$8,3,FALSE),0)</f>
        <v>0</v>
      </c>
    </row>
    <row r="7157" spans="1:10" x14ac:dyDescent="0.25">
      <c r="A7157" t="s">
        <v>7324</v>
      </c>
      <c r="B7157" t="s">
        <v>303</v>
      </c>
      <c r="C7157" t="s">
        <v>120</v>
      </c>
      <c r="D7157" t="s">
        <v>104</v>
      </c>
      <c r="E7157" t="s">
        <v>138</v>
      </c>
      <c r="F7157" s="1">
        <v>43009</v>
      </c>
      <c r="G7157" s="1">
        <v>43063</v>
      </c>
      <c r="H7157">
        <v>571</v>
      </c>
      <c r="I7157" t="str">
        <f>IF(COUNTIF(Products!$A$2:$A$8,C7157)=0,C7157,"")</f>
        <v/>
      </c>
      <c r="J7157">
        <f>IF(OR(E7157="Prospecting",E7157="Engaging"),VLOOKUP(C7157,Products!$A$2:$C$8,3,FALSE),0)</f>
        <v>0</v>
      </c>
    </row>
    <row r="7158" spans="1:10" x14ac:dyDescent="0.25">
      <c r="A7158" t="s">
        <v>7325</v>
      </c>
      <c r="B7158" t="s">
        <v>180</v>
      </c>
      <c r="C7158" t="s">
        <v>120</v>
      </c>
      <c r="D7158" t="s">
        <v>56</v>
      </c>
      <c r="E7158" t="s">
        <v>159</v>
      </c>
      <c r="F7158" s="1">
        <v>43009</v>
      </c>
      <c r="G7158" s="1">
        <v>43072</v>
      </c>
      <c r="H7158">
        <v>0</v>
      </c>
      <c r="I7158" t="str">
        <f>IF(COUNTIF(Products!$A$2:$A$8,C7158)=0,C7158,"")</f>
        <v/>
      </c>
      <c r="J7158">
        <f>IF(OR(E7158="Prospecting",E7158="Engaging"),VLOOKUP(C7158,Products!$A$2:$C$8,3,FALSE),0)</f>
        <v>0</v>
      </c>
    </row>
    <row r="7159" spans="1:10" x14ac:dyDescent="0.25">
      <c r="A7159" t="s">
        <v>7326</v>
      </c>
      <c r="B7159" t="s">
        <v>180</v>
      </c>
      <c r="C7159" t="s">
        <v>126</v>
      </c>
      <c r="D7159" t="s">
        <v>57</v>
      </c>
      <c r="E7159" t="s">
        <v>138</v>
      </c>
      <c r="F7159" s="1">
        <v>43009</v>
      </c>
      <c r="G7159" s="1">
        <v>43021</v>
      </c>
      <c r="H7159">
        <v>6304</v>
      </c>
      <c r="I7159" t="str">
        <f>IF(COUNTIF(Products!$A$2:$A$8,C7159)=0,C7159,"")</f>
        <v/>
      </c>
      <c r="J7159">
        <f>IF(OR(E7159="Prospecting",E7159="Engaging"),VLOOKUP(C7159,Products!$A$2:$C$8,3,FALSE),0)</f>
        <v>0</v>
      </c>
    </row>
    <row r="7160" spans="1:10" x14ac:dyDescent="0.25">
      <c r="A7160" t="s">
        <v>7327</v>
      </c>
      <c r="B7160" t="s">
        <v>150</v>
      </c>
      <c r="C7160" t="s">
        <v>123</v>
      </c>
      <c r="D7160" t="s">
        <v>7</v>
      </c>
      <c r="E7160" t="s">
        <v>155</v>
      </c>
      <c r="F7160" s="1">
        <v>43009</v>
      </c>
      <c r="I7160" t="str">
        <f>IF(COUNTIF(Products!$A$2:$A$8,C7160)=0,C7160,"")</f>
        <v/>
      </c>
      <c r="J7160">
        <f>IF(OR(E7160="Prospecting",E7160="Engaging"),VLOOKUP(C7160,Products!$A$2:$C$8,3,FALSE),0)</f>
        <v>55</v>
      </c>
    </row>
    <row r="7161" spans="1:10" x14ac:dyDescent="0.25">
      <c r="A7161" t="s">
        <v>7328</v>
      </c>
      <c r="B7161" t="s">
        <v>150</v>
      </c>
      <c r="C7161" t="s">
        <v>120</v>
      </c>
      <c r="D7161" t="s">
        <v>23</v>
      </c>
      <c r="E7161" t="s">
        <v>159</v>
      </c>
      <c r="F7161" s="1">
        <v>43009</v>
      </c>
      <c r="G7161" s="1">
        <v>43010</v>
      </c>
      <c r="H7161">
        <v>0</v>
      </c>
      <c r="I7161" t="str">
        <f>IF(COUNTIF(Products!$A$2:$A$8,C7161)=0,C7161,"")</f>
        <v/>
      </c>
      <c r="J7161">
        <f>IF(OR(E7161="Prospecting",E7161="Engaging"),VLOOKUP(C7161,Products!$A$2:$C$8,3,FALSE),0)</f>
        <v>0</v>
      </c>
    </row>
    <row r="7162" spans="1:10" x14ac:dyDescent="0.25">
      <c r="A7162" t="s">
        <v>7329</v>
      </c>
      <c r="B7162" t="s">
        <v>150</v>
      </c>
      <c r="C7162" t="s">
        <v>122</v>
      </c>
      <c r="D7162" t="s">
        <v>59</v>
      </c>
      <c r="E7162" t="s">
        <v>159</v>
      </c>
      <c r="F7162" s="1">
        <v>43009</v>
      </c>
      <c r="G7162" s="1">
        <v>43013</v>
      </c>
      <c r="H7162">
        <v>0</v>
      </c>
      <c r="I7162" t="str">
        <f>IF(COUNTIF(Products!$A$2:$A$8,C7162)=0,C7162,"")</f>
        <v/>
      </c>
      <c r="J7162">
        <f>IF(OR(E7162="Prospecting",E7162="Engaging"),VLOOKUP(C7162,Products!$A$2:$C$8,3,FALSE),0)</f>
        <v>0</v>
      </c>
    </row>
    <row r="7163" spans="1:10" x14ac:dyDescent="0.25">
      <c r="A7163" t="s">
        <v>7330</v>
      </c>
      <c r="B7163" t="s">
        <v>205</v>
      </c>
      <c r="C7163" t="s">
        <v>120</v>
      </c>
      <c r="D7163" t="s">
        <v>95</v>
      </c>
      <c r="E7163" t="s">
        <v>159</v>
      </c>
      <c r="F7163" s="1">
        <v>43009</v>
      </c>
      <c r="G7163" s="1">
        <v>43020</v>
      </c>
      <c r="H7163">
        <v>0</v>
      </c>
      <c r="I7163" t="str">
        <f>IF(COUNTIF(Products!$A$2:$A$8,C7163)=0,C7163,"")</f>
        <v/>
      </c>
      <c r="J7163">
        <f>IF(OR(E7163="Prospecting",E7163="Engaging"),VLOOKUP(C7163,Products!$A$2:$C$8,3,FALSE),0)</f>
        <v>0</v>
      </c>
    </row>
    <row r="7164" spans="1:10" x14ac:dyDescent="0.25">
      <c r="A7164" t="s">
        <v>7331</v>
      </c>
      <c r="B7164" t="s">
        <v>205</v>
      </c>
      <c r="C7164" t="s">
        <v>122</v>
      </c>
      <c r="D7164" t="s">
        <v>27</v>
      </c>
      <c r="E7164" t="s">
        <v>138</v>
      </c>
      <c r="F7164" s="1">
        <v>43009</v>
      </c>
      <c r="G7164" s="1">
        <v>43084</v>
      </c>
      <c r="H7164">
        <v>4578</v>
      </c>
      <c r="I7164" t="str">
        <f>IF(COUNTIF(Products!$A$2:$A$8,C7164)=0,C7164,"")</f>
        <v/>
      </c>
      <c r="J7164">
        <f>IF(OR(E7164="Prospecting",E7164="Engaging"),VLOOKUP(C7164,Products!$A$2:$C$8,3,FALSE),0)</f>
        <v>0</v>
      </c>
    </row>
    <row r="7165" spans="1:10" x14ac:dyDescent="0.25">
      <c r="A7165" t="s">
        <v>7332</v>
      </c>
      <c r="B7165" t="s">
        <v>193</v>
      </c>
      <c r="C7165" t="s">
        <v>123</v>
      </c>
      <c r="D7165" t="s">
        <v>19</v>
      </c>
      <c r="E7165" t="s">
        <v>138</v>
      </c>
      <c r="F7165" s="1">
        <v>43009</v>
      </c>
      <c r="G7165" s="1">
        <v>43087</v>
      </c>
      <c r="H7165">
        <v>62</v>
      </c>
      <c r="I7165" t="str">
        <f>IF(COUNTIF(Products!$A$2:$A$8,C7165)=0,C7165,"")</f>
        <v/>
      </c>
      <c r="J7165">
        <f>IF(OR(E7165="Prospecting",E7165="Engaging"),VLOOKUP(C7165,Products!$A$2:$C$8,3,FALSE),0)</f>
        <v>0</v>
      </c>
    </row>
    <row r="7166" spans="1:10" x14ac:dyDescent="0.25">
      <c r="A7166" t="s">
        <v>7333</v>
      </c>
      <c r="B7166" t="s">
        <v>166</v>
      </c>
      <c r="C7166" t="s">
        <v>123</v>
      </c>
      <c r="D7166" t="s">
        <v>66</v>
      </c>
      <c r="E7166" t="s">
        <v>138</v>
      </c>
      <c r="F7166" s="1">
        <v>43009</v>
      </c>
      <c r="G7166" s="1">
        <v>43016</v>
      </c>
      <c r="H7166">
        <v>51</v>
      </c>
      <c r="I7166" t="str">
        <f>IF(COUNTIF(Products!$A$2:$A$8,C7166)=0,C7166,"")</f>
        <v/>
      </c>
      <c r="J7166">
        <f>IF(OR(E7166="Prospecting",E7166="Engaging"),VLOOKUP(C7166,Products!$A$2:$C$8,3,FALSE),0)</f>
        <v>0</v>
      </c>
    </row>
    <row r="7167" spans="1:10" x14ac:dyDescent="0.25">
      <c r="A7167" t="s">
        <v>7334</v>
      </c>
      <c r="B7167" t="s">
        <v>187</v>
      </c>
      <c r="C7167" t="s">
        <v>122</v>
      </c>
      <c r="D7167" t="s">
        <v>19</v>
      </c>
      <c r="E7167" t="s">
        <v>138</v>
      </c>
      <c r="F7167" s="1">
        <v>43009</v>
      </c>
      <c r="G7167" s="1">
        <v>43069</v>
      </c>
      <c r="H7167">
        <v>4881</v>
      </c>
      <c r="I7167" t="str">
        <f>IF(COUNTIF(Products!$A$2:$A$8,C7167)=0,C7167,"")</f>
        <v/>
      </c>
      <c r="J7167">
        <f>IF(OR(E7167="Prospecting",E7167="Engaging"),VLOOKUP(C7167,Products!$A$2:$C$8,3,FALSE),0)</f>
        <v>0</v>
      </c>
    </row>
    <row r="7168" spans="1:10" x14ac:dyDescent="0.25">
      <c r="A7168" t="s">
        <v>7335</v>
      </c>
      <c r="B7168" t="s">
        <v>148</v>
      </c>
      <c r="C7168" t="s">
        <v>120</v>
      </c>
      <c r="D7168" t="s">
        <v>47</v>
      </c>
      <c r="E7168" t="s">
        <v>138</v>
      </c>
      <c r="F7168" s="1">
        <v>43009</v>
      </c>
      <c r="G7168" s="1">
        <v>43087</v>
      </c>
      <c r="H7168">
        <v>544</v>
      </c>
      <c r="I7168" t="str">
        <f>IF(COUNTIF(Products!$A$2:$A$8,C7168)=0,C7168,"")</f>
        <v/>
      </c>
      <c r="J7168">
        <f>IF(OR(E7168="Prospecting",E7168="Engaging"),VLOOKUP(C7168,Products!$A$2:$C$8,3,FALSE),0)</f>
        <v>0</v>
      </c>
    </row>
    <row r="7169" spans="1:10" x14ac:dyDescent="0.25">
      <c r="A7169" t="s">
        <v>7336</v>
      </c>
      <c r="B7169" t="s">
        <v>148</v>
      </c>
      <c r="C7169" t="s">
        <v>125</v>
      </c>
      <c r="D7169" t="s">
        <v>56</v>
      </c>
      <c r="E7169" t="s">
        <v>138</v>
      </c>
      <c r="F7169" s="1">
        <v>43009</v>
      </c>
      <c r="G7169" s="1">
        <v>43085</v>
      </c>
      <c r="H7169">
        <v>2941</v>
      </c>
      <c r="I7169" t="str">
        <f>IF(COUNTIF(Products!$A$2:$A$8,C7169)=0,C7169,"")</f>
        <v/>
      </c>
      <c r="J7169">
        <f>IF(OR(E7169="Prospecting",E7169="Engaging"),VLOOKUP(C7169,Products!$A$2:$C$8,3,FALSE),0)</f>
        <v>0</v>
      </c>
    </row>
    <row r="7170" spans="1:10" x14ac:dyDescent="0.25">
      <c r="A7170" t="s">
        <v>7337</v>
      </c>
      <c r="B7170" t="s">
        <v>196</v>
      </c>
      <c r="C7170" t="s">
        <v>126</v>
      </c>
      <c r="E7170" t="s">
        <v>155</v>
      </c>
      <c r="F7170" s="1">
        <v>43009</v>
      </c>
      <c r="I7170" t="str">
        <f>IF(COUNTIF(Products!$A$2:$A$8,C7170)=0,C7170,"")</f>
        <v/>
      </c>
      <c r="J7170">
        <f>IF(OR(E7170="Prospecting",E7170="Engaging"),VLOOKUP(C7170,Products!$A$2:$C$8,3,FALSE),0)</f>
        <v>5482</v>
      </c>
    </row>
    <row r="7171" spans="1:10" x14ac:dyDescent="0.25">
      <c r="A7171" t="s">
        <v>7338</v>
      </c>
      <c r="B7171" t="s">
        <v>196</v>
      </c>
      <c r="C7171" t="s">
        <v>125</v>
      </c>
      <c r="D7171" t="s">
        <v>48</v>
      </c>
      <c r="E7171" t="s">
        <v>159</v>
      </c>
      <c r="F7171" s="1">
        <v>43009</v>
      </c>
      <c r="G7171" s="1">
        <v>43082</v>
      </c>
      <c r="H7171">
        <v>0</v>
      </c>
      <c r="I7171" t="str">
        <f>IF(COUNTIF(Products!$A$2:$A$8,C7171)=0,C7171,"")</f>
        <v/>
      </c>
      <c r="J7171">
        <f>IF(OR(E7171="Prospecting",E7171="Engaging"),VLOOKUP(C7171,Products!$A$2:$C$8,3,FALSE),0)</f>
        <v>0</v>
      </c>
    </row>
    <row r="7172" spans="1:10" x14ac:dyDescent="0.25">
      <c r="A7172" t="s">
        <v>7339</v>
      </c>
      <c r="B7172" t="s">
        <v>196</v>
      </c>
      <c r="C7172" t="s">
        <v>123</v>
      </c>
      <c r="D7172" t="s">
        <v>27</v>
      </c>
      <c r="E7172" t="s">
        <v>138</v>
      </c>
      <c r="F7172" s="1">
        <v>43009</v>
      </c>
      <c r="G7172" s="1">
        <v>43019</v>
      </c>
      <c r="H7172">
        <v>44</v>
      </c>
      <c r="I7172" t="str">
        <f>IF(COUNTIF(Products!$A$2:$A$8,C7172)=0,C7172,"")</f>
        <v/>
      </c>
      <c r="J7172">
        <f>IF(OR(E7172="Prospecting",E7172="Engaging"),VLOOKUP(C7172,Products!$A$2:$C$8,3,FALSE),0)</f>
        <v>0</v>
      </c>
    </row>
    <row r="7173" spans="1:10" x14ac:dyDescent="0.25">
      <c r="A7173" t="s">
        <v>7340</v>
      </c>
      <c r="B7173" t="s">
        <v>144</v>
      </c>
      <c r="C7173" t="s">
        <v>126</v>
      </c>
      <c r="D7173" t="s">
        <v>34</v>
      </c>
      <c r="E7173" t="s">
        <v>138</v>
      </c>
      <c r="F7173" s="1">
        <v>43009</v>
      </c>
      <c r="G7173" s="1">
        <v>43092</v>
      </c>
      <c r="H7173">
        <v>4910</v>
      </c>
      <c r="I7173" t="str">
        <f>IF(COUNTIF(Products!$A$2:$A$8,C7173)=0,C7173,"")</f>
        <v/>
      </c>
      <c r="J7173">
        <f>IF(OR(E7173="Prospecting",E7173="Engaging"),VLOOKUP(C7173,Products!$A$2:$C$8,3,FALSE),0)</f>
        <v>0</v>
      </c>
    </row>
    <row r="7174" spans="1:10" x14ac:dyDescent="0.25">
      <c r="A7174" t="s">
        <v>7341</v>
      </c>
      <c r="B7174" t="s">
        <v>146</v>
      </c>
      <c r="C7174" t="s">
        <v>126</v>
      </c>
      <c r="D7174" t="s">
        <v>77</v>
      </c>
      <c r="E7174" t="s">
        <v>159</v>
      </c>
      <c r="F7174" s="1">
        <v>43010</v>
      </c>
      <c r="G7174" s="1">
        <v>43022</v>
      </c>
      <c r="H7174">
        <v>0</v>
      </c>
      <c r="I7174" t="str">
        <f>IF(COUNTIF(Products!$A$2:$A$8,C7174)=0,C7174,"")</f>
        <v/>
      </c>
      <c r="J7174">
        <f>IF(OR(E7174="Prospecting",E7174="Engaging"),VLOOKUP(C7174,Products!$A$2:$C$8,3,FALSE),0)</f>
        <v>0</v>
      </c>
    </row>
    <row r="7175" spans="1:10" x14ac:dyDescent="0.25">
      <c r="A7175" t="s">
        <v>7342</v>
      </c>
      <c r="B7175" t="s">
        <v>222</v>
      </c>
      <c r="C7175" t="s">
        <v>127</v>
      </c>
      <c r="D7175" t="s">
        <v>69</v>
      </c>
      <c r="E7175" t="s">
        <v>159</v>
      </c>
      <c r="F7175" s="1">
        <v>43010</v>
      </c>
      <c r="G7175" s="1">
        <v>43012</v>
      </c>
      <c r="H7175">
        <v>0</v>
      </c>
      <c r="I7175" t="str">
        <f>IF(COUNTIF(Products!$A$2:$A$8,C7175)=0,C7175,"")</f>
        <v/>
      </c>
      <c r="J7175">
        <f>IF(OR(E7175="Prospecting",E7175="Engaging"),VLOOKUP(C7175,Products!$A$2:$C$8,3,FALSE),0)</f>
        <v>0</v>
      </c>
    </row>
    <row r="7176" spans="1:10" x14ac:dyDescent="0.25">
      <c r="A7176" t="s">
        <v>7343</v>
      </c>
      <c r="B7176" t="s">
        <v>207</v>
      </c>
      <c r="C7176" t="s">
        <v>126</v>
      </c>
      <c r="D7176" t="s">
        <v>16</v>
      </c>
      <c r="E7176" t="s">
        <v>138</v>
      </c>
      <c r="F7176" s="1">
        <v>43010</v>
      </c>
      <c r="G7176" s="1">
        <v>43074</v>
      </c>
      <c r="H7176">
        <v>5469</v>
      </c>
      <c r="I7176" t="str">
        <f>IF(COUNTIF(Products!$A$2:$A$8,C7176)=0,C7176,"")</f>
        <v/>
      </c>
      <c r="J7176">
        <f>IF(OR(E7176="Prospecting",E7176="Engaging"),VLOOKUP(C7176,Products!$A$2:$C$8,3,FALSE),0)</f>
        <v>0</v>
      </c>
    </row>
    <row r="7177" spans="1:10" x14ac:dyDescent="0.25">
      <c r="A7177" t="s">
        <v>7344</v>
      </c>
      <c r="B7177" t="s">
        <v>264</v>
      </c>
      <c r="C7177" t="s">
        <v>125</v>
      </c>
      <c r="D7177" t="s">
        <v>91</v>
      </c>
      <c r="E7177" t="s">
        <v>159</v>
      </c>
      <c r="F7177" s="1">
        <v>43010</v>
      </c>
      <c r="G7177" s="1">
        <v>43011</v>
      </c>
      <c r="H7177">
        <v>0</v>
      </c>
      <c r="I7177" t="str">
        <f>IF(COUNTIF(Products!$A$2:$A$8,C7177)=0,C7177,"")</f>
        <v/>
      </c>
      <c r="J7177">
        <f>IF(OR(E7177="Prospecting",E7177="Engaging"),VLOOKUP(C7177,Products!$A$2:$C$8,3,FALSE),0)</f>
        <v>0</v>
      </c>
    </row>
    <row r="7178" spans="1:10" x14ac:dyDescent="0.25">
      <c r="A7178" t="s">
        <v>7345</v>
      </c>
      <c r="B7178" t="s">
        <v>264</v>
      </c>
      <c r="C7178" t="s">
        <v>125</v>
      </c>
      <c r="D7178" t="s">
        <v>104</v>
      </c>
      <c r="E7178" t="s">
        <v>159</v>
      </c>
      <c r="F7178" s="1">
        <v>43010</v>
      </c>
      <c r="G7178" s="1">
        <v>43089</v>
      </c>
      <c r="H7178">
        <v>0</v>
      </c>
      <c r="I7178" t="str">
        <f>IF(COUNTIF(Products!$A$2:$A$8,C7178)=0,C7178,"")</f>
        <v/>
      </c>
      <c r="J7178">
        <f>IF(OR(E7178="Prospecting",E7178="Engaging"),VLOOKUP(C7178,Products!$A$2:$C$8,3,FALSE),0)</f>
        <v>0</v>
      </c>
    </row>
    <row r="7179" spans="1:10" x14ac:dyDescent="0.25">
      <c r="A7179" t="s">
        <v>7346</v>
      </c>
      <c r="B7179" t="s">
        <v>264</v>
      </c>
      <c r="C7179" t="s">
        <v>120</v>
      </c>
      <c r="D7179" t="s">
        <v>116</v>
      </c>
      <c r="E7179" t="s">
        <v>138</v>
      </c>
      <c r="F7179" s="1">
        <v>43010</v>
      </c>
      <c r="G7179" s="1">
        <v>43076</v>
      </c>
      <c r="H7179">
        <v>568</v>
      </c>
      <c r="I7179" t="str">
        <f>IF(COUNTIF(Products!$A$2:$A$8,C7179)=0,C7179,"")</f>
        <v/>
      </c>
      <c r="J7179">
        <f>IF(OR(E7179="Prospecting",E7179="Engaging"),VLOOKUP(C7179,Products!$A$2:$C$8,3,FALSE),0)</f>
        <v>0</v>
      </c>
    </row>
    <row r="7180" spans="1:10" x14ac:dyDescent="0.25">
      <c r="A7180" t="s">
        <v>7347</v>
      </c>
      <c r="B7180" t="s">
        <v>140</v>
      </c>
      <c r="C7180" t="s">
        <v>127</v>
      </c>
      <c r="D7180" t="s">
        <v>22</v>
      </c>
      <c r="E7180" t="s">
        <v>159</v>
      </c>
      <c r="F7180" s="1">
        <v>43010</v>
      </c>
      <c r="G7180" s="1">
        <v>43020</v>
      </c>
      <c r="H7180">
        <v>0</v>
      </c>
      <c r="I7180" t="str">
        <f>IF(COUNTIF(Products!$A$2:$A$8,C7180)=0,C7180,"")</f>
        <v/>
      </c>
      <c r="J7180">
        <f>IF(OR(E7180="Prospecting",E7180="Engaging"),VLOOKUP(C7180,Products!$A$2:$C$8,3,FALSE),0)</f>
        <v>0</v>
      </c>
    </row>
    <row r="7181" spans="1:10" x14ac:dyDescent="0.25">
      <c r="A7181" t="s">
        <v>7348</v>
      </c>
      <c r="B7181" t="s">
        <v>140</v>
      </c>
      <c r="C7181" t="s">
        <v>125</v>
      </c>
      <c r="D7181" t="s">
        <v>51</v>
      </c>
      <c r="E7181" t="s">
        <v>159</v>
      </c>
      <c r="F7181" s="1">
        <v>43010</v>
      </c>
      <c r="G7181" s="1">
        <v>43017</v>
      </c>
      <c r="H7181">
        <v>0</v>
      </c>
      <c r="I7181" t="str">
        <f>IF(COUNTIF(Products!$A$2:$A$8,C7181)=0,C7181,"")</f>
        <v/>
      </c>
      <c r="J7181">
        <f>IF(OR(E7181="Prospecting",E7181="Engaging"),VLOOKUP(C7181,Products!$A$2:$C$8,3,FALSE),0)</f>
        <v>0</v>
      </c>
    </row>
    <row r="7182" spans="1:10" x14ac:dyDescent="0.25">
      <c r="A7182" t="s">
        <v>7349</v>
      </c>
      <c r="B7182" t="s">
        <v>140</v>
      </c>
      <c r="C7182" t="s">
        <v>126</v>
      </c>
      <c r="D7182" t="s">
        <v>26</v>
      </c>
      <c r="E7182" t="s">
        <v>138</v>
      </c>
      <c r="F7182" s="1">
        <v>43010</v>
      </c>
      <c r="G7182" s="1">
        <v>43012</v>
      </c>
      <c r="H7182">
        <v>5263</v>
      </c>
      <c r="I7182" t="str">
        <f>IF(COUNTIF(Products!$A$2:$A$8,C7182)=0,C7182,"")</f>
        <v/>
      </c>
      <c r="J7182">
        <f>IF(OR(E7182="Prospecting",E7182="Engaging"),VLOOKUP(C7182,Products!$A$2:$C$8,3,FALSE),0)</f>
        <v>0</v>
      </c>
    </row>
    <row r="7183" spans="1:10" x14ac:dyDescent="0.25">
      <c r="A7183" t="s">
        <v>7350</v>
      </c>
      <c r="B7183" t="s">
        <v>140</v>
      </c>
      <c r="C7183" t="s">
        <v>122</v>
      </c>
      <c r="D7183" t="s">
        <v>103</v>
      </c>
      <c r="E7183" t="s">
        <v>138</v>
      </c>
      <c r="F7183" s="1">
        <v>43010</v>
      </c>
      <c r="G7183" s="1">
        <v>43017</v>
      </c>
      <c r="H7183">
        <v>4201</v>
      </c>
      <c r="I7183" t="str">
        <f>IF(COUNTIF(Products!$A$2:$A$8,C7183)=0,C7183,"")</f>
        <v/>
      </c>
      <c r="J7183">
        <f>IF(OR(E7183="Prospecting",E7183="Engaging"),VLOOKUP(C7183,Products!$A$2:$C$8,3,FALSE),0)</f>
        <v>0</v>
      </c>
    </row>
    <row r="7184" spans="1:10" x14ac:dyDescent="0.25">
      <c r="A7184" t="s">
        <v>7351</v>
      </c>
      <c r="B7184" t="s">
        <v>303</v>
      </c>
      <c r="C7184" t="s">
        <v>120</v>
      </c>
      <c r="D7184" t="s">
        <v>77</v>
      </c>
      <c r="E7184" t="s">
        <v>159</v>
      </c>
      <c r="F7184" s="1">
        <v>43010</v>
      </c>
      <c r="G7184" s="1">
        <v>43015</v>
      </c>
      <c r="H7184">
        <v>0</v>
      </c>
      <c r="I7184" t="str">
        <f>IF(COUNTIF(Products!$A$2:$A$8,C7184)=0,C7184,"")</f>
        <v/>
      </c>
      <c r="J7184">
        <f>IF(OR(E7184="Prospecting",E7184="Engaging"),VLOOKUP(C7184,Products!$A$2:$C$8,3,FALSE),0)</f>
        <v>0</v>
      </c>
    </row>
    <row r="7185" spans="1:10" x14ac:dyDescent="0.25">
      <c r="A7185" t="s">
        <v>7352</v>
      </c>
      <c r="B7185" t="s">
        <v>303</v>
      </c>
      <c r="C7185" t="s">
        <v>127</v>
      </c>
      <c r="D7185" t="s">
        <v>30</v>
      </c>
      <c r="E7185" t="s">
        <v>159</v>
      </c>
      <c r="F7185" s="1">
        <v>43010</v>
      </c>
      <c r="G7185" s="1">
        <v>43086</v>
      </c>
      <c r="H7185">
        <v>0</v>
      </c>
      <c r="I7185" t="str">
        <f>IF(COUNTIF(Products!$A$2:$A$8,C7185)=0,C7185,"")</f>
        <v/>
      </c>
      <c r="J7185">
        <f>IF(OR(E7185="Prospecting",E7185="Engaging"),VLOOKUP(C7185,Products!$A$2:$C$8,3,FALSE),0)</f>
        <v>0</v>
      </c>
    </row>
    <row r="7186" spans="1:10" x14ac:dyDescent="0.25">
      <c r="A7186" t="s">
        <v>7353</v>
      </c>
      <c r="B7186" t="s">
        <v>303</v>
      </c>
      <c r="C7186" t="s">
        <v>127</v>
      </c>
      <c r="D7186" t="s">
        <v>36</v>
      </c>
      <c r="E7186" t="s">
        <v>159</v>
      </c>
      <c r="F7186" s="1">
        <v>43010</v>
      </c>
      <c r="G7186" s="1">
        <v>43018</v>
      </c>
      <c r="H7186">
        <v>0</v>
      </c>
      <c r="I7186" t="str">
        <f>IF(COUNTIF(Products!$A$2:$A$8,C7186)=0,C7186,"")</f>
        <v/>
      </c>
      <c r="J7186">
        <f>IF(OR(E7186="Prospecting",E7186="Engaging"),VLOOKUP(C7186,Products!$A$2:$C$8,3,FALSE),0)</f>
        <v>0</v>
      </c>
    </row>
    <row r="7187" spans="1:10" x14ac:dyDescent="0.25">
      <c r="A7187" t="s">
        <v>7354</v>
      </c>
      <c r="B7187" t="s">
        <v>303</v>
      </c>
      <c r="C7187" t="s">
        <v>127</v>
      </c>
      <c r="D7187" t="s">
        <v>64</v>
      </c>
      <c r="E7187" t="s">
        <v>159</v>
      </c>
      <c r="F7187" s="1">
        <v>43010</v>
      </c>
      <c r="G7187" s="1">
        <v>43087</v>
      </c>
      <c r="H7187">
        <v>0</v>
      </c>
      <c r="I7187" t="str">
        <f>IF(COUNTIF(Products!$A$2:$A$8,C7187)=0,C7187,"")</f>
        <v/>
      </c>
      <c r="J7187">
        <f>IF(OR(E7187="Prospecting",E7187="Engaging"),VLOOKUP(C7187,Products!$A$2:$C$8,3,FALSE),0)</f>
        <v>0</v>
      </c>
    </row>
    <row r="7188" spans="1:10" x14ac:dyDescent="0.25">
      <c r="A7188" t="s">
        <v>7355</v>
      </c>
      <c r="B7188" t="s">
        <v>180</v>
      </c>
      <c r="C7188" t="s">
        <v>122</v>
      </c>
      <c r="D7188" t="s">
        <v>59</v>
      </c>
      <c r="E7188" t="s">
        <v>159</v>
      </c>
      <c r="F7188" s="1">
        <v>43010</v>
      </c>
      <c r="G7188" s="1">
        <v>43012</v>
      </c>
      <c r="H7188">
        <v>0</v>
      </c>
      <c r="I7188" t="str">
        <f>IF(COUNTIF(Products!$A$2:$A$8,C7188)=0,C7188,"")</f>
        <v/>
      </c>
      <c r="J7188">
        <f>IF(OR(E7188="Prospecting",E7188="Engaging"),VLOOKUP(C7188,Products!$A$2:$C$8,3,FALSE),0)</f>
        <v>0</v>
      </c>
    </row>
    <row r="7189" spans="1:10" x14ac:dyDescent="0.25">
      <c r="A7189" t="s">
        <v>7356</v>
      </c>
      <c r="B7189" t="s">
        <v>180</v>
      </c>
      <c r="C7189" t="s">
        <v>127</v>
      </c>
      <c r="D7189" t="s">
        <v>100</v>
      </c>
      <c r="E7189" t="s">
        <v>138</v>
      </c>
      <c r="F7189" s="1">
        <v>43010</v>
      </c>
      <c r="G7189" s="1">
        <v>43011</v>
      </c>
      <c r="H7189">
        <v>1048</v>
      </c>
      <c r="I7189" t="str">
        <f>IF(COUNTIF(Products!$A$2:$A$8,C7189)=0,C7189,"")</f>
        <v/>
      </c>
      <c r="J7189">
        <f>IF(OR(E7189="Prospecting",E7189="Engaging"),VLOOKUP(C7189,Products!$A$2:$C$8,3,FALSE),0)</f>
        <v>0</v>
      </c>
    </row>
    <row r="7190" spans="1:10" x14ac:dyDescent="0.25">
      <c r="A7190" t="s">
        <v>7357</v>
      </c>
      <c r="B7190" t="s">
        <v>191</v>
      </c>
      <c r="C7190" t="s">
        <v>120</v>
      </c>
      <c r="D7190" t="s">
        <v>60</v>
      </c>
      <c r="E7190" t="s">
        <v>138</v>
      </c>
      <c r="F7190" s="1">
        <v>43010</v>
      </c>
      <c r="G7190" s="1">
        <v>43043</v>
      </c>
      <c r="H7190">
        <v>631</v>
      </c>
      <c r="I7190" t="str">
        <f>IF(COUNTIF(Products!$A$2:$A$8,C7190)=0,C7190,"")</f>
        <v/>
      </c>
      <c r="J7190">
        <f>IF(OR(E7190="Prospecting",E7190="Engaging"),VLOOKUP(C7190,Products!$A$2:$C$8,3,FALSE),0)</f>
        <v>0</v>
      </c>
    </row>
    <row r="7191" spans="1:10" x14ac:dyDescent="0.25">
      <c r="A7191" t="s">
        <v>7358</v>
      </c>
      <c r="B7191" t="s">
        <v>217</v>
      </c>
      <c r="C7191" t="s">
        <v>125</v>
      </c>
      <c r="D7191" t="s">
        <v>61</v>
      </c>
      <c r="E7191" t="s">
        <v>159</v>
      </c>
      <c r="F7191" s="1">
        <v>43010</v>
      </c>
      <c r="G7191" s="1">
        <v>43021</v>
      </c>
      <c r="H7191">
        <v>0</v>
      </c>
      <c r="I7191" t="str">
        <f>IF(COUNTIF(Products!$A$2:$A$8,C7191)=0,C7191,"")</f>
        <v/>
      </c>
      <c r="J7191">
        <f>IF(OR(E7191="Prospecting",E7191="Engaging"),VLOOKUP(C7191,Products!$A$2:$C$8,3,FALSE),0)</f>
        <v>0</v>
      </c>
    </row>
    <row r="7192" spans="1:10" x14ac:dyDescent="0.25">
      <c r="A7192" t="s">
        <v>7359</v>
      </c>
      <c r="B7192" t="s">
        <v>217</v>
      </c>
      <c r="C7192" t="s">
        <v>120</v>
      </c>
      <c r="D7192" t="s">
        <v>12</v>
      </c>
      <c r="E7192" t="s">
        <v>138</v>
      </c>
      <c r="F7192" s="1">
        <v>43010</v>
      </c>
      <c r="G7192" s="1">
        <v>43020</v>
      </c>
      <c r="H7192">
        <v>536</v>
      </c>
      <c r="I7192" t="str">
        <f>IF(COUNTIF(Products!$A$2:$A$8,C7192)=0,C7192,"")</f>
        <v/>
      </c>
      <c r="J7192">
        <f>IF(OR(E7192="Prospecting",E7192="Engaging"),VLOOKUP(C7192,Products!$A$2:$C$8,3,FALSE),0)</f>
        <v>0</v>
      </c>
    </row>
    <row r="7193" spans="1:10" x14ac:dyDescent="0.25">
      <c r="A7193" t="s">
        <v>7360</v>
      </c>
      <c r="B7193" t="s">
        <v>217</v>
      </c>
      <c r="C7193" t="s">
        <v>127</v>
      </c>
      <c r="D7193" t="s">
        <v>51</v>
      </c>
      <c r="E7193" t="s">
        <v>138</v>
      </c>
      <c r="F7193" s="1">
        <v>43010</v>
      </c>
      <c r="G7193" s="1">
        <v>43087</v>
      </c>
      <c r="H7193">
        <v>1127</v>
      </c>
      <c r="I7193" t="str">
        <f>IF(COUNTIF(Products!$A$2:$A$8,C7193)=0,C7193,"")</f>
        <v/>
      </c>
      <c r="J7193">
        <f>IF(OR(E7193="Prospecting",E7193="Engaging"),VLOOKUP(C7193,Products!$A$2:$C$8,3,FALSE),0)</f>
        <v>0</v>
      </c>
    </row>
    <row r="7194" spans="1:10" x14ac:dyDescent="0.25">
      <c r="A7194" t="s">
        <v>7361</v>
      </c>
      <c r="B7194" t="s">
        <v>205</v>
      </c>
      <c r="C7194" t="s">
        <v>127</v>
      </c>
      <c r="D7194" t="s">
        <v>88</v>
      </c>
      <c r="E7194" t="s">
        <v>159</v>
      </c>
      <c r="F7194" s="1">
        <v>43010</v>
      </c>
      <c r="G7194" s="1">
        <v>43012</v>
      </c>
      <c r="H7194">
        <v>0</v>
      </c>
      <c r="I7194" t="str">
        <f>IF(COUNTIF(Products!$A$2:$A$8,C7194)=0,C7194,"")</f>
        <v/>
      </c>
      <c r="J7194">
        <f>IF(OR(E7194="Prospecting",E7194="Engaging"),VLOOKUP(C7194,Products!$A$2:$C$8,3,FALSE),0)</f>
        <v>0</v>
      </c>
    </row>
    <row r="7195" spans="1:10" x14ac:dyDescent="0.25">
      <c r="A7195" t="s">
        <v>7362</v>
      </c>
      <c r="B7195" t="s">
        <v>205</v>
      </c>
      <c r="C7195" t="s">
        <v>123</v>
      </c>
      <c r="D7195" t="s">
        <v>22</v>
      </c>
      <c r="E7195" t="s">
        <v>138</v>
      </c>
      <c r="F7195" s="1">
        <v>43010</v>
      </c>
      <c r="G7195" s="1">
        <v>43017</v>
      </c>
      <c r="H7195">
        <v>56</v>
      </c>
      <c r="I7195" t="str">
        <f>IF(COUNTIF(Products!$A$2:$A$8,C7195)=0,C7195,"")</f>
        <v/>
      </c>
      <c r="J7195">
        <f>IF(OR(E7195="Prospecting",E7195="Engaging"),VLOOKUP(C7195,Products!$A$2:$C$8,3,FALSE),0)</f>
        <v>0</v>
      </c>
    </row>
    <row r="7196" spans="1:10" x14ac:dyDescent="0.25">
      <c r="A7196" t="s">
        <v>7363</v>
      </c>
      <c r="B7196" t="s">
        <v>162</v>
      </c>
      <c r="C7196" t="s">
        <v>120</v>
      </c>
      <c r="D7196" t="s">
        <v>61</v>
      </c>
      <c r="E7196" t="s">
        <v>159</v>
      </c>
      <c r="F7196" s="1">
        <v>43010</v>
      </c>
      <c r="G7196" s="1">
        <v>43084</v>
      </c>
      <c r="H7196">
        <v>0</v>
      </c>
      <c r="I7196" t="str">
        <f>IF(COUNTIF(Products!$A$2:$A$8,C7196)=0,C7196,"")</f>
        <v/>
      </c>
      <c r="J7196">
        <f>IF(OR(E7196="Prospecting",E7196="Engaging"),VLOOKUP(C7196,Products!$A$2:$C$8,3,FALSE),0)</f>
        <v>0</v>
      </c>
    </row>
    <row r="7197" spans="1:10" x14ac:dyDescent="0.25">
      <c r="A7197" t="s">
        <v>7364</v>
      </c>
      <c r="B7197" t="s">
        <v>193</v>
      </c>
      <c r="C7197" t="s">
        <v>122</v>
      </c>
      <c r="D7197" t="s">
        <v>19</v>
      </c>
      <c r="E7197" t="s">
        <v>138</v>
      </c>
      <c r="F7197" s="1">
        <v>43010</v>
      </c>
      <c r="G7197" s="1">
        <v>43018</v>
      </c>
      <c r="H7197">
        <v>4186</v>
      </c>
      <c r="I7197" t="str">
        <f>IF(COUNTIF(Products!$A$2:$A$8,C7197)=0,C7197,"")</f>
        <v/>
      </c>
      <c r="J7197">
        <f>IF(OR(E7197="Prospecting",E7197="Engaging"),VLOOKUP(C7197,Products!$A$2:$C$8,3,FALSE),0)</f>
        <v>0</v>
      </c>
    </row>
    <row r="7198" spans="1:10" x14ac:dyDescent="0.25">
      <c r="A7198" t="s">
        <v>7365</v>
      </c>
      <c r="B7198" t="s">
        <v>193</v>
      </c>
      <c r="C7198" t="s">
        <v>125</v>
      </c>
      <c r="D7198" t="s">
        <v>69</v>
      </c>
      <c r="E7198" t="s">
        <v>138</v>
      </c>
      <c r="F7198" s="1">
        <v>43010</v>
      </c>
      <c r="G7198" s="1">
        <v>43020</v>
      </c>
      <c r="H7198">
        <v>3670</v>
      </c>
      <c r="I7198" t="str">
        <f>IF(COUNTIF(Products!$A$2:$A$8,C7198)=0,C7198,"")</f>
        <v/>
      </c>
      <c r="J7198">
        <f>IF(OR(E7198="Prospecting",E7198="Engaging"),VLOOKUP(C7198,Products!$A$2:$C$8,3,FALSE),0)</f>
        <v>0</v>
      </c>
    </row>
    <row r="7199" spans="1:10" x14ac:dyDescent="0.25">
      <c r="A7199" t="s">
        <v>7366</v>
      </c>
      <c r="B7199" t="s">
        <v>193</v>
      </c>
      <c r="C7199" t="s">
        <v>125</v>
      </c>
      <c r="D7199" t="s">
        <v>105</v>
      </c>
      <c r="E7199" t="s">
        <v>138</v>
      </c>
      <c r="F7199" s="1">
        <v>43010</v>
      </c>
      <c r="G7199" s="1">
        <v>43020</v>
      </c>
      <c r="H7199">
        <v>3482</v>
      </c>
      <c r="I7199" t="str">
        <f>IF(COUNTIF(Products!$A$2:$A$8,C7199)=0,C7199,"")</f>
        <v/>
      </c>
      <c r="J7199">
        <f>IF(OR(E7199="Prospecting",E7199="Engaging"),VLOOKUP(C7199,Products!$A$2:$C$8,3,FALSE),0)</f>
        <v>0</v>
      </c>
    </row>
    <row r="7200" spans="1:10" x14ac:dyDescent="0.25">
      <c r="A7200" t="s">
        <v>7367</v>
      </c>
      <c r="B7200" t="s">
        <v>187</v>
      </c>
      <c r="C7200" t="s">
        <v>127</v>
      </c>
      <c r="D7200" t="s">
        <v>50</v>
      </c>
      <c r="E7200" t="s">
        <v>159</v>
      </c>
      <c r="F7200" s="1">
        <v>43010</v>
      </c>
      <c r="G7200" s="1">
        <v>43020</v>
      </c>
      <c r="H7200">
        <v>0</v>
      </c>
      <c r="I7200" t="str">
        <f>IF(COUNTIF(Products!$A$2:$A$8,C7200)=0,C7200,"")</f>
        <v/>
      </c>
      <c r="J7200">
        <f>IF(OR(E7200="Prospecting",E7200="Engaging"),VLOOKUP(C7200,Products!$A$2:$C$8,3,FALSE),0)</f>
        <v>0</v>
      </c>
    </row>
    <row r="7201" spans="1:10" x14ac:dyDescent="0.25">
      <c r="A7201" t="s">
        <v>7368</v>
      </c>
      <c r="B7201" t="s">
        <v>169</v>
      </c>
      <c r="C7201" t="s">
        <v>123</v>
      </c>
      <c r="D7201" t="s">
        <v>46</v>
      </c>
      <c r="E7201" t="s">
        <v>159</v>
      </c>
      <c r="F7201" s="1">
        <v>43010</v>
      </c>
      <c r="G7201" s="1">
        <v>43012</v>
      </c>
      <c r="H7201">
        <v>0</v>
      </c>
      <c r="I7201" t="str">
        <f>IF(COUNTIF(Products!$A$2:$A$8,C7201)=0,C7201,"")</f>
        <v/>
      </c>
      <c r="J7201">
        <f>IF(OR(E7201="Prospecting",E7201="Engaging"),VLOOKUP(C7201,Products!$A$2:$C$8,3,FALSE),0)</f>
        <v>0</v>
      </c>
    </row>
    <row r="7202" spans="1:10" x14ac:dyDescent="0.25">
      <c r="A7202" t="s">
        <v>7369</v>
      </c>
      <c r="B7202" t="s">
        <v>177</v>
      </c>
      <c r="C7202" t="s">
        <v>123</v>
      </c>
      <c r="D7202" t="s">
        <v>68</v>
      </c>
      <c r="E7202" t="s">
        <v>138</v>
      </c>
      <c r="F7202" s="1">
        <v>43010</v>
      </c>
      <c r="G7202" s="1">
        <v>43019</v>
      </c>
      <c r="H7202">
        <v>50</v>
      </c>
      <c r="I7202" t="str">
        <f>IF(COUNTIF(Products!$A$2:$A$8,C7202)=0,C7202,"")</f>
        <v/>
      </c>
      <c r="J7202">
        <f>IF(OR(E7202="Prospecting",E7202="Engaging"),VLOOKUP(C7202,Products!$A$2:$C$8,3,FALSE),0)</f>
        <v>0</v>
      </c>
    </row>
    <row r="7203" spans="1:10" x14ac:dyDescent="0.25">
      <c r="A7203" t="s">
        <v>7370</v>
      </c>
      <c r="B7203" t="s">
        <v>177</v>
      </c>
      <c r="C7203" t="s">
        <v>125</v>
      </c>
      <c r="D7203" t="s">
        <v>25</v>
      </c>
      <c r="E7203" t="s">
        <v>138</v>
      </c>
      <c r="F7203" s="1">
        <v>43010</v>
      </c>
      <c r="G7203" s="1">
        <v>43100</v>
      </c>
      <c r="H7203">
        <v>3629</v>
      </c>
      <c r="I7203" t="str">
        <f>IF(COUNTIF(Products!$A$2:$A$8,C7203)=0,C7203,"")</f>
        <v/>
      </c>
      <c r="J7203">
        <f>IF(OR(E7203="Prospecting",E7203="Engaging"),VLOOKUP(C7203,Products!$A$2:$C$8,3,FALSE),0)</f>
        <v>0</v>
      </c>
    </row>
    <row r="7204" spans="1:10" x14ac:dyDescent="0.25">
      <c r="A7204" t="s">
        <v>7371</v>
      </c>
      <c r="B7204" t="s">
        <v>144</v>
      </c>
      <c r="C7204" t="s">
        <v>120</v>
      </c>
      <c r="D7204" t="s">
        <v>61</v>
      </c>
      <c r="E7204" t="s">
        <v>159</v>
      </c>
      <c r="F7204" s="1">
        <v>43010</v>
      </c>
      <c r="G7204" s="1">
        <v>43011</v>
      </c>
      <c r="H7204">
        <v>0</v>
      </c>
      <c r="I7204" t="str">
        <f>IF(COUNTIF(Products!$A$2:$A$8,C7204)=0,C7204,"")</f>
        <v/>
      </c>
      <c r="J7204">
        <f>IF(OR(E7204="Prospecting",E7204="Engaging"),VLOOKUP(C7204,Products!$A$2:$C$8,3,FALSE),0)</f>
        <v>0</v>
      </c>
    </row>
    <row r="7205" spans="1:10" x14ac:dyDescent="0.25">
      <c r="A7205" t="s">
        <v>7372</v>
      </c>
      <c r="B7205" t="s">
        <v>144</v>
      </c>
      <c r="C7205" t="s">
        <v>122</v>
      </c>
      <c r="D7205" t="s">
        <v>59</v>
      </c>
      <c r="E7205" t="s">
        <v>159</v>
      </c>
      <c r="F7205" s="1">
        <v>43010</v>
      </c>
      <c r="G7205" s="1">
        <v>43019</v>
      </c>
      <c r="H7205">
        <v>0</v>
      </c>
      <c r="I7205" t="str">
        <f>IF(COUNTIF(Products!$A$2:$A$8,C7205)=0,C7205,"")</f>
        <v/>
      </c>
      <c r="J7205">
        <f>IF(OR(E7205="Prospecting",E7205="Engaging"),VLOOKUP(C7205,Products!$A$2:$C$8,3,FALSE),0)</f>
        <v>0</v>
      </c>
    </row>
    <row r="7206" spans="1:10" x14ac:dyDescent="0.25">
      <c r="A7206" t="s">
        <v>7373</v>
      </c>
      <c r="B7206" t="s">
        <v>144</v>
      </c>
      <c r="C7206" t="s">
        <v>120</v>
      </c>
      <c r="D7206" t="s">
        <v>27</v>
      </c>
      <c r="E7206" t="s">
        <v>138</v>
      </c>
      <c r="F7206" s="1">
        <v>43010</v>
      </c>
      <c r="G7206" s="1">
        <v>43020</v>
      </c>
      <c r="H7206">
        <v>544</v>
      </c>
      <c r="I7206" t="str">
        <f>IF(COUNTIF(Products!$A$2:$A$8,C7206)=0,C7206,"")</f>
        <v/>
      </c>
      <c r="J7206">
        <f>IF(OR(E7206="Prospecting",E7206="Engaging"),VLOOKUP(C7206,Products!$A$2:$C$8,3,FALSE),0)</f>
        <v>0</v>
      </c>
    </row>
    <row r="7207" spans="1:10" x14ac:dyDescent="0.25">
      <c r="A7207" t="s">
        <v>7374</v>
      </c>
      <c r="B7207" t="s">
        <v>146</v>
      </c>
      <c r="C7207" t="s">
        <v>126</v>
      </c>
      <c r="D7207" t="s">
        <v>89</v>
      </c>
      <c r="E7207" t="s">
        <v>159</v>
      </c>
      <c r="F7207" s="1">
        <v>43011</v>
      </c>
      <c r="G7207" s="1">
        <v>43017</v>
      </c>
      <c r="H7207">
        <v>0</v>
      </c>
      <c r="I7207" t="str">
        <f>IF(COUNTIF(Products!$A$2:$A$8,C7207)=0,C7207,"")</f>
        <v/>
      </c>
      <c r="J7207">
        <f>IF(OR(E7207="Prospecting",E7207="Engaging"),VLOOKUP(C7207,Products!$A$2:$C$8,3,FALSE),0)</f>
        <v>0</v>
      </c>
    </row>
    <row r="7208" spans="1:10" x14ac:dyDescent="0.25">
      <c r="A7208" t="s">
        <v>7375</v>
      </c>
      <c r="B7208" t="s">
        <v>264</v>
      </c>
      <c r="C7208" t="s">
        <v>125</v>
      </c>
      <c r="D7208" t="s">
        <v>94</v>
      </c>
      <c r="E7208" t="s">
        <v>138</v>
      </c>
      <c r="F7208" s="1">
        <v>43011</v>
      </c>
      <c r="G7208" s="1">
        <v>43018</v>
      </c>
      <c r="H7208">
        <v>3415</v>
      </c>
      <c r="I7208" t="str">
        <f>IF(COUNTIF(Products!$A$2:$A$8,C7208)=0,C7208,"")</f>
        <v/>
      </c>
      <c r="J7208">
        <f>IF(OR(E7208="Prospecting",E7208="Engaging"),VLOOKUP(C7208,Products!$A$2:$C$8,3,FALSE),0)</f>
        <v>0</v>
      </c>
    </row>
    <row r="7209" spans="1:10" x14ac:dyDescent="0.25">
      <c r="A7209" t="s">
        <v>7376</v>
      </c>
      <c r="B7209" t="s">
        <v>239</v>
      </c>
      <c r="C7209" t="s">
        <v>120</v>
      </c>
      <c r="D7209" t="s">
        <v>20</v>
      </c>
      <c r="E7209" t="s">
        <v>138</v>
      </c>
      <c r="F7209" s="1">
        <v>43011</v>
      </c>
      <c r="G7209" s="1">
        <v>43012</v>
      </c>
      <c r="H7209">
        <v>616</v>
      </c>
      <c r="I7209" t="str">
        <f>IF(COUNTIF(Products!$A$2:$A$8,C7209)=0,C7209,"")</f>
        <v/>
      </c>
      <c r="J7209">
        <f>IF(OR(E7209="Prospecting",E7209="Engaging"),VLOOKUP(C7209,Products!$A$2:$C$8,3,FALSE),0)</f>
        <v>0</v>
      </c>
    </row>
    <row r="7210" spans="1:10" x14ac:dyDescent="0.25">
      <c r="A7210" t="s">
        <v>7377</v>
      </c>
      <c r="B7210" t="s">
        <v>171</v>
      </c>
      <c r="C7210" t="s">
        <v>127</v>
      </c>
      <c r="D7210" t="s">
        <v>37</v>
      </c>
      <c r="E7210" t="s">
        <v>138</v>
      </c>
      <c r="F7210" s="1">
        <v>43011</v>
      </c>
      <c r="G7210" s="1">
        <v>43016</v>
      </c>
      <c r="H7210">
        <v>1050</v>
      </c>
      <c r="I7210" t="str">
        <f>IF(COUNTIF(Products!$A$2:$A$8,C7210)=0,C7210,"")</f>
        <v/>
      </c>
      <c r="J7210">
        <f>IF(OR(E7210="Prospecting",E7210="Engaging"),VLOOKUP(C7210,Products!$A$2:$C$8,3,FALSE),0)</f>
        <v>0</v>
      </c>
    </row>
    <row r="7211" spans="1:10" x14ac:dyDescent="0.25">
      <c r="A7211" t="s">
        <v>7378</v>
      </c>
      <c r="B7211" t="s">
        <v>140</v>
      </c>
      <c r="C7211" t="s">
        <v>123</v>
      </c>
      <c r="D7211" t="s">
        <v>103</v>
      </c>
      <c r="E7211" t="s">
        <v>138</v>
      </c>
      <c r="F7211" s="1">
        <v>43011</v>
      </c>
      <c r="G7211" s="1">
        <v>43018</v>
      </c>
      <c r="H7211">
        <v>58</v>
      </c>
      <c r="I7211" t="str">
        <f>IF(COUNTIF(Products!$A$2:$A$8,C7211)=0,C7211,"")</f>
        <v/>
      </c>
      <c r="J7211">
        <f>IF(OR(E7211="Prospecting",E7211="Engaging"),VLOOKUP(C7211,Products!$A$2:$C$8,3,FALSE),0)</f>
        <v>0</v>
      </c>
    </row>
    <row r="7212" spans="1:10" x14ac:dyDescent="0.25">
      <c r="A7212" t="s">
        <v>7379</v>
      </c>
      <c r="B7212" t="s">
        <v>224</v>
      </c>
      <c r="C7212" t="s">
        <v>125</v>
      </c>
      <c r="D7212" t="s">
        <v>115</v>
      </c>
      <c r="E7212" t="s">
        <v>138</v>
      </c>
      <c r="F7212" s="1">
        <v>43011</v>
      </c>
      <c r="G7212" s="1">
        <v>43013</v>
      </c>
      <c r="H7212">
        <v>3858</v>
      </c>
      <c r="I7212" t="str">
        <f>IF(COUNTIF(Products!$A$2:$A$8,C7212)=0,C7212,"")</f>
        <v/>
      </c>
      <c r="J7212">
        <f>IF(OR(E7212="Prospecting",E7212="Engaging"),VLOOKUP(C7212,Products!$A$2:$C$8,3,FALSE),0)</f>
        <v>0</v>
      </c>
    </row>
    <row r="7213" spans="1:10" x14ac:dyDescent="0.25">
      <c r="A7213" t="s">
        <v>7380</v>
      </c>
      <c r="B7213" t="s">
        <v>173</v>
      </c>
      <c r="C7213" t="s">
        <v>123</v>
      </c>
      <c r="D7213" t="s">
        <v>27</v>
      </c>
      <c r="E7213" t="s">
        <v>159</v>
      </c>
      <c r="F7213" s="1">
        <v>43011</v>
      </c>
      <c r="G7213" s="1">
        <v>43021</v>
      </c>
      <c r="H7213">
        <v>0</v>
      </c>
      <c r="I7213" t="str">
        <f>IF(COUNTIF(Products!$A$2:$A$8,C7213)=0,C7213,"")</f>
        <v/>
      </c>
      <c r="J7213">
        <f>IF(OR(E7213="Prospecting",E7213="Engaging"),VLOOKUP(C7213,Products!$A$2:$C$8,3,FALSE),0)</f>
        <v>0</v>
      </c>
    </row>
    <row r="7214" spans="1:10" x14ac:dyDescent="0.25">
      <c r="A7214" t="s">
        <v>7381</v>
      </c>
      <c r="B7214" t="s">
        <v>158</v>
      </c>
      <c r="C7214" t="s">
        <v>120</v>
      </c>
      <c r="D7214" t="s">
        <v>61</v>
      </c>
      <c r="E7214" t="s">
        <v>159</v>
      </c>
      <c r="F7214" s="1">
        <v>43011</v>
      </c>
      <c r="G7214" s="1">
        <v>43012</v>
      </c>
      <c r="H7214">
        <v>0</v>
      </c>
      <c r="I7214" t="str">
        <f>IF(COUNTIF(Products!$A$2:$A$8,C7214)=0,C7214,"")</f>
        <v/>
      </c>
      <c r="J7214">
        <f>IF(OR(E7214="Prospecting",E7214="Engaging"),VLOOKUP(C7214,Products!$A$2:$C$8,3,FALSE),0)</f>
        <v>0</v>
      </c>
    </row>
    <row r="7215" spans="1:10" x14ac:dyDescent="0.25">
      <c r="A7215" t="s">
        <v>7382</v>
      </c>
      <c r="B7215" t="s">
        <v>158</v>
      </c>
      <c r="C7215" t="s">
        <v>126</v>
      </c>
      <c r="D7215" t="s">
        <v>46</v>
      </c>
      <c r="E7215" t="s">
        <v>159</v>
      </c>
      <c r="F7215" s="1">
        <v>43011</v>
      </c>
      <c r="G7215" s="1">
        <v>43013</v>
      </c>
      <c r="H7215">
        <v>0</v>
      </c>
      <c r="I7215" t="str">
        <f>IF(COUNTIF(Products!$A$2:$A$8,C7215)=0,C7215,"")</f>
        <v/>
      </c>
      <c r="J7215">
        <f>IF(OR(E7215="Prospecting",E7215="Engaging"),VLOOKUP(C7215,Products!$A$2:$C$8,3,FALSE),0)</f>
        <v>0</v>
      </c>
    </row>
    <row r="7216" spans="1:10" x14ac:dyDescent="0.25">
      <c r="A7216" t="s">
        <v>7383</v>
      </c>
      <c r="B7216" t="s">
        <v>158</v>
      </c>
      <c r="C7216" t="s">
        <v>125</v>
      </c>
      <c r="D7216" t="s">
        <v>88</v>
      </c>
      <c r="E7216" t="s">
        <v>159</v>
      </c>
      <c r="F7216" s="1">
        <v>43011</v>
      </c>
      <c r="G7216" s="1">
        <v>43018</v>
      </c>
      <c r="H7216">
        <v>0</v>
      </c>
      <c r="I7216" t="str">
        <f>IF(COUNTIF(Products!$A$2:$A$8,C7216)=0,C7216,"")</f>
        <v/>
      </c>
      <c r="J7216">
        <f>IF(OR(E7216="Prospecting",E7216="Engaging"),VLOOKUP(C7216,Products!$A$2:$C$8,3,FALSE),0)</f>
        <v>0</v>
      </c>
    </row>
    <row r="7217" spans="1:10" x14ac:dyDescent="0.25">
      <c r="A7217" t="s">
        <v>7384</v>
      </c>
      <c r="B7217" t="s">
        <v>158</v>
      </c>
      <c r="C7217" t="s">
        <v>125</v>
      </c>
      <c r="D7217" t="s">
        <v>32</v>
      </c>
      <c r="E7217" t="s">
        <v>138</v>
      </c>
      <c r="F7217" s="1">
        <v>43011</v>
      </c>
      <c r="G7217" s="1">
        <v>43047</v>
      </c>
      <c r="H7217">
        <v>3207</v>
      </c>
      <c r="I7217" t="str">
        <f>IF(COUNTIF(Products!$A$2:$A$8,C7217)=0,C7217,"")</f>
        <v/>
      </c>
      <c r="J7217">
        <f>IF(OR(E7217="Prospecting",E7217="Engaging"),VLOOKUP(C7217,Products!$A$2:$C$8,3,FALSE),0)</f>
        <v>0</v>
      </c>
    </row>
    <row r="7218" spans="1:10" x14ac:dyDescent="0.25">
      <c r="A7218" t="s">
        <v>7385</v>
      </c>
      <c r="B7218" t="s">
        <v>164</v>
      </c>
      <c r="C7218" t="s">
        <v>125</v>
      </c>
      <c r="D7218" t="s">
        <v>69</v>
      </c>
      <c r="E7218" t="s">
        <v>138</v>
      </c>
      <c r="F7218" s="1">
        <v>43011</v>
      </c>
      <c r="G7218" s="1">
        <v>43060</v>
      </c>
      <c r="H7218">
        <v>3795</v>
      </c>
      <c r="I7218" t="str">
        <f>IF(COUNTIF(Products!$A$2:$A$8,C7218)=0,C7218,"")</f>
        <v/>
      </c>
      <c r="J7218">
        <f>IF(OR(E7218="Prospecting",E7218="Engaging"),VLOOKUP(C7218,Products!$A$2:$C$8,3,FALSE),0)</f>
        <v>0</v>
      </c>
    </row>
    <row r="7219" spans="1:10" x14ac:dyDescent="0.25">
      <c r="A7219" t="s">
        <v>7386</v>
      </c>
      <c r="B7219" t="s">
        <v>303</v>
      </c>
      <c r="C7219" t="s">
        <v>123</v>
      </c>
      <c r="D7219" t="s">
        <v>89</v>
      </c>
      <c r="E7219" t="s">
        <v>159</v>
      </c>
      <c r="F7219" s="1">
        <v>43011</v>
      </c>
      <c r="G7219" s="1">
        <v>43055</v>
      </c>
      <c r="H7219">
        <v>0</v>
      </c>
      <c r="I7219" t="str">
        <f>IF(COUNTIF(Products!$A$2:$A$8,C7219)=0,C7219,"")</f>
        <v/>
      </c>
      <c r="J7219">
        <f>IF(OR(E7219="Prospecting",E7219="Engaging"),VLOOKUP(C7219,Products!$A$2:$C$8,3,FALSE),0)</f>
        <v>0</v>
      </c>
    </row>
    <row r="7220" spans="1:10" x14ac:dyDescent="0.25">
      <c r="A7220" t="s">
        <v>7387</v>
      </c>
      <c r="B7220" t="s">
        <v>180</v>
      </c>
      <c r="C7220" t="s">
        <v>127</v>
      </c>
      <c r="D7220" t="s">
        <v>66</v>
      </c>
      <c r="E7220" t="s">
        <v>138</v>
      </c>
      <c r="F7220" s="1">
        <v>43011</v>
      </c>
      <c r="G7220" s="1">
        <v>43016</v>
      </c>
      <c r="H7220">
        <v>1028</v>
      </c>
      <c r="I7220" t="str">
        <f>IF(COUNTIF(Products!$A$2:$A$8,C7220)=0,C7220,"")</f>
        <v/>
      </c>
      <c r="J7220">
        <f>IF(OR(E7220="Prospecting",E7220="Engaging"),VLOOKUP(C7220,Products!$A$2:$C$8,3,FALSE),0)</f>
        <v>0</v>
      </c>
    </row>
    <row r="7221" spans="1:10" x14ac:dyDescent="0.25">
      <c r="A7221" t="s">
        <v>7388</v>
      </c>
      <c r="B7221" t="s">
        <v>180</v>
      </c>
      <c r="C7221" t="s">
        <v>123</v>
      </c>
      <c r="D7221" t="s">
        <v>34</v>
      </c>
      <c r="E7221" t="s">
        <v>138</v>
      </c>
      <c r="F7221" s="1">
        <v>43011</v>
      </c>
      <c r="G7221" s="1">
        <v>43023</v>
      </c>
      <c r="H7221">
        <v>64</v>
      </c>
      <c r="I7221" t="str">
        <f>IF(COUNTIF(Products!$A$2:$A$8,C7221)=0,C7221,"")</f>
        <v/>
      </c>
      <c r="J7221">
        <f>IF(OR(E7221="Prospecting",E7221="Engaging"),VLOOKUP(C7221,Products!$A$2:$C$8,3,FALSE),0)</f>
        <v>0</v>
      </c>
    </row>
    <row r="7222" spans="1:10" x14ac:dyDescent="0.25">
      <c r="A7222" t="s">
        <v>7389</v>
      </c>
      <c r="B7222" t="s">
        <v>191</v>
      </c>
      <c r="C7222" t="s">
        <v>120</v>
      </c>
      <c r="E7222" t="s">
        <v>155</v>
      </c>
      <c r="F7222" s="1">
        <v>43011</v>
      </c>
      <c r="I7222" t="str">
        <f>IF(COUNTIF(Products!$A$2:$A$8,C7222)=0,C7222,"")</f>
        <v/>
      </c>
      <c r="J7222">
        <f>IF(OR(E7222="Prospecting",E7222="Engaging"),VLOOKUP(C7222,Products!$A$2:$C$8,3,FALSE),0)</f>
        <v>550</v>
      </c>
    </row>
    <row r="7223" spans="1:10" x14ac:dyDescent="0.25">
      <c r="A7223" t="s">
        <v>7390</v>
      </c>
      <c r="B7223" t="s">
        <v>205</v>
      </c>
      <c r="C7223" t="s">
        <v>122</v>
      </c>
      <c r="D7223" t="s">
        <v>85</v>
      </c>
      <c r="E7223" t="s">
        <v>159</v>
      </c>
      <c r="F7223" s="1">
        <v>43011</v>
      </c>
      <c r="G7223" s="1">
        <v>43063</v>
      </c>
      <c r="H7223">
        <v>0</v>
      </c>
      <c r="I7223" t="str">
        <f>IF(COUNTIF(Products!$A$2:$A$8,C7223)=0,C7223,"")</f>
        <v/>
      </c>
      <c r="J7223">
        <f>IF(OR(E7223="Prospecting",E7223="Engaging"),VLOOKUP(C7223,Products!$A$2:$C$8,3,FALSE),0)</f>
        <v>0</v>
      </c>
    </row>
    <row r="7224" spans="1:10" x14ac:dyDescent="0.25">
      <c r="A7224" t="s">
        <v>7391</v>
      </c>
      <c r="B7224" t="s">
        <v>193</v>
      </c>
      <c r="C7224" t="s">
        <v>127</v>
      </c>
      <c r="D7224" t="s">
        <v>19</v>
      </c>
      <c r="E7224" t="s">
        <v>138</v>
      </c>
      <c r="F7224" s="1">
        <v>43011</v>
      </c>
      <c r="G7224" s="1">
        <v>43078</v>
      </c>
      <c r="H7224">
        <v>1284</v>
      </c>
      <c r="I7224" t="str">
        <f>IF(COUNTIF(Products!$A$2:$A$8,C7224)=0,C7224,"")</f>
        <v/>
      </c>
      <c r="J7224">
        <f>IF(OR(E7224="Prospecting",E7224="Engaging"),VLOOKUP(C7224,Products!$A$2:$C$8,3,FALSE),0)</f>
        <v>0</v>
      </c>
    </row>
    <row r="7225" spans="1:10" x14ac:dyDescent="0.25">
      <c r="A7225" t="s">
        <v>7392</v>
      </c>
      <c r="B7225" t="s">
        <v>193</v>
      </c>
      <c r="C7225" t="s">
        <v>122</v>
      </c>
      <c r="D7225" t="s">
        <v>65</v>
      </c>
      <c r="E7225" t="s">
        <v>138</v>
      </c>
      <c r="F7225" s="1">
        <v>43011</v>
      </c>
      <c r="G7225" s="1">
        <v>43097</v>
      </c>
      <c r="H7225">
        <v>5044</v>
      </c>
      <c r="I7225" t="str">
        <f>IF(COUNTIF(Products!$A$2:$A$8,C7225)=0,C7225,"")</f>
        <v/>
      </c>
      <c r="J7225">
        <f>IF(OR(E7225="Prospecting",E7225="Engaging"),VLOOKUP(C7225,Products!$A$2:$C$8,3,FALSE),0)</f>
        <v>0</v>
      </c>
    </row>
    <row r="7226" spans="1:10" x14ac:dyDescent="0.25">
      <c r="A7226" t="s">
        <v>7393</v>
      </c>
      <c r="B7226" t="s">
        <v>166</v>
      </c>
      <c r="C7226" t="s">
        <v>123</v>
      </c>
      <c r="D7226" t="s">
        <v>109</v>
      </c>
      <c r="E7226" t="s">
        <v>159</v>
      </c>
      <c r="F7226" s="1">
        <v>43011</v>
      </c>
      <c r="G7226" s="1">
        <v>43014</v>
      </c>
      <c r="H7226">
        <v>0</v>
      </c>
      <c r="I7226" t="str">
        <f>IF(COUNTIF(Products!$A$2:$A$8,C7226)=0,C7226,"")</f>
        <v/>
      </c>
      <c r="J7226">
        <f>IF(OR(E7226="Prospecting",E7226="Engaging"),VLOOKUP(C7226,Products!$A$2:$C$8,3,FALSE),0)</f>
        <v>0</v>
      </c>
    </row>
    <row r="7227" spans="1:10" x14ac:dyDescent="0.25">
      <c r="A7227" t="s">
        <v>7394</v>
      </c>
      <c r="B7227" t="s">
        <v>169</v>
      </c>
      <c r="C7227" t="s">
        <v>125</v>
      </c>
      <c r="D7227" t="s">
        <v>85</v>
      </c>
      <c r="E7227" t="s">
        <v>138</v>
      </c>
      <c r="F7227" s="1">
        <v>43011</v>
      </c>
      <c r="G7227" s="1">
        <v>43017</v>
      </c>
      <c r="H7227">
        <v>3254</v>
      </c>
      <c r="I7227" t="str">
        <f>IF(COUNTIF(Products!$A$2:$A$8,C7227)=0,C7227,"")</f>
        <v/>
      </c>
      <c r="J7227">
        <f>IF(OR(E7227="Prospecting",E7227="Engaging"),VLOOKUP(C7227,Products!$A$2:$C$8,3,FALSE),0)</f>
        <v>0</v>
      </c>
    </row>
    <row r="7228" spans="1:10" x14ac:dyDescent="0.25">
      <c r="A7228" t="s">
        <v>7395</v>
      </c>
      <c r="B7228" t="s">
        <v>148</v>
      </c>
      <c r="C7228" t="s">
        <v>126</v>
      </c>
      <c r="E7228" t="s">
        <v>155</v>
      </c>
      <c r="F7228" s="1">
        <v>43011</v>
      </c>
      <c r="I7228" t="str">
        <f>IF(COUNTIF(Products!$A$2:$A$8,C7228)=0,C7228,"")</f>
        <v/>
      </c>
      <c r="J7228">
        <f>IF(OR(E7228="Prospecting",E7228="Engaging"),VLOOKUP(C7228,Products!$A$2:$C$8,3,FALSE),0)</f>
        <v>5482</v>
      </c>
    </row>
    <row r="7229" spans="1:10" x14ac:dyDescent="0.25">
      <c r="A7229" t="s">
        <v>7396</v>
      </c>
      <c r="B7229" t="s">
        <v>148</v>
      </c>
      <c r="C7229" t="s">
        <v>122</v>
      </c>
      <c r="D7229" t="s">
        <v>61</v>
      </c>
      <c r="E7229" t="s">
        <v>159</v>
      </c>
      <c r="F7229" s="1">
        <v>43011</v>
      </c>
      <c r="G7229" s="1">
        <v>43016</v>
      </c>
      <c r="H7229">
        <v>0</v>
      </c>
      <c r="I7229" t="str">
        <f>IF(COUNTIF(Products!$A$2:$A$8,C7229)=0,C7229,"")</f>
        <v/>
      </c>
      <c r="J7229">
        <f>IF(OR(E7229="Prospecting",E7229="Engaging"),VLOOKUP(C7229,Products!$A$2:$C$8,3,FALSE),0)</f>
        <v>0</v>
      </c>
    </row>
    <row r="7230" spans="1:10" x14ac:dyDescent="0.25">
      <c r="A7230" t="s">
        <v>7397</v>
      </c>
      <c r="B7230" t="s">
        <v>177</v>
      </c>
      <c r="C7230" t="s">
        <v>123</v>
      </c>
      <c r="D7230" t="s">
        <v>108</v>
      </c>
      <c r="E7230" t="s">
        <v>159</v>
      </c>
      <c r="F7230" s="1">
        <v>43011</v>
      </c>
      <c r="G7230" s="1">
        <v>43092</v>
      </c>
      <c r="H7230">
        <v>0</v>
      </c>
      <c r="I7230" t="str">
        <f>IF(COUNTIF(Products!$A$2:$A$8,C7230)=0,C7230,"")</f>
        <v/>
      </c>
      <c r="J7230">
        <f>IF(OR(E7230="Prospecting",E7230="Engaging"),VLOOKUP(C7230,Products!$A$2:$C$8,3,FALSE),0)</f>
        <v>0</v>
      </c>
    </row>
    <row r="7231" spans="1:10" x14ac:dyDescent="0.25">
      <c r="A7231" t="s">
        <v>7398</v>
      </c>
      <c r="B7231" t="s">
        <v>196</v>
      </c>
      <c r="C7231" t="s">
        <v>122</v>
      </c>
      <c r="D7231" t="s">
        <v>106</v>
      </c>
      <c r="E7231" t="s">
        <v>138</v>
      </c>
      <c r="F7231" s="1">
        <v>43011</v>
      </c>
      <c r="G7231" s="1">
        <v>43018</v>
      </c>
      <c r="H7231">
        <v>5127</v>
      </c>
      <c r="I7231" t="str">
        <f>IF(COUNTIF(Products!$A$2:$A$8,C7231)=0,C7231,"")</f>
        <v/>
      </c>
      <c r="J7231">
        <f>IF(OR(E7231="Prospecting",E7231="Engaging"),VLOOKUP(C7231,Products!$A$2:$C$8,3,FALSE),0)</f>
        <v>0</v>
      </c>
    </row>
    <row r="7232" spans="1:10" x14ac:dyDescent="0.25">
      <c r="A7232" t="s">
        <v>7399</v>
      </c>
      <c r="B7232" t="s">
        <v>144</v>
      </c>
      <c r="C7232" t="s">
        <v>122</v>
      </c>
      <c r="D7232" t="s">
        <v>57</v>
      </c>
      <c r="E7232" t="s">
        <v>138</v>
      </c>
      <c r="F7232" s="1">
        <v>43011</v>
      </c>
      <c r="G7232" s="1">
        <v>43045</v>
      </c>
      <c r="H7232">
        <v>4194</v>
      </c>
      <c r="I7232" t="str">
        <f>IF(COUNTIF(Products!$A$2:$A$8,C7232)=0,C7232,"")</f>
        <v/>
      </c>
      <c r="J7232">
        <f>IF(OR(E7232="Prospecting",E7232="Engaging"),VLOOKUP(C7232,Products!$A$2:$C$8,3,FALSE),0)</f>
        <v>0</v>
      </c>
    </row>
    <row r="7233" spans="1:10" x14ac:dyDescent="0.25">
      <c r="A7233" t="s">
        <v>7400</v>
      </c>
      <c r="B7233" t="s">
        <v>144</v>
      </c>
      <c r="C7233" t="s">
        <v>122</v>
      </c>
      <c r="D7233" t="s">
        <v>93</v>
      </c>
      <c r="E7233" t="s">
        <v>138</v>
      </c>
      <c r="F7233" s="1">
        <v>43011</v>
      </c>
      <c r="G7233" s="1">
        <v>43019</v>
      </c>
      <c r="H7233">
        <v>4105</v>
      </c>
      <c r="I7233" t="str">
        <f>IF(COUNTIF(Products!$A$2:$A$8,C7233)=0,C7233,"")</f>
        <v/>
      </c>
      <c r="J7233">
        <f>IF(OR(E7233="Prospecting",E7233="Engaging"),VLOOKUP(C7233,Products!$A$2:$C$8,3,FALSE),0)</f>
        <v>0</v>
      </c>
    </row>
    <row r="7234" spans="1:10" x14ac:dyDescent="0.25">
      <c r="A7234" t="s">
        <v>7401</v>
      </c>
      <c r="B7234" t="s">
        <v>146</v>
      </c>
      <c r="C7234" t="s">
        <v>123</v>
      </c>
      <c r="D7234" t="s">
        <v>22</v>
      </c>
      <c r="E7234" t="s">
        <v>159</v>
      </c>
      <c r="F7234" s="1">
        <v>43012</v>
      </c>
      <c r="G7234" s="1">
        <v>43021</v>
      </c>
      <c r="H7234">
        <v>0</v>
      </c>
      <c r="I7234" t="str">
        <f>IF(COUNTIF(Products!$A$2:$A$8,C7234)=0,C7234,"")</f>
        <v/>
      </c>
      <c r="J7234">
        <f>IF(OR(E7234="Prospecting",E7234="Engaging"),VLOOKUP(C7234,Products!$A$2:$C$8,3,FALSE),0)</f>
        <v>0</v>
      </c>
    </row>
    <row r="7235" spans="1:10" x14ac:dyDescent="0.25">
      <c r="A7235" t="s">
        <v>7402</v>
      </c>
      <c r="B7235" t="s">
        <v>146</v>
      </c>
      <c r="C7235" t="s">
        <v>123</v>
      </c>
      <c r="D7235" t="s">
        <v>55</v>
      </c>
      <c r="E7235" t="s">
        <v>138</v>
      </c>
      <c r="F7235" s="1">
        <v>43012</v>
      </c>
      <c r="G7235" s="1">
        <v>43085</v>
      </c>
      <c r="H7235">
        <v>59</v>
      </c>
      <c r="I7235" t="str">
        <f>IF(COUNTIF(Products!$A$2:$A$8,C7235)=0,C7235,"")</f>
        <v/>
      </c>
      <c r="J7235">
        <f>IF(OR(E7235="Prospecting",E7235="Engaging"),VLOOKUP(C7235,Products!$A$2:$C$8,3,FALSE),0)</f>
        <v>0</v>
      </c>
    </row>
    <row r="7236" spans="1:10" x14ac:dyDescent="0.25">
      <c r="A7236" t="s">
        <v>7403</v>
      </c>
      <c r="B7236" t="s">
        <v>222</v>
      </c>
      <c r="C7236" t="s">
        <v>125</v>
      </c>
      <c r="E7236" t="s">
        <v>155</v>
      </c>
      <c r="F7236" s="1">
        <v>43012</v>
      </c>
      <c r="I7236" t="str">
        <f>IF(COUNTIF(Products!$A$2:$A$8,C7236)=0,C7236,"")</f>
        <v/>
      </c>
      <c r="J7236">
        <f>IF(OR(E7236="Prospecting",E7236="Engaging"),VLOOKUP(C7236,Products!$A$2:$C$8,3,FALSE),0)</f>
        <v>3393</v>
      </c>
    </row>
    <row r="7237" spans="1:10" x14ac:dyDescent="0.25">
      <c r="A7237" t="s">
        <v>7404</v>
      </c>
      <c r="B7237" t="s">
        <v>222</v>
      </c>
      <c r="C7237" t="s">
        <v>126</v>
      </c>
      <c r="D7237" t="s">
        <v>19</v>
      </c>
      <c r="E7237" t="s">
        <v>159</v>
      </c>
      <c r="F7237" s="1">
        <v>43012</v>
      </c>
      <c r="G7237" s="1">
        <v>43040</v>
      </c>
      <c r="H7237">
        <v>0</v>
      </c>
      <c r="I7237" t="str">
        <f>IF(COUNTIF(Products!$A$2:$A$8,C7237)=0,C7237,"")</f>
        <v/>
      </c>
      <c r="J7237">
        <f>IF(OR(E7237="Prospecting",E7237="Engaging"),VLOOKUP(C7237,Products!$A$2:$C$8,3,FALSE),0)</f>
        <v>0</v>
      </c>
    </row>
    <row r="7238" spans="1:10" x14ac:dyDescent="0.25">
      <c r="A7238" t="s">
        <v>7405</v>
      </c>
      <c r="B7238" t="s">
        <v>222</v>
      </c>
      <c r="C7238" t="s">
        <v>125</v>
      </c>
      <c r="D7238" t="s">
        <v>7</v>
      </c>
      <c r="E7238" t="s">
        <v>159</v>
      </c>
      <c r="F7238" s="1">
        <v>43012</v>
      </c>
      <c r="G7238" s="1">
        <v>43019</v>
      </c>
      <c r="H7238">
        <v>0</v>
      </c>
      <c r="I7238" t="str">
        <f>IF(COUNTIF(Products!$A$2:$A$8,C7238)=0,C7238,"")</f>
        <v/>
      </c>
      <c r="J7238">
        <f>IF(OR(E7238="Prospecting",E7238="Engaging"),VLOOKUP(C7238,Products!$A$2:$C$8,3,FALSE),0)</f>
        <v>0</v>
      </c>
    </row>
    <row r="7239" spans="1:10" x14ac:dyDescent="0.25">
      <c r="A7239" t="s">
        <v>7406</v>
      </c>
      <c r="B7239" t="s">
        <v>222</v>
      </c>
      <c r="C7239" t="s">
        <v>123</v>
      </c>
      <c r="D7239" t="s">
        <v>20</v>
      </c>
      <c r="E7239" t="s">
        <v>138</v>
      </c>
      <c r="F7239" s="1">
        <v>43012</v>
      </c>
      <c r="G7239" s="1">
        <v>43019</v>
      </c>
      <c r="H7239">
        <v>54</v>
      </c>
      <c r="I7239" t="str">
        <f>IF(COUNTIF(Products!$A$2:$A$8,C7239)=0,C7239,"")</f>
        <v/>
      </c>
      <c r="J7239">
        <f>IF(OR(E7239="Prospecting",E7239="Engaging"),VLOOKUP(C7239,Products!$A$2:$C$8,3,FALSE),0)</f>
        <v>0</v>
      </c>
    </row>
    <row r="7240" spans="1:10" x14ac:dyDescent="0.25">
      <c r="A7240" t="s">
        <v>7407</v>
      </c>
      <c r="B7240" t="s">
        <v>207</v>
      </c>
      <c r="C7240" t="s">
        <v>126</v>
      </c>
      <c r="D7240" t="s">
        <v>84</v>
      </c>
      <c r="E7240" t="s">
        <v>138</v>
      </c>
      <c r="F7240" s="1">
        <v>43012</v>
      </c>
      <c r="G7240" s="1">
        <v>43022</v>
      </c>
      <c r="H7240">
        <v>5989</v>
      </c>
      <c r="I7240" t="str">
        <f>IF(COUNTIF(Products!$A$2:$A$8,C7240)=0,C7240,"")</f>
        <v/>
      </c>
      <c r="J7240">
        <f>IF(OR(E7240="Prospecting",E7240="Engaging"),VLOOKUP(C7240,Products!$A$2:$C$8,3,FALSE),0)</f>
        <v>0</v>
      </c>
    </row>
    <row r="7241" spans="1:10" x14ac:dyDescent="0.25">
      <c r="A7241" t="s">
        <v>7408</v>
      </c>
      <c r="B7241" t="s">
        <v>239</v>
      </c>
      <c r="C7241" t="s">
        <v>120</v>
      </c>
      <c r="E7241" t="s">
        <v>155</v>
      </c>
      <c r="F7241" s="1">
        <v>43012</v>
      </c>
      <c r="I7241" t="str">
        <f>IF(COUNTIF(Products!$A$2:$A$8,C7241)=0,C7241,"")</f>
        <v/>
      </c>
      <c r="J7241">
        <f>IF(OR(E7241="Prospecting",E7241="Engaging"),VLOOKUP(C7241,Products!$A$2:$C$8,3,FALSE),0)</f>
        <v>550</v>
      </c>
    </row>
    <row r="7242" spans="1:10" x14ac:dyDescent="0.25">
      <c r="A7242" t="s">
        <v>7409</v>
      </c>
      <c r="B7242" t="s">
        <v>171</v>
      </c>
      <c r="C7242" t="s">
        <v>127</v>
      </c>
      <c r="E7242" t="s">
        <v>155</v>
      </c>
      <c r="F7242" s="1">
        <v>43012</v>
      </c>
      <c r="I7242" t="str">
        <f>IF(COUNTIF(Products!$A$2:$A$8,C7242)=0,C7242,"")</f>
        <v/>
      </c>
      <c r="J7242">
        <f>IF(OR(E7242="Prospecting",E7242="Engaging"),VLOOKUP(C7242,Products!$A$2:$C$8,3,FALSE),0)</f>
        <v>1096</v>
      </c>
    </row>
    <row r="7243" spans="1:10" x14ac:dyDescent="0.25">
      <c r="A7243" t="s">
        <v>7410</v>
      </c>
      <c r="B7243" t="s">
        <v>171</v>
      </c>
      <c r="C7243" t="s">
        <v>122</v>
      </c>
      <c r="D7243" t="s">
        <v>92</v>
      </c>
      <c r="E7243" t="s">
        <v>159</v>
      </c>
      <c r="F7243" s="1">
        <v>43012</v>
      </c>
      <c r="G7243" s="1">
        <v>43023</v>
      </c>
      <c r="H7243">
        <v>0</v>
      </c>
      <c r="I7243" t="str">
        <f>IF(COUNTIF(Products!$A$2:$A$8,C7243)=0,C7243,"")</f>
        <v/>
      </c>
      <c r="J7243">
        <f>IF(OR(E7243="Prospecting",E7243="Engaging"),VLOOKUP(C7243,Products!$A$2:$C$8,3,FALSE),0)</f>
        <v>0</v>
      </c>
    </row>
    <row r="7244" spans="1:10" x14ac:dyDescent="0.25">
      <c r="A7244" t="s">
        <v>7411</v>
      </c>
      <c r="B7244" t="s">
        <v>140</v>
      </c>
      <c r="C7244" t="s">
        <v>122</v>
      </c>
      <c r="D7244" t="s">
        <v>12</v>
      </c>
      <c r="E7244" t="s">
        <v>159</v>
      </c>
      <c r="F7244" s="1">
        <v>43012</v>
      </c>
      <c r="G7244" s="1">
        <v>43020</v>
      </c>
      <c r="H7244">
        <v>0</v>
      </c>
      <c r="I7244" t="str">
        <f>IF(COUNTIF(Products!$A$2:$A$8,C7244)=0,C7244,"")</f>
        <v/>
      </c>
      <c r="J7244">
        <f>IF(OR(E7244="Prospecting",E7244="Engaging"),VLOOKUP(C7244,Products!$A$2:$C$8,3,FALSE),0)</f>
        <v>0</v>
      </c>
    </row>
    <row r="7245" spans="1:10" x14ac:dyDescent="0.25">
      <c r="A7245" t="s">
        <v>7412</v>
      </c>
      <c r="B7245" t="s">
        <v>140</v>
      </c>
      <c r="C7245" t="s">
        <v>126</v>
      </c>
      <c r="D7245" t="s">
        <v>42</v>
      </c>
      <c r="E7245" t="s">
        <v>138</v>
      </c>
      <c r="F7245" s="1">
        <v>43012</v>
      </c>
      <c r="G7245" s="1">
        <v>43090</v>
      </c>
      <c r="H7245">
        <v>4735</v>
      </c>
      <c r="I7245" t="str">
        <f>IF(COUNTIF(Products!$A$2:$A$8,C7245)=0,C7245,"")</f>
        <v/>
      </c>
      <c r="J7245">
        <f>IF(OR(E7245="Prospecting",E7245="Engaging"),VLOOKUP(C7245,Products!$A$2:$C$8,3,FALSE),0)</f>
        <v>0</v>
      </c>
    </row>
    <row r="7246" spans="1:10" x14ac:dyDescent="0.25">
      <c r="A7246" t="s">
        <v>7413</v>
      </c>
      <c r="B7246" t="s">
        <v>140</v>
      </c>
      <c r="C7246" t="s">
        <v>122</v>
      </c>
      <c r="D7246" t="s">
        <v>85</v>
      </c>
      <c r="E7246" t="s">
        <v>138</v>
      </c>
      <c r="F7246" s="1">
        <v>43012</v>
      </c>
      <c r="G7246" s="1">
        <v>43018</v>
      </c>
      <c r="H7246">
        <v>5055</v>
      </c>
      <c r="I7246" t="str">
        <f>IF(COUNTIF(Products!$A$2:$A$8,C7246)=0,C7246,"")</f>
        <v/>
      </c>
      <c r="J7246">
        <f>IF(OR(E7246="Prospecting",E7246="Engaging"),VLOOKUP(C7246,Products!$A$2:$C$8,3,FALSE),0)</f>
        <v>0</v>
      </c>
    </row>
    <row r="7247" spans="1:10" x14ac:dyDescent="0.25">
      <c r="A7247" t="s">
        <v>7414</v>
      </c>
      <c r="B7247" t="s">
        <v>154</v>
      </c>
      <c r="C7247" t="s">
        <v>126</v>
      </c>
      <c r="D7247" t="s">
        <v>38</v>
      </c>
      <c r="E7247" t="s">
        <v>138</v>
      </c>
      <c r="F7247" s="1">
        <v>43012</v>
      </c>
      <c r="G7247" s="1">
        <v>43074</v>
      </c>
      <c r="H7247">
        <v>4527</v>
      </c>
      <c r="I7247" t="str">
        <f>IF(COUNTIF(Products!$A$2:$A$8,C7247)=0,C7247,"")</f>
        <v/>
      </c>
      <c r="J7247">
        <f>IF(OR(E7247="Prospecting",E7247="Engaging"),VLOOKUP(C7247,Products!$A$2:$C$8,3,FALSE),0)</f>
        <v>0</v>
      </c>
    </row>
    <row r="7248" spans="1:10" x14ac:dyDescent="0.25">
      <c r="A7248" t="s">
        <v>7415</v>
      </c>
      <c r="B7248" t="s">
        <v>303</v>
      </c>
      <c r="C7248" t="s">
        <v>120</v>
      </c>
      <c r="D7248" t="s">
        <v>30</v>
      </c>
      <c r="E7248" t="s">
        <v>159</v>
      </c>
      <c r="F7248" s="1">
        <v>43012</v>
      </c>
      <c r="G7248" s="1">
        <v>43092</v>
      </c>
      <c r="H7248">
        <v>0</v>
      </c>
      <c r="I7248" t="str">
        <f>IF(COUNTIF(Products!$A$2:$A$8,C7248)=0,C7248,"")</f>
        <v/>
      </c>
      <c r="J7248">
        <f>IF(OR(E7248="Prospecting",E7248="Engaging"),VLOOKUP(C7248,Products!$A$2:$C$8,3,FALSE),0)</f>
        <v>0</v>
      </c>
    </row>
    <row r="7249" spans="1:10" x14ac:dyDescent="0.25">
      <c r="A7249" t="s">
        <v>7416</v>
      </c>
      <c r="B7249" t="s">
        <v>303</v>
      </c>
      <c r="C7249" t="s">
        <v>122</v>
      </c>
      <c r="D7249" t="s">
        <v>91</v>
      </c>
      <c r="E7249" t="s">
        <v>159</v>
      </c>
      <c r="F7249" s="1">
        <v>43012</v>
      </c>
      <c r="G7249" s="1">
        <v>43023</v>
      </c>
      <c r="H7249">
        <v>0</v>
      </c>
      <c r="I7249" t="str">
        <f>IF(COUNTIF(Products!$A$2:$A$8,C7249)=0,C7249,"")</f>
        <v/>
      </c>
      <c r="J7249">
        <f>IF(OR(E7249="Prospecting",E7249="Engaging"),VLOOKUP(C7249,Products!$A$2:$C$8,3,FALSE),0)</f>
        <v>0</v>
      </c>
    </row>
    <row r="7250" spans="1:10" x14ac:dyDescent="0.25">
      <c r="A7250" t="s">
        <v>7417</v>
      </c>
      <c r="B7250" t="s">
        <v>303</v>
      </c>
      <c r="C7250" t="s">
        <v>123</v>
      </c>
      <c r="D7250" t="s">
        <v>32</v>
      </c>
      <c r="E7250" t="s">
        <v>138</v>
      </c>
      <c r="F7250" s="1">
        <v>43012</v>
      </c>
      <c r="G7250" s="1">
        <v>43014</v>
      </c>
      <c r="H7250">
        <v>58</v>
      </c>
      <c r="I7250" t="str">
        <f>IF(COUNTIF(Products!$A$2:$A$8,C7250)=0,C7250,"")</f>
        <v/>
      </c>
      <c r="J7250">
        <f>IF(OR(E7250="Prospecting",E7250="Engaging"),VLOOKUP(C7250,Products!$A$2:$C$8,3,FALSE),0)</f>
        <v>0</v>
      </c>
    </row>
    <row r="7251" spans="1:10" x14ac:dyDescent="0.25">
      <c r="A7251" t="s">
        <v>7418</v>
      </c>
      <c r="B7251" t="s">
        <v>191</v>
      </c>
      <c r="C7251" t="s">
        <v>120</v>
      </c>
      <c r="D7251" t="s">
        <v>66</v>
      </c>
      <c r="E7251" t="s">
        <v>159</v>
      </c>
      <c r="F7251" s="1">
        <v>43012</v>
      </c>
      <c r="G7251" s="1">
        <v>43056</v>
      </c>
      <c r="H7251">
        <v>0</v>
      </c>
      <c r="I7251" t="str">
        <f>IF(COUNTIF(Products!$A$2:$A$8,C7251)=0,C7251,"")</f>
        <v/>
      </c>
      <c r="J7251">
        <f>IF(OR(E7251="Prospecting",E7251="Engaging"),VLOOKUP(C7251,Products!$A$2:$C$8,3,FALSE),0)</f>
        <v>0</v>
      </c>
    </row>
    <row r="7252" spans="1:10" x14ac:dyDescent="0.25">
      <c r="A7252" t="s">
        <v>7419</v>
      </c>
      <c r="B7252" t="s">
        <v>150</v>
      </c>
      <c r="C7252" t="s">
        <v>123</v>
      </c>
      <c r="D7252" t="s">
        <v>87</v>
      </c>
      <c r="E7252" t="s">
        <v>138</v>
      </c>
      <c r="F7252" s="1">
        <v>43012</v>
      </c>
      <c r="G7252" s="1">
        <v>43072</v>
      </c>
      <c r="H7252">
        <v>62</v>
      </c>
      <c r="I7252" t="str">
        <f>IF(COUNTIF(Products!$A$2:$A$8,C7252)=0,C7252,"")</f>
        <v/>
      </c>
      <c r="J7252">
        <f>IF(OR(E7252="Prospecting",E7252="Engaging"),VLOOKUP(C7252,Products!$A$2:$C$8,3,FALSE),0)</f>
        <v>0</v>
      </c>
    </row>
    <row r="7253" spans="1:10" x14ac:dyDescent="0.25">
      <c r="A7253" t="s">
        <v>7420</v>
      </c>
      <c r="B7253" t="s">
        <v>162</v>
      </c>
      <c r="C7253" t="s">
        <v>122</v>
      </c>
      <c r="D7253" t="s">
        <v>17</v>
      </c>
      <c r="E7253" t="s">
        <v>138</v>
      </c>
      <c r="F7253" s="1">
        <v>43012</v>
      </c>
      <c r="G7253" s="1">
        <v>43089</v>
      </c>
      <c r="H7253">
        <v>5026</v>
      </c>
      <c r="I7253" t="str">
        <f>IF(COUNTIF(Products!$A$2:$A$8,C7253)=0,C7253,"")</f>
        <v/>
      </c>
      <c r="J7253">
        <f>IF(OR(E7253="Prospecting",E7253="Engaging"),VLOOKUP(C7253,Products!$A$2:$C$8,3,FALSE),0)</f>
        <v>0</v>
      </c>
    </row>
    <row r="7254" spans="1:10" x14ac:dyDescent="0.25">
      <c r="A7254" t="s">
        <v>7421</v>
      </c>
      <c r="B7254" t="s">
        <v>148</v>
      </c>
      <c r="C7254" t="s">
        <v>123</v>
      </c>
      <c r="D7254" t="s">
        <v>75</v>
      </c>
      <c r="E7254" t="s">
        <v>159</v>
      </c>
      <c r="F7254" s="1">
        <v>43012</v>
      </c>
      <c r="G7254" s="1">
        <v>43021</v>
      </c>
      <c r="H7254">
        <v>0</v>
      </c>
      <c r="I7254" t="str">
        <f>IF(COUNTIF(Products!$A$2:$A$8,C7254)=0,C7254,"")</f>
        <v/>
      </c>
      <c r="J7254">
        <f>IF(OR(E7254="Prospecting",E7254="Engaging"),VLOOKUP(C7254,Products!$A$2:$C$8,3,FALSE),0)</f>
        <v>0</v>
      </c>
    </row>
    <row r="7255" spans="1:10" x14ac:dyDescent="0.25">
      <c r="A7255" t="s">
        <v>7422</v>
      </c>
      <c r="B7255" t="s">
        <v>148</v>
      </c>
      <c r="C7255" t="s">
        <v>120</v>
      </c>
      <c r="D7255" t="s">
        <v>109</v>
      </c>
      <c r="E7255" t="s">
        <v>138</v>
      </c>
      <c r="F7255" s="1">
        <v>43012</v>
      </c>
      <c r="G7255" s="1">
        <v>43089</v>
      </c>
      <c r="H7255">
        <v>496</v>
      </c>
      <c r="I7255" t="str">
        <f>IF(COUNTIF(Products!$A$2:$A$8,C7255)=0,C7255,"")</f>
        <v/>
      </c>
      <c r="J7255">
        <f>IF(OR(E7255="Prospecting",E7255="Engaging"),VLOOKUP(C7255,Products!$A$2:$C$8,3,FALSE),0)</f>
        <v>0</v>
      </c>
    </row>
    <row r="7256" spans="1:10" x14ac:dyDescent="0.25">
      <c r="A7256" t="s">
        <v>7423</v>
      </c>
      <c r="B7256" t="s">
        <v>196</v>
      </c>
      <c r="C7256" t="s">
        <v>122</v>
      </c>
      <c r="D7256" t="s">
        <v>55</v>
      </c>
      <c r="E7256" t="s">
        <v>155</v>
      </c>
      <c r="F7256" s="1">
        <v>43012</v>
      </c>
      <c r="I7256" t="str">
        <f>IF(COUNTIF(Products!$A$2:$A$8,C7256)=0,C7256,"")</f>
        <v/>
      </c>
      <c r="J7256">
        <f>IF(OR(E7256="Prospecting",E7256="Engaging"),VLOOKUP(C7256,Products!$A$2:$C$8,3,FALSE),0)</f>
        <v>4821</v>
      </c>
    </row>
    <row r="7257" spans="1:10" x14ac:dyDescent="0.25">
      <c r="A7257" t="s">
        <v>7424</v>
      </c>
      <c r="B7257" t="s">
        <v>144</v>
      </c>
      <c r="C7257" t="s">
        <v>122</v>
      </c>
      <c r="D7257" t="s">
        <v>83</v>
      </c>
      <c r="E7257" t="s">
        <v>138</v>
      </c>
      <c r="F7257" s="1">
        <v>43012</v>
      </c>
      <c r="G7257" s="1">
        <v>43097</v>
      </c>
      <c r="H7257">
        <v>5491</v>
      </c>
      <c r="I7257" t="str">
        <f>IF(COUNTIF(Products!$A$2:$A$8,C7257)=0,C7257,"")</f>
        <v/>
      </c>
      <c r="J7257">
        <f>IF(OR(E7257="Prospecting",E7257="Engaging"),VLOOKUP(C7257,Products!$A$2:$C$8,3,FALSE),0)</f>
        <v>0</v>
      </c>
    </row>
    <row r="7258" spans="1:10" x14ac:dyDescent="0.25">
      <c r="A7258" t="s">
        <v>7425</v>
      </c>
      <c r="B7258" t="s">
        <v>146</v>
      </c>
      <c r="C7258" t="s">
        <v>123</v>
      </c>
      <c r="D7258" t="s">
        <v>61</v>
      </c>
      <c r="E7258" t="s">
        <v>159</v>
      </c>
      <c r="F7258" s="1">
        <v>43013</v>
      </c>
      <c r="G7258" s="1">
        <v>43020</v>
      </c>
      <c r="H7258">
        <v>0</v>
      </c>
      <c r="I7258" t="str">
        <f>IF(COUNTIF(Products!$A$2:$A$8,C7258)=0,C7258,"")</f>
        <v/>
      </c>
      <c r="J7258">
        <f>IF(OR(E7258="Prospecting",E7258="Engaging"),VLOOKUP(C7258,Products!$A$2:$C$8,3,FALSE),0)</f>
        <v>0</v>
      </c>
    </row>
    <row r="7259" spans="1:10" x14ac:dyDescent="0.25">
      <c r="A7259" t="s">
        <v>7426</v>
      </c>
      <c r="B7259" t="s">
        <v>264</v>
      </c>
      <c r="C7259" t="s">
        <v>120</v>
      </c>
      <c r="D7259" t="s">
        <v>94</v>
      </c>
      <c r="E7259" t="s">
        <v>138</v>
      </c>
      <c r="F7259" s="1">
        <v>43013</v>
      </c>
      <c r="G7259" s="1">
        <v>43019</v>
      </c>
      <c r="H7259">
        <v>622</v>
      </c>
      <c r="I7259" t="str">
        <f>IF(COUNTIF(Products!$A$2:$A$8,C7259)=0,C7259,"")</f>
        <v/>
      </c>
      <c r="J7259">
        <f>IF(OR(E7259="Prospecting",E7259="Engaging"),VLOOKUP(C7259,Products!$A$2:$C$8,3,FALSE),0)</f>
        <v>0</v>
      </c>
    </row>
    <row r="7260" spans="1:10" x14ac:dyDescent="0.25">
      <c r="A7260" t="s">
        <v>7427</v>
      </c>
      <c r="B7260" t="s">
        <v>239</v>
      </c>
      <c r="C7260" t="s">
        <v>122</v>
      </c>
      <c r="D7260" t="s">
        <v>115</v>
      </c>
      <c r="E7260" t="s">
        <v>159</v>
      </c>
      <c r="F7260" s="1">
        <v>43013</v>
      </c>
      <c r="G7260" s="1">
        <v>43021</v>
      </c>
      <c r="H7260">
        <v>0</v>
      </c>
      <c r="I7260" t="str">
        <f>IF(COUNTIF(Products!$A$2:$A$8,C7260)=0,C7260,"")</f>
        <v/>
      </c>
      <c r="J7260">
        <f>IF(OR(E7260="Prospecting",E7260="Engaging"),VLOOKUP(C7260,Products!$A$2:$C$8,3,FALSE),0)</f>
        <v>0</v>
      </c>
    </row>
    <row r="7261" spans="1:10" x14ac:dyDescent="0.25">
      <c r="A7261" t="s">
        <v>7428</v>
      </c>
      <c r="B7261" t="s">
        <v>140</v>
      </c>
      <c r="C7261" t="s">
        <v>127</v>
      </c>
      <c r="D7261" t="s">
        <v>85</v>
      </c>
      <c r="E7261" t="s">
        <v>138</v>
      </c>
      <c r="F7261" s="1">
        <v>43013</v>
      </c>
      <c r="G7261" s="1">
        <v>43018</v>
      </c>
      <c r="H7261">
        <v>1132</v>
      </c>
      <c r="I7261" t="str">
        <f>IF(COUNTIF(Products!$A$2:$A$8,C7261)=0,C7261,"")</f>
        <v/>
      </c>
      <c r="J7261">
        <f>IF(OR(E7261="Prospecting",E7261="Engaging"),VLOOKUP(C7261,Products!$A$2:$C$8,3,FALSE),0)</f>
        <v>0</v>
      </c>
    </row>
    <row r="7262" spans="1:10" x14ac:dyDescent="0.25">
      <c r="A7262" t="s">
        <v>7429</v>
      </c>
      <c r="B7262" t="s">
        <v>140</v>
      </c>
      <c r="C7262" t="s">
        <v>126</v>
      </c>
      <c r="D7262" t="s">
        <v>27</v>
      </c>
      <c r="E7262" t="s">
        <v>138</v>
      </c>
      <c r="F7262" s="1">
        <v>43013</v>
      </c>
      <c r="G7262" s="1">
        <v>43083</v>
      </c>
      <c r="H7262">
        <v>5422</v>
      </c>
      <c r="I7262" t="str">
        <f>IF(COUNTIF(Products!$A$2:$A$8,C7262)=0,C7262,"")</f>
        <v/>
      </c>
      <c r="J7262">
        <f>IF(OR(E7262="Prospecting",E7262="Engaging"),VLOOKUP(C7262,Products!$A$2:$C$8,3,FALSE),0)</f>
        <v>0</v>
      </c>
    </row>
    <row r="7263" spans="1:10" x14ac:dyDescent="0.25">
      <c r="A7263" t="s">
        <v>7430</v>
      </c>
      <c r="B7263" t="s">
        <v>140</v>
      </c>
      <c r="C7263" t="s">
        <v>122</v>
      </c>
      <c r="D7263" t="s">
        <v>32</v>
      </c>
      <c r="E7263" t="s">
        <v>138</v>
      </c>
      <c r="F7263" s="1">
        <v>43013</v>
      </c>
      <c r="G7263" s="1">
        <v>43022</v>
      </c>
      <c r="H7263">
        <v>5170</v>
      </c>
      <c r="I7263" t="str">
        <f>IF(COUNTIF(Products!$A$2:$A$8,C7263)=0,C7263,"")</f>
        <v/>
      </c>
      <c r="J7263">
        <f>IF(OR(E7263="Prospecting",E7263="Engaging"),VLOOKUP(C7263,Products!$A$2:$C$8,3,FALSE),0)</f>
        <v>0</v>
      </c>
    </row>
    <row r="7264" spans="1:10" x14ac:dyDescent="0.25">
      <c r="A7264" t="s">
        <v>7431</v>
      </c>
      <c r="B7264" t="s">
        <v>140</v>
      </c>
      <c r="C7264" t="s">
        <v>122</v>
      </c>
      <c r="D7264" t="s">
        <v>94</v>
      </c>
      <c r="E7264" t="s">
        <v>138</v>
      </c>
      <c r="F7264" s="1">
        <v>43013</v>
      </c>
      <c r="G7264" s="1">
        <v>43091</v>
      </c>
      <c r="H7264">
        <v>5009</v>
      </c>
      <c r="I7264" t="str">
        <f>IF(COUNTIF(Products!$A$2:$A$8,C7264)=0,C7264,"")</f>
        <v/>
      </c>
      <c r="J7264">
        <f>IF(OR(E7264="Prospecting",E7264="Engaging"),VLOOKUP(C7264,Products!$A$2:$C$8,3,FALSE),0)</f>
        <v>0</v>
      </c>
    </row>
    <row r="7265" spans="1:10" x14ac:dyDescent="0.25">
      <c r="A7265" t="s">
        <v>7432</v>
      </c>
      <c r="B7265" t="s">
        <v>224</v>
      </c>
      <c r="C7265" t="s">
        <v>125</v>
      </c>
      <c r="D7265" t="s">
        <v>111</v>
      </c>
      <c r="E7265" t="s">
        <v>159</v>
      </c>
      <c r="F7265" s="1">
        <v>43013</v>
      </c>
      <c r="G7265" s="1">
        <v>43018</v>
      </c>
      <c r="H7265">
        <v>0</v>
      </c>
      <c r="I7265" t="str">
        <f>IF(COUNTIF(Products!$A$2:$A$8,C7265)=0,C7265,"")</f>
        <v/>
      </c>
      <c r="J7265">
        <f>IF(OR(E7265="Prospecting",E7265="Engaging"),VLOOKUP(C7265,Products!$A$2:$C$8,3,FALSE),0)</f>
        <v>0</v>
      </c>
    </row>
    <row r="7266" spans="1:10" x14ac:dyDescent="0.25">
      <c r="A7266" t="s">
        <v>7433</v>
      </c>
      <c r="B7266" t="s">
        <v>173</v>
      </c>
      <c r="C7266" t="s">
        <v>123</v>
      </c>
      <c r="E7266" t="s">
        <v>155</v>
      </c>
      <c r="F7266" s="1">
        <v>43013</v>
      </c>
      <c r="I7266" t="str">
        <f>IF(COUNTIF(Products!$A$2:$A$8,C7266)=0,C7266,"")</f>
        <v/>
      </c>
      <c r="J7266">
        <f>IF(OR(E7266="Prospecting",E7266="Engaging"),VLOOKUP(C7266,Products!$A$2:$C$8,3,FALSE),0)</f>
        <v>55</v>
      </c>
    </row>
    <row r="7267" spans="1:10" x14ac:dyDescent="0.25">
      <c r="A7267" t="s">
        <v>7434</v>
      </c>
      <c r="B7267" t="s">
        <v>173</v>
      </c>
      <c r="C7267" t="s">
        <v>128</v>
      </c>
      <c r="D7267" t="s">
        <v>69</v>
      </c>
      <c r="E7267" t="s">
        <v>159</v>
      </c>
      <c r="F7267" s="1">
        <v>43013</v>
      </c>
      <c r="G7267" s="1">
        <v>43026</v>
      </c>
      <c r="H7267">
        <v>0</v>
      </c>
      <c r="I7267" t="str">
        <f>IF(COUNTIF(Products!$A$2:$A$8,C7267)=0,C7267,"")</f>
        <v/>
      </c>
      <c r="J7267">
        <f>IF(OR(E7267="Prospecting",E7267="Engaging"),VLOOKUP(C7267,Products!$A$2:$C$8,3,FALSE),0)</f>
        <v>0</v>
      </c>
    </row>
    <row r="7268" spans="1:10" x14ac:dyDescent="0.25">
      <c r="A7268" t="s">
        <v>7435</v>
      </c>
      <c r="B7268" t="s">
        <v>198</v>
      </c>
      <c r="C7268" t="s">
        <v>126</v>
      </c>
      <c r="D7268" t="s">
        <v>7</v>
      </c>
      <c r="E7268" t="s">
        <v>138</v>
      </c>
      <c r="F7268" s="1">
        <v>43013</v>
      </c>
      <c r="G7268" s="1">
        <v>43015</v>
      </c>
      <c r="H7268">
        <v>5331</v>
      </c>
      <c r="I7268" t="str">
        <f>IF(COUNTIF(Products!$A$2:$A$8,C7268)=0,C7268,"")</f>
        <v/>
      </c>
      <c r="J7268">
        <f>IF(OR(E7268="Prospecting",E7268="Engaging"),VLOOKUP(C7268,Products!$A$2:$C$8,3,FALSE),0)</f>
        <v>0</v>
      </c>
    </row>
    <row r="7269" spans="1:10" x14ac:dyDescent="0.25">
      <c r="A7269" t="s">
        <v>7436</v>
      </c>
      <c r="B7269" t="s">
        <v>164</v>
      </c>
      <c r="C7269" t="s">
        <v>125</v>
      </c>
      <c r="D7269" t="s">
        <v>90</v>
      </c>
      <c r="E7269" t="s">
        <v>159</v>
      </c>
      <c r="F7269" s="1">
        <v>43013</v>
      </c>
      <c r="G7269" s="1">
        <v>43082</v>
      </c>
      <c r="H7269">
        <v>0</v>
      </c>
      <c r="I7269" t="str">
        <f>IF(COUNTIF(Products!$A$2:$A$8,C7269)=0,C7269,"")</f>
        <v/>
      </c>
      <c r="J7269">
        <f>IF(OR(E7269="Prospecting",E7269="Engaging"),VLOOKUP(C7269,Products!$A$2:$C$8,3,FALSE),0)</f>
        <v>0</v>
      </c>
    </row>
    <row r="7270" spans="1:10" x14ac:dyDescent="0.25">
      <c r="A7270" t="s">
        <v>7437</v>
      </c>
      <c r="B7270" t="s">
        <v>154</v>
      </c>
      <c r="C7270" t="s">
        <v>120</v>
      </c>
      <c r="D7270" t="s">
        <v>59</v>
      </c>
      <c r="E7270" t="s">
        <v>159</v>
      </c>
      <c r="F7270" s="1">
        <v>43013</v>
      </c>
      <c r="G7270" s="1">
        <v>43018</v>
      </c>
      <c r="H7270">
        <v>0</v>
      </c>
      <c r="I7270" t="str">
        <f>IF(COUNTIF(Products!$A$2:$A$8,C7270)=0,C7270,"")</f>
        <v/>
      </c>
      <c r="J7270">
        <f>IF(OR(E7270="Prospecting",E7270="Engaging"),VLOOKUP(C7270,Products!$A$2:$C$8,3,FALSE),0)</f>
        <v>0</v>
      </c>
    </row>
    <row r="7271" spans="1:10" x14ac:dyDescent="0.25">
      <c r="A7271" t="s">
        <v>7438</v>
      </c>
      <c r="B7271" t="s">
        <v>154</v>
      </c>
      <c r="C7271" t="s">
        <v>122</v>
      </c>
      <c r="D7271" t="s">
        <v>71</v>
      </c>
      <c r="E7271" t="s">
        <v>159</v>
      </c>
      <c r="F7271" s="1">
        <v>43013</v>
      </c>
      <c r="G7271" s="1">
        <v>43062</v>
      </c>
      <c r="H7271">
        <v>0</v>
      </c>
      <c r="I7271" t="str">
        <f>IF(COUNTIF(Products!$A$2:$A$8,C7271)=0,C7271,"")</f>
        <v/>
      </c>
      <c r="J7271">
        <f>IF(OR(E7271="Prospecting",E7271="Engaging"),VLOOKUP(C7271,Products!$A$2:$C$8,3,FALSE),0)</f>
        <v>0</v>
      </c>
    </row>
    <row r="7272" spans="1:10" x14ac:dyDescent="0.25">
      <c r="A7272" t="s">
        <v>7439</v>
      </c>
      <c r="B7272" t="s">
        <v>154</v>
      </c>
      <c r="C7272" t="s">
        <v>127</v>
      </c>
      <c r="D7272" t="s">
        <v>60</v>
      </c>
      <c r="E7272" t="s">
        <v>138</v>
      </c>
      <c r="F7272" s="1">
        <v>43013</v>
      </c>
      <c r="G7272" s="1">
        <v>43026</v>
      </c>
      <c r="H7272">
        <v>1132</v>
      </c>
      <c r="I7272" t="str">
        <f>IF(COUNTIF(Products!$A$2:$A$8,C7272)=0,C7272,"")</f>
        <v/>
      </c>
      <c r="J7272">
        <f>IF(OR(E7272="Prospecting",E7272="Engaging"),VLOOKUP(C7272,Products!$A$2:$C$8,3,FALSE),0)</f>
        <v>0</v>
      </c>
    </row>
    <row r="7273" spans="1:10" x14ac:dyDescent="0.25">
      <c r="A7273" t="s">
        <v>7440</v>
      </c>
      <c r="B7273" t="s">
        <v>154</v>
      </c>
      <c r="C7273" t="s">
        <v>126</v>
      </c>
      <c r="D7273" t="s">
        <v>17</v>
      </c>
      <c r="E7273" t="s">
        <v>138</v>
      </c>
      <c r="F7273" s="1">
        <v>43013</v>
      </c>
      <c r="G7273" s="1">
        <v>43019</v>
      </c>
      <c r="H7273">
        <v>5004</v>
      </c>
      <c r="I7273" t="str">
        <f>IF(COUNTIF(Products!$A$2:$A$8,C7273)=0,C7273,"")</f>
        <v/>
      </c>
      <c r="J7273">
        <f>IF(OR(E7273="Prospecting",E7273="Engaging"),VLOOKUP(C7273,Products!$A$2:$C$8,3,FALSE),0)</f>
        <v>0</v>
      </c>
    </row>
    <row r="7274" spans="1:10" x14ac:dyDescent="0.25">
      <c r="A7274" t="s">
        <v>7441</v>
      </c>
      <c r="B7274" t="s">
        <v>303</v>
      </c>
      <c r="C7274" t="s">
        <v>120</v>
      </c>
      <c r="D7274" t="s">
        <v>32</v>
      </c>
      <c r="E7274" t="s">
        <v>138</v>
      </c>
      <c r="F7274" s="1">
        <v>43013</v>
      </c>
      <c r="G7274" s="1">
        <v>43018</v>
      </c>
      <c r="H7274">
        <v>556</v>
      </c>
      <c r="I7274" t="str">
        <f>IF(COUNTIF(Products!$A$2:$A$8,C7274)=0,C7274,"")</f>
        <v/>
      </c>
      <c r="J7274">
        <f>IF(OR(E7274="Prospecting",E7274="Engaging"),VLOOKUP(C7274,Products!$A$2:$C$8,3,FALSE),0)</f>
        <v>0</v>
      </c>
    </row>
    <row r="7275" spans="1:10" x14ac:dyDescent="0.25">
      <c r="A7275" t="s">
        <v>7442</v>
      </c>
      <c r="B7275" t="s">
        <v>303</v>
      </c>
      <c r="C7275" t="s">
        <v>123</v>
      </c>
      <c r="D7275" t="s">
        <v>55</v>
      </c>
      <c r="E7275" t="s">
        <v>138</v>
      </c>
      <c r="F7275" s="1">
        <v>43013</v>
      </c>
      <c r="G7275" s="1">
        <v>43020</v>
      </c>
      <c r="H7275">
        <v>53</v>
      </c>
      <c r="I7275" t="str">
        <f>IF(COUNTIF(Products!$A$2:$A$8,C7275)=0,C7275,"")</f>
        <v/>
      </c>
      <c r="J7275">
        <f>IF(OR(E7275="Prospecting",E7275="Engaging"),VLOOKUP(C7275,Products!$A$2:$C$8,3,FALSE),0)</f>
        <v>0</v>
      </c>
    </row>
    <row r="7276" spans="1:10" x14ac:dyDescent="0.25">
      <c r="A7276" t="s">
        <v>7443</v>
      </c>
      <c r="B7276" t="s">
        <v>180</v>
      </c>
      <c r="C7276" t="s">
        <v>122</v>
      </c>
      <c r="D7276" t="s">
        <v>44</v>
      </c>
      <c r="E7276" t="s">
        <v>138</v>
      </c>
      <c r="F7276" s="1">
        <v>43013</v>
      </c>
      <c r="G7276" s="1">
        <v>43063</v>
      </c>
      <c r="H7276">
        <v>4362</v>
      </c>
      <c r="I7276" t="str">
        <f>IF(COUNTIF(Products!$A$2:$A$8,C7276)=0,C7276,"")</f>
        <v/>
      </c>
      <c r="J7276">
        <f>IF(OR(E7276="Prospecting",E7276="Engaging"),VLOOKUP(C7276,Products!$A$2:$C$8,3,FALSE),0)</f>
        <v>0</v>
      </c>
    </row>
    <row r="7277" spans="1:10" x14ac:dyDescent="0.25">
      <c r="A7277" t="s">
        <v>7444</v>
      </c>
      <c r="B7277" t="s">
        <v>191</v>
      </c>
      <c r="C7277" t="s">
        <v>122</v>
      </c>
      <c r="E7277" t="s">
        <v>155</v>
      </c>
      <c r="F7277" s="1">
        <v>43013</v>
      </c>
      <c r="I7277" t="str">
        <f>IF(COUNTIF(Products!$A$2:$A$8,C7277)=0,C7277,"")</f>
        <v/>
      </c>
      <c r="J7277">
        <f>IF(OR(E7277="Prospecting",E7277="Engaging"),VLOOKUP(C7277,Products!$A$2:$C$8,3,FALSE),0)</f>
        <v>4821</v>
      </c>
    </row>
    <row r="7278" spans="1:10" x14ac:dyDescent="0.25">
      <c r="A7278" t="s">
        <v>7445</v>
      </c>
      <c r="B7278" t="s">
        <v>205</v>
      </c>
      <c r="C7278" t="s">
        <v>120</v>
      </c>
      <c r="D7278" t="s">
        <v>77</v>
      </c>
      <c r="E7278" t="s">
        <v>138</v>
      </c>
      <c r="F7278" s="1">
        <v>43013</v>
      </c>
      <c r="G7278" s="1">
        <v>43093</v>
      </c>
      <c r="H7278">
        <v>550</v>
      </c>
      <c r="I7278" t="str">
        <f>IF(COUNTIF(Products!$A$2:$A$8,C7278)=0,C7278,"")</f>
        <v/>
      </c>
      <c r="J7278">
        <f>IF(OR(E7278="Prospecting",E7278="Engaging"),VLOOKUP(C7278,Products!$A$2:$C$8,3,FALSE),0)</f>
        <v>0</v>
      </c>
    </row>
    <row r="7279" spans="1:10" x14ac:dyDescent="0.25">
      <c r="A7279" t="s">
        <v>7446</v>
      </c>
      <c r="B7279" t="s">
        <v>137</v>
      </c>
      <c r="C7279" t="s">
        <v>123</v>
      </c>
      <c r="D7279" t="s">
        <v>94</v>
      </c>
      <c r="E7279" t="s">
        <v>138</v>
      </c>
      <c r="F7279" s="1">
        <v>43013</v>
      </c>
      <c r="G7279" s="1">
        <v>43097</v>
      </c>
      <c r="H7279">
        <v>50</v>
      </c>
      <c r="I7279" t="str">
        <f>IF(COUNTIF(Products!$A$2:$A$8,C7279)=0,C7279,"")</f>
        <v/>
      </c>
      <c r="J7279">
        <f>IF(OR(E7279="Prospecting",E7279="Engaging"),VLOOKUP(C7279,Products!$A$2:$C$8,3,FALSE),0)</f>
        <v>0</v>
      </c>
    </row>
    <row r="7280" spans="1:10" x14ac:dyDescent="0.25">
      <c r="A7280" t="s">
        <v>7447</v>
      </c>
      <c r="B7280" t="s">
        <v>152</v>
      </c>
      <c r="C7280" t="s">
        <v>127</v>
      </c>
      <c r="D7280" t="s">
        <v>36</v>
      </c>
      <c r="E7280" t="s">
        <v>159</v>
      </c>
      <c r="F7280" s="1">
        <v>43013</v>
      </c>
      <c r="G7280" s="1">
        <v>43021</v>
      </c>
      <c r="H7280">
        <v>0</v>
      </c>
      <c r="I7280" t="str">
        <f>IF(COUNTIF(Products!$A$2:$A$8,C7280)=0,C7280,"")</f>
        <v/>
      </c>
      <c r="J7280">
        <f>IF(OR(E7280="Prospecting",E7280="Engaging"),VLOOKUP(C7280,Products!$A$2:$C$8,3,FALSE),0)</f>
        <v>0</v>
      </c>
    </row>
    <row r="7281" spans="1:10" x14ac:dyDescent="0.25">
      <c r="A7281" t="s">
        <v>7448</v>
      </c>
      <c r="B7281" t="s">
        <v>152</v>
      </c>
      <c r="C7281" t="s">
        <v>127</v>
      </c>
      <c r="D7281" t="s">
        <v>36</v>
      </c>
      <c r="E7281" t="s">
        <v>159</v>
      </c>
      <c r="F7281" s="1">
        <v>43013</v>
      </c>
      <c r="G7281" s="1">
        <v>43023</v>
      </c>
      <c r="H7281">
        <v>0</v>
      </c>
      <c r="I7281" t="str">
        <f>IF(COUNTIF(Products!$A$2:$A$8,C7281)=0,C7281,"")</f>
        <v/>
      </c>
      <c r="J7281">
        <f>IF(OR(E7281="Prospecting",E7281="Engaging"),VLOOKUP(C7281,Products!$A$2:$C$8,3,FALSE),0)</f>
        <v>0</v>
      </c>
    </row>
    <row r="7282" spans="1:10" x14ac:dyDescent="0.25">
      <c r="A7282" t="s">
        <v>7449</v>
      </c>
      <c r="B7282" t="s">
        <v>152</v>
      </c>
      <c r="C7282" t="s">
        <v>122</v>
      </c>
      <c r="D7282" t="s">
        <v>46</v>
      </c>
      <c r="E7282" t="s">
        <v>159</v>
      </c>
      <c r="F7282" s="1">
        <v>43013</v>
      </c>
      <c r="G7282" s="1">
        <v>43023</v>
      </c>
      <c r="H7282">
        <v>0</v>
      </c>
      <c r="I7282" t="str">
        <f>IF(COUNTIF(Products!$A$2:$A$8,C7282)=0,C7282,"")</f>
        <v/>
      </c>
      <c r="J7282">
        <f>IF(OR(E7282="Prospecting",E7282="Engaging"),VLOOKUP(C7282,Products!$A$2:$C$8,3,FALSE),0)</f>
        <v>0</v>
      </c>
    </row>
    <row r="7283" spans="1:10" x14ac:dyDescent="0.25">
      <c r="A7283" t="s">
        <v>7450</v>
      </c>
      <c r="B7283" t="s">
        <v>193</v>
      </c>
      <c r="C7283" t="s">
        <v>122</v>
      </c>
      <c r="D7283" t="s">
        <v>50</v>
      </c>
      <c r="E7283" t="s">
        <v>138</v>
      </c>
      <c r="F7283" s="1">
        <v>43013</v>
      </c>
      <c r="G7283" s="1">
        <v>43100</v>
      </c>
      <c r="H7283">
        <v>4651</v>
      </c>
      <c r="I7283" t="str">
        <f>IF(COUNTIF(Products!$A$2:$A$8,C7283)=0,C7283,"")</f>
        <v/>
      </c>
      <c r="J7283">
        <f>IF(OR(E7283="Prospecting",E7283="Engaging"),VLOOKUP(C7283,Products!$A$2:$C$8,3,FALSE),0)</f>
        <v>0</v>
      </c>
    </row>
    <row r="7284" spans="1:10" x14ac:dyDescent="0.25">
      <c r="A7284" t="s">
        <v>7451</v>
      </c>
      <c r="B7284" t="s">
        <v>193</v>
      </c>
      <c r="C7284" t="s">
        <v>125</v>
      </c>
      <c r="D7284" t="s">
        <v>105</v>
      </c>
      <c r="E7284" t="s">
        <v>138</v>
      </c>
      <c r="F7284" s="1">
        <v>43013</v>
      </c>
      <c r="G7284" s="1">
        <v>43086</v>
      </c>
      <c r="H7284">
        <v>3285</v>
      </c>
      <c r="I7284" t="str">
        <f>IF(COUNTIF(Products!$A$2:$A$8,C7284)=0,C7284,"")</f>
        <v/>
      </c>
      <c r="J7284">
        <f>IF(OR(E7284="Prospecting",E7284="Engaging"),VLOOKUP(C7284,Products!$A$2:$C$8,3,FALSE),0)</f>
        <v>0</v>
      </c>
    </row>
    <row r="7285" spans="1:10" x14ac:dyDescent="0.25">
      <c r="A7285" t="s">
        <v>7452</v>
      </c>
      <c r="B7285" t="s">
        <v>166</v>
      </c>
      <c r="C7285" t="s">
        <v>120</v>
      </c>
      <c r="D7285" t="s">
        <v>39</v>
      </c>
      <c r="E7285" t="s">
        <v>159</v>
      </c>
      <c r="F7285" s="1">
        <v>43013</v>
      </c>
      <c r="G7285" s="1">
        <v>43019</v>
      </c>
      <c r="H7285">
        <v>0</v>
      </c>
      <c r="I7285" t="str">
        <f>IF(COUNTIF(Products!$A$2:$A$8,C7285)=0,C7285,"")</f>
        <v/>
      </c>
      <c r="J7285">
        <f>IF(OR(E7285="Prospecting",E7285="Engaging"),VLOOKUP(C7285,Products!$A$2:$C$8,3,FALSE),0)</f>
        <v>0</v>
      </c>
    </row>
    <row r="7286" spans="1:10" x14ac:dyDescent="0.25">
      <c r="A7286" t="s">
        <v>7453</v>
      </c>
      <c r="B7286" t="s">
        <v>187</v>
      </c>
      <c r="C7286" t="s">
        <v>125</v>
      </c>
      <c r="D7286" t="s">
        <v>105</v>
      </c>
      <c r="E7286" t="s">
        <v>138</v>
      </c>
      <c r="F7286" s="1">
        <v>43013</v>
      </c>
      <c r="G7286" s="1">
        <v>43019</v>
      </c>
      <c r="H7286">
        <v>3002</v>
      </c>
      <c r="I7286" t="str">
        <f>IF(COUNTIF(Products!$A$2:$A$8,C7286)=0,C7286,"")</f>
        <v/>
      </c>
      <c r="J7286">
        <f>IF(OR(E7286="Prospecting",E7286="Engaging"),VLOOKUP(C7286,Products!$A$2:$C$8,3,FALSE),0)</f>
        <v>0</v>
      </c>
    </row>
    <row r="7287" spans="1:10" x14ac:dyDescent="0.25">
      <c r="A7287" t="s">
        <v>7454</v>
      </c>
      <c r="B7287" t="s">
        <v>169</v>
      </c>
      <c r="C7287" t="s">
        <v>120</v>
      </c>
      <c r="D7287" t="s">
        <v>12</v>
      </c>
      <c r="E7287" t="s">
        <v>159</v>
      </c>
      <c r="F7287" s="1">
        <v>43013</v>
      </c>
      <c r="G7287" s="1">
        <v>43024</v>
      </c>
      <c r="H7287">
        <v>0</v>
      </c>
      <c r="I7287" t="str">
        <f>IF(COUNTIF(Products!$A$2:$A$8,C7287)=0,C7287,"")</f>
        <v/>
      </c>
      <c r="J7287">
        <f>IF(OR(E7287="Prospecting",E7287="Engaging"),VLOOKUP(C7287,Products!$A$2:$C$8,3,FALSE),0)</f>
        <v>0</v>
      </c>
    </row>
    <row r="7288" spans="1:10" x14ac:dyDescent="0.25">
      <c r="A7288" t="s">
        <v>7455</v>
      </c>
      <c r="B7288" t="s">
        <v>169</v>
      </c>
      <c r="C7288" t="s">
        <v>123</v>
      </c>
      <c r="D7288" t="s">
        <v>28</v>
      </c>
      <c r="E7288" t="s">
        <v>138</v>
      </c>
      <c r="F7288" s="1">
        <v>43013</v>
      </c>
      <c r="G7288" s="1">
        <v>43015</v>
      </c>
      <c r="H7288">
        <v>58</v>
      </c>
      <c r="I7288" t="str">
        <f>IF(COUNTIF(Products!$A$2:$A$8,C7288)=0,C7288,"")</f>
        <v/>
      </c>
      <c r="J7288">
        <f>IF(OR(E7288="Prospecting",E7288="Engaging"),VLOOKUP(C7288,Products!$A$2:$C$8,3,FALSE),0)</f>
        <v>0</v>
      </c>
    </row>
    <row r="7289" spans="1:10" x14ac:dyDescent="0.25">
      <c r="A7289" t="s">
        <v>7456</v>
      </c>
      <c r="B7289" t="s">
        <v>148</v>
      </c>
      <c r="C7289" t="s">
        <v>123</v>
      </c>
      <c r="D7289" t="s">
        <v>114</v>
      </c>
      <c r="E7289" t="s">
        <v>159</v>
      </c>
      <c r="F7289" s="1">
        <v>43013</v>
      </c>
      <c r="G7289" s="1">
        <v>43016</v>
      </c>
      <c r="H7289">
        <v>0</v>
      </c>
      <c r="I7289" t="str">
        <f>IF(COUNTIF(Products!$A$2:$A$8,C7289)=0,C7289,"")</f>
        <v/>
      </c>
      <c r="J7289">
        <f>IF(OR(E7289="Prospecting",E7289="Engaging"),VLOOKUP(C7289,Products!$A$2:$C$8,3,FALSE),0)</f>
        <v>0</v>
      </c>
    </row>
    <row r="7290" spans="1:10" x14ac:dyDescent="0.25">
      <c r="A7290" t="s">
        <v>7457</v>
      </c>
      <c r="B7290" t="s">
        <v>148</v>
      </c>
      <c r="C7290" t="s">
        <v>125</v>
      </c>
      <c r="D7290" t="s">
        <v>34</v>
      </c>
      <c r="E7290" t="s">
        <v>138</v>
      </c>
      <c r="F7290" s="1">
        <v>43013</v>
      </c>
      <c r="G7290" s="1">
        <v>43016</v>
      </c>
      <c r="H7290">
        <v>3435</v>
      </c>
      <c r="I7290" t="str">
        <f>IF(COUNTIF(Products!$A$2:$A$8,C7290)=0,C7290,"")</f>
        <v/>
      </c>
      <c r="J7290">
        <f>IF(OR(E7290="Prospecting",E7290="Engaging"),VLOOKUP(C7290,Products!$A$2:$C$8,3,FALSE),0)</f>
        <v>0</v>
      </c>
    </row>
    <row r="7291" spans="1:10" x14ac:dyDescent="0.25">
      <c r="A7291" t="s">
        <v>7458</v>
      </c>
      <c r="B7291" t="s">
        <v>144</v>
      </c>
      <c r="C7291" t="s">
        <v>123</v>
      </c>
      <c r="D7291" t="s">
        <v>107</v>
      </c>
      <c r="E7291" t="s">
        <v>159</v>
      </c>
      <c r="F7291" s="1">
        <v>43013</v>
      </c>
      <c r="G7291" s="1">
        <v>43015</v>
      </c>
      <c r="H7291">
        <v>0</v>
      </c>
      <c r="I7291" t="str">
        <f>IF(COUNTIF(Products!$A$2:$A$8,C7291)=0,C7291,"")</f>
        <v/>
      </c>
      <c r="J7291">
        <f>IF(OR(E7291="Prospecting",E7291="Engaging"),VLOOKUP(C7291,Products!$A$2:$C$8,3,FALSE),0)</f>
        <v>0</v>
      </c>
    </row>
    <row r="7292" spans="1:10" x14ac:dyDescent="0.25">
      <c r="A7292" t="s">
        <v>7459</v>
      </c>
      <c r="B7292" t="s">
        <v>146</v>
      </c>
      <c r="C7292" t="s">
        <v>123</v>
      </c>
      <c r="D7292" t="s">
        <v>46</v>
      </c>
      <c r="E7292" t="s">
        <v>159</v>
      </c>
      <c r="F7292" s="1">
        <v>43014</v>
      </c>
      <c r="G7292" s="1">
        <v>43063</v>
      </c>
      <c r="H7292">
        <v>0</v>
      </c>
      <c r="I7292" t="str">
        <f>IF(COUNTIF(Products!$A$2:$A$8,C7292)=0,C7292,"")</f>
        <v/>
      </c>
      <c r="J7292">
        <f>IF(OR(E7292="Prospecting",E7292="Engaging"),VLOOKUP(C7292,Products!$A$2:$C$8,3,FALSE),0)</f>
        <v>0</v>
      </c>
    </row>
    <row r="7293" spans="1:10" x14ac:dyDescent="0.25">
      <c r="A7293" t="s">
        <v>7460</v>
      </c>
      <c r="B7293" t="s">
        <v>146</v>
      </c>
      <c r="C7293" t="s">
        <v>125</v>
      </c>
      <c r="D7293" t="s">
        <v>88</v>
      </c>
      <c r="E7293" t="s">
        <v>159</v>
      </c>
      <c r="F7293" s="1">
        <v>43014</v>
      </c>
      <c r="G7293" s="1">
        <v>43016</v>
      </c>
      <c r="H7293">
        <v>0</v>
      </c>
      <c r="I7293" t="str">
        <f>IF(COUNTIF(Products!$A$2:$A$8,C7293)=0,C7293,"")</f>
        <v/>
      </c>
      <c r="J7293">
        <f>IF(OR(E7293="Prospecting",E7293="Engaging"),VLOOKUP(C7293,Products!$A$2:$C$8,3,FALSE),0)</f>
        <v>0</v>
      </c>
    </row>
    <row r="7294" spans="1:10" x14ac:dyDescent="0.25">
      <c r="A7294" t="s">
        <v>7461</v>
      </c>
      <c r="B7294" t="s">
        <v>222</v>
      </c>
      <c r="C7294" t="s">
        <v>120</v>
      </c>
      <c r="D7294" t="s">
        <v>69</v>
      </c>
      <c r="E7294" t="s">
        <v>138</v>
      </c>
      <c r="F7294" s="1">
        <v>43014</v>
      </c>
      <c r="G7294" s="1">
        <v>43083</v>
      </c>
      <c r="H7294">
        <v>492</v>
      </c>
      <c r="I7294" t="str">
        <f>IF(COUNTIF(Products!$A$2:$A$8,C7294)=0,C7294,"")</f>
        <v/>
      </c>
      <c r="J7294">
        <f>IF(OR(E7294="Prospecting",E7294="Engaging"),VLOOKUP(C7294,Products!$A$2:$C$8,3,FALSE),0)</f>
        <v>0</v>
      </c>
    </row>
    <row r="7295" spans="1:10" x14ac:dyDescent="0.25">
      <c r="A7295" t="s">
        <v>7462</v>
      </c>
      <c r="B7295" t="s">
        <v>222</v>
      </c>
      <c r="C7295" t="s">
        <v>122</v>
      </c>
      <c r="D7295" t="s">
        <v>108</v>
      </c>
      <c r="E7295" t="s">
        <v>138</v>
      </c>
      <c r="F7295" s="1">
        <v>43014</v>
      </c>
      <c r="G7295" s="1">
        <v>43015</v>
      </c>
      <c r="H7295">
        <v>4401</v>
      </c>
      <c r="I7295" t="str">
        <f>IF(COUNTIF(Products!$A$2:$A$8,C7295)=0,C7295,"")</f>
        <v/>
      </c>
      <c r="J7295">
        <f>IF(OR(E7295="Prospecting",E7295="Engaging"),VLOOKUP(C7295,Products!$A$2:$C$8,3,FALSE),0)</f>
        <v>0</v>
      </c>
    </row>
    <row r="7296" spans="1:10" x14ac:dyDescent="0.25">
      <c r="A7296" t="s">
        <v>7463</v>
      </c>
      <c r="B7296" t="s">
        <v>207</v>
      </c>
      <c r="C7296" t="s">
        <v>123</v>
      </c>
      <c r="D7296" t="s">
        <v>111</v>
      </c>
      <c r="E7296" t="s">
        <v>138</v>
      </c>
      <c r="F7296" s="1">
        <v>43014</v>
      </c>
      <c r="G7296" s="1">
        <v>43095</v>
      </c>
      <c r="H7296">
        <v>50</v>
      </c>
      <c r="I7296" t="str">
        <f>IF(COUNTIF(Products!$A$2:$A$8,C7296)=0,C7296,"")</f>
        <v/>
      </c>
      <c r="J7296">
        <f>IF(OR(E7296="Prospecting",E7296="Engaging"),VLOOKUP(C7296,Products!$A$2:$C$8,3,FALSE),0)</f>
        <v>0</v>
      </c>
    </row>
    <row r="7297" spans="1:10" x14ac:dyDescent="0.25">
      <c r="A7297" t="s">
        <v>7464</v>
      </c>
      <c r="B7297" t="s">
        <v>207</v>
      </c>
      <c r="C7297" t="s">
        <v>125</v>
      </c>
      <c r="D7297" t="s">
        <v>20</v>
      </c>
      <c r="E7297" t="s">
        <v>138</v>
      </c>
      <c r="F7297" s="1">
        <v>43014</v>
      </c>
      <c r="G7297" s="1">
        <v>43051</v>
      </c>
      <c r="H7297">
        <v>3333</v>
      </c>
      <c r="I7297" t="str">
        <f>IF(COUNTIF(Products!$A$2:$A$8,C7297)=0,C7297,"")</f>
        <v/>
      </c>
      <c r="J7297">
        <f>IF(OR(E7297="Prospecting",E7297="Engaging"),VLOOKUP(C7297,Products!$A$2:$C$8,3,FALSE),0)</f>
        <v>0</v>
      </c>
    </row>
    <row r="7298" spans="1:10" x14ac:dyDescent="0.25">
      <c r="A7298" t="s">
        <v>7465</v>
      </c>
      <c r="B7298" t="s">
        <v>239</v>
      </c>
      <c r="C7298" t="s">
        <v>127</v>
      </c>
      <c r="D7298" t="s">
        <v>37</v>
      </c>
      <c r="E7298" t="s">
        <v>138</v>
      </c>
      <c r="F7298" s="1">
        <v>43014</v>
      </c>
      <c r="G7298" s="1">
        <v>43024</v>
      </c>
      <c r="H7298">
        <v>1095</v>
      </c>
      <c r="I7298" t="str">
        <f>IF(COUNTIF(Products!$A$2:$A$8,C7298)=0,C7298,"")</f>
        <v/>
      </c>
      <c r="J7298">
        <f>IF(OR(E7298="Prospecting",E7298="Engaging"),VLOOKUP(C7298,Products!$A$2:$C$8,3,FALSE),0)</f>
        <v>0</v>
      </c>
    </row>
    <row r="7299" spans="1:10" x14ac:dyDescent="0.25">
      <c r="A7299" t="s">
        <v>7466</v>
      </c>
      <c r="B7299" t="s">
        <v>171</v>
      </c>
      <c r="C7299" t="s">
        <v>125</v>
      </c>
      <c r="E7299" t="s">
        <v>155</v>
      </c>
      <c r="F7299" s="1">
        <v>43014</v>
      </c>
      <c r="I7299" t="str">
        <f>IF(COUNTIF(Products!$A$2:$A$8,C7299)=0,C7299,"")</f>
        <v/>
      </c>
      <c r="J7299">
        <f>IF(OR(E7299="Prospecting",E7299="Engaging"),VLOOKUP(C7299,Products!$A$2:$C$8,3,FALSE),0)</f>
        <v>3393</v>
      </c>
    </row>
    <row r="7300" spans="1:10" x14ac:dyDescent="0.25">
      <c r="A7300" t="s">
        <v>7467</v>
      </c>
      <c r="B7300" t="s">
        <v>140</v>
      </c>
      <c r="C7300" t="s">
        <v>126</v>
      </c>
      <c r="D7300" t="s">
        <v>30</v>
      </c>
      <c r="E7300" t="s">
        <v>138</v>
      </c>
      <c r="F7300" s="1">
        <v>43014</v>
      </c>
      <c r="G7300" s="1">
        <v>43061</v>
      </c>
      <c r="H7300">
        <v>5595</v>
      </c>
      <c r="I7300" t="str">
        <f>IF(COUNTIF(Products!$A$2:$A$8,C7300)=0,C7300,"")</f>
        <v/>
      </c>
      <c r="J7300">
        <f>IF(OR(E7300="Prospecting",E7300="Engaging"),VLOOKUP(C7300,Products!$A$2:$C$8,3,FALSE),0)</f>
        <v>0</v>
      </c>
    </row>
    <row r="7301" spans="1:10" x14ac:dyDescent="0.25">
      <c r="A7301" t="s">
        <v>7468</v>
      </c>
      <c r="B7301" t="s">
        <v>140</v>
      </c>
      <c r="C7301" t="s">
        <v>122</v>
      </c>
      <c r="D7301" t="s">
        <v>42</v>
      </c>
      <c r="E7301" t="s">
        <v>138</v>
      </c>
      <c r="F7301" s="1">
        <v>43014</v>
      </c>
      <c r="G7301" s="1">
        <v>43016</v>
      </c>
      <c r="H7301">
        <v>4461</v>
      </c>
      <c r="I7301" t="str">
        <f>IF(COUNTIF(Products!$A$2:$A$8,C7301)=0,C7301,"")</f>
        <v/>
      </c>
      <c r="J7301">
        <f>IF(OR(E7301="Prospecting",E7301="Engaging"),VLOOKUP(C7301,Products!$A$2:$C$8,3,FALSE),0)</f>
        <v>0</v>
      </c>
    </row>
    <row r="7302" spans="1:10" x14ac:dyDescent="0.25">
      <c r="A7302" t="s">
        <v>7469</v>
      </c>
      <c r="B7302" t="s">
        <v>224</v>
      </c>
      <c r="C7302" t="s">
        <v>127</v>
      </c>
      <c r="D7302" t="s">
        <v>110</v>
      </c>
      <c r="E7302" t="s">
        <v>159</v>
      </c>
      <c r="F7302" s="1">
        <v>43014</v>
      </c>
      <c r="G7302" s="1">
        <v>43024</v>
      </c>
      <c r="H7302">
        <v>0</v>
      </c>
      <c r="I7302" t="str">
        <f>IF(COUNTIF(Products!$A$2:$A$8,C7302)=0,C7302,"")</f>
        <v/>
      </c>
      <c r="J7302">
        <f>IF(OR(E7302="Prospecting",E7302="Engaging"),VLOOKUP(C7302,Products!$A$2:$C$8,3,FALSE),0)</f>
        <v>0</v>
      </c>
    </row>
    <row r="7303" spans="1:10" x14ac:dyDescent="0.25">
      <c r="A7303" t="s">
        <v>7470</v>
      </c>
      <c r="B7303" t="s">
        <v>173</v>
      </c>
      <c r="C7303" t="s">
        <v>123</v>
      </c>
      <c r="E7303" t="s">
        <v>155</v>
      </c>
      <c r="F7303" s="1">
        <v>43014</v>
      </c>
      <c r="I7303" t="str">
        <f>IF(COUNTIF(Products!$A$2:$A$8,C7303)=0,C7303,"")</f>
        <v/>
      </c>
      <c r="J7303">
        <f>IF(OR(E7303="Prospecting",E7303="Engaging"),VLOOKUP(C7303,Products!$A$2:$C$8,3,FALSE),0)</f>
        <v>55</v>
      </c>
    </row>
    <row r="7304" spans="1:10" x14ac:dyDescent="0.25">
      <c r="A7304" t="s">
        <v>7471</v>
      </c>
      <c r="B7304" t="s">
        <v>158</v>
      </c>
      <c r="C7304" t="s">
        <v>120</v>
      </c>
      <c r="D7304" t="s">
        <v>96</v>
      </c>
      <c r="E7304" t="s">
        <v>138</v>
      </c>
      <c r="F7304" s="1">
        <v>43014</v>
      </c>
      <c r="G7304" s="1">
        <v>43059</v>
      </c>
      <c r="H7304">
        <v>415</v>
      </c>
      <c r="I7304" t="str">
        <f>IF(COUNTIF(Products!$A$2:$A$8,C7304)=0,C7304,"")</f>
        <v/>
      </c>
      <c r="J7304">
        <f>IF(OR(E7304="Prospecting",E7304="Engaging"),VLOOKUP(C7304,Products!$A$2:$C$8,3,FALSE),0)</f>
        <v>0</v>
      </c>
    </row>
    <row r="7305" spans="1:10" x14ac:dyDescent="0.25">
      <c r="A7305" t="s">
        <v>7472</v>
      </c>
      <c r="B7305" t="s">
        <v>158</v>
      </c>
      <c r="C7305" t="s">
        <v>125</v>
      </c>
      <c r="D7305" t="s">
        <v>94</v>
      </c>
      <c r="E7305" t="s">
        <v>138</v>
      </c>
      <c r="F7305" s="1">
        <v>43014</v>
      </c>
      <c r="G7305" s="1">
        <v>43016</v>
      </c>
      <c r="H7305">
        <v>3212</v>
      </c>
      <c r="I7305" t="str">
        <f>IF(COUNTIF(Products!$A$2:$A$8,C7305)=0,C7305,"")</f>
        <v/>
      </c>
      <c r="J7305">
        <f>IF(OR(E7305="Prospecting",E7305="Engaging"),VLOOKUP(C7305,Products!$A$2:$C$8,3,FALSE),0)</f>
        <v>0</v>
      </c>
    </row>
    <row r="7306" spans="1:10" x14ac:dyDescent="0.25">
      <c r="A7306" t="s">
        <v>7473</v>
      </c>
      <c r="B7306" t="s">
        <v>154</v>
      </c>
      <c r="C7306" t="s">
        <v>120</v>
      </c>
      <c r="D7306" t="s">
        <v>59</v>
      </c>
      <c r="E7306" t="s">
        <v>138</v>
      </c>
      <c r="F7306" s="1">
        <v>43014</v>
      </c>
      <c r="G7306" s="1">
        <v>43100</v>
      </c>
      <c r="H7306">
        <v>457</v>
      </c>
      <c r="I7306" t="str">
        <f>IF(COUNTIF(Products!$A$2:$A$8,C7306)=0,C7306,"")</f>
        <v/>
      </c>
      <c r="J7306">
        <f>IF(OR(E7306="Prospecting",E7306="Engaging"),VLOOKUP(C7306,Products!$A$2:$C$8,3,FALSE),0)</f>
        <v>0</v>
      </c>
    </row>
    <row r="7307" spans="1:10" x14ac:dyDescent="0.25">
      <c r="A7307" t="s">
        <v>7474</v>
      </c>
      <c r="B7307" t="s">
        <v>303</v>
      </c>
      <c r="C7307" t="s">
        <v>127</v>
      </c>
      <c r="D7307" t="s">
        <v>27</v>
      </c>
      <c r="E7307" t="s">
        <v>159</v>
      </c>
      <c r="F7307" s="1">
        <v>43014</v>
      </c>
      <c r="G7307" s="1">
        <v>43025</v>
      </c>
      <c r="H7307">
        <v>0</v>
      </c>
      <c r="I7307" t="str">
        <f>IF(COUNTIF(Products!$A$2:$A$8,C7307)=0,C7307,"")</f>
        <v/>
      </c>
      <c r="J7307">
        <f>IF(OR(E7307="Prospecting",E7307="Engaging"),VLOOKUP(C7307,Products!$A$2:$C$8,3,FALSE),0)</f>
        <v>0</v>
      </c>
    </row>
    <row r="7308" spans="1:10" x14ac:dyDescent="0.25">
      <c r="A7308" t="s">
        <v>7475</v>
      </c>
      <c r="B7308" t="s">
        <v>303</v>
      </c>
      <c r="C7308" t="s">
        <v>120</v>
      </c>
      <c r="D7308" t="s">
        <v>26</v>
      </c>
      <c r="E7308" t="s">
        <v>138</v>
      </c>
      <c r="F7308" s="1">
        <v>43014</v>
      </c>
      <c r="G7308" s="1">
        <v>43100</v>
      </c>
      <c r="H7308">
        <v>546</v>
      </c>
      <c r="I7308" t="str">
        <f>IF(COUNTIF(Products!$A$2:$A$8,C7308)=0,C7308,"")</f>
        <v/>
      </c>
      <c r="J7308">
        <f>IF(OR(E7308="Prospecting",E7308="Engaging"),VLOOKUP(C7308,Products!$A$2:$C$8,3,FALSE),0)</f>
        <v>0</v>
      </c>
    </row>
    <row r="7309" spans="1:10" x14ac:dyDescent="0.25">
      <c r="A7309" t="s">
        <v>7476</v>
      </c>
      <c r="B7309" t="s">
        <v>217</v>
      </c>
      <c r="C7309" t="s">
        <v>127</v>
      </c>
      <c r="D7309" t="s">
        <v>95</v>
      </c>
      <c r="E7309" t="s">
        <v>159</v>
      </c>
      <c r="F7309" s="1">
        <v>43014</v>
      </c>
      <c r="G7309" s="1">
        <v>43020</v>
      </c>
      <c r="H7309">
        <v>0</v>
      </c>
      <c r="I7309" t="str">
        <f>IF(COUNTIF(Products!$A$2:$A$8,C7309)=0,C7309,"")</f>
        <v/>
      </c>
      <c r="J7309">
        <f>IF(OR(E7309="Prospecting",E7309="Engaging"),VLOOKUP(C7309,Products!$A$2:$C$8,3,FALSE),0)</f>
        <v>0</v>
      </c>
    </row>
    <row r="7310" spans="1:10" x14ac:dyDescent="0.25">
      <c r="A7310" t="s">
        <v>7477</v>
      </c>
      <c r="B7310" t="s">
        <v>217</v>
      </c>
      <c r="C7310" t="s">
        <v>120</v>
      </c>
      <c r="D7310" t="s">
        <v>53</v>
      </c>
      <c r="E7310" t="s">
        <v>138</v>
      </c>
      <c r="F7310" s="1">
        <v>43014</v>
      </c>
      <c r="G7310" s="1">
        <v>43090</v>
      </c>
      <c r="H7310">
        <v>453</v>
      </c>
      <c r="I7310" t="str">
        <f>IF(COUNTIF(Products!$A$2:$A$8,C7310)=0,C7310,"")</f>
        <v/>
      </c>
      <c r="J7310">
        <f>IF(OR(E7310="Prospecting",E7310="Engaging"),VLOOKUP(C7310,Products!$A$2:$C$8,3,FALSE),0)</f>
        <v>0</v>
      </c>
    </row>
    <row r="7311" spans="1:10" x14ac:dyDescent="0.25">
      <c r="A7311" t="s">
        <v>7478</v>
      </c>
      <c r="B7311" t="s">
        <v>150</v>
      </c>
      <c r="C7311" t="s">
        <v>122</v>
      </c>
      <c r="D7311" t="s">
        <v>60</v>
      </c>
      <c r="E7311" t="s">
        <v>159</v>
      </c>
      <c r="F7311" s="1">
        <v>43014</v>
      </c>
      <c r="G7311" s="1">
        <v>43023</v>
      </c>
      <c r="H7311">
        <v>0</v>
      </c>
      <c r="I7311" t="str">
        <f>IF(COUNTIF(Products!$A$2:$A$8,C7311)=0,C7311,"")</f>
        <v/>
      </c>
      <c r="J7311">
        <f>IF(OR(E7311="Prospecting",E7311="Engaging"),VLOOKUP(C7311,Products!$A$2:$C$8,3,FALSE),0)</f>
        <v>0</v>
      </c>
    </row>
    <row r="7312" spans="1:10" x14ac:dyDescent="0.25">
      <c r="A7312" t="s">
        <v>7479</v>
      </c>
      <c r="B7312" t="s">
        <v>137</v>
      </c>
      <c r="C7312" t="s">
        <v>120</v>
      </c>
      <c r="D7312" t="s">
        <v>30</v>
      </c>
      <c r="E7312" t="s">
        <v>138</v>
      </c>
      <c r="F7312" s="1">
        <v>43014</v>
      </c>
      <c r="G7312" s="1">
        <v>43015</v>
      </c>
      <c r="H7312">
        <v>510</v>
      </c>
      <c r="I7312" t="str">
        <f>IF(COUNTIF(Products!$A$2:$A$8,C7312)=0,C7312,"")</f>
        <v/>
      </c>
      <c r="J7312">
        <f>IF(OR(E7312="Prospecting",E7312="Engaging"),VLOOKUP(C7312,Products!$A$2:$C$8,3,FALSE),0)</f>
        <v>0</v>
      </c>
    </row>
    <row r="7313" spans="1:10" x14ac:dyDescent="0.25">
      <c r="A7313" t="s">
        <v>7480</v>
      </c>
      <c r="B7313" t="s">
        <v>137</v>
      </c>
      <c r="C7313" t="s">
        <v>120</v>
      </c>
      <c r="D7313" t="s">
        <v>55</v>
      </c>
      <c r="E7313" t="s">
        <v>138</v>
      </c>
      <c r="F7313" s="1">
        <v>43014</v>
      </c>
      <c r="G7313" s="1">
        <v>43022</v>
      </c>
      <c r="H7313">
        <v>552</v>
      </c>
      <c r="I7313" t="str">
        <f>IF(COUNTIF(Products!$A$2:$A$8,C7313)=0,C7313,"")</f>
        <v/>
      </c>
      <c r="J7313">
        <f>IF(OR(E7313="Prospecting",E7313="Engaging"),VLOOKUP(C7313,Products!$A$2:$C$8,3,FALSE),0)</f>
        <v>0</v>
      </c>
    </row>
    <row r="7314" spans="1:10" x14ac:dyDescent="0.25">
      <c r="A7314" t="s">
        <v>7481</v>
      </c>
      <c r="B7314" t="s">
        <v>193</v>
      </c>
      <c r="C7314" t="s">
        <v>125</v>
      </c>
      <c r="D7314" t="s">
        <v>112</v>
      </c>
      <c r="E7314" t="s">
        <v>138</v>
      </c>
      <c r="F7314" s="1">
        <v>43014</v>
      </c>
      <c r="G7314" s="1">
        <v>43015</v>
      </c>
      <c r="H7314">
        <v>3203</v>
      </c>
      <c r="I7314" t="str">
        <f>IF(COUNTIF(Products!$A$2:$A$8,C7314)=0,C7314,"")</f>
        <v/>
      </c>
      <c r="J7314">
        <f>IF(OR(E7314="Prospecting",E7314="Engaging"),VLOOKUP(C7314,Products!$A$2:$C$8,3,FALSE),0)</f>
        <v>0</v>
      </c>
    </row>
    <row r="7315" spans="1:10" x14ac:dyDescent="0.25">
      <c r="A7315" t="s">
        <v>7482</v>
      </c>
      <c r="B7315" t="s">
        <v>187</v>
      </c>
      <c r="C7315" t="s">
        <v>126</v>
      </c>
      <c r="D7315" t="s">
        <v>102</v>
      </c>
      <c r="E7315" t="s">
        <v>138</v>
      </c>
      <c r="F7315" s="1">
        <v>43014</v>
      </c>
      <c r="G7315" s="1">
        <v>43022</v>
      </c>
      <c r="H7315">
        <v>6228</v>
      </c>
      <c r="I7315" t="str">
        <f>IF(COUNTIF(Products!$A$2:$A$8,C7315)=0,C7315,"")</f>
        <v/>
      </c>
      <c r="J7315">
        <f>IF(OR(E7315="Prospecting",E7315="Engaging"),VLOOKUP(C7315,Products!$A$2:$C$8,3,FALSE),0)</f>
        <v>0</v>
      </c>
    </row>
    <row r="7316" spans="1:10" x14ac:dyDescent="0.25">
      <c r="A7316" t="s">
        <v>7483</v>
      </c>
      <c r="B7316" t="s">
        <v>169</v>
      </c>
      <c r="C7316" t="s">
        <v>123</v>
      </c>
      <c r="D7316" t="s">
        <v>30</v>
      </c>
      <c r="E7316" t="s">
        <v>138</v>
      </c>
      <c r="F7316" s="1">
        <v>43014</v>
      </c>
      <c r="G7316" s="1">
        <v>43019</v>
      </c>
      <c r="H7316">
        <v>59</v>
      </c>
      <c r="I7316" t="str">
        <f>IF(COUNTIF(Products!$A$2:$A$8,C7316)=0,C7316,"")</f>
        <v/>
      </c>
      <c r="J7316">
        <f>IF(OR(E7316="Prospecting",E7316="Engaging"),VLOOKUP(C7316,Products!$A$2:$C$8,3,FALSE),0)</f>
        <v>0</v>
      </c>
    </row>
    <row r="7317" spans="1:10" x14ac:dyDescent="0.25">
      <c r="A7317" t="s">
        <v>7484</v>
      </c>
      <c r="B7317" t="s">
        <v>196</v>
      </c>
      <c r="C7317" t="s">
        <v>122</v>
      </c>
      <c r="D7317" t="s">
        <v>73</v>
      </c>
      <c r="E7317" t="s">
        <v>159</v>
      </c>
      <c r="F7317" s="1">
        <v>43014</v>
      </c>
      <c r="G7317" s="1">
        <v>43016</v>
      </c>
      <c r="H7317">
        <v>0</v>
      </c>
      <c r="I7317" t="str">
        <f>IF(COUNTIF(Products!$A$2:$A$8,C7317)=0,C7317,"")</f>
        <v/>
      </c>
      <c r="J7317">
        <f>IF(OR(E7317="Prospecting",E7317="Engaging"),VLOOKUP(C7317,Products!$A$2:$C$8,3,FALSE),0)</f>
        <v>0</v>
      </c>
    </row>
    <row r="7318" spans="1:10" x14ac:dyDescent="0.25">
      <c r="A7318" t="s">
        <v>7485</v>
      </c>
      <c r="B7318" t="s">
        <v>144</v>
      </c>
      <c r="C7318" t="s">
        <v>127</v>
      </c>
      <c r="D7318" t="s">
        <v>27</v>
      </c>
      <c r="E7318" t="s">
        <v>138</v>
      </c>
      <c r="F7318" s="1">
        <v>43014</v>
      </c>
      <c r="G7318" s="1">
        <v>43092</v>
      </c>
      <c r="H7318">
        <v>1129</v>
      </c>
      <c r="I7318" t="str">
        <f>IF(COUNTIF(Products!$A$2:$A$8,C7318)=0,C7318,"")</f>
        <v/>
      </c>
      <c r="J7318">
        <f>IF(OR(E7318="Prospecting",E7318="Engaging"),VLOOKUP(C7318,Products!$A$2:$C$8,3,FALSE),0)</f>
        <v>0</v>
      </c>
    </row>
    <row r="7319" spans="1:10" x14ac:dyDescent="0.25">
      <c r="A7319" t="s">
        <v>7486</v>
      </c>
      <c r="B7319" t="s">
        <v>146</v>
      </c>
      <c r="C7319" t="s">
        <v>126</v>
      </c>
      <c r="D7319" t="s">
        <v>96</v>
      </c>
      <c r="E7319" t="s">
        <v>138</v>
      </c>
      <c r="F7319" s="1">
        <v>43015</v>
      </c>
      <c r="G7319" s="1">
        <v>43021</v>
      </c>
      <c r="H7319">
        <v>5349</v>
      </c>
      <c r="I7319" t="str">
        <f>IF(COUNTIF(Products!$A$2:$A$8,C7319)=0,C7319,"")</f>
        <v/>
      </c>
      <c r="J7319">
        <f>IF(OR(E7319="Prospecting",E7319="Engaging"),VLOOKUP(C7319,Products!$A$2:$C$8,3,FALSE),0)</f>
        <v>0</v>
      </c>
    </row>
    <row r="7320" spans="1:10" x14ac:dyDescent="0.25">
      <c r="A7320" t="s">
        <v>7487</v>
      </c>
      <c r="B7320" t="s">
        <v>222</v>
      </c>
      <c r="C7320" t="s">
        <v>127</v>
      </c>
      <c r="D7320" t="s">
        <v>105</v>
      </c>
      <c r="E7320" t="s">
        <v>138</v>
      </c>
      <c r="F7320" s="1">
        <v>43015</v>
      </c>
      <c r="G7320" s="1">
        <v>43058</v>
      </c>
      <c r="H7320">
        <v>1148</v>
      </c>
      <c r="I7320" t="str">
        <f>IF(COUNTIF(Products!$A$2:$A$8,C7320)=0,C7320,"")</f>
        <v/>
      </c>
      <c r="J7320">
        <f>IF(OR(E7320="Prospecting",E7320="Engaging"),VLOOKUP(C7320,Products!$A$2:$C$8,3,FALSE),0)</f>
        <v>0</v>
      </c>
    </row>
    <row r="7321" spans="1:10" x14ac:dyDescent="0.25">
      <c r="A7321" t="s">
        <v>7488</v>
      </c>
      <c r="B7321" t="s">
        <v>207</v>
      </c>
      <c r="C7321" t="s">
        <v>120</v>
      </c>
      <c r="D7321" t="s">
        <v>115</v>
      </c>
      <c r="E7321" t="s">
        <v>159</v>
      </c>
      <c r="F7321" s="1">
        <v>43015</v>
      </c>
      <c r="G7321" s="1">
        <v>43016</v>
      </c>
      <c r="H7321">
        <v>0</v>
      </c>
      <c r="I7321" t="str">
        <f>IF(COUNTIF(Products!$A$2:$A$8,C7321)=0,C7321,"")</f>
        <v/>
      </c>
      <c r="J7321">
        <f>IF(OR(E7321="Prospecting",E7321="Engaging"),VLOOKUP(C7321,Products!$A$2:$C$8,3,FALSE),0)</f>
        <v>0</v>
      </c>
    </row>
    <row r="7322" spans="1:10" x14ac:dyDescent="0.25">
      <c r="A7322" t="s">
        <v>7489</v>
      </c>
      <c r="B7322" t="s">
        <v>264</v>
      </c>
      <c r="C7322" t="s">
        <v>123</v>
      </c>
      <c r="D7322" t="s">
        <v>103</v>
      </c>
      <c r="E7322" t="s">
        <v>138</v>
      </c>
      <c r="F7322" s="1">
        <v>43015</v>
      </c>
      <c r="G7322" s="1">
        <v>43027</v>
      </c>
      <c r="H7322">
        <v>52</v>
      </c>
      <c r="I7322" t="str">
        <f>IF(COUNTIF(Products!$A$2:$A$8,C7322)=0,C7322,"")</f>
        <v/>
      </c>
      <c r="J7322">
        <f>IF(OR(E7322="Prospecting",E7322="Engaging"),VLOOKUP(C7322,Products!$A$2:$C$8,3,FALSE),0)</f>
        <v>0</v>
      </c>
    </row>
    <row r="7323" spans="1:10" x14ac:dyDescent="0.25">
      <c r="A7323" t="s">
        <v>7490</v>
      </c>
      <c r="B7323" t="s">
        <v>264</v>
      </c>
      <c r="C7323" t="s">
        <v>125</v>
      </c>
      <c r="D7323" t="s">
        <v>42</v>
      </c>
      <c r="E7323" t="s">
        <v>138</v>
      </c>
      <c r="F7323" s="1">
        <v>43015</v>
      </c>
      <c r="G7323" s="1">
        <v>43097</v>
      </c>
      <c r="H7323">
        <v>3253</v>
      </c>
      <c r="I7323" t="str">
        <f>IF(COUNTIF(Products!$A$2:$A$8,C7323)=0,C7323,"")</f>
        <v/>
      </c>
      <c r="J7323">
        <f>IF(OR(E7323="Prospecting",E7323="Engaging"),VLOOKUP(C7323,Products!$A$2:$C$8,3,FALSE),0)</f>
        <v>0</v>
      </c>
    </row>
    <row r="7324" spans="1:10" x14ac:dyDescent="0.25">
      <c r="A7324" t="s">
        <v>7491</v>
      </c>
      <c r="B7324" t="s">
        <v>171</v>
      </c>
      <c r="C7324" t="s">
        <v>127</v>
      </c>
      <c r="D7324" t="s">
        <v>50</v>
      </c>
      <c r="E7324" t="s">
        <v>138</v>
      </c>
      <c r="F7324" s="1">
        <v>43015</v>
      </c>
      <c r="G7324" s="1">
        <v>43043</v>
      </c>
      <c r="H7324">
        <v>1267</v>
      </c>
      <c r="I7324" t="str">
        <f>IF(COUNTIF(Products!$A$2:$A$8,C7324)=0,C7324,"")</f>
        <v/>
      </c>
      <c r="J7324">
        <f>IF(OR(E7324="Prospecting",E7324="Engaging"),VLOOKUP(C7324,Products!$A$2:$C$8,3,FALSE),0)</f>
        <v>0</v>
      </c>
    </row>
    <row r="7325" spans="1:10" x14ac:dyDescent="0.25">
      <c r="A7325" t="s">
        <v>7492</v>
      </c>
      <c r="B7325" t="s">
        <v>171</v>
      </c>
      <c r="C7325" t="s">
        <v>127</v>
      </c>
      <c r="D7325" t="s">
        <v>63</v>
      </c>
      <c r="E7325" t="s">
        <v>138</v>
      </c>
      <c r="F7325" s="1">
        <v>43015</v>
      </c>
      <c r="G7325" s="1">
        <v>43021</v>
      </c>
      <c r="H7325">
        <v>1096</v>
      </c>
      <c r="I7325" t="str">
        <f>IF(COUNTIF(Products!$A$2:$A$8,C7325)=0,C7325,"")</f>
        <v/>
      </c>
      <c r="J7325">
        <f>IF(OR(E7325="Prospecting",E7325="Engaging"),VLOOKUP(C7325,Products!$A$2:$C$8,3,FALSE),0)</f>
        <v>0</v>
      </c>
    </row>
    <row r="7326" spans="1:10" x14ac:dyDescent="0.25">
      <c r="A7326" t="s">
        <v>7493</v>
      </c>
      <c r="B7326" t="s">
        <v>140</v>
      </c>
      <c r="C7326" t="s">
        <v>125</v>
      </c>
      <c r="D7326" t="s">
        <v>61</v>
      </c>
      <c r="E7326" t="s">
        <v>159</v>
      </c>
      <c r="F7326" s="1">
        <v>43015</v>
      </c>
      <c r="G7326" s="1">
        <v>43092</v>
      </c>
      <c r="H7326">
        <v>0</v>
      </c>
      <c r="I7326" t="str">
        <f>IF(COUNTIF(Products!$A$2:$A$8,C7326)=0,C7326,"")</f>
        <v/>
      </c>
      <c r="J7326">
        <f>IF(OR(E7326="Prospecting",E7326="Engaging"),VLOOKUP(C7326,Products!$A$2:$C$8,3,FALSE),0)</f>
        <v>0</v>
      </c>
    </row>
    <row r="7327" spans="1:10" x14ac:dyDescent="0.25">
      <c r="A7327" t="s">
        <v>7494</v>
      </c>
      <c r="B7327" t="s">
        <v>140</v>
      </c>
      <c r="C7327" t="s">
        <v>123</v>
      </c>
      <c r="D7327" t="s">
        <v>51</v>
      </c>
      <c r="E7327" t="s">
        <v>138</v>
      </c>
      <c r="F7327" s="1">
        <v>43015</v>
      </c>
      <c r="G7327" s="1">
        <v>43099</v>
      </c>
      <c r="H7327">
        <v>54</v>
      </c>
      <c r="I7327" t="str">
        <f>IF(COUNTIF(Products!$A$2:$A$8,C7327)=0,C7327,"")</f>
        <v/>
      </c>
      <c r="J7327">
        <f>IF(OR(E7327="Prospecting",E7327="Engaging"),VLOOKUP(C7327,Products!$A$2:$C$8,3,FALSE),0)</f>
        <v>0</v>
      </c>
    </row>
    <row r="7328" spans="1:10" x14ac:dyDescent="0.25">
      <c r="A7328" t="s">
        <v>7495</v>
      </c>
      <c r="B7328" t="s">
        <v>164</v>
      </c>
      <c r="C7328" t="s">
        <v>125</v>
      </c>
      <c r="D7328" t="s">
        <v>57</v>
      </c>
      <c r="E7328" t="s">
        <v>138</v>
      </c>
      <c r="F7328" s="1">
        <v>43015</v>
      </c>
      <c r="G7328" s="1">
        <v>43082</v>
      </c>
      <c r="H7328">
        <v>3293</v>
      </c>
      <c r="I7328" t="str">
        <f>IF(COUNTIF(Products!$A$2:$A$8,C7328)=0,C7328,"")</f>
        <v/>
      </c>
      <c r="J7328">
        <f>IF(OR(E7328="Prospecting",E7328="Engaging"),VLOOKUP(C7328,Products!$A$2:$C$8,3,FALSE),0)</f>
        <v>0</v>
      </c>
    </row>
    <row r="7329" spans="1:10" x14ac:dyDescent="0.25">
      <c r="A7329" t="s">
        <v>7496</v>
      </c>
      <c r="B7329" t="s">
        <v>303</v>
      </c>
      <c r="C7329" t="s">
        <v>122</v>
      </c>
      <c r="D7329" t="s">
        <v>89</v>
      </c>
      <c r="E7329" t="s">
        <v>138</v>
      </c>
      <c r="F7329" s="1">
        <v>43015</v>
      </c>
      <c r="G7329" s="1">
        <v>43091</v>
      </c>
      <c r="H7329">
        <v>4404</v>
      </c>
      <c r="I7329" t="str">
        <f>IF(COUNTIF(Products!$A$2:$A$8,C7329)=0,C7329,"")</f>
        <v/>
      </c>
      <c r="J7329">
        <f>IF(OR(E7329="Prospecting",E7329="Engaging"),VLOOKUP(C7329,Products!$A$2:$C$8,3,FALSE),0)</f>
        <v>0</v>
      </c>
    </row>
    <row r="7330" spans="1:10" x14ac:dyDescent="0.25">
      <c r="A7330" t="s">
        <v>7497</v>
      </c>
      <c r="B7330" t="s">
        <v>303</v>
      </c>
      <c r="C7330" t="s">
        <v>122</v>
      </c>
      <c r="D7330" t="s">
        <v>116</v>
      </c>
      <c r="E7330" t="s">
        <v>138</v>
      </c>
      <c r="F7330" s="1">
        <v>43015</v>
      </c>
      <c r="G7330" s="1">
        <v>43017</v>
      </c>
      <c r="H7330">
        <v>5212</v>
      </c>
      <c r="I7330" t="str">
        <f>IF(COUNTIF(Products!$A$2:$A$8,C7330)=0,C7330,"")</f>
        <v/>
      </c>
      <c r="J7330">
        <f>IF(OR(E7330="Prospecting",E7330="Engaging"),VLOOKUP(C7330,Products!$A$2:$C$8,3,FALSE),0)</f>
        <v>0</v>
      </c>
    </row>
    <row r="7331" spans="1:10" x14ac:dyDescent="0.25">
      <c r="A7331" t="s">
        <v>7498</v>
      </c>
      <c r="B7331" t="s">
        <v>180</v>
      </c>
      <c r="C7331" t="s">
        <v>120</v>
      </c>
      <c r="D7331" t="s">
        <v>82</v>
      </c>
      <c r="E7331" t="s">
        <v>159</v>
      </c>
      <c r="F7331" s="1">
        <v>43015</v>
      </c>
      <c r="G7331" s="1">
        <v>43064</v>
      </c>
      <c r="H7331">
        <v>0</v>
      </c>
      <c r="I7331" t="str">
        <f>IF(COUNTIF(Products!$A$2:$A$8,C7331)=0,C7331,"")</f>
        <v/>
      </c>
      <c r="J7331">
        <f>IF(OR(E7331="Prospecting",E7331="Engaging"),VLOOKUP(C7331,Products!$A$2:$C$8,3,FALSE),0)</f>
        <v>0</v>
      </c>
    </row>
    <row r="7332" spans="1:10" x14ac:dyDescent="0.25">
      <c r="A7332" t="s">
        <v>7499</v>
      </c>
      <c r="B7332" t="s">
        <v>191</v>
      </c>
      <c r="C7332" t="s">
        <v>120</v>
      </c>
      <c r="D7332" t="s">
        <v>29</v>
      </c>
      <c r="E7332" t="s">
        <v>138</v>
      </c>
      <c r="F7332" s="1">
        <v>43015</v>
      </c>
      <c r="G7332" s="1">
        <v>43077</v>
      </c>
      <c r="H7332">
        <v>488</v>
      </c>
      <c r="I7332" t="str">
        <f>IF(COUNTIF(Products!$A$2:$A$8,C7332)=0,C7332,"")</f>
        <v/>
      </c>
      <c r="J7332">
        <f>IF(OR(E7332="Prospecting",E7332="Engaging"),VLOOKUP(C7332,Products!$A$2:$C$8,3,FALSE),0)</f>
        <v>0</v>
      </c>
    </row>
    <row r="7333" spans="1:10" x14ac:dyDescent="0.25">
      <c r="A7333" t="s">
        <v>7500</v>
      </c>
      <c r="B7333" t="s">
        <v>217</v>
      </c>
      <c r="C7333" t="s">
        <v>120</v>
      </c>
      <c r="D7333" t="s">
        <v>53</v>
      </c>
      <c r="E7333" t="s">
        <v>138</v>
      </c>
      <c r="F7333" s="1">
        <v>43015</v>
      </c>
      <c r="G7333" s="1">
        <v>43021</v>
      </c>
      <c r="H7333">
        <v>594</v>
      </c>
      <c r="I7333" t="str">
        <f>IF(COUNTIF(Products!$A$2:$A$8,C7333)=0,C7333,"")</f>
        <v/>
      </c>
      <c r="J7333">
        <f>IF(OR(E7333="Prospecting",E7333="Engaging"),VLOOKUP(C7333,Products!$A$2:$C$8,3,FALSE),0)</f>
        <v>0</v>
      </c>
    </row>
    <row r="7334" spans="1:10" x14ac:dyDescent="0.25">
      <c r="A7334" t="s">
        <v>7501</v>
      </c>
      <c r="B7334" t="s">
        <v>150</v>
      </c>
      <c r="C7334" t="s">
        <v>120</v>
      </c>
      <c r="D7334" t="s">
        <v>93</v>
      </c>
      <c r="E7334" t="s">
        <v>138</v>
      </c>
      <c r="F7334" s="1">
        <v>43015</v>
      </c>
      <c r="G7334" s="1">
        <v>43099</v>
      </c>
      <c r="H7334">
        <v>464</v>
      </c>
      <c r="I7334" t="str">
        <f>IF(COUNTIF(Products!$A$2:$A$8,C7334)=0,C7334,"")</f>
        <v/>
      </c>
      <c r="J7334">
        <f>IF(OR(E7334="Prospecting",E7334="Engaging"),VLOOKUP(C7334,Products!$A$2:$C$8,3,FALSE),0)</f>
        <v>0</v>
      </c>
    </row>
    <row r="7335" spans="1:10" x14ac:dyDescent="0.25">
      <c r="A7335" t="s">
        <v>7502</v>
      </c>
      <c r="B7335" t="s">
        <v>150</v>
      </c>
      <c r="C7335" t="s">
        <v>123</v>
      </c>
      <c r="D7335" t="s">
        <v>23</v>
      </c>
      <c r="E7335" t="s">
        <v>138</v>
      </c>
      <c r="F7335" s="1">
        <v>43015</v>
      </c>
      <c r="G7335" s="1">
        <v>43082</v>
      </c>
      <c r="H7335">
        <v>53</v>
      </c>
      <c r="I7335" t="str">
        <f>IF(COUNTIF(Products!$A$2:$A$8,C7335)=0,C7335,"")</f>
        <v/>
      </c>
      <c r="J7335">
        <f>IF(OR(E7335="Prospecting",E7335="Engaging"),VLOOKUP(C7335,Products!$A$2:$C$8,3,FALSE),0)</f>
        <v>0</v>
      </c>
    </row>
    <row r="7336" spans="1:10" x14ac:dyDescent="0.25">
      <c r="A7336" t="s">
        <v>7503</v>
      </c>
      <c r="B7336" t="s">
        <v>205</v>
      </c>
      <c r="C7336" t="s">
        <v>127</v>
      </c>
      <c r="D7336" t="s">
        <v>42</v>
      </c>
      <c r="E7336" t="s">
        <v>159</v>
      </c>
      <c r="F7336" s="1">
        <v>43015</v>
      </c>
      <c r="G7336" s="1">
        <v>43023</v>
      </c>
      <c r="H7336">
        <v>0</v>
      </c>
      <c r="I7336" t="str">
        <f>IF(COUNTIF(Products!$A$2:$A$8,C7336)=0,C7336,"")</f>
        <v/>
      </c>
      <c r="J7336">
        <f>IF(OR(E7336="Prospecting",E7336="Engaging"),VLOOKUP(C7336,Products!$A$2:$C$8,3,FALSE),0)</f>
        <v>0</v>
      </c>
    </row>
    <row r="7337" spans="1:10" x14ac:dyDescent="0.25">
      <c r="A7337" t="s">
        <v>7504</v>
      </c>
      <c r="B7337" t="s">
        <v>205</v>
      </c>
      <c r="C7337" t="s">
        <v>120</v>
      </c>
      <c r="D7337" t="s">
        <v>96</v>
      </c>
      <c r="E7337" t="s">
        <v>138</v>
      </c>
      <c r="F7337" s="1">
        <v>43015</v>
      </c>
      <c r="G7337" s="1">
        <v>43016</v>
      </c>
      <c r="H7337">
        <v>661</v>
      </c>
      <c r="I7337" t="str">
        <f>IF(COUNTIF(Products!$A$2:$A$8,C7337)=0,C7337,"")</f>
        <v/>
      </c>
      <c r="J7337">
        <f>IF(OR(E7337="Prospecting",E7337="Engaging"),VLOOKUP(C7337,Products!$A$2:$C$8,3,FALSE),0)</f>
        <v>0</v>
      </c>
    </row>
    <row r="7338" spans="1:10" x14ac:dyDescent="0.25">
      <c r="A7338" t="s">
        <v>7505</v>
      </c>
      <c r="B7338" t="s">
        <v>205</v>
      </c>
      <c r="C7338" t="s">
        <v>127</v>
      </c>
      <c r="D7338" t="s">
        <v>51</v>
      </c>
      <c r="E7338" t="s">
        <v>138</v>
      </c>
      <c r="F7338" s="1">
        <v>43015</v>
      </c>
      <c r="G7338" s="1">
        <v>43022</v>
      </c>
      <c r="H7338">
        <v>1240</v>
      </c>
      <c r="I7338" t="str">
        <f>IF(COUNTIF(Products!$A$2:$A$8,C7338)=0,C7338,"")</f>
        <v/>
      </c>
      <c r="J7338">
        <f>IF(OR(E7338="Prospecting",E7338="Engaging"),VLOOKUP(C7338,Products!$A$2:$C$8,3,FALSE),0)</f>
        <v>0</v>
      </c>
    </row>
    <row r="7339" spans="1:10" x14ac:dyDescent="0.25">
      <c r="A7339" t="s">
        <v>7506</v>
      </c>
      <c r="B7339" t="s">
        <v>205</v>
      </c>
      <c r="C7339" t="s">
        <v>125</v>
      </c>
      <c r="D7339" t="s">
        <v>64</v>
      </c>
      <c r="E7339" t="s">
        <v>138</v>
      </c>
      <c r="F7339" s="1">
        <v>43015</v>
      </c>
      <c r="G7339" s="1">
        <v>43089</v>
      </c>
      <c r="H7339">
        <v>2763</v>
      </c>
      <c r="I7339" t="str">
        <f>IF(COUNTIF(Products!$A$2:$A$8,C7339)=0,C7339,"")</f>
        <v/>
      </c>
      <c r="J7339">
        <f>IF(OR(E7339="Prospecting",E7339="Engaging"),VLOOKUP(C7339,Products!$A$2:$C$8,3,FALSE),0)</f>
        <v>0</v>
      </c>
    </row>
    <row r="7340" spans="1:10" x14ac:dyDescent="0.25">
      <c r="A7340" t="s">
        <v>7507</v>
      </c>
      <c r="B7340" t="s">
        <v>162</v>
      </c>
      <c r="C7340" t="s">
        <v>120</v>
      </c>
      <c r="D7340" t="s">
        <v>27</v>
      </c>
      <c r="E7340" t="s">
        <v>138</v>
      </c>
      <c r="F7340" s="1">
        <v>43015</v>
      </c>
      <c r="G7340" s="1">
        <v>43074</v>
      </c>
      <c r="H7340">
        <v>610</v>
      </c>
      <c r="I7340" t="str">
        <f>IF(COUNTIF(Products!$A$2:$A$8,C7340)=0,C7340,"")</f>
        <v/>
      </c>
      <c r="J7340">
        <f>IF(OR(E7340="Prospecting",E7340="Engaging"),VLOOKUP(C7340,Products!$A$2:$C$8,3,FALSE),0)</f>
        <v>0</v>
      </c>
    </row>
    <row r="7341" spans="1:10" x14ac:dyDescent="0.25">
      <c r="A7341" t="s">
        <v>7508</v>
      </c>
      <c r="B7341" t="s">
        <v>162</v>
      </c>
      <c r="C7341" t="s">
        <v>123</v>
      </c>
      <c r="D7341" t="s">
        <v>60</v>
      </c>
      <c r="E7341" t="s">
        <v>138</v>
      </c>
      <c r="F7341" s="1">
        <v>43015</v>
      </c>
      <c r="G7341" s="1">
        <v>43083</v>
      </c>
      <c r="H7341">
        <v>59</v>
      </c>
      <c r="I7341" t="str">
        <f>IF(COUNTIF(Products!$A$2:$A$8,C7341)=0,C7341,"")</f>
        <v/>
      </c>
      <c r="J7341">
        <f>IF(OR(E7341="Prospecting",E7341="Engaging"),VLOOKUP(C7341,Products!$A$2:$C$8,3,FALSE),0)</f>
        <v>0</v>
      </c>
    </row>
    <row r="7342" spans="1:10" x14ac:dyDescent="0.25">
      <c r="A7342" t="s">
        <v>7509</v>
      </c>
      <c r="B7342" t="s">
        <v>137</v>
      </c>
      <c r="C7342" t="s">
        <v>120</v>
      </c>
      <c r="D7342" t="s">
        <v>85</v>
      </c>
      <c r="E7342" t="s">
        <v>138</v>
      </c>
      <c r="F7342" s="1">
        <v>43015</v>
      </c>
      <c r="G7342" s="1">
        <v>43027</v>
      </c>
      <c r="H7342">
        <v>577</v>
      </c>
      <c r="I7342" t="str">
        <f>IF(COUNTIF(Products!$A$2:$A$8,C7342)=0,C7342,"")</f>
        <v/>
      </c>
      <c r="J7342">
        <f>IF(OR(E7342="Prospecting",E7342="Engaging"),VLOOKUP(C7342,Products!$A$2:$C$8,3,FALSE),0)</f>
        <v>0</v>
      </c>
    </row>
    <row r="7343" spans="1:10" x14ac:dyDescent="0.25">
      <c r="A7343" t="s">
        <v>7510</v>
      </c>
      <c r="B7343" t="s">
        <v>166</v>
      </c>
      <c r="C7343" t="s">
        <v>123</v>
      </c>
      <c r="D7343" t="s">
        <v>67</v>
      </c>
      <c r="E7343" t="s">
        <v>159</v>
      </c>
      <c r="F7343" s="1">
        <v>43015</v>
      </c>
      <c r="G7343" s="1">
        <v>43023</v>
      </c>
      <c r="H7343">
        <v>0</v>
      </c>
      <c r="I7343" t="str">
        <f>IF(COUNTIF(Products!$A$2:$A$8,C7343)=0,C7343,"")</f>
        <v/>
      </c>
      <c r="J7343">
        <f>IF(OR(E7343="Prospecting",E7343="Engaging"),VLOOKUP(C7343,Products!$A$2:$C$8,3,FALSE),0)</f>
        <v>0</v>
      </c>
    </row>
    <row r="7344" spans="1:10" x14ac:dyDescent="0.25">
      <c r="A7344" t="s">
        <v>7511</v>
      </c>
      <c r="B7344" t="s">
        <v>148</v>
      </c>
      <c r="C7344" t="s">
        <v>127</v>
      </c>
      <c r="D7344" t="s">
        <v>44</v>
      </c>
      <c r="E7344" t="s">
        <v>138</v>
      </c>
      <c r="F7344" s="1">
        <v>43015</v>
      </c>
      <c r="G7344" s="1">
        <v>43017</v>
      </c>
      <c r="H7344">
        <v>1139</v>
      </c>
      <c r="I7344" t="str">
        <f>IF(COUNTIF(Products!$A$2:$A$8,C7344)=0,C7344,"")</f>
        <v/>
      </c>
      <c r="J7344">
        <f>IF(OR(E7344="Prospecting",E7344="Engaging"),VLOOKUP(C7344,Products!$A$2:$C$8,3,FALSE),0)</f>
        <v>0</v>
      </c>
    </row>
    <row r="7345" spans="1:10" x14ac:dyDescent="0.25">
      <c r="A7345" t="s">
        <v>7512</v>
      </c>
      <c r="B7345" t="s">
        <v>146</v>
      </c>
      <c r="C7345" t="s">
        <v>126</v>
      </c>
      <c r="D7345" t="s">
        <v>104</v>
      </c>
      <c r="E7345" t="s">
        <v>138</v>
      </c>
      <c r="F7345" s="1">
        <v>43016</v>
      </c>
      <c r="G7345" s="1">
        <v>43099</v>
      </c>
      <c r="H7345">
        <v>6038</v>
      </c>
      <c r="I7345" t="str">
        <f>IF(COUNTIF(Products!$A$2:$A$8,C7345)=0,C7345,"")</f>
        <v/>
      </c>
      <c r="J7345">
        <f>IF(OR(E7345="Prospecting",E7345="Engaging"),VLOOKUP(C7345,Products!$A$2:$C$8,3,FALSE),0)</f>
        <v>0</v>
      </c>
    </row>
    <row r="7346" spans="1:10" x14ac:dyDescent="0.25">
      <c r="A7346" t="s">
        <v>7513</v>
      </c>
      <c r="B7346" t="s">
        <v>222</v>
      </c>
      <c r="C7346" t="s">
        <v>122</v>
      </c>
      <c r="D7346" t="s">
        <v>105</v>
      </c>
      <c r="E7346" t="s">
        <v>138</v>
      </c>
      <c r="F7346" s="1">
        <v>43016</v>
      </c>
      <c r="G7346" s="1">
        <v>43022</v>
      </c>
      <c r="H7346">
        <v>4605</v>
      </c>
      <c r="I7346" t="str">
        <f>IF(COUNTIF(Products!$A$2:$A$8,C7346)=0,C7346,"")</f>
        <v/>
      </c>
      <c r="J7346">
        <f>IF(OR(E7346="Prospecting",E7346="Engaging"),VLOOKUP(C7346,Products!$A$2:$C$8,3,FALSE),0)</f>
        <v>0</v>
      </c>
    </row>
    <row r="7347" spans="1:10" x14ac:dyDescent="0.25">
      <c r="A7347" t="s">
        <v>7514</v>
      </c>
      <c r="B7347" t="s">
        <v>222</v>
      </c>
      <c r="C7347" t="s">
        <v>125</v>
      </c>
      <c r="D7347" t="s">
        <v>69</v>
      </c>
      <c r="E7347" t="s">
        <v>138</v>
      </c>
      <c r="F7347" s="1">
        <v>43016</v>
      </c>
      <c r="G7347" s="1">
        <v>43060</v>
      </c>
      <c r="H7347">
        <v>3264</v>
      </c>
      <c r="I7347" t="str">
        <f>IF(COUNTIF(Products!$A$2:$A$8,C7347)=0,C7347,"")</f>
        <v/>
      </c>
      <c r="J7347">
        <f>IF(OR(E7347="Prospecting",E7347="Engaging"),VLOOKUP(C7347,Products!$A$2:$C$8,3,FALSE),0)</f>
        <v>0</v>
      </c>
    </row>
    <row r="7348" spans="1:10" x14ac:dyDescent="0.25">
      <c r="A7348" t="s">
        <v>7515</v>
      </c>
      <c r="B7348" t="s">
        <v>207</v>
      </c>
      <c r="C7348" t="s">
        <v>125</v>
      </c>
      <c r="D7348" t="s">
        <v>10</v>
      </c>
      <c r="E7348" t="s">
        <v>138</v>
      </c>
      <c r="F7348" s="1">
        <v>43016</v>
      </c>
      <c r="G7348" s="1">
        <v>43025</v>
      </c>
      <c r="H7348">
        <v>3472</v>
      </c>
      <c r="I7348" t="str">
        <f>IF(COUNTIF(Products!$A$2:$A$8,C7348)=0,C7348,"")</f>
        <v/>
      </c>
      <c r="J7348">
        <f>IF(OR(E7348="Prospecting",E7348="Engaging"),VLOOKUP(C7348,Products!$A$2:$C$8,3,FALSE),0)</f>
        <v>0</v>
      </c>
    </row>
    <row r="7349" spans="1:10" x14ac:dyDescent="0.25">
      <c r="A7349" t="s">
        <v>7516</v>
      </c>
      <c r="B7349" t="s">
        <v>264</v>
      </c>
      <c r="C7349" t="s">
        <v>127</v>
      </c>
      <c r="D7349" t="s">
        <v>85</v>
      </c>
      <c r="E7349" t="s">
        <v>138</v>
      </c>
      <c r="F7349" s="1">
        <v>43016</v>
      </c>
      <c r="G7349" s="1">
        <v>43023</v>
      </c>
      <c r="H7349">
        <v>1186</v>
      </c>
      <c r="I7349" t="str">
        <f>IF(COUNTIF(Products!$A$2:$A$8,C7349)=0,C7349,"")</f>
        <v/>
      </c>
      <c r="J7349">
        <f>IF(OR(E7349="Prospecting",E7349="Engaging"),VLOOKUP(C7349,Products!$A$2:$C$8,3,FALSE),0)</f>
        <v>0</v>
      </c>
    </row>
    <row r="7350" spans="1:10" x14ac:dyDescent="0.25">
      <c r="A7350" t="s">
        <v>7517</v>
      </c>
      <c r="B7350" t="s">
        <v>239</v>
      </c>
      <c r="C7350" t="s">
        <v>120</v>
      </c>
      <c r="D7350" t="s">
        <v>115</v>
      </c>
      <c r="E7350" t="s">
        <v>159</v>
      </c>
      <c r="F7350" s="1">
        <v>43016</v>
      </c>
      <c r="G7350" s="1">
        <v>43024</v>
      </c>
      <c r="H7350">
        <v>0</v>
      </c>
      <c r="I7350" t="str">
        <f>IF(COUNTIF(Products!$A$2:$A$8,C7350)=0,C7350,"")</f>
        <v/>
      </c>
      <c r="J7350">
        <f>IF(OR(E7350="Prospecting",E7350="Engaging"),VLOOKUP(C7350,Products!$A$2:$C$8,3,FALSE),0)</f>
        <v>0</v>
      </c>
    </row>
    <row r="7351" spans="1:10" x14ac:dyDescent="0.25">
      <c r="A7351" t="s">
        <v>7518</v>
      </c>
      <c r="B7351" t="s">
        <v>171</v>
      </c>
      <c r="C7351" t="s">
        <v>122</v>
      </c>
      <c r="D7351" t="s">
        <v>98</v>
      </c>
      <c r="E7351" t="s">
        <v>138</v>
      </c>
      <c r="F7351" s="1">
        <v>43016</v>
      </c>
      <c r="G7351" s="1">
        <v>43083</v>
      </c>
      <c r="H7351">
        <v>4964</v>
      </c>
      <c r="I7351" t="str">
        <f>IF(COUNTIF(Products!$A$2:$A$8,C7351)=0,C7351,"")</f>
        <v/>
      </c>
      <c r="J7351">
        <f>IF(OR(E7351="Prospecting",E7351="Engaging"),VLOOKUP(C7351,Products!$A$2:$C$8,3,FALSE),0)</f>
        <v>0</v>
      </c>
    </row>
    <row r="7352" spans="1:10" x14ac:dyDescent="0.25">
      <c r="A7352" t="s">
        <v>7519</v>
      </c>
      <c r="B7352" t="s">
        <v>140</v>
      </c>
      <c r="C7352" t="s">
        <v>123</v>
      </c>
      <c r="D7352" t="s">
        <v>33</v>
      </c>
      <c r="E7352" t="s">
        <v>159</v>
      </c>
      <c r="F7352" s="1">
        <v>43016</v>
      </c>
      <c r="G7352" s="1">
        <v>43018</v>
      </c>
      <c r="H7352">
        <v>0</v>
      </c>
      <c r="I7352" t="str">
        <f>IF(COUNTIF(Products!$A$2:$A$8,C7352)=0,C7352,"")</f>
        <v/>
      </c>
      <c r="J7352">
        <f>IF(OR(E7352="Prospecting",E7352="Engaging"),VLOOKUP(C7352,Products!$A$2:$C$8,3,FALSE),0)</f>
        <v>0</v>
      </c>
    </row>
    <row r="7353" spans="1:10" x14ac:dyDescent="0.25">
      <c r="A7353" t="s">
        <v>7520</v>
      </c>
      <c r="B7353" t="s">
        <v>224</v>
      </c>
      <c r="C7353" t="s">
        <v>127</v>
      </c>
      <c r="D7353" t="s">
        <v>25</v>
      </c>
      <c r="E7353" t="s">
        <v>159</v>
      </c>
      <c r="F7353" s="1">
        <v>43016</v>
      </c>
      <c r="G7353" s="1">
        <v>43060</v>
      </c>
      <c r="H7353">
        <v>0</v>
      </c>
      <c r="I7353" t="str">
        <f>IF(COUNTIF(Products!$A$2:$A$8,C7353)=0,C7353,"")</f>
        <v/>
      </c>
      <c r="J7353">
        <f>IF(OR(E7353="Prospecting",E7353="Engaging"),VLOOKUP(C7353,Products!$A$2:$C$8,3,FALSE),0)</f>
        <v>0</v>
      </c>
    </row>
    <row r="7354" spans="1:10" x14ac:dyDescent="0.25">
      <c r="A7354" t="s">
        <v>7521</v>
      </c>
      <c r="B7354" t="s">
        <v>198</v>
      </c>
      <c r="C7354" t="s">
        <v>125</v>
      </c>
      <c r="D7354" t="s">
        <v>106</v>
      </c>
      <c r="E7354" t="s">
        <v>138</v>
      </c>
      <c r="F7354" s="1">
        <v>43016</v>
      </c>
      <c r="G7354" s="1">
        <v>43028</v>
      </c>
      <c r="H7354">
        <v>2812</v>
      </c>
      <c r="I7354" t="str">
        <f>IF(COUNTIF(Products!$A$2:$A$8,C7354)=0,C7354,"")</f>
        <v/>
      </c>
      <c r="J7354">
        <f>IF(OR(E7354="Prospecting",E7354="Engaging"),VLOOKUP(C7354,Products!$A$2:$C$8,3,FALSE),0)</f>
        <v>0</v>
      </c>
    </row>
    <row r="7355" spans="1:10" x14ac:dyDescent="0.25">
      <c r="A7355" t="s">
        <v>7522</v>
      </c>
      <c r="B7355" t="s">
        <v>158</v>
      </c>
      <c r="C7355" t="s">
        <v>127</v>
      </c>
      <c r="D7355" t="s">
        <v>53</v>
      </c>
      <c r="E7355" t="s">
        <v>159</v>
      </c>
      <c r="F7355" s="1">
        <v>43016</v>
      </c>
      <c r="G7355" s="1">
        <v>43022</v>
      </c>
      <c r="H7355">
        <v>0</v>
      </c>
      <c r="I7355" t="str">
        <f>IF(COUNTIF(Products!$A$2:$A$8,C7355)=0,C7355,"")</f>
        <v/>
      </c>
      <c r="J7355">
        <f>IF(OR(E7355="Prospecting",E7355="Engaging"),VLOOKUP(C7355,Products!$A$2:$C$8,3,FALSE),0)</f>
        <v>0</v>
      </c>
    </row>
    <row r="7356" spans="1:10" x14ac:dyDescent="0.25">
      <c r="A7356" t="s">
        <v>7523</v>
      </c>
      <c r="B7356" t="s">
        <v>158</v>
      </c>
      <c r="C7356" t="s">
        <v>122</v>
      </c>
      <c r="D7356" t="s">
        <v>103</v>
      </c>
      <c r="E7356" t="s">
        <v>159</v>
      </c>
      <c r="F7356" s="1">
        <v>43016</v>
      </c>
      <c r="G7356" s="1">
        <v>43017</v>
      </c>
      <c r="H7356">
        <v>0</v>
      </c>
      <c r="I7356" t="str">
        <f>IF(COUNTIF(Products!$A$2:$A$8,C7356)=0,C7356,"")</f>
        <v/>
      </c>
      <c r="J7356">
        <f>IF(OR(E7356="Prospecting",E7356="Engaging"),VLOOKUP(C7356,Products!$A$2:$C$8,3,FALSE),0)</f>
        <v>0</v>
      </c>
    </row>
    <row r="7357" spans="1:10" x14ac:dyDescent="0.25">
      <c r="A7357" t="s">
        <v>7524</v>
      </c>
      <c r="B7357" t="s">
        <v>164</v>
      </c>
      <c r="C7357" t="s">
        <v>125</v>
      </c>
      <c r="D7357" t="s">
        <v>17</v>
      </c>
      <c r="E7357" t="s">
        <v>138</v>
      </c>
      <c r="F7357" s="1">
        <v>43016</v>
      </c>
      <c r="G7357" s="1">
        <v>43091</v>
      </c>
      <c r="H7357">
        <v>3517</v>
      </c>
      <c r="I7357" t="str">
        <f>IF(COUNTIF(Products!$A$2:$A$8,C7357)=0,C7357,"")</f>
        <v/>
      </c>
      <c r="J7357">
        <f>IF(OR(E7357="Prospecting",E7357="Engaging"),VLOOKUP(C7357,Products!$A$2:$C$8,3,FALSE),0)</f>
        <v>0</v>
      </c>
    </row>
    <row r="7358" spans="1:10" x14ac:dyDescent="0.25">
      <c r="A7358" t="s">
        <v>7525</v>
      </c>
      <c r="B7358" t="s">
        <v>303</v>
      </c>
      <c r="C7358" t="s">
        <v>122</v>
      </c>
      <c r="D7358" t="s">
        <v>30</v>
      </c>
      <c r="E7358" t="s">
        <v>159</v>
      </c>
      <c r="F7358" s="1">
        <v>43016</v>
      </c>
      <c r="G7358" s="1">
        <v>43095</v>
      </c>
      <c r="H7358">
        <v>0</v>
      </c>
      <c r="I7358" t="str">
        <f>IF(COUNTIF(Products!$A$2:$A$8,C7358)=0,C7358,"")</f>
        <v/>
      </c>
      <c r="J7358">
        <f>IF(OR(E7358="Prospecting",E7358="Engaging"),VLOOKUP(C7358,Products!$A$2:$C$8,3,FALSE),0)</f>
        <v>0</v>
      </c>
    </row>
    <row r="7359" spans="1:10" x14ac:dyDescent="0.25">
      <c r="A7359" t="s">
        <v>7526</v>
      </c>
      <c r="B7359" t="s">
        <v>180</v>
      </c>
      <c r="C7359" t="s">
        <v>127</v>
      </c>
      <c r="E7359" t="s">
        <v>155</v>
      </c>
      <c r="F7359" s="1">
        <v>43016</v>
      </c>
      <c r="I7359" t="str">
        <f>IF(COUNTIF(Products!$A$2:$A$8,C7359)=0,C7359,"")</f>
        <v/>
      </c>
      <c r="J7359">
        <f>IF(OR(E7359="Prospecting",E7359="Engaging"),VLOOKUP(C7359,Products!$A$2:$C$8,3,FALSE),0)</f>
        <v>1096</v>
      </c>
    </row>
    <row r="7360" spans="1:10" x14ac:dyDescent="0.25">
      <c r="A7360" t="s">
        <v>7527</v>
      </c>
      <c r="B7360" t="s">
        <v>180</v>
      </c>
      <c r="C7360" t="s">
        <v>120</v>
      </c>
      <c r="D7360" t="s">
        <v>100</v>
      </c>
      <c r="E7360" t="s">
        <v>159</v>
      </c>
      <c r="F7360" s="1">
        <v>43016</v>
      </c>
      <c r="G7360" s="1">
        <v>43017</v>
      </c>
      <c r="H7360">
        <v>0</v>
      </c>
      <c r="I7360" t="str">
        <f>IF(COUNTIF(Products!$A$2:$A$8,C7360)=0,C7360,"")</f>
        <v/>
      </c>
      <c r="J7360">
        <f>IF(OR(E7360="Prospecting",E7360="Engaging"),VLOOKUP(C7360,Products!$A$2:$C$8,3,FALSE),0)</f>
        <v>0</v>
      </c>
    </row>
    <row r="7361" spans="1:10" x14ac:dyDescent="0.25">
      <c r="A7361" t="s">
        <v>7528</v>
      </c>
      <c r="B7361" t="s">
        <v>180</v>
      </c>
      <c r="C7361" t="s">
        <v>120</v>
      </c>
      <c r="D7361" t="s">
        <v>107</v>
      </c>
      <c r="E7361" t="s">
        <v>138</v>
      </c>
      <c r="F7361" s="1">
        <v>43016</v>
      </c>
      <c r="G7361" s="1">
        <v>43018</v>
      </c>
      <c r="H7361">
        <v>608</v>
      </c>
      <c r="I7361" t="str">
        <f>IF(COUNTIF(Products!$A$2:$A$8,C7361)=0,C7361,"")</f>
        <v/>
      </c>
      <c r="J7361">
        <f>IF(OR(E7361="Prospecting",E7361="Engaging"),VLOOKUP(C7361,Products!$A$2:$C$8,3,FALSE),0)</f>
        <v>0</v>
      </c>
    </row>
    <row r="7362" spans="1:10" x14ac:dyDescent="0.25">
      <c r="A7362" t="s">
        <v>7529</v>
      </c>
      <c r="B7362" t="s">
        <v>191</v>
      </c>
      <c r="C7362" t="s">
        <v>126</v>
      </c>
      <c r="D7362" t="s">
        <v>38</v>
      </c>
      <c r="E7362" t="s">
        <v>138</v>
      </c>
      <c r="F7362" s="1">
        <v>43016</v>
      </c>
      <c r="G7362" s="1">
        <v>43024</v>
      </c>
      <c r="H7362">
        <v>4989</v>
      </c>
      <c r="I7362" t="str">
        <f>IF(COUNTIF(Products!$A$2:$A$8,C7362)=0,C7362,"")</f>
        <v/>
      </c>
      <c r="J7362">
        <f>IF(OR(E7362="Prospecting",E7362="Engaging"),VLOOKUP(C7362,Products!$A$2:$C$8,3,FALSE),0)</f>
        <v>0</v>
      </c>
    </row>
    <row r="7363" spans="1:10" x14ac:dyDescent="0.25">
      <c r="A7363" t="s">
        <v>7530</v>
      </c>
      <c r="B7363" t="s">
        <v>191</v>
      </c>
      <c r="C7363" t="s">
        <v>122</v>
      </c>
      <c r="D7363" t="s">
        <v>78</v>
      </c>
      <c r="E7363" t="s">
        <v>138</v>
      </c>
      <c r="F7363" s="1">
        <v>43016</v>
      </c>
      <c r="G7363" s="1">
        <v>43062</v>
      </c>
      <c r="H7363">
        <v>4780</v>
      </c>
      <c r="I7363" t="str">
        <f>IF(COUNTIF(Products!$A$2:$A$8,C7363)=0,C7363,"")</f>
        <v/>
      </c>
      <c r="J7363">
        <f>IF(OR(E7363="Prospecting",E7363="Engaging"),VLOOKUP(C7363,Products!$A$2:$C$8,3,FALSE),0)</f>
        <v>0</v>
      </c>
    </row>
    <row r="7364" spans="1:10" x14ac:dyDescent="0.25">
      <c r="A7364" t="s">
        <v>7531</v>
      </c>
      <c r="B7364" t="s">
        <v>150</v>
      </c>
      <c r="C7364" t="s">
        <v>123</v>
      </c>
      <c r="E7364" t="s">
        <v>155</v>
      </c>
      <c r="F7364" s="1">
        <v>43016</v>
      </c>
      <c r="I7364" t="str">
        <f>IF(COUNTIF(Products!$A$2:$A$8,C7364)=0,C7364,"")</f>
        <v/>
      </c>
      <c r="J7364">
        <f>IF(OR(E7364="Prospecting",E7364="Engaging"),VLOOKUP(C7364,Products!$A$2:$C$8,3,FALSE),0)</f>
        <v>55</v>
      </c>
    </row>
    <row r="7365" spans="1:10" x14ac:dyDescent="0.25">
      <c r="A7365" t="s">
        <v>7532</v>
      </c>
      <c r="B7365" t="s">
        <v>150</v>
      </c>
      <c r="C7365" t="s">
        <v>127</v>
      </c>
      <c r="D7365" t="s">
        <v>17</v>
      </c>
      <c r="E7365" t="s">
        <v>159</v>
      </c>
      <c r="F7365" s="1">
        <v>43016</v>
      </c>
      <c r="G7365" s="1">
        <v>43018</v>
      </c>
      <c r="H7365">
        <v>0</v>
      </c>
      <c r="I7365" t="str">
        <f>IF(COUNTIF(Products!$A$2:$A$8,C7365)=0,C7365,"")</f>
        <v/>
      </c>
      <c r="J7365">
        <f>IF(OR(E7365="Prospecting",E7365="Engaging"),VLOOKUP(C7365,Products!$A$2:$C$8,3,FALSE),0)</f>
        <v>0</v>
      </c>
    </row>
    <row r="7366" spans="1:10" x14ac:dyDescent="0.25">
      <c r="A7366" t="s">
        <v>7533</v>
      </c>
      <c r="B7366" t="s">
        <v>150</v>
      </c>
      <c r="C7366" t="s">
        <v>123</v>
      </c>
      <c r="D7366" t="s">
        <v>71</v>
      </c>
      <c r="E7366" t="s">
        <v>159</v>
      </c>
      <c r="F7366" s="1">
        <v>43016</v>
      </c>
      <c r="G7366" s="1">
        <v>43022</v>
      </c>
      <c r="H7366">
        <v>0</v>
      </c>
      <c r="I7366" t="str">
        <f>IF(COUNTIF(Products!$A$2:$A$8,C7366)=0,C7366,"")</f>
        <v/>
      </c>
      <c r="J7366">
        <f>IF(OR(E7366="Prospecting",E7366="Engaging"),VLOOKUP(C7366,Products!$A$2:$C$8,3,FALSE),0)</f>
        <v>0</v>
      </c>
    </row>
    <row r="7367" spans="1:10" x14ac:dyDescent="0.25">
      <c r="A7367" t="s">
        <v>7534</v>
      </c>
      <c r="B7367" t="s">
        <v>166</v>
      </c>
      <c r="C7367" t="s">
        <v>123</v>
      </c>
      <c r="D7367" t="s">
        <v>114</v>
      </c>
      <c r="E7367" t="s">
        <v>159</v>
      </c>
      <c r="F7367" s="1">
        <v>43016</v>
      </c>
      <c r="G7367" s="1">
        <v>43028</v>
      </c>
      <c r="H7367">
        <v>0</v>
      </c>
      <c r="I7367" t="str">
        <f>IF(COUNTIF(Products!$A$2:$A$8,C7367)=0,C7367,"")</f>
        <v/>
      </c>
      <c r="J7367">
        <f>IF(OR(E7367="Prospecting",E7367="Engaging"),VLOOKUP(C7367,Products!$A$2:$C$8,3,FALSE),0)</f>
        <v>0</v>
      </c>
    </row>
    <row r="7368" spans="1:10" x14ac:dyDescent="0.25">
      <c r="A7368" t="s">
        <v>7535</v>
      </c>
      <c r="B7368" t="s">
        <v>148</v>
      </c>
      <c r="C7368" t="s">
        <v>125</v>
      </c>
      <c r="D7368" t="s">
        <v>78</v>
      </c>
      <c r="E7368" t="s">
        <v>138</v>
      </c>
      <c r="F7368" s="1">
        <v>43016</v>
      </c>
      <c r="G7368" s="1">
        <v>43017</v>
      </c>
      <c r="H7368">
        <v>3023</v>
      </c>
      <c r="I7368" t="str">
        <f>IF(COUNTIF(Products!$A$2:$A$8,C7368)=0,C7368,"")</f>
        <v/>
      </c>
      <c r="J7368">
        <f>IF(OR(E7368="Prospecting",E7368="Engaging"),VLOOKUP(C7368,Products!$A$2:$C$8,3,FALSE),0)</f>
        <v>0</v>
      </c>
    </row>
    <row r="7369" spans="1:10" x14ac:dyDescent="0.25">
      <c r="A7369" t="s">
        <v>7536</v>
      </c>
      <c r="B7369" t="s">
        <v>144</v>
      </c>
      <c r="C7369" t="s">
        <v>123</v>
      </c>
      <c r="E7369" t="s">
        <v>155</v>
      </c>
      <c r="F7369" s="1">
        <v>43016</v>
      </c>
      <c r="I7369" t="str">
        <f>IF(COUNTIF(Products!$A$2:$A$8,C7369)=0,C7369,"")</f>
        <v/>
      </c>
      <c r="J7369">
        <f>IF(OR(E7369="Prospecting",E7369="Engaging"),VLOOKUP(C7369,Products!$A$2:$C$8,3,FALSE),0)</f>
        <v>55</v>
      </c>
    </row>
    <row r="7370" spans="1:10" x14ac:dyDescent="0.25">
      <c r="A7370" t="s">
        <v>7537</v>
      </c>
      <c r="B7370" t="s">
        <v>146</v>
      </c>
      <c r="C7370" t="s">
        <v>126</v>
      </c>
      <c r="D7370" t="s">
        <v>28</v>
      </c>
      <c r="E7370" t="s">
        <v>159</v>
      </c>
      <c r="F7370" s="1">
        <v>43017</v>
      </c>
      <c r="G7370" s="1">
        <v>43025</v>
      </c>
      <c r="H7370">
        <v>0</v>
      </c>
      <c r="I7370" t="str">
        <f>IF(COUNTIF(Products!$A$2:$A$8,C7370)=0,C7370,"")</f>
        <v/>
      </c>
      <c r="J7370">
        <f>IF(OR(E7370="Prospecting",E7370="Engaging"),VLOOKUP(C7370,Products!$A$2:$C$8,3,FALSE),0)</f>
        <v>0</v>
      </c>
    </row>
    <row r="7371" spans="1:10" x14ac:dyDescent="0.25">
      <c r="A7371" t="s">
        <v>7538</v>
      </c>
      <c r="B7371" t="s">
        <v>146</v>
      </c>
      <c r="C7371" t="s">
        <v>125</v>
      </c>
      <c r="D7371" t="s">
        <v>88</v>
      </c>
      <c r="E7371" t="s">
        <v>138</v>
      </c>
      <c r="F7371" s="1">
        <v>43017</v>
      </c>
      <c r="G7371" s="1">
        <v>43028</v>
      </c>
      <c r="H7371">
        <v>3100</v>
      </c>
      <c r="I7371" t="str">
        <f>IF(COUNTIF(Products!$A$2:$A$8,C7371)=0,C7371,"")</f>
        <v/>
      </c>
      <c r="J7371">
        <f>IF(OR(E7371="Prospecting",E7371="Engaging"),VLOOKUP(C7371,Products!$A$2:$C$8,3,FALSE),0)</f>
        <v>0</v>
      </c>
    </row>
    <row r="7372" spans="1:10" x14ac:dyDescent="0.25">
      <c r="A7372" t="s">
        <v>7539</v>
      </c>
      <c r="B7372" t="s">
        <v>222</v>
      </c>
      <c r="C7372" t="s">
        <v>126</v>
      </c>
      <c r="D7372" t="s">
        <v>35</v>
      </c>
      <c r="E7372" t="s">
        <v>138</v>
      </c>
      <c r="F7372" s="1">
        <v>43017</v>
      </c>
      <c r="G7372" s="1">
        <v>43099</v>
      </c>
      <c r="H7372">
        <v>6406</v>
      </c>
      <c r="I7372" t="str">
        <f>IF(COUNTIF(Products!$A$2:$A$8,C7372)=0,C7372,"")</f>
        <v/>
      </c>
      <c r="J7372">
        <f>IF(OR(E7372="Prospecting",E7372="Engaging"),VLOOKUP(C7372,Products!$A$2:$C$8,3,FALSE),0)</f>
        <v>0</v>
      </c>
    </row>
    <row r="7373" spans="1:10" x14ac:dyDescent="0.25">
      <c r="A7373" t="s">
        <v>7540</v>
      </c>
      <c r="B7373" t="s">
        <v>239</v>
      </c>
      <c r="C7373" t="s">
        <v>126</v>
      </c>
      <c r="D7373" t="s">
        <v>68</v>
      </c>
      <c r="E7373" t="s">
        <v>138</v>
      </c>
      <c r="F7373" s="1">
        <v>43017</v>
      </c>
      <c r="G7373" s="1">
        <v>43023</v>
      </c>
      <c r="H7373">
        <v>5711</v>
      </c>
      <c r="I7373" t="str">
        <f>IF(COUNTIF(Products!$A$2:$A$8,C7373)=0,C7373,"")</f>
        <v/>
      </c>
      <c r="J7373">
        <f>IF(OR(E7373="Prospecting",E7373="Engaging"),VLOOKUP(C7373,Products!$A$2:$C$8,3,FALSE),0)</f>
        <v>0</v>
      </c>
    </row>
    <row r="7374" spans="1:10" x14ac:dyDescent="0.25">
      <c r="A7374" t="s">
        <v>7541</v>
      </c>
      <c r="B7374" t="s">
        <v>171</v>
      </c>
      <c r="C7374" t="s">
        <v>122</v>
      </c>
      <c r="E7374" t="s">
        <v>155</v>
      </c>
      <c r="F7374" s="1">
        <v>43017</v>
      </c>
      <c r="I7374" t="str">
        <f>IF(COUNTIF(Products!$A$2:$A$8,C7374)=0,C7374,"")</f>
        <v/>
      </c>
      <c r="J7374">
        <f>IF(OR(E7374="Prospecting",E7374="Engaging"),VLOOKUP(C7374,Products!$A$2:$C$8,3,FALSE),0)</f>
        <v>4821</v>
      </c>
    </row>
    <row r="7375" spans="1:10" x14ac:dyDescent="0.25">
      <c r="A7375" t="s">
        <v>7542</v>
      </c>
      <c r="B7375" t="s">
        <v>171</v>
      </c>
      <c r="C7375" t="s">
        <v>123</v>
      </c>
      <c r="D7375" t="s">
        <v>80</v>
      </c>
      <c r="E7375" t="s">
        <v>138</v>
      </c>
      <c r="F7375" s="1">
        <v>43017</v>
      </c>
      <c r="G7375" s="1">
        <v>43026</v>
      </c>
      <c r="H7375">
        <v>58</v>
      </c>
      <c r="I7375" t="str">
        <f>IF(COUNTIF(Products!$A$2:$A$8,C7375)=0,C7375,"")</f>
        <v/>
      </c>
      <c r="J7375">
        <f>IF(OR(E7375="Prospecting",E7375="Engaging"),VLOOKUP(C7375,Products!$A$2:$C$8,3,FALSE),0)</f>
        <v>0</v>
      </c>
    </row>
    <row r="7376" spans="1:10" x14ac:dyDescent="0.25">
      <c r="A7376" t="s">
        <v>7543</v>
      </c>
      <c r="B7376" t="s">
        <v>140</v>
      </c>
      <c r="C7376" t="s">
        <v>122</v>
      </c>
      <c r="D7376" t="s">
        <v>95</v>
      </c>
      <c r="E7376" t="s">
        <v>159</v>
      </c>
      <c r="F7376" s="1">
        <v>43017</v>
      </c>
      <c r="G7376" s="1">
        <v>43018</v>
      </c>
      <c r="H7376">
        <v>0</v>
      </c>
      <c r="I7376" t="str">
        <f>IF(COUNTIF(Products!$A$2:$A$8,C7376)=0,C7376,"")</f>
        <v/>
      </c>
      <c r="J7376">
        <f>IF(OR(E7376="Prospecting",E7376="Engaging"),VLOOKUP(C7376,Products!$A$2:$C$8,3,FALSE),0)</f>
        <v>0</v>
      </c>
    </row>
    <row r="7377" spans="1:10" x14ac:dyDescent="0.25">
      <c r="A7377" t="s">
        <v>7544</v>
      </c>
      <c r="B7377" t="s">
        <v>198</v>
      </c>
      <c r="C7377" t="s">
        <v>120</v>
      </c>
      <c r="D7377" t="s">
        <v>115</v>
      </c>
      <c r="E7377" t="s">
        <v>138</v>
      </c>
      <c r="F7377" s="1">
        <v>43017</v>
      </c>
      <c r="G7377" s="1">
        <v>43018</v>
      </c>
      <c r="H7377">
        <v>552</v>
      </c>
      <c r="I7377" t="str">
        <f>IF(COUNTIF(Products!$A$2:$A$8,C7377)=0,C7377,"")</f>
        <v/>
      </c>
      <c r="J7377">
        <f>IF(OR(E7377="Prospecting",E7377="Engaging"),VLOOKUP(C7377,Products!$A$2:$C$8,3,FALSE),0)</f>
        <v>0</v>
      </c>
    </row>
    <row r="7378" spans="1:10" x14ac:dyDescent="0.25">
      <c r="A7378" t="s">
        <v>7545</v>
      </c>
      <c r="B7378" t="s">
        <v>198</v>
      </c>
      <c r="C7378" t="s">
        <v>125</v>
      </c>
      <c r="D7378" t="s">
        <v>102</v>
      </c>
      <c r="E7378" t="s">
        <v>138</v>
      </c>
      <c r="F7378" s="1">
        <v>43017</v>
      </c>
      <c r="G7378" s="1">
        <v>43028</v>
      </c>
      <c r="H7378">
        <v>3215</v>
      </c>
      <c r="I7378" t="str">
        <f>IF(COUNTIF(Products!$A$2:$A$8,C7378)=0,C7378,"")</f>
        <v/>
      </c>
      <c r="J7378">
        <f>IF(OR(E7378="Prospecting",E7378="Engaging"),VLOOKUP(C7378,Products!$A$2:$C$8,3,FALSE),0)</f>
        <v>0</v>
      </c>
    </row>
    <row r="7379" spans="1:10" x14ac:dyDescent="0.25">
      <c r="A7379" t="s">
        <v>7546</v>
      </c>
      <c r="B7379" t="s">
        <v>158</v>
      </c>
      <c r="C7379" t="s">
        <v>120</v>
      </c>
      <c r="D7379" t="s">
        <v>70</v>
      </c>
      <c r="E7379" t="s">
        <v>159</v>
      </c>
      <c r="F7379" s="1">
        <v>43017</v>
      </c>
      <c r="G7379" s="1">
        <v>43066</v>
      </c>
      <c r="H7379">
        <v>0</v>
      </c>
      <c r="I7379" t="str">
        <f>IF(COUNTIF(Products!$A$2:$A$8,C7379)=0,C7379,"")</f>
        <v/>
      </c>
      <c r="J7379">
        <f>IF(OR(E7379="Prospecting",E7379="Engaging"),VLOOKUP(C7379,Products!$A$2:$C$8,3,FALSE),0)</f>
        <v>0</v>
      </c>
    </row>
    <row r="7380" spans="1:10" x14ac:dyDescent="0.25">
      <c r="A7380" t="s">
        <v>7547</v>
      </c>
      <c r="B7380" t="s">
        <v>154</v>
      </c>
      <c r="C7380" t="s">
        <v>127</v>
      </c>
      <c r="D7380" t="s">
        <v>44</v>
      </c>
      <c r="E7380" t="s">
        <v>138</v>
      </c>
      <c r="F7380" s="1">
        <v>43017</v>
      </c>
      <c r="G7380" s="1">
        <v>43062</v>
      </c>
      <c r="H7380">
        <v>1112</v>
      </c>
      <c r="I7380" t="str">
        <f>IF(COUNTIF(Products!$A$2:$A$8,C7380)=0,C7380,"")</f>
        <v/>
      </c>
      <c r="J7380">
        <f>IF(OR(E7380="Prospecting",E7380="Engaging"),VLOOKUP(C7380,Products!$A$2:$C$8,3,FALSE),0)</f>
        <v>0</v>
      </c>
    </row>
    <row r="7381" spans="1:10" x14ac:dyDescent="0.25">
      <c r="A7381" t="s">
        <v>7548</v>
      </c>
      <c r="B7381" t="s">
        <v>303</v>
      </c>
      <c r="C7381" t="s">
        <v>120</v>
      </c>
      <c r="D7381" t="s">
        <v>94</v>
      </c>
      <c r="E7381" t="s">
        <v>159</v>
      </c>
      <c r="F7381" s="1">
        <v>43017</v>
      </c>
      <c r="G7381" s="1">
        <v>43029</v>
      </c>
      <c r="H7381">
        <v>0</v>
      </c>
      <c r="I7381" t="str">
        <f>IF(COUNTIF(Products!$A$2:$A$8,C7381)=0,C7381,"")</f>
        <v/>
      </c>
      <c r="J7381">
        <f>IF(OR(E7381="Prospecting",E7381="Engaging"),VLOOKUP(C7381,Products!$A$2:$C$8,3,FALSE),0)</f>
        <v>0</v>
      </c>
    </row>
    <row r="7382" spans="1:10" x14ac:dyDescent="0.25">
      <c r="A7382" t="s">
        <v>7549</v>
      </c>
      <c r="B7382" t="s">
        <v>303</v>
      </c>
      <c r="C7382" t="s">
        <v>127</v>
      </c>
      <c r="D7382" t="s">
        <v>77</v>
      </c>
      <c r="E7382" t="s">
        <v>138</v>
      </c>
      <c r="F7382" s="1">
        <v>43017</v>
      </c>
      <c r="G7382" s="1">
        <v>43064</v>
      </c>
      <c r="H7382">
        <v>1190</v>
      </c>
      <c r="I7382" t="str">
        <f>IF(COUNTIF(Products!$A$2:$A$8,C7382)=0,C7382,"")</f>
        <v/>
      </c>
      <c r="J7382">
        <f>IF(OR(E7382="Prospecting",E7382="Engaging"),VLOOKUP(C7382,Products!$A$2:$C$8,3,FALSE),0)</f>
        <v>0</v>
      </c>
    </row>
    <row r="7383" spans="1:10" x14ac:dyDescent="0.25">
      <c r="A7383" t="s">
        <v>7550</v>
      </c>
      <c r="B7383" t="s">
        <v>180</v>
      </c>
      <c r="C7383" t="s">
        <v>120</v>
      </c>
      <c r="D7383" t="s">
        <v>44</v>
      </c>
      <c r="E7383" t="s">
        <v>138</v>
      </c>
      <c r="F7383" s="1">
        <v>43017</v>
      </c>
      <c r="G7383" s="1">
        <v>43091</v>
      </c>
      <c r="H7383">
        <v>446</v>
      </c>
      <c r="I7383" t="str">
        <f>IF(COUNTIF(Products!$A$2:$A$8,C7383)=0,C7383,"")</f>
        <v/>
      </c>
      <c r="J7383">
        <f>IF(OR(E7383="Prospecting",E7383="Engaging"),VLOOKUP(C7383,Products!$A$2:$C$8,3,FALSE),0)</f>
        <v>0</v>
      </c>
    </row>
    <row r="7384" spans="1:10" x14ac:dyDescent="0.25">
      <c r="A7384" t="s">
        <v>7551</v>
      </c>
      <c r="B7384" t="s">
        <v>180</v>
      </c>
      <c r="C7384" t="s">
        <v>120</v>
      </c>
      <c r="D7384" t="s">
        <v>69</v>
      </c>
      <c r="E7384" t="s">
        <v>138</v>
      </c>
      <c r="F7384" s="1">
        <v>43017</v>
      </c>
      <c r="G7384" s="1">
        <v>43018</v>
      </c>
      <c r="H7384">
        <v>565</v>
      </c>
      <c r="I7384" t="str">
        <f>IF(COUNTIF(Products!$A$2:$A$8,C7384)=0,C7384,"")</f>
        <v/>
      </c>
      <c r="J7384">
        <f>IF(OR(E7384="Prospecting",E7384="Engaging"),VLOOKUP(C7384,Products!$A$2:$C$8,3,FALSE),0)</f>
        <v>0</v>
      </c>
    </row>
    <row r="7385" spans="1:10" x14ac:dyDescent="0.25">
      <c r="A7385" t="s">
        <v>7552</v>
      </c>
      <c r="B7385" t="s">
        <v>191</v>
      </c>
      <c r="C7385" t="s">
        <v>120</v>
      </c>
      <c r="D7385" t="s">
        <v>93</v>
      </c>
      <c r="E7385" t="s">
        <v>159</v>
      </c>
      <c r="F7385" s="1">
        <v>43017</v>
      </c>
      <c r="G7385" s="1">
        <v>43026</v>
      </c>
      <c r="H7385">
        <v>0</v>
      </c>
      <c r="I7385" t="str">
        <f>IF(COUNTIF(Products!$A$2:$A$8,C7385)=0,C7385,"")</f>
        <v/>
      </c>
      <c r="J7385">
        <f>IF(OR(E7385="Prospecting",E7385="Engaging"),VLOOKUP(C7385,Products!$A$2:$C$8,3,FALSE),0)</f>
        <v>0</v>
      </c>
    </row>
    <row r="7386" spans="1:10" x14ac:dyDescent="0.25">
      <c r="A7386" t="s">
        <v>7553</v>
      </c>
      <c r="B7386" t="s">
        <v>150</v>
      </c>
      <c r="C7386" t="s">
        <v>123</v>
      </c>
      <c r="E7386" t="s">
        <v>155</v>
      </c>
      <c r="F7386" s="1">
        <v>43017</v>
      </c>
      <c r="I7386" t="str">
        <f>IF(COUNTIF(Products!$A$2:$A$8,C7386)=0,C7386,"")</f>
        <v/>
      </c>
      <c r="J7386">
        <f>IF(OR(E7386="Prospecting",E7386="Engaging"),VLOOKUP(C7386,Products!$A$2:$C$8,3,FALSE),0)</f>
        <v>55</v>
      </c>
    </row>
    <row r="7387" spans="1:10" x14ac:dyDescent="0.25">
      <c r="A7387" t="s">
        <v>7554</v>
      </c>
      <c r="B7387" t="s">
        <v>150</v>
      </c>
      <c r="C7387" t="s">
        <v>122</v>
      </c>
      <c r="D7387" t="s">
        <v>93</v>
      </c>
      <c r="E7387" t="s">
        <v>138</v>
      </c>
      <c r="F7387" s="1">
        <v>43017</v>
      </c>
      <c r="G7387" s="1">
        <v>43094</v>
      </c>
      <c r="H7387">
        <v>4753</v>
      </c>
      <c r="I7387" t="str">
        <f>IF(COUNTIF(Products!$A$2:$A$8,C7387)=0,C7387,"")</f>
        <v/>
      </c>
      <c r="J7387">
        <f>IF(OR(E7387="Prospecting",E7387="Engaging"),VLOOKUP(C7387,Products!$A$2:$C$8,3,FALSE),0)</f>
        <v>0</v>
      </c>
    </row>
    <row r="7388" spans="1:10" x14ac:dyDescent="0.25">
      <c r="A7388" t="s">
        <v>7555</v>
      </c>
      <c r="B7388" t="s">
        <v>205</v>
      </c>
      <c r="C7388" t="s">
        <v>127</v>
      </c>
      <c r="D7388" t="s">
        <v>51</v>
      </c>
      <c r="E7388" t="s">
        <v>159</v>
      </c>
      <c r="F7388" s="1">
        <v>43017</v>
      </c>
      <c r="G7388" s="1">
        <v>43069</v>
      </c>
      <c r="H7388">
        <v>0</v>
      </c>
      <c r="I7388" t="str">
        <f>IF(COUNTIF(Products!$A$2:$A$8,C7388)=0,C7388,"")</f>
        <v/>
      </c>
      <c r="J7388">
        <f>IF(OR(E7388="Prospecting",E7388="Engaging"),VLOOKUP(C7388,Products!$A$2:$C$8,3,FALSE),0)</f>
        <v>0</v>
      </c>
    </row>
    <row r="7389" spans="1:10" x14ac:dyDescent="0.25">
      <c r="A7389" t="s">
        <v>7556</v>
      </c>
      <c r="B7389" t="s">
        <v>162</v>
      </c>
      <c r="C7389" t="s">
        <v>120</v>
      </c>
      <c r="D7389" t="s">
        <v>100</v>
      </c>
      <c r="E7389" t="s">
        <v>159</v>
      </c>
      <c r="F7389" s="1">
        <v>43017</v>
      </c>
      <c r="G7389" s="1">
        <v>43027</v>
      </c>
      <c r="H7389">
        <v>0</v>
      </c>
      <c r="I7389" t="str">
        <f>IF(COUNTIF(Products!$A$2:$A$8,C7389)=0,C7389,"")</f>
        <v/>
      </c>
      <c r="J7389">
        <f>IF(OR(E7389="Prospecting",E7389="Engaging"),VLOOKUP(C7389,Products!$A$2:$C$8,3,FALSE),0)</f>
        <v>0</v>
      </c>
    </row>
    <row r="7390" spans="1:10" x14ac:dyDescent="0.25">
      <c r="A7390" t="s">
        <v>7557</v>
      </c>
      <c r="B7390" t="s">
        <v>152</v>
      </c>
      <c r="C7390" t="s">
        <v>120</v>
      </c>
      <c r="D7390" t="s">
        <v>95</v>
      </c>
      <c r="E7390" t="s">
        <v>159</v>
      </c>
      <c r="F7390" s="1">
        <v>43017</v>
      </c>
      <c r="G7390" s="1">
        <v>43029</v>
      </c>
      <c r="H7390">
        <v>0</v>
      </c>
      <c r="I7390" t="str">
        <f>IF(COUNTIF(Products!$A$2:$A$8,C7390)=0,C7390,"")</f>
        <v/>
      </c>
      <c r="J7390">
        <f>IF(OR(E7390="Prospecting",E7390="Engaging"),VLOOKUP(C7390,Products!$A$2:$C$8,3,FALSE),0)</f>
        <v>0</v>
      </c>
    </row>
    <row r="7391" spans="1:10" x14ac:dyDescent="0.25">
      <c r="A7391" t="s">
        <v>7558</v>
      </c>
      <c r="B7391" t="s">
        <v>152</v>
      </c>
      <c r="C7391" t="s">
        <v>127</v>
      </c>
      <c r="D7391" t="s">
        <v>94</v>
      </c>
      <c r="E7391" t="s">
        <v>138</v>
      </c>
      <c r="F7391" s="1">
        <v>43017</v>
      </c>
      <c r="G7391" s="1">
        <v>43018</v>
      </c>
      <c r="H7391">
        <v>1129</v>
      </c>
      <c r="I7391" t="str">
        <f>IF(COUNTIF(Products!$A$2:$A$8,C7391)=0,C7391,"")</f>
        <v/>
      </c>
      <c r="J7391">
        <f>IF(OR(E7391="Prospecting",E7391="Engaging"),VLOOKUP(C7391,Products!$A$2:$C$8,3,FALSE),0)</f>
        <v>0</v>
      </c>
    </row>
    <row r="7392" spans="1:10" x14ac:dyDescent="0.25">
      <c r="A7392" t="s">
        <v>7559</v>
      </c>
      <c r="B7392" t="s">
        <v>166</v>
      </c>
      <c r="C7392" t="s">
        <v>123</v>
      </c>
      <c r="D7392" t="s">
        <v>100</v>
      </c>
      <c r="E7392" t="s">
        <v>138</v>
      </c>
      <c r="F7392" s="1">
        <v>43017</v>
      </c>
      <c r="G7392" s="1">
        <v>43018</v>
      </c>
      <c r="H7392">
        <v>56</v>
      </c>
      <c r="I7392" t="str">
        <f>IF(COUNTIF(Products!$A$2:$A$8,C7392)=0,C7392,"")</f>
        <v/>
      </c>
      <c r="J7392">
        <f>IF(OR(E7392="Prospecting",E7392="Engaging"),VLOOKUP(C7392,Products!$A$2:$C$8,3,FALSE),0)</f>
        <v>0</v>
      </c>
    </row>
    <row r="7393" spans="1:10" x14ac:dyDescent="0.25">
      <c r="A7393" t="s">
        <v>7560</v>
      </c>
      <c r="B7393" t="s">
        <v>166</v>
      </c>
      <c r="C7393" t="s">
        <v>125</v>
      </c>
      <c r="D7393" t="s">
        <v>93</v>
      </c>
      <c r="E7393" t="s">
        <v>138</v>
      </c>
      <c r="F7393" s="1">
        <v>43017</v>
      </c>
      <c r="G7393" s="1">
        <v>43019</v>
      </c>
      <c r="H7393">
        <v>3435</v>
      </c>
      <c r="I7393" t="str">
        <f>IF(COUNTIF(Products!$A$2:$A$8,C7393)=0,C7393,"")</f>
        <v/>
      </c>
      <c r="J7393">
        <f>IF(OR(E7393="Prospecting",E7393="Engaging"),VLOOKUP(C7393,Products!$A$2:$C$8,3,FALSE),0)</f>
        <v>0</v>
      </c>
    </row>
    <row r="7394" spans="1:10" x14ac:dyDescent="0.25">
      <c r="A7394" t="s">
        <v>7561</v>
      </c>
      <c r="B7394" t="s">
        <v>169</v>
      </c>
      <c r="C7394" t="s">
        <v>125</v>
      </c>
      <c r="D7394" t="s">
        <v>85</v>
      </c>
      <c r="E7394" t="s">
        <v>138</v>
      </c>
      <c r="F7394" s="1">
        <v>43017</v>
      </c>
      <c r="G7394" s="1">
        <v>43022</v>
      </c>
      <c r="H7394">
        <v>3860</v>
      </c>
      <c r="I7394" t="str">
        <f>IF(COUNTIF(Products!$A$2:$A$8,C7394)=0,C7394,"")</f>
        <v/>
      </c>
      <c r="J7394">
        <f>IF(OR(E7394="Prospecting",E7394="Engaging"),VLOOKUP(C7394,Products!$A$2:$C$8,3,FALSE),0)</f>
        <v>0</v>
      </c>
    </row>
    <row r="7395" spans="1:10" x14ac:dyDescent="0.25">
      <c r="A7395" t="s">
        <v>7562</v>
      </c>
      <c r="B7395" t="s">
        <v>177</v>
      </c>
      <c r="C7395" t="s">
        <v>123</v>
      </c>
      <c r="D7395" t="s">
        <v>110</v>
      </c>
      <c r="E7395" t="s">
        <v>159</v>
      </c>
      <c r="F7395" s="1">
        <v>43017</v>
      </c>
      <c r="G7395" s="1">
        <v>43092</v>
      </c>
      <c r="H7395">
        <v>0</v>
      </c>
      <c r="I7395" t="str">
        <f>IF(COUNTIF(Products!$A$2:$A$8,C7395)=0,C7395,"")</f>
        <v/>
      </c>
      <c r="J7395">
        <f>IF(OR(E7395="Prospecting",E7395="Engaging"),VLOOKUP(C7395,Products!$A$2:$C$8,3,FALSE),0)</f>
        <v>0</v>
      </c>
    </row>
    <row r="7396" spans="1:10" x14ac:dyDescent="0.25">
      <c r="A7396" t="s">
        <v>7563</v>
      </c>
      <c r="B7396" t="s">
        <v>144</v>
      </c>
      <c r="C7396" t="s">
        <v>120</v>
      </c>
      <c r="D7396" t="s">
        <v>61</v>
      </c>
      <c r="E7396" t="s">
        <v>159</v>
      </c>
      <c r="F7396" s="1">
        <v>43017</v>
      </c>
      <c r="G7396" s="1">
        <v>43025</v>
      </c>
      <c r="H7396">
        <v>0</v>
      </c>
      <c r="I7396" t="str">
        <f>IF(COUNTIF(Products!$A$2:$A$8,C7396)=0,C7396,"")</f>
        <v/>
      </c>
      <c r="J7396">
        <f>IF(OR(E7396="Prospecting",E7396="Engaging"),VLOOKUP(C7396,Products!$A$2:$C$8,3,FALSE),0)</f>
        <v>0</v>
      </c>
    </row>
    <row r="7397" spans="1:10" x14ac:dyDescent="0.25">
      <c r="A7397" t="s">
        <v>7564</v>
      </c>
      <c r="B7397" t="s">
        <v>144</v>
      </c>
      <c r="C7397" t="s">
        <v>125</v>
      </c>
      <c r="D7397" t="s">
        <v>27</v>
      </c>
      <c r="E7397" t="s">
        <v>159</v>
      </c>
      <c r="F7397" s="1">
        <v>43017</v>
      </c>
      <c r="G7397" s="1">
        <v>43019</v>
      </c>
      <c r="H7397">
        <v>0</v>
      </c>
      <c r="I7397" t="str">
        <f>IF(COUNTIF(Products!$A$2:$A$8,C7397)=0,C7397,"")</f>
        <v/>
      </c>
      <c r="J7397">
        <f>IF(OR(E7397="Prospecting",E7397="Engaging"),VLOOKUP(C7397,Products!$A$2:$C$8,3,FALSE),0)</f>
        <v>0</v>
      </c>
    </row>
    <row r="7398" spans="1:10" x14ac:dyDescent="0.25">
      <c r="A7398" t="s">
        <v>7565</v>
      </c>
      <c r="B7398" t="s">
        <v>144</v>
      </c>
      <c r="C7398" t="s">
        <v>120</v>
      </c>
      <c r="D7398" t="s">
        <v>109</v>
      </c>
      <c r="E7398" t="s">
        <v>138</v>
      </c>
      <c r="F7398" s="1">
        <v>43017</v>
      </c>
      <c r="G7398" s="1">
        <v>43086</v>
      </c>
      <c r="H7398">
        <v>482</v>
      </c>
      <c r="I7398" t="str">
        <f>IF(COUNTIF(Products!$A$2:$A$8,C7398)=0,C7398,"")</f>
        <v/>
      </c>
      <c r="J7398">
        <f>IF(OR(E7398="Prospecting",E7398="Engaging"),VLOOKUP(C7398,Products!$A$2:$C$8,3,FALSE),0)</f>
        <v>0</v>
      </c>
    </row>
    <row r="7399" spans="1:10" x14ac:dyDescent="0.25">
      <c r="A7399" t="s">
        <v>7566</v>
      </c>
      <c r="B7399" t="s">
        <v>146</v>
      </c>
      <c r="C7399" t="s">
        <v>123</v>
      </c>
      <c r="D7399" t="s">
        <v>26</v>
      </c>
      <c r="E7399" t="s">
        <v>159</v>
      </c>
      <c r="F7399" s="1">
        <v>43018</v>
      </c>
      <c r="G7399" s="1">
        <v>43027</v>
      </c>
      <c r="H7399">
        <v>0</v>
      </c>
      <c r="I7399" t="str">
        <f>IF(COUNTIF(Products!$A$2:$A$8,C7399)=0,C7399,"")</f>
        <v/>
      </c>
      <c r="J7399">
        <f>IF(OR(E7399="Prospecting",E7399="Engaging"),VLOOKUP(C7399,Products!$A$2:$C$8,3,FALSE),0)</f>
        <v>0</v>
      </c>
    </row>
    <row r="7400" spans="1:10" x14ac:dyDescent="0.25">
      <c r="A7400" t="s">
        <v>7567</v>
      </c>
      <c r="B7400" t="s">
        <v>146</v>
      </c>
      <c r="C7400" t="s">
        <v>127</v>
      </c>
      <c r="D7400" t="s">
        <v>55</v>
      </c>
      <c r="E7400" t="s">
        <v>138</v>
      </c>
      <c r="F7400" s="1">
        <v>43018</v>
      </c>
      <c r="G7400" s="1">
        <v>43019</v>
      </c>
      <c r="H7400">
        <v>1166</v>
      </c>
      <c r="I7400" t="str">
        <f>IF(COUNTIF(Products!$A$2:$A$8,C7400)=0,C7400,"")</f>
        <v/>
      </c>
      <c r="J7400">
        <f>IF(OR(E7400="Prospecting",E7400="Engaging"),VLOOKUP(C7400,Products!$A$2:$C$8,3,FALSE),0)</f>
        <v>0</v>
      </c>
    </row>
    <row r="7401" spans="1:10" x14ac:dyDescent="0.25">
      <c r="A7401" t="s">
        <v>7568</v>
      </c>
      <c r="B7401" t="s">
        <v>222</v>
      </c>
      <c r="C7401" t="s">
        <v>123</v>
      </c>
      <c r="D7401" t="s">
        <v>68</v>
      </c>
      <c r="E7401" t="s">
        <v>159</v>
      </c>
      <c r="F7401" s="1">
        <v>43018</v>
      </c>
      <c r="G7401" s="1">
        <v>43026</v>
      </c>
      <c r="H7401">
        <v>0</v>
      </c>
      <c r="I7401" t="str">
        <f>IF(COUNTIF(Products!$A$2:$A$8,C7401)=0,C7401,"")</f>
        <v/>
      </c>
      <c r="J7401">
        <f>IF(OR(E7401="Prospecting",E7401="Engaging"),VLOOKUP(C7401,Products!$A$2:$C$8,3,FALSE),0)</f>
        <v>0</v>
      </c>
    </row>
    <row r="7402" spans="1:10" x14ac:dyDescent="0.25">
      <c r="A7402" t="s">
        <v>7569</v>
      </c>
      <c r="B7402" t="s">
        <v>239</v>
      </c>
      <c r="C7402" t="s">
        <v>127</v>
      </c>
      <c r="D7402" t="s">
        <v>67</v>
      </c>
      <c r="E7402" t="s">
        <v>159</v>
      </c>
      <c r="F7402" s="1">
        <v>43018</v>
      </c>
      <c r="G7402" s="1">
        <v>43023</v>
      </c>
      <c r="H7402">
        <v>0</v>
      </c>
      <c r="I7402" t="str">
        <f>IF(COUNTIF(Products!$A$2:$A$8,C7402)=0,C7402,"")</f>
        <v/>
      </c>
      <c r="J7402">
        <f>IF(OR(E7402="Prospecting",E7402="Engaging"),VLOOKUP(C7402,Products!$A$2:$C$8,3,FALSE),0)</f>
        <v>0</v>
      </c>
    </row>
    <row r="7403" spans="1:10" x14ac:dyDescent="0.25">
      <c r="A7403" t="s">
        <v>7570</v>
      </c>
      <c r="B7403" t="s">
        <v>171</v>
      </c>
      <c r="C7403" t="s">
        <v>127</v>
      </c>
      <c r="D7403" t="s">
        <v>110</v>
      </c>
      <c r="E7403" t="s">
        <v>159</v>
      </c>
      <c r="F7403" s="1">
        <v>43018</v>
      </c>
      <c r="G7403" s="1">
        <v>43052</v>
      </c>
      <c r="H7403">
        <v>0</v>
      </c>
      <c r="I7403" t="str">
        <f>IF(COUNTIF(Products!$A$2:$A$8,C7403)=0,C7403,"")</f>
        <v/>
      </c>
      <c r="J7403">
        <f>IF(OR(E7403="Prospecting",E7403="Engaging"),VLOOKUP(C7403,Products!$A$2:$C$8,3,FALSE),0)</f>
        <v>0</v>
      </c>
    </row>
    <row r="7404" spans="1:10" x14ac:dyDescent="0.25">
      <c r="A7404" t="s">
        <v>7571</v>
      </c>
      <c r="B7404" t="s">
        <v>171</v>
      </c>
      <c r="C7404" t="s">
        <v>122</v>
      </c>
      <c r="D7404" t="s">
        <v>112</v>
      </c>
      <c r="E7404" t="s">
        <v>138</v>
      </c>
      <c r="F7404" s="1">
        <v>43018</v>
      </c>
      <c r="G7404" s="1">
        <v>43087</v>
      </c>
      <c r="H7404">
        <v>5112</v>
      </c>
      <c r="I7404" t="str">
        <f>IF(COUNTIF(Products!$A$2:$A$8,C7404)=0,C7404,"")</f>
        <v/>
      </c>
      <c r="J7404">
        <f>IF(OR(E7404="Prospecting",E7404="Engaging"),VLOOKUP(C7404,Products!$A$2:$C$8,3,FALSE),0)</f>
        <v>0</v>
      </c>
    </row>
    <row r="7405" spans="1:10" x14ac:dyDescent="0.25">
      <c r="A7405" t="s">
        <v>7572</v>
      </c>
      <c r="B7405" t="s">
        <v>140</v>
      </c>
      <c r="C7405" t="s">
        <v>127</v>
      </c>
      <c r="D7405" t="s">
        <v>103</v>
      </c>
      <c r="E7405" t="s">
        <v>159</v>
      </c>
      <c r="F7405" s="1">
        <v>43018</v>
      </c>
      <c r="G7405" s="1">
        <v>43095</v>
      </c>
      <c r="H7405">
        <v>0</v>
      </c>
      <c r="I7405" t="str">
        <f>IF(COUNTIF(Products!$A$2:$A$8,C7405)=0,C7405,"")</f>
        <v/>
      </c>
      <c r="J7405">
        <f>IF(OR(E7405="Prospecting",E7405="Engaging"),VLOOKUP(C7405,Products!$A$2:$C$8,3,FALSE),0)</f>
        <v>0</v>
      </c>
    </row>
    <row r="7406" spans="1:10" x14ac:dyDescent="0.25">
      <c r="A7406" t="s">
        <v>7573</v>
      </c>
      <c r="B7406" t="s">
        <v>140</v>
      </c>
      <c r="C7406" t="s">
        <v>122</v>
      </c>
      <c r="D7406" t="s">
        <v>77</v>
      </c>
      <c r="E7406" t="s">
        <v>159</v>
      </c>
      <c r="F7406" s="1">
        <v>43018</v>
      </c>
      <c r="G7406" s="1">
        <v>43022</v>
      </c>
      <c r="H7406">
        <v>0</v>
      </c>
      <c r="I7406" t="str">
        <f>IF(COUNTIF(Products!$A$2:$A$8,C7406)=0,C7406,"")</f>
        <v/>
      </c>
      <c r="J7406">
        <f>IF(OR(E7406="Prospecting",E7406="Engaging"),VLOOKUP(C7406,Products!$A$2:$C$8,3,FALSE),0)</f>
        <v>0</v>
      </c>
    </row>
    <row r="7407" spans="1:10" x14ac:dyDescent="0.25">
      <c r="A7407" t="s">
        <v>7574</v>
      </c>
      <c r="B7407" t="s">
        <v>164</v>
      </c>
      <c r="C7407" t="s">
        <v>125</v>
      </c>
      <c r="D7407" t="s">
        <v>72</v>
      </c>
      <c r="E7407" t="s">
        <v>159</v>
      </c>
      <c r="F7407" s="1">
        <v>43018</v>
      </c>
      <c r="G7407" s="1">
        <v>43023</v>
      </c>
      <c r="H7407">
        <v>0</v>
      </c>
      <c r="I7407" t="str">
        <f>IF(COUNTIF(Products!$A$2:$A$8,C7407)=0,C7407,"")</f>
        <v/>
      </c>
      <c r="J7407">
        <f>IF(OR(E7407="Prospecting",E7407="Engaging"),VLOOKUP(C7407,Products!$A$2:$C$8,3,FALSE),0)</f>
        <v>0</v>
      </c>
    </row>
    <row r="7408" spans="1:10" x14ac:dyDescent="0.25">
      <c r="A7408" t="s">
        <v>7575</v>
      </c>
      <c r="B7408" t="s">
        <v>303</v>
      </c>
      <c r="C7408" t="s">
        <v>125</v>
      </c>
      <c r="D7408" t="s">
        <v>104</v>
      </c>
      <c r="E7408" t="s">
        <v>138</v>
      </c>
      <c r="F7408" s="1">
        <v>43018</v>
      </c>
      <c r="G7408" s="1">
        <v>43028</v>
      </c>
      <c r="H7408">
        <v>3892</v>
      </c>
      <c r="I7408" t="str">
        <f>IF(COUNTIF(Products!$A$2:$A$8,C7408)=0,C7408,"")</f>
        <v/>
      </c>
      <c r="J7408">
        <f>IF(OR(E7408="Prospecting",E7408="Engaging"),VLOOKUP(C7408,Products!$A$2:$C$8,3,FALSE),0)</f>
        <v>0</v>
      </c>
    </row>
    <row r="7409" spans="1:10" x14ac:dyDescent="0.25">
      <c r="A7409" t="s">
        <v>7576</v>
      </c>
      <c r="B7409" t="s">
        <v>180</v>
      </c>
      <c r="C7409" t="s">
        <v>120</v>
      </c>
      <c r="D7409" t="s">
        <v>29</v>
      </c>
      <c r="E7409" t="s">
        <v>138</v>
      </c>
      <c r="F7409" s="1">
        <v>43018</v>
      </c>
      <c r="G7409" s="1">
        <v>43019</v>
      </c>
      <c r="H7409">
        <v>473</v>
      </c>
      <c r="I7409" t="str">
        <f>IF(COUNTIF(Products!$A$2:$A$8,C7409)=0,C7409,"")</f>
        <v/>
      </c>
      <c r="J7409">
        <f>IF(OR(E7409="Prospecting",E7409="Engaging"),VLOOKUP(C7409,Products!$A$2:$C$8,3,FALSE),0)</f>
        <v>0</v>
      </c>
    </row>
    <row r="7410" spans="1:10" x14ac:dyDescent="0.25">
      <c r="A7410" t="s">
        <v>7577</v>
      </c>
      <c r="B7410" t="s">
        <v>191</v>
      </c>
      <c r="C7410" t="s">
        <v>120</v>
      </c>
      <c r="D7410" t="s">
        <v>59</v>
      </c>
      <c r="E7410" t="s">
        <v>159</v>
      </c>
      <c r="F7410" s="1">
        <v>43018</v>
      </c>
      <c r="G7410" s="1">
        <v>43022</v>
      </c>
      <c r="H7410">
        <v>0</v>
      </c>
      <c r="I7410" t="str">
        <f>IF(COUNTIF(Products!$A$2:$A$8,C7410)=0,C7410,"")</f>
        <v/>
      </c>
      <c r="J7410">
        <f>IF(OR(E7410="Prospecting",E7410="Engaging"),VLOOKUP(C7410,Products!$A$2:$C$8,3,FALSE),0)</f>
        <v>0</v>
      </c>
    </row>
    <row r="7411" spans="1:10" x14ac:dyDescent="0.25">
      <c r="A7411" t="s">
        <v>7578</v>
      </c>
      <c r="B7411" t="s">
        <v>191</v>
      </c>
      <c r="C7411" t="s">
        <v>127</v>
      </c>
      <c r="D7411" t="s">
        <v>90</v>
      </c>
      <c r="E7411" t="s">
        <v>159</v>
      </c>
      <c r="F7411" s="1">
        <v>43018</v>
      </c>
      <c r="G7411" s="1">
        <v>43019</v>
      </c>
      <c r="H7411">
        <v>0</v>
      </c>
      <c r="I7411" t="str">
        <f>IF(COUNTIF(Products!$A$2:$A$8,C7411)=0,C7411,"")</f>
        <v/>
      </c>
      <c r="J7411">
        <f>IF(OR(E7411="Prospecting",E7411="Engaging"),VLOOKUP(C7411,Products!$A$2:$C$8,3,FALSE),0)</f>
        <v>0</v>
      </c>
    </row>
    <row r="7412" spans="1:10" x14ac:dyDescent="0.25">
      <c r="A7412" t="s">
        <v>7579</v>
      </c>
      <c r="B7412" t="s">
        <v>191</v>
      </c>
      <c r="C7412" t="s">
        <v>120</v>
      </c>
      <c r="D7412" t="s">
        <v>39</v>
      </c>
      <c r="E7412" t="s">
        <v>138</v>
      </c>
      <c r="F7412" s="1">
        <v>43018</v>
      </c>
      <c r="G7412" s="1">
        <v>43059</v>
      </c>
      <c r="H7412">
        <v>511</v>
      </c>
      <c r="I7412" t="str">
        <f>IF(COUNTIF(Products!$A$2:$A$8,C7412)=0,C7412,"")</f>
        <v/>
      </c>
      <c r="J7412">
        <f>IF(OR(E7412="Prospecting",E7412="Engaging"),VLOOKUP(C7412,Products!$A$2:$C$8,3,FALSE),0)</f>
        <v>0</v>
      </c>
    </row>
    <row r="7413" spans="1:10" x14ac:dyDescent="0.25">
      <c r="A7413" t="s">
        <v>7580</v>
      </c>
      <c r="B7413" t="s">
        <v>191</v>
      </c>
      <c r="C7413" t="s">
        <v>120</v>
      </c>
      <c r="D7413" t="s">
        <v>61</v>
      </c>
      <c r="E7413" t="s">
        <v>138</v>
      </c>
      <c r="F7413" s="1">
        <v>43018</v>
      </c>
      <c r="G7413" s="1">
        <v>43020</v>
      </c>
      <c r="H7413">
        <v>509</v>
      </c>
      <c r="I7413" t="str">
        <f>IF(COUNTIF(Products!$A$2:$A$8,C7413)=0,C7413,"")</f>
        <v/>
      </c>
      <c r="J7413">
        <f>IF(OR(E7413="Prospecting",E7413="Engaging"),VLOOKUP(C7413,Products!$A$2:$C$8,3,FALSE),0)</f>
        <v>0</v>
      </c>
    </row>
    <row r="7414" spans="1:10" x14ac:dyDescent="0.25">
      <c r="A7414" t="s">
        <v>7581</v>
      </c>
      <c r="B7414" t="s">
        <v>191</v>
      </c>
      <c r="C7414" t="s">
        <v>120</v>
      </c>
      <c r="D7414" t="s">
        <v>71</v>
      </c>
      <c r="E7414" t="s">
        <v>138</v>
      </c>
      <c r="F7414" s="1">
        <v>43018</v>
      </c>
      <c r="G7414" s="1">
        <v>43030</v>
      </c>
      <c r="H7414">
        <v>528</v>
      </c>
      <c r="I7414" t="str">
        <f>IF(COUNTIF(Products!$A$2:$A$8,C7414)=0,C7414,"")</f>
        <v/>
      </c>
      <c r="J7414">
        <f>IF(OR(E7414="Prospecting",E7414="Engaging"),VLOOKUP(C7414,Products!$A$2:$C$8,3,FALSE),0)</f>
        <v>0</v>
      </c>
    </row>
    <row r="7415" spans="1:10" x14ac:dyDescent="0.25">
      <c r="A7415" t="s">
        <v>7582</v>
      </c>
      <c r="B7415" t="s">
        <v>191</v>
      </c>
      <c r="C7415" t="s">
        <v>120</v>
      </c>
      <c r="D7415" t="s">
        <v>100</v>
      </c>
      <c r="E7415" t="s">
        <v>138</v>
      </c>
      <c r="F7415" s="1">
        <v>43018</v>
      </c>
      <c r="G7415" s="1">
        <v>43022</v>
      </c>
      <c r="H7415">
        <v>549</v>
      </c>
      <c r="I7415" t="str">
        <f>IF(COUNTIF(Products!$A$2:$A$8,C7415)=0,C7415,"")</f>
        <v/>
      </c>
      <c r="J7415">
        <f>IF(OR(E7415="Prospecting",E7415="Engaging"),VLOOKUP(C7415,Products!$A$2:$C$8,3,FALSE),0)</f>
        <v>0</v>
      </c>
    </row>
    <row r="7416" spans="1:10" x14ac:dyDescent="0.25">
      <c r="A7416" t="s">
        <v>7583</v>
      </c>
      <c r="B7416" t="s">
        <v>217</v>
      </c>
      <c r="C7416" t="s">
        <v>120</v>
      </c>
      <c r="D7416" t="s">
        <v>89</v>
      </c>
      <c r="E7416" t="s">
        <v>159</v>
      </c>
      <c r="F7416" s="1">
        <v>43018</v>
      </c>
      <c r="G7416" s="1">
        <v>43094</v>
      </c>
      <c r="H7416">
        <v>0</v>
      </c>
      <c r="I7416" t="str">
        <f>IF(COUNTIF(Products!$A$2:$A$8,C7416)=0,C7416,"")</f>
        <v/>
      </c>
      <c r="J7416">
        <f>IF(OR(E7416="Prospecting",E7416="Engaging"),VLOOKUP(C7416,Products!$A$2:$C$8,3,FALSE),0)</f>
        <v>0</v>
      </c>
    </row>
    <row r="7417" spans="1:10" x14ac:dyDescent="0.25">
      <c r="A7417" t="s">
        <v>7584</v>
      </c>
      <c r="B7417" t="s">
        <v>217</v>
      </c>
      <c r="C7417" t="s">
        <v>123</v>
      </c>
      <c r="D7417" t="s">
        <v>55</v>
      </c>
      <c r="E7417" t="s">
        <v>159</v>
      </c>
      <c r="F7417" s="1">
        <v>43018</v>
      </c>
      <c r="G7417" s="1">
        <v>43027</v>
      </c>
      <c r="H7417">
        <v>0</v>
      </c>
      <c r="I7417" t="str">
        <f>IF(COUNTIF(Products!$A$2:$A$8,C7417)=0,C7417,"")</f>
        <v/>
      </c>
      <c r="J7417">
        <f>IF(OR(E7417="Prospecting",E7417="Engaging"),VLOOKUP(C7417,Products!$A$2:$C$8,3,FALSE),0)</f>
        <v>0</v>
      </c>
    </row>
    <row r="7418" spans="1:10" x14ac:dyDescent="0.25">
      <c r="A7418" t="s">
        <v>7585</v>
      </c>
      <c r="B7418" t="s">
        <v>205</v>
      </c>
      <c r="C7418" t="s">
        <v>120</v>
      </c>
      <c r="D7418" t="s">
        <v>91</v>
      </c>
      <c r="E7418" t="s">
        <v>159</v>
      </c>
      <c r="F7418" s="1">
        <v>43018</v>
      </c>
      <c r="G7418" s="1">
        <v>43027</v>
      </c>
      <c r="H7418">
        <v>0</v>
      </c>
      <c r="I7418" t="str">
        <f>IF(COUNTIF(Products!$A$2:$A$8,C7418)=0,C7418,"")</f>
        <v/>
      </c>
      <c r="J7418">
        <f>IF(OR(E7418="Prospecting",E7418="Engaging"),VLOOKUP(C7418,Products!$A$2:$C$8,3,FALSE),0)</f>
        <v>0</v>
      </c>
    </row>
    <row r="7419" spans="1:10" x14ac:dyDescent="0.25">
      <c r="A7419" t="s">
        <v>7586</v>
      </c>
      <c r="B7419" t="s">
        <v>205</v>
      </c>
      <c r="C7419" t="s">
        <v>125</v>
      </c>
      <c r="D7419" t="s">
        <v>53</v>
      </c>
      <c r="E7419" t="s">
        <v>138</v>
      </c>
      <c r="F7419" s="1">
        <v>43018</v>
      </c>
      <c r="G7419" s="1">
        <v>43025</v>
      </c>
      <c r="H7419">
        <v>3578</v>
      </c>
      <c r="I7419" t="str">
        <f>IF(COUNTIF(Products!$A$2:$A$8,C7419)=0,C7419,"")</f>
        <v/>
      </c>
      <c r="J7419">
        <f>IF(OR(E7419="Prospecting",E7419="Engaging"),VLOOKUP(C7419,Products!$A$2:$C$8,3,FALSE),0)</f>
        <v>0</v>
      </c>
    </row>
    <row r="7420" spans="1:10" x14ac:dyDescent="0.25">
      <c r="A7420" t="s">
        <v>7587</v>
      </c>
      <c r="B7420" t="s">
        <v>137</v>
      </c>
      <c r="C7420" t="s">
        <v>120</v>
      </c>
      <c r="D7420" t="s">
        <v>30</v>
      </c>
      <c r="E7420" t="s">
        <v>138</v>
      </c>
      <c r="F7420" s="1">
        <v>43018</v>
      </c>
      <c r="G7420" s="1">
        <v>43098</v>
      </c>
      <c r="H7420">
        <v>523</v>
      </c>
      <c r="I7420" t="str">
        <f>IF(COUNTIF(Products!$A$2:$A$8,C7420)=0,C7420,"")</f>
        <v/>
      </c>
      <c r="J7420">
        <f>IF(OR(E7420="Prospecting",E7420="Engaging"),VLOOKUP(C7420,Products!$A$2:$C$8,3,FALSE),0)</f>
        <v>0</v>
      </c>
    </row>
    <row r="7421" spans="1:10" x14ac:dyDescent="0.25">
      <c r="A7421" t="s">
        <v>7588</v>
      </c>
      <c r="B7421" t="s">
        <v>187</v>
      </c>
      <c r="C7421" t="s">
        <v>122</v>
      </c>
      <c r="D7421" t="s">
        <v>112</v>
      </c>
      <c r="E7421" t="s">
        <v>138</v>
      </c>
      <c r="F7421" s="1">
        <v>43018</v>
      </c>
      <c r="G7421" s="1">
        <v>43019</v>
      </c>
      <c r="H7421">
        <v>4575</v>
      </c>
      <c r="I7421" t="str">
        <f>IF(COUNTIF(Products!$A$2:$A$8,C7421)=0,C7421,"")</f>
        <v/>
      </c>
      <c r="J7421">
        <f>IF(OR(E7421="Prospecting",E7421="Engaging"),VLOOKUP(C7421,Products!$A$2:$C$8,3,FALSE),0)</f>
        <v>0</v>
      </c>
    </row>
    <row r="7422" spans="1:10" x14ac:dyDescent="0.25">
      <c r="A7422" t="s">
        <v>7589</v>
      </c>
      <c r="B7422" t="s">
        <v>148</v>
      </c>
      <c r="C7422" t="s">
        <v>122</v>
      </c>
      <c r="D7422" t="s">
        <v>83</v>
      </c>
      <c r="E7422" t="s">
        <v>138</v>
      </c>
      <c r="F7422" s="1">
        <v>43018</v>
      </c>
      <c r="G7422" s="1">
        <v>43020</v>
      </c>
      <c r="H7422">
        <v>4552</v>
      </c>
      <c r="I7422" t="str">
        <f>IF(COUNTIF(Products!$A$2:$A$8,C7422)=0,C7422,"")</f>
        <v/>
      </c>
      <c r="J7422">
        <f>IF(OR(E7422="Prospecting",E7422="Engaging"),VLOOKUP(C7422,Products!$A$2:$C$8,3,FALSE),0)</f>
        <v>0</v>
      </c>
    </row>
    <row r="7423" spans="1:10" x14ac:dyDescent="0.25">
      <c r="A7423" t="s">
        <v>7590</v>
      </c>
      <c r="B7423" t="s">
        <v>144</v>
      </c>
      <c r="C7423" t="s">
        <v>120</v>
      </c>
      <c r="D7423" t="s">
        <v>69</v>
      </c>
      <c r="E7423" t="s">
        <v>159</v>
      </c>
      <c r="F7423" s="1">
        <v>43018</v>
      </c>
      <c r="G7423" s="1">
        <v>43019</v>
      </c>
      <c r="H7423">
        <v>0</v>
      </c>
      <c r="I7423" t="str">
        <f>IF(COUNTIF(Products!$A$2:$A$8,C7423)=0,C7423,"")</f>
        <v/>
      </c>
      <c r="J7423">
        <f>IF(OR(E7423="Prospecting",E7423="Engaging"),VLOOKUP(C7423,Products!$A$2:$C$8,3,FALSE),0)</f>
        <v>0</v>
      </c>
    </row>
    <row r="7424" spans="1:10" x14ac:dyDescent="0.25">
      <c r="A7424" t="s">
        <v>7591</v>
      </c>
      <c r="B7424" t="s">
        <v>144</v>
      </c>
      <c r="C7424" t="s">
        <v>120</v>
      </c>
      <c r="D7424" t="s">
        <v>17</v>
      </c>
      <c r="E7424" t="s">
        <v>138</v>
      </c>
      <c r="F7424" s="1">
        <v>43018</v>
      </c>
      <c r="G7424" s="1">
        <v>43092</v>
      </c>
      <c r="H7424">
        <v>551</v>
      </c>
      <c r="I7424" t="str">
        <f>IF(COUNTIF(Products!$A$2:$A$8,C7424)=0,C7424,"")</f>
        <v/>
      </c>
      <c r="J7424">
        <f>IF(OR(E7424="Prospecting",E7424="Engaging"),VLOOKUP(C7424,Products!$A$2:$C$8,3,FALSE),0)</f>
        <v>0</v>
      </c>
    </row>
    <row r="7425" spans="1:10" x14ac:dyDescent="0.25">
      <c r="A7425" t="s">
        <v>7592</v>
      </c>
      <c r="B7425" t="s">
        <v>144</v>
      </c>
      <c r="C7425" t="s">
        <v>120</v>
      </c>
      <c r="D7425" t="s">
        <v>39</v>
      </c>
      <c r="E7425" t="s">
        <v>138</v>
      </c>
      <c r="F7425" s="1">
        <v>43018</v>
      </c>
      <c r="G7425" s="1">
        <v>43026</v>
      </c>
      <c r="H7425">
        <v>545</v>
      </c>
      <c r="I7425" t="str">
        <f>IF(COUNTIF(Products!$A$2:$A$8,C7425)=0,C7425,"")</f>
        <v/>
      </c>
      <c r="J7425">
        <f>IF(OR(E7425="Prospecting",E7425="Engaging"),VLOOKUP(C7425,Products!$A$2:$C$8,3,FALSE),0)</f>
        <v>0</v>
      </c>
    </row>
    <row r="7426" spans="1:10" x14ac:dyDescent="0.25">
      <c r="A7426" t="s">
        <v>7593</v>
      </c>
      <c r="B7426" t="s">
        <v>144</v>
      </c>
      <c r="C7426" t="s">
        <v>127</v>
      </c>
      <c r="D7426" t="s">
        <v>109</v>
      </c>
      <c r="E7426" t="s">
        <v>138</v>
      </c>
      <c r="F7426" s="1">
        <v>43018</v>
      </c>
      <c r="G7426" s="1">
        <v>43023</v>
      </c>
      <c r="H7426">
        <v>1134</v>
      </c>
      <c r="I7426" t="str">
        <f>IF(COUNTIF(Products!$A$2:$A$8,C7426)=0,C7426,"")</f>
        <v/>
      </c>
      <c r="J7426">
        <f>IF(OR(E7426="Prospecting",E7426="Engaging"),VLOOKUP(C7426,Products!$A$2:$C$8,3,FALSE),0)</f>
        <v>0</v>
      </c>
    </row>
    <row r="7427" spans="1:10" x14ac:dyDescent="0.25">
      <c r="A7427" t="s">
        <v>7594</v>
      </c>
      <c r="B7427" t="s">
        <v>146</v>
      </c>
      <c r="C7427" t="s">
        <v>125</v>
      </c>
      <c r="D7427" t="s">
        <v>95</v>
      </c>
      <c r="E7427" t="s">
        <v>159</v>
      </c>
      <c r="F7427" s="1">
        <v>43019</v>
      </c>
      <c r="G7427" s="1">
        <v>43021</v>
      </c>
      <c r="H7427">
        <v>0</v>
      </c>
      <c r="I7427" t="str">
        <f>IF(COUNTIF(Products!$A$2:$A$8,C7427)=0,C7427,"")</f>
        <v/>
      </c>
      <c r="J7427">
        <f>IF(OR(E7427="Prospecting",E7427="Engaging"),VLOOKUP(C7427,Products!$A$2:$C$8,3,FALSE),0)</f>
        <v>0</v>
      </c>
    </row>
    <row r="7428" spans="1:10" x14ac:dyDescent="0.25">
      <c r="A7428" t="s">
        <v>7595</v>
      </c>
      <c r="B7428" t="s">
        <v>146</v>
      </c>
      <c r="C7428" t="s">
        <v>125</v>
      </c>
      <c r="D7428" t="s">
        <v>91</v>
      </c>
      <c r="E7428" t="s">
        <v>138</v>
      </c>
      <c r="F7428" s="1">
        <v>43019</v>
      </c>
      <c r="G7428" s="1">
        <v>43024</v>
      </c>
      <c r="H7428">
        <v>3434</v>
      </c>
      <c r="I7428" t="str">
        <f>IF(COUNTIF(Products!$A$2:$A$8,C7428)=0,C7428,"")</f>
        <v/>
      </c>
      <c r="J7428">
        <f>IF(OR(E7428="Prospecting",E7428="Engaging"),VLOOKUP(C7428,Products!$A$2:$C$8,3,FALSE),0)</f>
        <v>0</v>
      </c>
    </row>
    <row r="7429" spans="1:10" x14ac:dyDescent="0.25">
      <c r="A7429" t="s">
        <v>7596</v>
      </c>
      <c r="B7429" t="s">
        <v>222</v>
      </c>
      <c r="C7429" t="s">
        <v>120</v>
      </c>
      <c r="D7429" t="s">
        <v>27</v>
      </c>
      <c r="E7429" t="s">
        <v>138</v>
      </c>
      <c r="F7429" s="1">
        <v>43019</v>
      </c>
      <c r="G7429" s="1">
        <v>43096</v>
      </c>
      <c r="H7429">
        <v>505</v>
      </c>
      <c r="I7429" t="str">
        <f>IF(COUNTIF(Products!$A$2:$A$8,C7429)=0,C7429,"")</f>
        <v/>
      </c>
      <c r="J7429">
        <f>IF(OR(E7429="Prospecting",E7429="Engaging"),VLOOKUP(C7429,Products!$A$2:$C$8,3,FALSE),0)</f>
        <v>0</v>
      </c>
    </row>
    <row r="7430" spans="1:10" x14ac:dyDescent="0.25">
      <c r="A7430" t="s">
        <v>7597</v>
      </c>
      <c r="B7430" t="s">
        <v>222</v>
      </c>
      <c r="C7430" t="s">
        <v>127</v>
      </c>
      <c r="D7430" t="s">
        <v>48</v>
      </c>
      <c r="E7430" t="s">
        <v>138</v>
      </c>
      <c r="F7430" s="1">
        <v>43019</v>
      </c>
      <c r="G7430" s="1">
        <v>43029</v>
      </c>
      <c r="H7430">
        <v>1066</v>
      </c>
      <c r="I7430" t="str">
        <f>IF(COUNTIF(Products!$A$2:$A$8,C7430)=0,C7430,"")</f>
        <v/>
      </c>
      <c r="J7430">
        <f>IF(OR(E7430="Prospecting",E7430="Engaging"),VLOOKUP(C7430,Products!$A$2:$C$8,3,FALSE),0)</f>
        <v>0</v>
      </c>
    </row>
    <row r="7431" spans="1:10" x14ac:dyDescent="0.25">
      <c r="A7431" t="s">
        <v>7598</v>
      </c>
      <c r="B7431" t="s">
        <v>207</v>
      </c>
      <c r="C7431" t="s">
        <v>120</v>
      </c>
      <c r="D7431" t="s">
        <v>111</v>
      </c>
      <c r="E7431" t="s">
        <v>138</v>
      </c>
      <c r="F7431" s="1">
        <v>43019</v>
      </c>
      <c r="G7431" s="1">
        <v>43051</v>
      </c>
      <c r="H7431">
        <v>580</v>
      </c>
      <c r="I7431" t="str">
        <f>IF(COUNTIF(Products!$A$2:$A$8,C7431)=0,C7431,"")</f>
        <v/>
      </c>
      <c r="J7431">
        <f>IF(OR(E7431="Prospecting",E7431="Engaging"),VLOOKUP(C7431,Products!$A$2:$C$8,3,FALSE),0)</f>
        <v>0</v>
      </c>
    </row>
    <row r="7432" spans="1:10" x14ac:dyDescent="0.25">
      <c r="A7432" t="s">
        <v>7599</v>
      </c>
      <c r="B7432" t="s">
        <v>239</v>
      </c>
      <c r="C7432" t="s">
        <v>122</v>
      </c>
      <c r="D7432" t="s">
        <v>63</v>
      </c>
      <c r="E7432" t="s">
        <v>138</v>
      </c>
      <c r="F7432" s="1">
        <v>43019</v>
      </c>
      <c r="G7432" s="1">
        <v>43089</v>
      </c>
      <c r="H7432">
        <v>4501</v>
      </c>
      <c r="I7432" t="str">
        <f>IF(COUNTIF(Products!$A$2:$A$8,C7432)=0,C7432,"")</f>
        <v/>
      </c>
      <c r="J7432">
        <f>IF(OR(E7432="Prospecting",E7432="Engaging"),VLOOKUP(C7432,Products!$A$2:$C$8,3,FALSE),0)</f>
        <v>0</v>
      </c>
    </row>
    <row r="7433" spans="1:10" x14ac:dyDescent="0.25">
      <c r="A7433" t="s">
        <v>7600</v>
      </c>
      <c r="B7433" t="s">
        <v>140</v>
      </c>
      <c r="C7433" t="s">
        <v>127</v>
      </c>
      <c r="D7433" t="s">
        <v>53</v>
      </c>
      <c r="E7433" t="s">
        <v>159</v>
      </c>
      <c r="F7433" s="1">
        <v>43019</v>
      </c>
      <c r="G7433" s="1">
        <v>43027</v>
      </c>
      <c r="H7433">
        <v>0</v>
      </c>
      <c r="I7433" t="str">
        <f>IF(COUNTIF(Products!$A$2:$A$8,C7433)=0,C7433,"")</f>
        <v/>
      </c>
      <c r="J7433">
        <f>IF(OR(E7433="Prospecting",E7433="Engaging"),VLOOKUP(C7433,Products!$A$2:$C$8,3,FALSE),0)</f>
        <v>0</v>
      </c>
    </row>
    <row r="7434" spans="1:10" x14ac:dyDescent="0.25">
      <c r="A7434" t="s">
        <v>7601</v>
      </c>
      <c r="B7434" t="s">
        <v>140</v>
      </c>
      <c r="C7434" t="s">
        <v>126</v>
      </c>
      <c r="D7434" t="s">
        <v>89</v>
      </c>
      <c r="E7434" t="s">
        <v>159</v>
      </c>
      <c r="F7434" s="1">
        <v>43019</v>
      </c>
      <c r="G7434" s="1">
        <v>43021</v>
      </c>
      <c r="H7434">
        <v>0</v>
      </c>
      <c r="I7434" t="str">
        <f>IF(COUNTIF(Products!$A$2:$A$8,C7434)=0,C7434,"")</f>
        <v/>
      </c>
      <c r="J7434">
        <f>IF(OR(E7434="Prospecting",E7434="Engaging"),VLOOKUP(C7434,Products!$A$2:$C$8,3,FALSE),0)</f>
        <v>0</v>
      </c>
    </row>
    <row r="7435" spans="1:10" x14ac:dyDescent="0.25">
      <c r="A7435" t="s">
        <v>7602</v>
      </c>
      <c r="B7435" t="s">
        <v>140</v>
      </c>
      <c r="C7435" t="s">
        <v>126</v>
      </c>
      <c r="D7435" t="s">
        <v>104</v>
      </c>
      <c r="E7435" t="s">
        <v>138</v>
      </c>
      <c r="F7435" s="1">
        <v>43019</v>
      </c>
      <c r="G7435" s="1">
        <v>43042</v>
      </c>
      <c r="H7435">
        <v>6182</v>
      </c>
      <c r="I7435" t="str">
        <f>IF(COUNTIF(Products!$A$2:$A$8,C7435)=0,C7435,"")</f>
        <v/>
      </c>
      <c r="J7435">
        <f>IF(OR(E7435="Prospecting",E7435="Engaging"),VLOOKUP(C7435,Products!$A$2:$C$8,3,FALSE),0)</f>
        <v>0</v>
      </c>
    </row>
    <row r="7436" spans="1:10" x14ac:dyDescent="0.25">
      <c r="A7436" t="s">
        <v>7603</v>
      </c>
      <c r="B7436" t="s">
        <v>224</v>
      </c>
      <c r="C7436" t="s">
        <v>122</v>
      </c>
      <c r="D7436" t="s">
        <v>20</v>
      </c>
      <c r="E7436" t="s">
        <v>138</v>
      </c>
      <c r="F7436" s="1">
        <v>43019</v>
      </c>
      <c r="G7436" s="1">
        <v>43020</v>
      </c>
      <c r="H7436">
        <v>4763</v>
      </c>
      <c r="I7436" t="str">
        <f>IF(COUNTIF(Products!$A$2:$A$8,C7436)=0,C7436,"")</f>
        <v/>
      </c>
      <c r="J7436">
        <f>IF(OR(E7436="Prospecting",E7436="Engaging"),VLOOKUP(C7436,Products!$A$2:$C$8,3,FALSE),0)</f>
        <v>0</v>
      </c>
    </row>
    <row r="7437" spans="1:10" x14ac:dyDescent="0.25">
      <c r="A7437" t="s">
        <v>7604</v>
      </c>
      <c r="B7437" t="s">
        <v>224</v>
      </c>
      <c r="C7437" t="s">
        <v>125</v>
      </c>
      <c r="D7437" t="s">
        <v>50</v>
      </c>
      <c r="E7437" t="s">
        <v>138</v>
      </c>
      <c r="F7437" s="1">
        <v>43019</v>
      </c>
      <c r="G7437" s="1">
        <v>43028</v>
      </c>
      <c r="H7437">
        <v>3024</v>
      </c>
      <c r="I7437" t="str">
        <f>IF(COUNTIF(Products!$A$2:$A$8,C7437)=0,C7437,"")</f>
        <v/>
      </c>
      <c r="J7437">
        <f>IF(OR(E7437="Prospecting",E7437="Engaging"),VLOOKUP(C7437,Products!$A$2:$C$8,3,FALSE),0)</f>
        <v>0</v>
      </c>
    </row>
    <row r="7438" spans="1:10" x14ac:dyDescent="0.25">
      <c r="A7438" t="s">
        <v>7605</v>
      </c>
      <c r="B7438" t="s">
        <v>198</v>
      </c>
      <c r="C7438" t="s">
        <v>123</v>
      </c>
      <c r="D7438" t="s">
        <v>48</v>
      </c>
      <c r="E7438" t="s">
        <v>159</v>
      </c>
      <c r="F7438" s="1">
        <v>43019</v>
      </c>
      <c r="G7438" s="1">
        <v>43020</v>
      </c>
      <c r="H7438">
        <v>0</v>
      </c>
      <c r="I7438" t="str">
        <f>IF(COUNTIF(Products!$A$2:$A$8,C7438)=0,C7438,"")</f>
        <v/>
      </c>
      <c r="J7438">
        <f>IF(OR(E7438="Prospecting",E7438="Engaging"),VLOOKUP(C7438,Products!$A$2:$C$8,3,FALSE),0)</f>
        <v>0</v>
      </c>
    </row>
    <row r="7439" spans="1:10" x14ac:dyDescent="0.25">
      <c r="A7439" t="s">
        <v>7606</v>
      </c>
      <c r="B7439" t="s">
        <v>154</v>
      </c>
      <c r="C7439" t="s">
        <v>120</v>
      </c>
      <c r="D7439" t="s">
        <v>57</v>
      </c>
      <c r="E7439" t="s">
        <v>159</v>
      </c>
      <c r="F7439" s="1">
        <v>43019</v>
      </c>
      <c r="G7439" s="1">
        <v>43021</v>
      </c>
      <c r="H7439">
        <v>0</v>
      </c>
      <c r="I7439" t="str">
        <f>IF(COUNTIF(Products!$A$2:$A$8,C7439)=0,C7439,"")</f>
        <v/>
      </c>
      <c r="J7439">
        <f>IF(OR(E7439="Prospecting",E7439="Engaging"),VLOOKUP(C7439,Products!$A$2:$C$8,3,FALSE),0)</f>
        <v>0</v>
      </c>
    </row>
    <row r="7440" spans="1:10" x14ac:dyDescent="0.25">
      <c r="A7440" t="s">
        <v>7607</v>
      </c>
      <c r="B7440" t="s">
        <v>154</v>
      </c>
      <c r="C7440" t="s">
        <v>126</v>
      </c>
      <c r="D7440" t="s">
        <v>56</v>
      </c>
      <c r="E7440" t="s">
        <v>138</v>
      </c>
      <c r="F7440" s="1">
        <v>43019</v>
      </c>
      <c r="G7440" s="1">
        <v>43027</v>
      </c>
      <c r="H7440">
        <v>6751</v>
      </c>
      <c r="I7440" t="str">
        <f>IF(COUNTIF(Products!$A$2:$A$8,C7440)=0,C7440,"")</f>
        <v/>
      </c>
      <c r="J7440">
        <f>IF(OR(E7440="Prospecting",E7440="Engaging"),VLOOKUP(C7440,Products!$A$2:$C$8,3,FALSE),0)</f>
        <v>0</v>
      </c>
    </row>
    <row r="7441" spans="1:10" x14ac:dyDescent="0.25">
      <c r="A7441" t="s">
        <v>7608</v>
      </c>
      <c r="B7441" t="s">
        <v>154</v>
      </c>
      <c r="C7441" t="s">
        <v>123</v>
      </c>
      <c r="D7441" t="s">
        <v>56</v>
      </c>
      <c r="E7441" t="s">
        <v>138</v>
      </c>
      <c r="F7441" s="1">
        <v>43019</v>
      </c>
      <c r="G7441" s="1">
        <v>43026</v>
      </c>
      <c r="H7441">
        <v>54</v>
      </c>
      <c r="I7441" t="str">
        <f>IF(COUNTIF(Products!$A$2:$A$8,C7441)=0,C7441,"")</f>
        <v/>
      </c>
      <c r="J7441">
        <f>IF(OR(E7441="Prospecting",E7441="Engaging"),VLOOKUP(C7441,Products!$A$2:$C$8,3,FALSE),0)</f>
        <v>0</v>
      </c>
    </row>
    <row r="7442" spans="1:10" x14ac:dyDescent="0.25">
      <c r="A7442" t="s">
        <v>7609</v>
      </c>
      <c r="B7442" t="s">
        <v>303</v>
      </c>
      <c r="C7442" t="s">
        <v>120</v>
      </c>
      <c r="D7442" t="s">
        <v>94</v>
      </c>
      <c r="E7442" t="s">
        <v>138</v>
      </c>
      <c r="F7442" s="1">
        <v>43019</v>
      </c>
      <c r="G7442" s="1">
        <v>43094</v>
      </c>
      <c r="H7442">
        <v>592</v>
      </c>
      <c r="I7442" t="str">
        <f>IF(COUNTIF(Products!$A$2:$A$8,C7442)=0,C7442,"")</f>
        <v/>
      </c>
      <c r="J7442">
        <f>IF(OR(E7442="Prospecting",E7442="Engaging"),VLOOKUP(C7442,Products!$A$2:$C$8,3,FALSE),0)</f>
        <v>0</v>
      </c>
    </row>
    <row r="7443" spans="1:10" x14ac:dyDescent="0.25">
      <c r="A7443" t="s">
        <v>7610</v>
      </c>
      <c r="B7443" t="s">
        <v>303</v>
      </c>
      <c r="C7443" t="s">
        <v>127</v>
      </c>
      <c r="D7443" t="s">
        <v>22</v>
      </c>
      <c r="E7443" t="s">
        <v>138</v>
      </c>
      <c r="F7443" s="1">
        <v>43019</v>
      </c>
      <c r="G7443" s="1">
        <v>43030</v>
      </c>
      <c r="H7443">
        <v>969</v>
      </c>
      <c r="I7443" t="str">
        <f>IF(COUNTIF(Products!$A$2:$A$8,C7443)=0,C7443,"")</f>
        <v/>
      </c>
      <c r="J7443">
        <f>IF(OR(E7443="Prospecting",E7443="Engaging"),VLOOKUP(C7443,Products!$A$2:$C$8,3,FALSE),0)</f>
        <v>0</v>
      </c>
    </row>
    <row r="7444" spans="1:10" x14ac:dyDescent="0.25">
      <c r="A7444" t="s">
        <v>7611</v>
      </c>
      <c r="B7444" t="s">
        <v>180</v>
      </c>
      <c r="C7444" t="s">
        <v>123</v>
      </c>
      <c r="D7444" t="s">
        <v>29</v>
      </c>
      <c r="E7444" t="s">
        <v>138</v>
      </c>
      <c r="F7444" s="1">
        <v>43019</v>
      </c>
      <c r="G7444" s="1">
        <v>43020</v>
      </c>
      <c r="H7444">
        <v>48</v>
      </c>
      <c r="I7444" t="str">
        <f>IF(COUNTIF(Products!$A$2:$A$8,C7444)=0,C7444,"")</f>
        <v/>
      </c>
      <c r="J7444">
        <f>IF(OR(E7444="Prospecting",E7444="Engaging"),VLOOKUP(C7444,Products!$A$2:$C$8,3,FALSE),0)</f>
        <v>0</v>
      </c>
    </row>
    <row r="7445" spans="1:10" x14ac:dyDescent="0.25">
      <c r="A7445" t="s">
        <v>7612</v>
      </c>
      <c r="B7445" t="s">
        <v>191</v>
      </c>
      <c r="C7445" t="s">
        <v>120</v>
      </c>
      <c r="D7445" t="s">
        <v>69</v>
      </c>
      <c r="E7445" t="s">
        <v>159</v>
      </c>
      <c r="F7445" s="1">
        <v>43019</v>
      </c>
      <c r="G7445" s="1">
        <v>43021</v>
      </c>
      <c r="H7445">
        <v>0</v>
      </c>
      <c r="I7445" t="str">
        <f>IF(COUNTIF(Products!$A$2:$A$8,C7445)=0,C7445,"")</f>
        <v/>
      </c>
      <c r="J7445">
        <f>IF(OR(E7445="Prospecting",E7445="Engaging"),VLOOKUP(C7445,Products!$A$2:$C$8,3,FALSE),0)</f>
        <v>0</v>
      </c>
    </row>
    <row r="7446" spans="1:10" x14ac:dyDescent="0.25">
      <c r="A7446" t="s">
        <v>7613</v>
      </c>
      <c r="B7446" t="s">
        <v>191</v>
      </c>
      <c r="C7446" t="s">
        <v>127</v>
      </c>
      <c r="D7446" t="s">
        <v>71</v>
      </c>
      <c r="E7446" t="s">
        <v>159</v>
      </c>
      <c r="F7446" s="1">
        <v>43019</v>
      </c>
      <c r="G7446" s="1">
        <v>43092</v>
      </c>
      <c r="H7446">
        <v>0</v>
      </c>
      <c r="I7446" t="str">
        <f>IF(COUNTIF(Products!$A$2:$A$8,C7446)=0,C7446,"")</f>
        <v/>
      </c>
      <c r="J7446">
        <f>IF(OR(E7446="Prospecting",E7446="Engaging"),VLOOKUP(C7446,Products!$A$2:$C$8,3,FALSE),0)</f>
        <v>0</v>
      </c>
    </row>
    <row r="7447" spans="1:10" x14ac:dyDescent="0.25">
      <c r="A7447" t="s">
        <v>7614</v>
      </c>
      <c r="B7447" t="s">
        <v>191</v>
      </c>
      <c r="C7447" t="s">
        <v>126</v>
      </c>
      <c r="D7447" t="s">
        <v>60</v>
      </c>
      <c r="E7447" t="s">
        <v>138</v>
      </c>
      <c r="F7447" s="1">
        <v>43019</v>
      </c>
      <c r="G7447" s="1">
        <v>43029</v>
      </c>
      <c r="H7447">
        <v>6555</v>
      </c>
      <c r="I7447" t="str">
        <f>IF(COUNTIF(Products!$A$2:$A$8,C7447)=0,C7447,"")</f>
        <v/>
      </c>
      <c r="J7447">
        <f>IF(OR(E7447="Prospecting",E7447="Engaging"),VLOOKUP(C7447,Products!$A$2:$C$8,3,FALSE),0)</f>
        <v>0</v>
      </c>
    </row>
    <row r="7448" spans="1:10" x14ac:dyDescent="0.25">
      <c r="A7448" t="s">
        <v>7615</v>
      </c>
      <c r="B7448" t="s">
        <v>217</v>
      </c>
      <c r="C7448" t="s">
        <v>125</v>
      </c>
      <c r="D7448" t="s">
        <v>104</v>
      </c>
      <c r="E7448" t="s">
        <v>159</v>
      </c>
      <c r="F7448" s="1">
        <v>43019</v>
      </c>
      <c r="G7448" s="1">
        <v>43027</v>
      </c>
      <c r="H7448">
        <v>0</v>
      </c>
      <c r="I7448" t="str">
        <f>IF(COUNTIF(Products!$A$2:$A$8,C7448)=0,C7448,"")</f>
        <v/>
      </c>
      <c r="J7448">
        <f>IF(OR(E7448="Prospecting",E7448="Engaging"),VLOOKUP(C7448,Products!$A$2:$C$8,3,FALSE),0)</f>
        <v>0</v>
      </c>
    </row>
    <row r="7449" spans="1:10" x14ac:dyDescent="0.25">
      <c r="A7449" t="s">
        <v>7616</v>
      </c>
      <c r="B7449" t="s">
        <v>150</v>
      </c>
      <c r="C7449" t="s">
        <v>123</v>
      </c>
      <c r="E7449" t="s">
        <v>155</v>
      </c>
      <c r="F7449" s="1">
        <v>43019</v>
      </c>
      <c r="I7449" t="str">
        <f>IF(COUNTIF(Products!$A$2:$A$8,C7449)=0,C7449,"")</f>
        <v/>
      </c>
      <c r="J7449">
        <f>IF(OR(E7449="Prospecting",E7449="Engaging"),VLOOKUP(C7449,Products!$A$2:$C$8,3,FALSE),0)</f>
        <v>55</v>
      </c>
    </row>
    <row r="7450" spans="1:10" x14ac:dyDescent="0.25">
      <c r="A7450" t="s">
        <v>7617</v>
      </c>
      <c r="B7450" t="s">
        <v>205</v>
      </c>
      <c r="C7450" t="s">
        <v>126</v>
      </c>
      <c r="D7450" t="s">
        <v>14</v>
      </c>
      <c r="E7450" t="s">
        <v>138</v>
      </c>
      <c r="F7450" s="1">
        <v>43019</v>
      </c>
      <c r="G7450" s="1">
        <v>43084</v>
      </c>
      <c r="H7450">
        <v>5271</v>
      </c>
      <c r="I7450" t="str">
        <f>IF(COUNTIF(Products!$A$2:$A$8,C7450)=0,C7450,"")</f>
        <v/>
      </c>
      <c r="J7450">
        <f>IF(OR(E7450="Prospecting",E7450="Engaging"),VLOOKUP(C7450,Products!$A$2:$C$8,3,FALSE),0)</f>
        <v>0</v>
      </c>
    </row>
    <row r="7451" spans="1:10" x14ac:dyDescent="0.25">
      <c r="A7451" t="s">
        <v>7618</v>
      </c>
      <c r="B7451" t="s">
        <v>166</v>
      </c>
      <c r="C7451" t="s">
        <v>125</v>
      </c>
      <c r="D7451" t="s">
        <v>114</v>
      </c>
      <c r="E7451" t="s">
        <v>155</v>
      </c>
      <c r="F7451" s="1">
        <v>43019</v>
      </c>
      <c r="I7451" t="str">
        <f>IF(COUNTIF(Products!$A$2:$A$8,C7451)=0,C7451,"")</f>
        <v/>
      </c>
      <c r="J7451">
        <f>IF(OR(E7451="Prospecting",E7451="Engaging"),VLOOKUP(C7451,Products!$A$2:$C$8,3,FALSE),0)</f>
        <v>3393</v>
      </c>
    </row>
    <row r="7452" spans="1:10" x14ac:dyDescent="0.25">
      <c r="A7452" t="s">
        <v>7619</v>
      </c>
      <c r="B7452" t="s">
        <v>187</v>
      </c>
      <c r="C7452" t="s">
        <v>123</v>
      </c>
      <c r="D7452" t="s">
        <v>67</v>
      </c>
      <c r="E7452" t="s">
        <v>159</v>
      </c>
      <c r="F7452" s="1">
        <v>43019</v>
      </c>
      <c r="G7452" s="1">
        <v>43061</v>
      </c>
      <c r="H7452">
        <v>0</v>
      </c>
      <c r="I7452" t="str">
        <f>IF(COUNTIF(Products!$A$2:$A$8,C7452)=0,C7452,"")</f>
        <v/>
      </c>
      <c r="J7452">
        <f>IF(OR(E7452="Prospecting",E7452="Engaging"),VLOOKUP(C7452,Products!$A$2:$C$8,3,FALSE),0)</f>
        <v>0</v>
      </c>
    </row>
    <row r="7453" spans="1:10" x14ac:dyDescent="0.25">
      <c r="A7453" t="s">
        <v>7620</v>
      </c>
      <c r="B7453" t="s">
        <v>187</v>
      </c>
      <c r="C7453" t="s">
        <v>120</v>
      </c>
      <c r="D7453" t="s">
        <v>110</v>
      </c>
      <c r="E7453" t="s">
        <v>138</v>
      </c>
      <c r="F7453" s="1">
        <v>43019</v>
      </c>
      <c r="G7453" s="1">
        <v>43079</v>
      </c>
      <c r="H7453">
        <v>472</v>
      </c>
      <c r="I7453" t="str">
        <f>IF(COUNTIF(Products!$A$2:$A$8,C7453)=0,C7453,"")</f>
        <v/>
      </c>
      <c r="J7453">
        <f>IF(OR(E7453="Prospecting",E7453="Engaging"),VLOOKUP(C7453,Products!$A$2:$C$8,3,FALSE),0)</f>
        <v>0</v>
      </c>
    </row>
    <row r="7454" spans="1:10" x14ac:dyDescent="0.25">
      <c r="A7454" t="s">
        <v>7621</v>
      </c>
      <c r="B7454" t="s">
        <v>169</v>
      </c>
      <c r="C7454" t="s">
        <v>126</v>
      </c>
      <c r="D7454" t="s">
        <v>22</v>
      </c>
      <c r="E7454" t="s">
        <v>138</v>
      </c>
      <c r="F7454" s="1">
        <v>43019</v>
      </c>
      <c r="G7454" s="1">
        <v>43068</v>
      </c>
      <c r="H7454">
        <v>5211</v>
      </c>
      <c r="I7454" t="str">
        <f>IF(COUNTIF(Products!$A$2:$A$8,C7454)=0,C7454,"")</f>
        <v/>
      </c>
      <c r="J7454">
        <f>IF(OR(E7454="Prospecting",E7454="Engaging"),VLOOKUP(C7454,Products!$A$2:$C$8,3,FALSE),0)</f>
        <v>0</v>
      </c>
    </row>
    <row r="7455" spans="1:10" x14ac:dyDescent="0.25">
      <c r="A7455" t="s">
        <v>7622</v>
      </c>
      <c r="B7455" t="s">
        <v>148</v>
      </c>
      <c r="C7455" t="s">
        <v>120</v>
      </c>
      <c r="D7455" t="s">
        <v>109</v>
      </c>
      <c r="E7455" t="s">
        <v>138</v>
      </c>
      <c r="F7455" s="1">
        <v>43019</v>
      </c>
      <c r="G7455" s="1">
        <v>43080</v>
      </c>
      <c r="H7455">
        <v>430</v>
      </c>
      <c r="I7455" t="str">
        <f>IF(COUNTIF(Products!$A$2:$A$8,C7455)=0,C7455,"")</f>
        <v/>
      </c>
      <c r="J7455">
        <f>IF(OR(E7455="Prospecting",E7455="Engaging"),VLOOKUP(C7455,Products!$A$2:$C$8,3,FALSE),0)</f>
        <v>0</v>
      </c>
    </row>
    <row r="7456" spans="1:10" x14ac:dyDescent="0.25">
      <c r="A7456" t="s">
        <v>7623</v>
      </c>
      <c r="B7456" t="s">
        <v>144</v>
      </c>
      <c r="C7456" t="s">
        <v>120</v>
      </c>
      <c r="D7456" t="s">
        <v>92</v>
      </c>
      <c r="E7456" t="s">
        <v>155</v>
      </c>
      <c r="F7456" s="1">
        <v>43019</v>
      </c>
      <c r="I7456" t="str">
        <f>IF(COUNTIF(Products!$A$2:$A$8,C7456)=0,C7456,"")</f>
        <v/>
      </c>
      <c r="J7456">
        <f>IF(OR(E7456="Prospecting",E7456="Engaging"),VLOOKUP(C7456,Products!$A$2:$C$8,3,FALSE),0)</f>
        <v>550</v>
      </c>
    </row>
    <row r="7457" spans="1:10" x14ac:dyDescent="0.25">
      <c r="A7457" t="s">
        <v>7624</v>
      </c>
      <c r="B7457" t="s">
        <v>144</v>
      </c>
      <c r="C7457" t="s">
        <v>120</v>
      </c>
      <c r="D7457" t="s">
        <v>38</v>
      </c>
      <c r="E7457" t="s">
        <v>159</v>
      </c>
      <c r="F7457" s="1">
        <v>43019</v>
      </c>
      <c r="G7457" s="1">
        <v>43028</v>
      </c>
      <c r="H7457">
        <v>0</v>
      </c>
      <c r="I7457" t="str">
        <f>IF(COUNTIF(Products!$A$2:$A$8,C7457)=0,C7457,"")</f>
        <v/>
      </c>
      <c r="J7457">
        <f>IF(OR(E7457="Prospecting",E7457="Engaging"),VLOOKUP(C7457,Products!$A$2:$C$8,3,FALSE),0)</f>
        <v>0</v>
      </c>
    </row>
    <row r="7458" spans="1:10" x14ac:dyDescent="0.25">
      <c r="A7458" t="s">
        <v>7625</v>
      </c>
      <c r="B7458" t="s">
        <v>144</v>
      </c>
      <c r="C7458" t="s">
        <v>122</v>
      </c>
      <c r="D7458" t="s">
        <v>93</v>
      </c>
      <c r="E7458" t="s">
        <v>138</v>
      </c>
      <c r="F7458" s="1">
        <v>43019</v>
      </c>
      <c r="G7458" s="1">
        <v>43091</v>
      </c>
      <c r="H7458">
        <v>4545</v>
      </c>
      <c r="I7458" t="str">
        <f>IF(COUNTIF(Products!$A$2:$A$8,C7458)=0,C7458,"")</f>
        <v/>
      </c>
      <c r="J7458">
        <f>IF(OR(E7458="Prospecting",E7458="Engaging"),VLOOKUP(C7458,Products!$A$2:$C$8,3,FALSE),0)</f>
        <v>0</v>
      </c>
    </row>
    <row r="7459" spans="1:10" x14ac:dyDescent="0.25">
      <c r="A7459" t="s">
        <v>7626</v>
      </c>
      <c r="B7459" t="s">
        <v>222</v>
      </c>
      <c r="C7459" t="s">
        <v>127</v>
      </c>
      <c r="D7459" t="s">
        <v>105</v>
      </c>
      <c r="E7459" t="s">
        <v>159</v>
      </c>
      <c r="F7459" s="1">
        <v>43020</v>
      </c>
      <c r="G7459" s="1">
        <v>43027</v>
      </c>
      <c r="H7459">
        <v>0</v>
      </c>
      <c r="I7459" t="str">
        <f>IF(COUNTIF(Products!$A$2:$A$8,C7459)=0,C7459,"")</f>
        <v/>
      </c>
      <c r="J7459">
        <f>IF(OR(E7459="Prospecting",E7459="Engaging"),VLOOKUP(C7459,Products!$A$2:$C$8,3,FALSE),0)</f>
        <v>0</v>
      </c>
    </row>
    <row r="7460" spans="1:10" x14ac:dyDescent="0.25">
      <c r="A7460" t="s">
        <v>7627</v>
      </c>
      <c r="B7460" t="s">
        <v>239</v>
      </c>
      <c r="C7460" t="s">
        <v>127</v>
      </c>
      <c r="E7460" t="s">
        <v>155</v>
      </c>
      <c r="F7460" s="1">
        <v>43020</v>
      </c>
      <c r="I7460" t="str">
        <f>IF(COUNTIF(Products!$A$2:$A$8,C7460)=0,C7460,"")</f>
        <v/>
      </c>
      <c r="J7460">
        <f>IF(OR(E7460="Prospecting",E7460="Engaging"),VLOOKUP(C7460,Products!$A$2:$C$8,3,FALSE),0)</f>
        <v>1096</v>
      </c>
    </row>
    <row r="7461" spans="1:10" x14ac:dyDescent="0.25">
      <c r="A7461" t="s">
        <v>7628</v>
      </c>
      <c r="B7461" t="s">
        <v>140</v>
      </c>
      <c r="C7461" t="s">
        <v>123</v>
      </c>
      <c r="D7461" t="s">
        <v>116</v>
      </c>
      <c r="E7461" t="s">
        <v>159</v>
      </c>
      <c r="F7461" s="1">
        <v>43020</v>
      </c>
      <c r="G7461" s="1">
        <v>43025</v>
      </c>
      <c r="H7461">
        <v>0</v>
      </c>
      <c r="I7461" t="str">
        <f>IF(COUNTIF(Products!$A$2:$A$8,C7461)=0,C7461,"")</f>
        <v/>
      </c>
      <c r="J7461">
        <f>IF(OR(E7461="Prospecting",E7461="Engaging"),VLOOKUP(C7461,Products!$A$2:$C$8,3,FALSE),0)</f>
        <v>0</v>
      </c>
    </row>
    <row r="7462" spans="1:10" x14ac:dyDescent="0.25">
      <c r="A7462" t="s">
        <v>7629</v>
      </c>
      <c r="B7462" t="s">
        <v>303</v>
      </c>
      <c r="C7462" t="s">
        <v>125</v>
      </c>
      <c r="D7462" t="s">
        <v>88</v>
      </c>
      <c r="E7462" t="s">
        <v>159</v>
      </c>
      <c r="F7462" s="1">
        <v>43020</v>
      </c>
      <c r="G7462" s="1">
        <v>43021</v>
      </c>
      <c r="H7462">
        <v>0</v>
      </c>
      <c r="I7462" t="str">
        <f>IF(COUNTIF(Products!$A$2:$A$8,C7462)=0,C7462,"")</f>
        <v/>
      </c>
      <c r="J7462">
        <f>IF(OR(E7462="Prospecting",E7462="Engaging"),VLOOKUP(C7462,Products!$A$2:$C$8,3,FALSE),0)</f>
        <v>0</v>
      </c>
    </row>
    <row r="7463" spans="1:10" x14ac:dyDescent="0.25">
      <c r="A7463" t="s">
        <v>7630</v>
      </c>
      <c r="B7463" t="s">
        <v>303</v>
      </c>
      <c r="C7463" t="s">
        <v>120</v>
      </c>
      <c r="D7463" t="s">
        <v>91</v>
      </c>
      <c r="E7463" t="s">
        <v>138</v>
      </c>
      <c r="F7463" s="1">
        <v>43020</v>
      </c>
      <c r="G7463" s="1">
        <v>43029</v>
      </c>
      <c r="H7463">
        <v>528</v>
      </c>
      <c r="I7463" t="str">
        <f>IF(COUNTIF(Products!$A$2:$A$8,C7463)=0,C7463,"")</f>
        <v/>
      </c>
      <c r="J7463">
        <f>IF(OR(E7463="Prospecting",E7463="Engaging"),VLOOKUP(C7463,Products!$A$2:$C$8,3,FALSE),0)</f>
        <v>0</v>
      </c>
    </row>
    <row r="7464" spans="1:10" x14ac:dyDescent="0.25">
      <c r="A7464" t="s">
        <v>7631</v>
      </c>
      <c r="B7464" t="s">
        <v>303</v>
      </c>
      <c r="C7464" t="s">
        <v>122</v>
      </c>
      <c r="D7464" t="s">
        <v>28</v>
      </c>
      <c r="E7464" t="s">
        <v>138</v>
      </c>
      <c r="F7464" s="1">
        <v>43020</v>
      </c>
      <c r="G7464" s="1">
        <v>43097</v>
      </c>
      <c r="H7464">
        <v>5064</v>
      </c>
      <c r="I7464" t="str">
        <f>IF(COUNTIF(Products!$A$2:$A$8,C7464)=0,C7464,"")</f>
        <v/>
      </c>
      <c r="J7464">
        <f>IF(OR(E7464="Prospecting",E7464="Engaging"),VLOOKUP(C7464,Products!$A$2:$C$8,3,FALSE),0)</f>
        <v>0</v>
      </c>
    </row>
    <row r="7465" spans="1:10" x14ac:dyDescent="0.25">
      <c r="A7465" t="s">
        <v>7632</v>
      </c>
      <c r="B7465" t="s">
        <v>303</v>
      </c>
      <c r="C7465" t="s">
        <v>125</v>
      </c>
      <c r="D7465" t="s">
        <v>28</v>
      </c>
      <c r="E7465" t="s">
        <v>138</v>
      </c>
      <c r="F7465" s="1">
        <v>43020</v>
      </c>
      <c r="G7465" s="1">
        <v>43075</v>
      </c>
      <c r="H7465">
        <v>3203</v>
      </c>
      <c r="I7465" t="str">
        <f>IF(COUNTIF(Products!$A$2:$A$8,C7465)=0,C7465,"")</f>
        <v/>
      </c>
      <c r="J7465">
        <f>IF(OR(E7465="Prospecting",E7465="Engaging"),VLOOKUP(C7465,Products!$A$2:$C$8,3,FALSE),0)</f>
        <v>0</v>
      </c>
    </row>
    <row r="7466" spans="1:10" x14ac:dyDescent="0.25">
      <c r="A7466" t="s">
        <v>7633</v>
      </c>
      <c r="B7466" t="s">
        <v>180</v>
      </c>
      <c r="C7466" t="s">
        <v>120</v>
      </c>
      <c r="D7466" t="s">
        <v>90</v>
      </c>
      <c r="E7466" t="s">
        <v>138</v>
      </c>
      <c r="F7466" s="1">
        <v>43020</v>
      </c>
      <c r="G7466" s="1">
        <v>43041</v>
      </c>
      <c r="H7466">
        <v>549</v>
      </c>
      <c r="I7466" t="str">
        <f>IF(COUNTIF(Products!$A$2:$A$8,C7466)=0,C7466,"")</f>
        <v/>
      </c>
      <c r="J7466">
        <f>IF(OR(E7466="Prospecting",E7466="Engaging"),VLOOKUP(C7466,Products!$A$2:$C$8,3,FALSE),0)</f>
        <v>0</v>
      </c>
    </row>
    <row r="7467" spans="1:10" x14ac:dyDescent="0.25">
      <c r="A7467" t="s">
        <v>7634</v>
      </c>
      <c r="B7467" t="s">
        <v>191</v>
      </c>
      <c r="C7467" t="s">
        <v>120</v>
      </c>
      <c r="D7467" t="s">
        <v>29</v>
      </c>
      <c r="E7467" t="s">
        <v>138</v>
      </c>
      <c r="F7467" s="1">
        <v>43020</v>
      </c>
      <c r="G7467" s="1">
        <v>43031</v>
      </c>
      <c r="H7467">
        <v>594</v>
      </c>
      <c r="I7467" t="str">
        <f>IF(COUNTIF(Products!$A$2:$A$8,C7467)=0,C7467,"")</f>
        <v/>
      </c>
      <c r="J7467">
        <f>IF(OR(E7467="Prospecting",E7467="Engaging"),VLOOKUP(C7467,Products!$A$2:$C$8,3,FALSE),0)</f>
        <v>0</v>
      </c>
    </row>
    <row r="7468" spans="1:10" x14ac:dyDescent="0.25">
      <c r="A7468" t="s">
        <v>7635</v>
      </c>
      <c r="B7468" t="s">
        <v>217</v>
      </c>
      <c r="C7468" t="s">
        <v>120</v>
      </c>
      <c r="D7468" t="s">
        <v>53</v>
      </c>
      <c r="E7468" t="s">
        <v>159</v>
      </c>
      <c r="F7468" s="1">
        <v>43020</v>
      </c>
      <c r="G7468" s="1">
        <v>43029</v>
      </c>
      <c r="H7468">
        <v>0</v>
      </c>
      <c r="I7468" t="str">
        <f>IF(COUNTIF(Products!$A$2:$A$8,C7468)=0,C7468,"")</f>
        <v/>
      </c>
      <c r="J7468">
        <f>IF(OR(E7468="Prospecting",E7468="Engaging"),VLOOKUP(C7468,Products!$A$2:$C$8,3,FALSE),0)</f>
        <v>0</v>
      </c>
    </row>
    <row r="7469" spans="1:10" x14ac:dyDescent="0.25">
      <c r="A7469" t="s">
        <v>7636</v>
      </c>
      <c r="B7469" t="s">
        <v>217</v>
      </c>
      <c r="C7469" t="s">
        <v>120</v>
      </c>
      <c r="D7469" t="s">
        <v>53</v>
      </c>
      <c r="E7469" t="s">
        <v>159</v>
      </c>
      <c r="F7469" s="1">
        <v>43020</v>
      </c>
      <c r="G7469" s="1">
        <v>43030</v>
      </c>
      <c r="H7469">
        <v>0</v>
      </c>
      <c r="I7469" t="str">
        <f>IF(COUNTIF(Products!$A$2:$A$8,C7469)=0,C7469,"")</f>
        <v/>
      </c>
      <c r="J7469">
        <f>IF(OR(E7469="Prospecting",E7469="Engaging"),VLOOKUP(C7469,Products!$A$2:$C$8,3,FALSE),0)</f>
        <v>0</v>
      </c>
    </row>
    <row r="7470" spans="1:10" x14ac:dyDescent="0.25">
      <c r="A7470" t="s">
        <v>7637</v>
      </c>
      <c r="B7470" t="s">
        <v>150</v>
      </c>
      <c r="C7470" t="s">
        <v>120</v>
      </c>
      <c r="D7470" t="s">
        <v>71</v>
      </c>
      <c r="E7470" t="s">
        <v>138</v>
      </c>
      <c r="F7470" s="1">
        <v>43020</v>
      </c>
      <c r="G7470" s="1">
        <v>43040</v>
      </c>
      <c r="H7470">
        <v>529</v>
      </c>
      <c r="I7470" t="str">
        <f>IF(COUNTIF(Products!$A$2:$A$8,C7470)=0,C7470,"")</f>
        <v/>
      </c>
      <c r="J7470">
        <f>IF(OR(E7470="Prospecting",E7470="Engaging"),VLOOKUP(C7470,Products!$A$2:$C$8,3,FALSE),0)</f>
        <v>0</v>
      </c>
    </row>
    <row r="7471" spans="1:10" x14ac:dyDescent="0.25">
      <c r="A7471" t="s">
        <v>7638</v>
      </c>
      <c r="B7471" t="s">
        <v>162</v>
      </c>
      <c r="C7471" t="s">
        <v>122</v>
      </c>
      <c r="D7471" t="s">
        <v>38</v>
      </c>
      <c r="E7471" t="s">
        <v>138</v>
      </c>
      <c r="F7471" s="1">
        <v>43020</v>
      </c>
      <c r="G7471" s="1">
        <v>43025</v>
      </c>
      <c r="H7471">
        <v>4505</v>
      </c>
      <c r="I7471" t="str">
        <f>IF(COUNTIF(Products!$A$2:$A$8,C7471)=0,C7471,"")</f>
        <v/>
      </c>
      <c r="J7471">
        <f>IF(OR(E7471="Prospecting",E7471="Engaging"),VLOOKUP(C7471,Products!$A$2:$C$8,3,FALSE),0)</f>
        <v>0</v>
      </c>
    </row>
    <row r="7472" spans="1:10" x14ac:dyDescent="0.25">
      <c r="A7472" t="s">
        <v>7639</v>
      </c>
      <c r="B7472" t="s">
        <v>137</v>
      </c>
      <c r="C7472" t="s">
        <v>120</v>
      </c>
      <c r="D7472" t="s">
        <v>42</v>
      </c>
      <c r="E7472" t="s">
        <v>138</v>
      </c>
      <c r="F7472" s="1">
        <v>43020</v>
      </c>
      <c r="G7472" s="1">
        <v>43080</v>
      </c>
      <c r="H7472">
        <v>457</v>
      </c>
      <c r="I7472" t="str">
        <f>IF(COUNTIF(Products!$A$2:$A$8,C7472)=0,C7472,"")</f>
        <v/>
      </c>
      <c r="J7472">
        <f>IF(OR(E7472="Prospecting",E7472="Engaging"),VLOOKUP(C7472,Products!$A$2:$C$8,3,FALSE),0)</f>
        <v>0</v>
      </c>
    </row>
    <row r="7473" spans="1:10" x14ac:dyDescent="0.25">
      <c r="A7473" t="s">
        <v>7640</v>
      </c>
      <c r="B7473" t="s">
        <v>137</v>
      </c>
      <c r="C7473" t="s">
        <v>125</v>
      </c>
      <c r="D7473" t="s">
        <v>77</v>
      </c>
      <c r="E7473" t="s">
        <v>138</v>
      </c>
      <c r="F7473" s="1">
        <v>43020</v>
      </c>
      <c r="G7473" s="1">
        <v>43021</v>
      </c>
      <c r="H7473">
        <v>3090</v>
      </c>
      <c r="I7473" t="str">
        <f>IF(COUNTIF(Products!$A$2:$A$8,C7473)=0,C7473,"")</f>
        <v/>
      </c>
      <c r="J7473">
        <f>IF(OR(E7473="Prospecting",E7473="Engaging"),VLOOKUP(C7473,Products!$A$2:$C$8,3,FALSE),0)</f>
        <v>0</v>
      </c>
    </row>
    <row r="7474" spans="1:10" x14ac:dyDescent="0.25">
      <c r="A7474" t="s">
        <v>7641</v>
      </c>
      <c r="B7474" t="s">
        <v>193</v>
      </c>
      <c r="C7474" t="s">
        <v>123</v>
      </c>
      <c r="D7474" t="s">
        <v>112</v>
      </c>
      <c r="E7474" t="s">
        <v>138</v>
      </c>
      <c r="F7474" s="1">
        <v>43020</v>
      </c>
      <c r="G7474" s="1">
        <v>43022</v>
      </c>
      <c r="H7474">
        <v>53</v>
      </c>
      <c r="I7474" t="str">
        <f>IF(COUNTIF(Products!$A$2:$A$8,C7474)=0,C7474,"")</f>
        <v/>
      </c>
      <c r="J7474">
        <f>IF(OR(E7474="Prospecting",E7474="Engaging"),VLOOKUP(C7474,Products!$A$2:$C$8,3,FALSE),0)</f>
        <v>0</v>
      </c>
    </row>
    <row r="7475" spans="1:10" x14ac:dyDescent="0.25">
      <c r="A7475" t="s">
        <v>7642</v>
      </c>
      <c r="B7475" t="s">
        <v>177</v>
      </c>
      <c r="C7475" t="s">
        <v>127</v>
      </c>
      <c r="D7475" t="s">
        <v>50</v>
      </c>
      <c r="E7475" t="s">
        <v>138</v>
      </c>
      <c r="F7475" s="1">
        <v>43020</v>
      </c>
      <c r="G7475" s="1">
        <v>43025</v>
      </c>
      <c r="H7475">
        <v>1004</v>
      </c>
      <c r="I7475" t="str">
        <f>IF(COUNTIF(Products!$A$2:$A$8,C7475)=0,C7475,"")</f>
        <v/>
      </c>
      <c r="J7475">
        <f>IF(OR(E7475="Prospecting",E7475="Engaging"),VLOOKUP(C7475,Products!$A$2:$C$8,3,FALSE),0)</f>
        <v>0</v>
      </c>
    </row>
    <row r="7476" spans="1:10" x14ac:dyDescent="0.25">
      <c r="A7476" t="s">
        <v>7643</v>
      </c>
      <c r="B7476" t="s">
        <v>144</v>
      </c>
      <c r="C7476" t="s">
        <v>125</v>
      </c>
      <c r="D7476" t="s">
        <v>61</v>
      </c>
      <c r="E7476" t="s">
        <v>159</v>
      </c>
      <c r="F7476" s="1">
        <v>43020</v>
      </c>
      <c r="G7476" s="1">
        <v>43027</v>
      </c>
      <c r="H7476">
        <v>0</v>
      </c>
      <c r="I7476" t="str">
        <f>IF(COUNTIF(Products!$A$2:$A$8,C7476)=0,C7476,"")</f>
        <v/>
      </c>
      <c r="J7476">
        <f>IF(OR(E7476="Prospecting",E7476="Engaging"),VLOOKUP(C7476,Products!$A$2:$C$8,3,FALSE),0)</f>
        <v>0</v>
      </c>
    </row>
    <row r="7477" spans="1:10" x14ac:dyDescent="0.25">
      <c r="A7477" t="s">
        <v>7644</v>
      </c>
      <c r="B7477" t="s">
        <v>144</v>
      </c>
      <c r="C7477" t="s">
        <v>120</v>
      </c>
      <c r="D7477" t="s">
        <v>66</v>
      </c>
      <c r="E7477" t="s">
        <v>138</v>
      </c>
      <c r="F7477" s="1">
        <v>43020</v>
      </c>
      <c r="G7477" s="1">
        <v>43029</v>
      </c>
      <c r="H7477">
        <v>696</v>
      </c>
      <c r="I7477" t="str">
        <f>IF(COUNTIF(Products!$A$2:$A$8,C7477)=0,C7477,"")</f>
        <v/>
      </c>
      <c r="J7477">
        <f>IF(OR(E7477="Prospecting",E7477="Engaging"),VLOOKUP(C7477,Products!$A$2:$C$8,3,FALSE),0)</f>
        <v>0</v>
      </c>
    </row>
    <row r="7478" spans="1:10" x14ac:dyDescent="0.25">
      <c r="A7478" t="s">
        <v>7645</v>
      </c>
      <c r="B7478" t="s">
        <v>146</v>
      </c>
      <c r="C7478" t="s">
        <v>123</v>
      </c>
      <c r="D7478" t="s">
        <v>104</v>
      </c>
      <c r="E7478" t="s">
        <v>159</v>
      </c>
      <c r="F7478" s="1">
        <v>43021</v>
      </c>
      <c r="G7478" s="1">
        <v>43030</v>
      </c>
      <c r="H7478">
        <v>0</v>
      </c>
      <c r="I7478" t="str">
        <f>IF(COUNTIF(Products!$A$2:$A$8,C7478)=0,C7478,"")</f>
        <v/>
      </c>
      <c r="J7478">
        <f>IF(OR(E7478="Prospecting",E7478="Engaging"),VLOOKUP(C7478,Products!$A$2:$C$8,3,FALSE),0)</f>
        <v>0</v>
      </c>
    </row>
    <row r="7479" spans="1:10" x14ac:dyDescent="0.25">
      <c r="A7479" t="s">
        <v>7646</v>
      </c>
      <c r="B7479" t="s">
        <v>207</v>
      </c>
      <c r="C7479" t="s">
        <v>127</v>
      </c>
      <c r="D7479" t="s">
        <v>81</v>
      </c>
      <c r="E7479" t="s">
        <v>138</v>
      </c>
      <c r="F7479" s="1">
        <v>43021</v>
      </c>
      <c r="G7479" s="1">
        <v>43031</v>
      </c>
      <c r="H7479">
        <v>888</v>
      </c>
      <c r="I7479" t="str">
        <f>IF(COUNTIF(Products!$A$2:$A$8,C7479)=0,C7479,"")</f>
        <v/>
      </c>
      <c r="J7479">
        <f>IF(OR(E7479="Prospecting",E7479="Engaging"),VLOOKUP(C7479,Products!$A$2:$C$8,3,FALSE),0)</f>
        <v>0</v>
      </c>
    </row>
    <row r="7480" spans="1:10" x14ac:dyDescent="0.25">
      <c r="A7480" t="s">
        <v>7647</v>
      </c>
      <c r="B7480" t="s">
        <v>264</v>
      </c>
      <c r="C7480" t="s">
        <v>125</v>
      </c>
      <c r="D7480" t="s">
        <v>77</v>
      </c>
      <c r="E7480" t="s">
        <v>159</v>
      </c>
      <c r="F7480" s="1">
        <v>43021</v>
      </c>
      <c r="G7480" s="1">
        <v>43026</v>
      </c>
      <c r="H7480">
        <v>0</v>
      </c>
      <c r="I7480" t="str">
        <f>IF(COUNTIF(Products!$A$2:$A$8,C7480)=0,C7480,"")</f>
        <v/>
      </c>
      <c r="J7480">
        <f>IF(OR(E7480="Prospecting",E7480="Engaging"),VLOOKUP(C7480,Products!$A$2:$C$8,3,FALSE),0)</f>
        <v>0</v>
      </c>
    </row>
    <row r="7481" spans="1:10" x14ac:dyDescent="0.25">
      <c r="A7481" t="s">
        <v>7648</v>
      </c>
      <c r="B7481" t="s">
        <v>239</v>
      </c>
      <c r="C7481" t="s">
        <v>127</v>
      </c>
      <c r="D7481" t="s">
        <v>111</v>
      </c>
      <c r="E7481" t="s">
        <v>159</v>
      </c>
      <c r="F7481" s="1">
        <v>43021</v>
      </c>
      <c r="G7481" s="1">
        <v>43028</v>
      </c>
      <c r="H7481">
        <v>0</v>
      </c>
      <c r="I7481" t="str">
        <f>IF(COUNTIF(Products!$A$2:$A$8,C7481)=0,C7481,"")</f>
        <v/>
      </c>
      <c r="J7481">
        <f>IF(OR(E7481="Prospecting",E7481="Engaging"),VLOOKUP(C7481,Products!$A$2:$C$8,3,FALSE),0)</f>
        <v>0</v>
      </c>
    </row>
    <row r="7482" spans="1:10" x14ac:dyDescent="0.25">
      <c r="A7482" t="s">
        <v>7649</v>
      </c>
      <c r="B7482" t="s">
        <v>239</v>
      </c>
      <c r="C7482" t="s">
        <v>126</v>
      </c>
      <c r="D7482" t="s">
        <v>110</v>
      </c>
      <c r="E7482" t="s">
        <v>159</v>
      </c>
      <c r="F7482" s="1">
        <v>43021</v>
      </c>
      <c r="G7482" s="1">
        <v>43060</v>
      </c>
      <c r="H7482">
        <v>0</v>
      </c>
      <c r="I7482" t="str">
        <f>IF(COUNTIF(Products!$A$2:$A$8,C7482)=0,C7482,"")</f>
        <v/>
      </c>
      <c r="J7482">
        <f>IF(OR(E7482="Prospecting",E7482="Engaging"),VLOOKUP(C7482,Products!$A$2:$C$8,3,FALSE),0)</f>
        <v>0</v>
      </c>
    </row>
    <row r="7483" spans="1:10" x14ac:dyDescent="0.25">
      <c r="A7483" t="s">
        <v>7650</v>
      </c>
      <c r="B7483" t="s">
        <v>171</v>
      </c>
      <c r="C7483" t="s">
        <v>122</v>
      </c>
      <c r="D7483" t="s">
        <v>69</v>
      </c>
      <c r="E7483" t="s">
        <v>159</v>
      </c>
      <c r="F7483" s="1">
        <v>43021</v>
      </c>
      <c r="G7483" s="1">
        <v>43030</v>
      </c>
      <c r="H7483">
        <v>0</v>
      </c>
      <c r="I7483" t="str">
        <f>IF(COUNTIF(Products!$A$2:$A$8,C7483)=0,C7483,"")</f>
        <v/>
      </c>
      <c r="J7483">
        <f>IF(OR(E7483="Prospecting",E7483="Engaging"),VLOOKUP(C7483,Products!$A$2:$C$8,3,FALSE),0)</f>
        <v>0</v>
      </c>
    </row>
    <row r="7484" spans="1:10" x14ac:dyDescent="0.25">
      <c r="A7484" t="s">
        <v>7651</v>
      </c>
      <c r="B7484" t="s">
        <v>140</v>
      </c>
      <c r="C7484" t="s">
        <v>122</v>
      </c>
      <c r="D7484" t="s">
        <v>55</v>
      </c>
      <c r="E7484" t="s">
        <v>138</v>
      </c>
      <c r="F7484" s="1">
        <v>43021</v>
      </c>
      <c r="G7484" s="1">
        <v>43032</v>
      </c>
      <c r="H7484">
        <v>4767</v>
      </c>
      <c r="I7484" t="str">
        <f>IF(COUNTIF(Products!$A$2:$A$8,C7484)=0,C7484,"")</f>
        <v/>
      </c>
      <c r="J7484">
        <f>IF(OR(E7484="Prospecting",E7484="Engaging"),VLOOKUP(C7484,Products!$A$2:$C$8,3,FALSE),0)</f>
        <v>0</v>
      </c>
    </row>
    <row r="7485" spans="1:10" x14ac:dyDescent="0.25">
      <c r="A7485" t="s">
        <v>7652</v>
      </c>
      <c r="B7485" t="s">
        <v>140</v>
      </c>
      <c r="C7485" t="s">
        <v>122</v>
      </c>
      <c r="D7485" t="s">
        <v>61</v>
      </c>
      <c r="E7485" t="s">
        <v>138</v>
      </c>
      <c r="F7485" s="1">
        <v>43021</v>
      </c>
      <c r="G7485" s="1">
        <v>43089</v>
      </c>
      <c r="H7485">
        <v>4869</v>
      </c>
      <c r="I7485" t="str">
        <f>IF(COUNTIF(Products!$A$2:$A$8,C7485)=0,C7485,"")</f>
        <v/>
      </c>
      <c r="J7485">
        <f>IF(OR(E7485="Prospecting",E7485="Engaging"),VLOOKUP(C7485,Products!$A$2:$C$8,3,FALSE),0)</f>
        <v>0</v>
      </c>
    </row>
    <row r="7486" spans="1:10" x14ac:dyDescent="0.25">
      <c r="A7486" t="s">
        <v>7653</v>
      </c>
      <c r="B7486" t="s">
        <v>140</v>
      </c>
      <c r="C7486" t="s">
        <v>125</v>
      </c>
      <c r="D7486" t="s">
        <v>88</v>
      </c>
      <c r="E7486" t="s">
        <v>138</v>
      </c>
      <c r="F7486" s="1">
        <v>43021</v>
      </c>
      <c r="G7486" s="1">
        <v>43022</v>
      </c>
      <c r="H7486">
        <v>3475</v>
      </c>
      <c r="I7486" t="str">
        <f>IF(COUNTIF(Products!$A$2:$A$8,C7486)=0,C7486,"")</f>
        <v/>
      </c>
      <c r="J7486">
        <f>IF(OR(E7486="Prospecting",E7486="Engaging"),VLOOKUP(C7486,Products!$A$2:$C$8,3,FALSE),0)</f>
        <v>0</v>
      </c>
    </row>
    <row r="7487" spans="1:10" x14ac:dyDescent="0.25">
      <c r="A7487" t="s">
        <v>7654</v>
      </c>
      <c r="B7487" t="s">
        <v>224</v>
      </c>
      <c r="C7487" t="s">
        <v>120</v>
      </c>
      <c r="D7487" t="s">
        <v>63</v>
      </c>
      <c r="E7487" t="s">
        <v>159</v>
      </c>
      <c r="F7487" s="1">
        <v>43021</v>
      </c>
      <c r="G7487" s="1">
        <v>43023</v>
      </c>
      <c r="H7487">
        <v>0</v>
      </c>
      <c r="I7487" t="str">
        <f>IF(COUNTIF(Products!$A$2:$A$8,C7487)=0,C7487,"")</f>
        <v/>
      </c>
      <c r="J7487">
        <f>IF(OR(E7487="Prospecting",E7487="Engaging"),VLOOKUP(C7487,Products!$A$2:$C$8,3,FALSE),0)</f>
        <v>0</v>
      </c>
    </row>
    <row r="7488" spans="1:10" x14ac:dyDescent="0.25">
      <c r="A7488" t="s">
        <v>7655</v>
      </c>
      <c r="B7488" t="s">
        <v>224</v>
      </c>
      <c r="C7488" t="s">
        <v>123</v>
      </c>
      <c r="D7488" t="s">
        <v>37</v>
      </c>
      <c r="E7488" t="s">
        <v>159</v>
      </c>
      <c r="F7488" s="1">
        <v>43021</v>
      </c>
      <c r="G7488" s="1">
        <v>43078</v>
      </c>
      <c r="H7488">
        <v>0</v>
      </c>
      <c r="I7488" t="str">
        <f>IF(COUNTIF(Products!$A$2:$A$8,C7488)=0,C7488,"")</f>
        <v/>
      </c>
      <c r="J7488">
        <f>IF(OR(E7488="Prospecting",E7488="Engaging"),VLOOKUP(C7488,Products!$A$2:$C$8,3,FALSE),0)</f>
        <v>0</v>
      </c>
    </row>
    <row r="7489" spans="1:10" x14ac:dyDescent="0.25">
      <c r="A7489" t="s">
        <v>7656</v>
      </c>
      <c r="B7489" t="s">
        <v>224</v>
      </c>
      <c r="C7489" t="s">
        <v>125</v>
      </c>
      <c r="D7489" t="s">
        <v>67</v>
      </c>
      <c r="E7489" t="s">
        <v>159</v>
      </c>
      <c r="F7489" s="1">
        <v>43021</v>
      </c>
      <c r="G7489" s="1">
        <v>43079</v>
      </c>
      <c r="H7489">
        <v>0</v>
      </c>
      <c r="I7489" t="str">
        <f>IF(COUNTIF(Products!$A$2:$A$8,C7489)=0,C7489,"")</f>
        <v/>
      </c>
      <c r="J7489">
        <f>IF(OR(E7489="Prospecting",E7489="Engaging"),VLOOKUP(C7489,Products!$A$2:$C$8,3,FALSE),0)</f>
        <v>0</v>
      </c>
    </row>
    <row r="7490" spans="1:10" x14ac:dyDescent="0.25">
      <c r="A7490" t="s">
        <v>7657</v>
      </c>
      <c r="B7490" t="s">
        <v>164</v>
      </c>
      <c r="C7490" t="s">
        <v>127</v>
      </c>
      <c r="D7490" t="s">
        <v>87</v>
      </c>
      <c r="E7490" t="s">
        <v>159</v>
      </c>
      <c r="F7490" s="1">
        <v>43021</v>
      </c>
      <c r="G7490" s="1">
        <v>43028</v>
      </c>
      <c r="H7490">
        <v>0</v>
      </c>
      <c r="I7490" t="str">
        <f>IF(COUNTIF(Products!$A$2:$A$8,C7490)=0,C7490,"")</f>
        <v/>
      </c>
      <c r="J7490">
        <f>IF(OR(E7490="Prospecting",E7490="Engaging"),VLOOKUP(C7490,Products!$A$2:$C$8,3,FALSE),0)</f>
        <v>0</v>
      </c>
    </row>
    <row r="7491" spans="1:10" x14ac:dyDescent="0.25">
      <c r="A7491" t="s">
        <v>7658</v>
      </c>
      <c r="B7491" t="s">
        <v>164</v>
      </c>
      <c r="C7491" t="s">
        <v>125</v>
      </c>
      <c r="D7491" t="s">
        <v>67</v>
      </c>
      <c r="E7491" t="s">
        <v>138</v>
      </c>
      <c r="F7491" s="1">
        <v>43021</v>
      </c>
      <c r="G7491" s="1">
        <v>43022</v>
      </c>
      <c r="H7491">
        <v>3250</v>
      </c>
      <c r="I7491" t="str">
        <f>IF(COUNTIF(Products!$A$2:$A$8,C7491)=0,C7491,"")</f>
        <v/>
      </c>
      <c r="J7491">
        <f>IF(OR(E7491="Prospecting",E7491="Engaging"),VLOOKUP(C7491,Products!$A$2:$C$8,3,FALSE),0)</f>
        <v>0</v>
      </c>
    </row>
    <row r="7492" spans="1:10" x14ac:dyDescent="0.25">
      <c r="A7492" t="s">
        <v>7659</v>
      </c>
      <c r="B7492" t="s">
        <v>154</v>
      </c>
      <c r="C7492" t="s">
        <v>126</v>
      </c>
      <c r="D7492" t="s">
        <v>93</v>
      </c>
      <c r="E7492" t="s">
        <v>159</v>
      </c>
      <c r="F7492" s="1">
        <v>43021</v>
      </c>
      <c r="G7492" s="1">
        <v>43072</v>
      </c>
      <c r="H7492">
        <v>0</v>
      </c>
      <c r="I7492" t="str">
        <f>IF(COUNTIF(Products!$A$2:$A$8,C7492)=0,C7492,"")</f>
        <v/>
      </c>
      <c r="J7492">
        <f>IF(OR(E7492="Prospecting",E7492="Engaging"),VLOOKUP(C7492,Products!$A$2:$C$8,3,FALSE),0)</f>
        <v>0</v>
      </c>
    </row>
    <row r="7493" spans="1:10" x14ac:dyDescent="0.25">
      <c r="A7493" t="s">
        <v>7660</v>
      </c>
      <c r="B7493" t="s">
        <v>180</v>
      </c>
      <c r="C7493" t="s">
        <v>127</v>
      </c>
      <c r="E7493" t="s">
        <v>155</v>
      </c>
      <c r="F7493" s="1">
        <v>43021</v>
      </c>
      <c r="I7493" t="str">
        <f>IF(COUNTIF(Products!$A$2:$A$8,C7493)=0,C7493,"")</f>
        <v/>
      </c>
      <c r="J7493">
        <f>IF(OR(E7493="Prospecting",E7493="Engaging"),VLOOKUP(C7493,Products!$A$2:$C$8,3,FALSE),0)</f>
        <v>1096</v>
      </c>
    </row>
    <row r="7494" spans="1:10" x14ac:dyDescent="0.25">
      <c r="A7494" t="s">
        <v>7661</v>
      </c>
      <c r="B7494" t="s">
        <v>191</v>
      </c>
      <c r="C7494" t="s">
        <v>120</v>
      </c>
      <c r="D7494" t="s">
        <v>61</v>
      </c>
      <c r="E7494" t="s">
        <v>155</v>
      </c>
      <c r="F7494" s="1">
        <v>43021</v>
      </c>
      <c r="I7494" t="str">
        <f>IF(COUNTIF(Products!$A$2:$A$8,C7494)=0,C7494,"")</f>
        <v/>
      </c>
      <c r="J7494">
        <f>IF(OR(E7494="Prospecting",E7494="Engaging"),VLOOKUP(C7494,Products!$A$2:$C$8,3,FALSE),0)</f>
        <v>550</v>
      </c>
    </row>
    <row r="7495" spans="1:10" x14ac:dyDescent="0.25">
      <c r="A7495" t="s">
        <v>7662</v>
      </c>
      <c r="B7495" t="s">
        <v>150</v>
      </c>
      <c r="C7495" t="s">
        <v>120</v>
      </c>
      <c r="E7495" t="s">
        <v>155</v>
      </c>
      <c r="F7495" s="1">
        <v>43021</v>
      </c>
      <c r="I7495" t="str">
        <f>IF(COUNTIF(Products!$A$2:$A$8,C7495)=0,C7495,"")</f>
        <v/>
      </c>
      <c r="J7495">
        <f>IF(OR(E7495="Prospecting",E7495="Engaging"),VLOOKUP(C7495,Products!$A$2:$C$8,3,FALSE),0)</f>
        <v>550</v>
      </c>
    </row>
    <row r="7496" spans="1:10" x14ac:dyDescent="0.25">
      <c r="A7496" t="s">
        <v>7663</v>
      </c>
      <c r="B7496" t="s">
        <v>150</v>
      </c>
      <c r="C7496" t="s">
        <v>125</v>
      </c>
      <c r="D7496" t="s">
        <v>75</v>
      </c>
      <c r="E7496" t="s">
        <v>159</v>
      </c>
      <c r="F7496" s="1">
        <v>43021</v>
      </c>
      <c r="G7496" s="1">
        <v>43026</v>
      </c>
      <c r="H7496">
        <v>0</v>
      </c>
      <c r="I7496" t="str">
        <f>IF(COUNTIF(Products!$A$2:$A$8,C7496)=0,C7496,"")</f>
        <v/>
      </c>
      <c r="J7496">
        <f>IF(OR(E7496="Prospecting",E7496="Engaging"),VLOOKUP(C7496,Products!$A$2:$C$8,3,FALSE),0)</f>
        <v>0</v>
      </c>
    </row>
    <row r="7497" spans="1:10" x14ac:dyDescent="0.25">
      <c r="A7497" t="s">
        <v>7664</v>
      </c>
      <c r="B7497" t="s">
        <v>162</v>
      </c>
      <c r="C7497" t="s">
        <v>125</v>
      </c>
      <c r="D7497" t="s">
        <v>23</v>
      </c>
      <c r="E7497" t="s">
        <v>159</v>
      </c>
      <c r="F7497" s="1">
        <v>43021</v>
      </c>
      <c r="G7497" s="1">
        <v>43033</v>
      </c>
      <c r="H7497">
        <v>0</v>
      </c>
      <c r="I7497" t="str">
        <f>IF(COUNTIF(Products!$A$2:$A$8,C7497)=0,C7497,"")</f>
        <v/>
      </c>
      <c r="J7497">
        <f>IF(OR(E7497="Prospecting",E7497="Engaging"),VLOOKUP(C7497,Products!$A$2:$C$8,3,FALSE),0)</f>
        <v>0</v>
      </c>
    </row>
    <row r="7498" spans="1:10" x14ac:dyDescent="0.25">
      <c r="A7498" t="s">
        <v>7665</v>
      </c>
      <c r="B7498" t="s">
        <v>137</v>
      </c>
      <c r="C7498" t="s">
        <v>125</v>
      </c>
      <c r="D7498" t="s">
        <v>32</v>
      </c>
      <c r="E7498" t="s">
        <v>159</v>
      </c>
      <c r="F7498" s="1">
        <v>43021</v>
      </c>
      <c r="G7498" s="1">
        <v>43068</v>
      </c>
      <c r="H7498">
        <v>0</v>
      </c>
      <c r="I7498" t="str">
        <f>IF(COUNTIF(Products!$A$2:$A$8,C7498)=0,C7498,"")</f>
        <v/>
      </c>
      <c r="J7498">
        <f>IF(OR(E7498="Prospecting",E7498="Engaging"),VLOOKUP(C7498,Products!$A$2:$C$8,3,FALSE),0)</f>
        <v>0</v>
      </c>
    </row>
    <row r="7499" spans="1:10" x14ac:dyDescent="0.25">
      <c r="A7499" t="s">
        <v>7666</v>
      </c>
      <c r="B7499" t="s">
        <v>137</v>
      </c>
      <c r="C7499" t="s">
        <v>127</v>
      </c>
      <c r="D7499" t="s">
        <v>85</v>
      </c>
      <c r="E7499" t="s">
        <v>138</v>
      </c>
      <c r="F7499" s="1">
        <v>43021</v>
      </c>
      <c r="G7499" s="1">
        <v>43034</v>
      </c>
      <c r="H7499">
        <v>978</v>
      </c>
      <c r="I7499" t="str">
        <f>IF(COUNTIF(Products!$A$2:$A$8,C7499)=0,C7499,"")</f>
        <v/>
      </c>
      <c r="J7499">
        <f>IF(OR(E7499="Prospecting",E7499="Engaging"),VLOOKUP(C7499,Products!$A$2:$C$8,3,FALSE),0)</f>
        <v>0</v>
      </c>
    </row>
    <row r="7500" spans="1:10" x14ac:dyDescent="0.25">
      <c r="A7500" t="s">
        <v>7667</v>
      </c>
      <c r="B7500" t="s">
        <v>193</v>
      </c>
      <c r="C7500" t="s">
        <v>123</v>
      </c>
      <c r="D7500" t="s">
        <v>20</v>
      </c>
      <c r="E7500" t="s">
        <v>138</v>
      </c>
      <c r="F7500" s="1">
        <v>43021</v>
      </c>
      <c r="G7500" s="1">
        <v>43083</v>
      </c>
      <c r="H7500">
        <v>49</v>
      </c>
      <c r="I7500" t="str">
        <f>IF(COUNTIF(Products!$A$2:$A$8,C7500)=0,C7500,"")</f>
        <v/>
      </c>
      <c r="J7500">
        <f>IF(OR(E7500="Prospecting",E7500="Engaging"),VLOOKUP(C7500,Products!$A$2:$C$8,3,FALSE),0)</f>
        <v>0</v>
      </c>
    </row>
    <row r="7501" spans="1:10" x14ac:dyDescent="0.25">
      <c r="A7501" t="s">
        <v>7668</v>
      </c>
      <c r="B7501" t="s">
        <v>169</v>
      </c>
      <c r="C7501" t="s">
        <v>123</v>
      </c>
      <c r="D7501" t="s">
        <v>94</v>
      </c>
      <c r="E7501" t="s">
        <v>138</v>
      </c>
      <c r="F7501" s="1">
        <v>43021</v>
      </c>
      <c r="G7501" s="1">
        <v>43032</v>
      </c>
      <c r="H7501">
        <v>49</v>
      </c>
      <c r="I7501" t="str">
        <f>IF(COUNTIF(Products!$A$2:$A$8,C7501)=0,C7501,"")</f>
        <v/>
      </c>
      <c r="J7501">
        <f>IF(OR(E7501="Prospecting",E7501="Engaging"),VLOOKUP(C7501,Products!$A$2:$C$8,3,FALSE),0)</f>
        <v>0</v>
      </c>
    </row>
    <row r="7502" spans="1:10" x14ac:dyDescent="0.25">
      <c r="A7502" t="s">
        <v>7669</v>
      </c>
      <c r="B7502" t="s">
        <v>148</v>
      </c>
      <c r="C7502" t="s">
        <v>126</v>
      </c>
      <c r="D7502" t="s">
        <v>107</v>
      </c>
      <c r="E7502" t="s">
        <v>159</v>
      </c>
      <c r="F7502" s="1">
        <v>43021</v>
      </c>
      <c r="G7502" s="1">
        <v>43030</v>
      </c>
      <c r="H7502">
        <v>0</v>
      </c>
      <c r="I7502" t="str">
        <f>IF(COUNTIF(Products!$A$2:$A$8,C7502)=0,C7502,"")</f>
        <v/>
      </c>
      <c r="J7502">
        <f>IF(OR(E7502="Prospecting",E7502="Engaging"),VLOOKUP(C7502,Products!$A$2:$C$8,3,FALSE),0)</f>
        <v>0</v>
      </c>
    </row>
    <row r="7503" spans="1:10" x14ac:dyDescent="0.25">
      <c r="A7503" t="s">
        <v>7670</v>
      </c>
      <c r="B7503" t="s">
        <v>148</v>
      </c>
      <c r="C7503" t="s">
        <v>120</v>
      </c>
      <c r="D7503" t="s">
        <v>61</v>
      </c>
      <c r="E7503" t="s">
        <v>138</v>
      </c>
      <c r="F7503" s="1">
        <v>43021</v>
      </c>
      <c r="G7503" s="1">
        <v>43079</v>
      </c>
      <c r="H7503">
        <v>563</v>
      </c>
      <c r="I7503" t="str">
        <f>IF(COUNTIF(Products!$A$2:$A$8,C7503)=0,C7503,"")</f>
        <v/>
      </c>
      <c r="J7503">
        <f>IF(OR(E7503="Prospecting",E7503="Engaging"),VLOOKUP(C7503,Products!$A$2:$C$8,3,FALSE),0)</f>
        <v>0</v>
      </c>
    </row>
    <row r="7504" spans="1:10" x14ac:dyDescent="0.25">
      <c r="A7504" t="s">
        <v>7671</v>
      </c>
      <c r="B7504" t="s">
        <v>177</v>
      </c>
      <c r="C7504" t="s">
        <v>127</v>
      </c>
      <c r="D7504" t="s">
        <v>105</v>
      </c>
      <c r="E7504" t="s">
        <v>159</v>
      </c>
      <c r="F7504" s="1">
        <v>43021</v>
      </c>
      <c r="G7504" s="1">
        <v>43029</v>
      </c>
      <c r="H7504">
        <v>0</v>
      </c>
      <c r="I7504" t="str">
        <f>IF(COUNTIF(Products!$A$2:$A$8,C7504)=0,C7504,"")</f>
        <v/>
      </c>
      <c r="J7504">
        <f>IF(OR(E7504="Prospecting",E7504="Engaging"),VLOOKUP(C7504,Products!$A$2:$C$8,3,FALSE),0)</f>
        <v>0</v>
      </c>
    </row>
    <row r="7505" spans="1:10" x14ac:dyDescent="0.25">
      <c r="A7505" t="s">
        <v>7672</v>
      </c>
      <c r="B7505" t="s">
        <v>177</v>
      </c>
      <c r="C7505" t="s">
        <v>123</v>
      </c>
      <c r="D7505" t="s">
        <v>37</v>
      </c>
      <c r="E7505" t="s">
        <v>159</v>
      </c>
      <c r="F7505" s="1">
        <v>43021</v>
      </c>
      <c r="G7505" s="1">
        <v>43023</v>
      </c>
      <c r="H7505">
        <v>0</v>
      </c>
      <c r="I7505" t="str">
        <f>IF(COUNTIF(Products!$A$2:$A$8,C7505)=0,C7505,"")</f>
        <v/>
      </c>
      <c r="J7505">
        <f>IF(OR(E7505="Prospecting",E7505="Engaging"),VLOOKUP(C7505,Products!$A$2:$C$8,3,FALSE),0)</f>
        <v>0</v>
      </c>
    </row>
    <row r="7506" spans="1:10" x14ac:dyDescent="0.25">
      <c r="A7506" t="s">
        <v>7673</v>
      </c>
      <c r="B7506" t="s">
        <v>177</v>
      </c>
      <c r="C7506" t="s">
        <v>123</v>
      </c>
      <c r="D7506" t="s">
        <v>112</v>
      </c>
      <c r="E7506" t="s">
        <v>138</v>
      </c>
      <c r="F7506" s="1">
        <v>43021</v>
      </c>
      <c r="G7506" s="1">
        <v>43032</v>
      </c>
      <c r="H7506">
        <v>53</v>
      </c>
      <c r="I7506" t="str">
        <f>IF(COUNTIF(Products!$A$2:$A$8,C7506)=0,C7506,"")</f>
        <v/>
      </c>
      <c r="J7506">
        <f>IF(OR(E7506="Prospecting",E7506="Engaging"),VLOOKUP(C7506,Products!$A$2:$C$8,3,FALSE),0)</f>
        <v>0</v>
      </c>
    </row>
    <row r="7507" spans="1:10" x14ac:dyDescent="0.25">
      <c r="A7507" t="s">
        <v>7674</v>
      </c>
      <c r="B7507" t="s">
        <v>264</v>
      </c>
      <c r="C7507" t="s">
        <v>127</v>
      </c>
      <c r="D7507" t="s">
        <v>85</v>
      </c>
      <c r="E7507" t="s">
        <v>138</v>
      </c>
      <c r="F7507" s="1">
        <v>43022</v>
      </c>
      <c r="G7507" s="1">
        <v>43034</v>
      </c>
      <c r="H7507">
        <v>1168</v>
      </c>
      <c r="I7507" t="str">
        <f>IF(COUNTIF(Products!$A$2:$A$8,C7507)=0,C7507,"")</f>
        <v/>
      </c>
      <c r="J7507">
        <f>IF(OR(E7507="Prospecting",E7507="Engaging"),VLOOKUP(C7507,Products!$A$2:$C$8,3,FALSE),0)</f>
        <v>0</v>
      </c>
    </row>
    <row r="7508" spans="1:10" x14ac:dyDescent="0.25">
      <c r="A7508" t="s">
        <v>7675</v>
      </c>
      <c r="B7508" t="s">
        <v>239</v>
      </c>
      <c r="C7508" t="s">
        <v>120</v>
      </c>
      <c r="D7508" t="s">
        <v>102</v>
      </c>
      <c r="E7508" t="s">
        <v>138</v>
      </c>
      <c r="F7508" s="1">
        <v>43022</v>
      </c>
      <c r="G7508" s="1">
        <v>43056</v>
      </c>
      <c r="H7508">
        <v>560</v>
      </c>
      <c r="I7508" t="str">
        <f>IF(COUNTIF(Products!$A$2:$A$8,C7508)=0,C7508,"")</f>
        <v/>
      </c>
      <c r="J7508">
        <f>IF(OR(E7508="Prospecting",E7508="Engaging"),VLOOKUP(C7508,Products!$A$2:$C$8,3,FALSE),0)</f>
        <v>0</v>
      </c>
    </row>
    <row r="7509" spans="1:10" x14ac:dyDescent="0.25">
      <c r="A7509" t="s">
        <v>7676</v>
      </c>
      <c r="B7509" t="s">
        <v>171</v>
      </c>
      <c r="C7509" t="s">
        <v>127</v>
      </c>
      <c r="D7509" t="s">
        <v>50</v>
      </c>
      <c r="E7509" t="s">
        <v>159</v>
      </c>
      <c r="F7509" s="1">
        <v>43022</v>
      </c>
      <c r="G7509" s="1">
        <v>43099</v>
      </c>
      <c r="H7509">
        <v>0</v>
      </c>
      <c r="I7509" t="str">
        <f>IF(COUNTIF(Products!$A$2:$A$8,C7509)=0,C7509,"")</f>
        <v/>
      </c>
      <c r="J7509">
        <f>IF(OR(E7509="Prospecting",E7509="Engaging"),VLOOKUP(C7509,Products!$A$2:$C$8,3,FALSE),0)</f>
        <v>0</v>
      </c>
    </row>
    <row r="7510" spans="1:10" x14ac:dyDescent="0.25">
      <c r="A7510" t="s">
        <v>7677</v>
      </c>
      <c r="B7510" t="s">
        <v>140</v>
      </c>
      <c r="C7510" t="s">
        <v>122</v>
      </c>
      <c r="D7510" t="s">
        <v>94</v>
      </c>
      <c r="E7510" t="s">
        <v>159</v>
      </c>
      <c r="F7510" s="1">
        <v>43022</v>
      </c>
      <c r="G7510" s="1">
        <v>43023</v>
      </c>
      <c r="H7510">
        <v>0</v>
      </c>
      <c r="I7510" t="str">
        <f>IF(COUNTIF(Products!$A$2:$A$8,C7510)=0,C7510,"")</f>
        <v/>
      </c>
      <c r="J7510">
        <f>IF(OR(E7510="Prospecting",E7510="Engaging"),VLOOKUP(C7510,Products!$A$2:$C$8,3,FALSE),0)</f>
        <v>0</v>
      </c>
    </row>
    <row r="7511" spans="1:10" x14ac:dyDescent="0.25">
      <c r="A7511" t="s">
        <v>7678</v>
      </c>
      <c r="B7511" t="s">
        <v>140</v>
      </c>
      <c r="C7511" t="s">
        <v>123</v>
      </c>
      <c r="D7511" t="s">
        <v>14</v>
      </c>
      <c r="E7511" t="s">
        <v>159</v>
      </c>
      <c r="F7511" s="1">
        <v>43022</v>
      </c>
      <c r="G7511" s="1">
        <v>43029</v>
      </c>
      <c r="H7511">
        <v>0</v>
      </c>
      <c r="I7511" t="str">
        <f>IF(COUNTIF(Products!$A$2:$A$8,C7511)=0,C7511,"")</f>
        <v/>
      </c>
      <c r="J7511">
        <f>IF(OR(E7511="Prospecting",E7511="Engaging"),VLOOKUP(C7511,Products!$A$2:$C$8,3,FALSE),0)</f>
        <v>0</v>
      </c>
    </row>
    <row r="7512" spans="1:10" x14ac:dyDescent="0.25">
      <c r="A7512" t="s">
        <v>7679</v>
      </c>
      <c r="B7512" t="s">
        <v>140</v>
      </c>
      <c r="C7512" t="s">
        <v>122</v>
      </c>
      <c r="D7512" t="s">
        <v>36</v>
      </c>
      <c r="E7512" t="s">
        <v>138</v>
      </c>
      <c r="F7512" s="1">
        <v>43022</v>
      </c>
      <c r="G7512" s="1">
        <v>43026</v>
      </c>
      <c r="H7512">
        <v>4810</v>
      </c>
      <c r="I7512" t="str">
        <f>IF(COUNTIF(Products!$A$2:$A$8,C7512)=0,C7512,"")</f>
        <v/>
      </c>
      <c r="J7512">
        <f>IF(OR(E7512="Prospecting",E7512="Engaging"),VLOOKUP(C7512,Products!$A$2:$C$8,3,FALSE),0)</f>
        <v>0</v>
      </c>
    </row>
    <row r="7513" spans="1:10" x14ac:dyDescent="0.25">
      <c r="A7513" t="s">
        <v>7680</v>
      </c>
      <c r="B7513" t="s">
        <v>224</v>
      </c>
      <c r="C7513" t="s">
        <v>123</v>
      </c>
      <c r="D7513" t="s">
        <v>37</v>
      </c>
      <c r="E7513" t="s">
        <v>159</v>
      </c>
      <c r="F7513" s="1">
        <v>43022</v>
      </c>
      <c r="G7513" s="1">
        <v>43040</v>
      </c>
      <c r="H7513">
        <v>0</v>
      </c>
      <c r="I7513" t="str">
        <f>IF(COUNTIF(Products!$A$2:$A$8,C7513)=0,C7513,"")</f>
        <v/>
      </c>
      <c r="J7513">
        <f>IF(OR(E7513="Prospecting",E7513="Engaging"),VLOOKUP(C7513,Products!$A$2:$C$8,3,FALSE),0)</f>
        <v>0</v>
      </c>
    </row>
    <row r="7514" spans="1:10" x14ac:dyDescent="0.25">
      <c r="A7514" t="s">
        <v>7681</v>
      </c>
      <c r="B7514" t="s">
        <v>224</v>
      </c>
      <c r="C7514" t="s">
        <v>122</v>
      </c>
      <c r="D7514" t="s">
        <v>92</v>
      </c>
      <c r="E7514" t="s">
        <v>138</v>
      </c>
      <c r="F7514" s="1">
        <v>43022</v>
      </c>
      <c r="G7514" s="1">
        <v>43032</v>
      </c>
      <c r="H7514">
        <v>4521</v>
      </c>
      <c r="I7514" t="str">
        <f>IF(COUNTIF(Products!$A$2:$A$8,C7514)=0,C7514,"")</f>
        <v/>
      </c>
      <c r="J7514">
        <f>IF(OR(E7514="Prospecting",E7514="Engaging"),VLOOKUP(C7514,Products!$A$2:$C$8,3,FALSE),0)</f>
        <v>0</v>
      </c>
    </row>
    <row r="7515" spans="1:10" x14ac:dyDescent="0.25">
      <c r="A7515" t="s">
        <v>7682</v>
      </c>
      <c r="B7515" t="s">
        <v>198</v>
      </c>
      <c r="C7515" t="s">
        <v>120</v>
      </c>
      <c r="D7515" t="s">
        <v>81</v>
      </c>
      <c r="E7515" t="s">
        <v>159</v>
      </c>
      <c r="F7515" s="1">
        <v>43022</v>
      </c>
      <c r="G7515" s="1">
        <v>43026</v>
      </c>
      <c r="H7515">
        <v>0</v>
      </c>
      <c r="I7515" t="str">
        <f>IF(COUNTIF(Products!$A$2:$A$8,C7515)=0,C7515,"")</f>
        <v/>
      </c>
      <c r="J7515">
        <f>IF(OR(E7515="Prospecting",E7515="Engaging"),VLOOKUP(C7515,Products!$A$2:$C$8,3,FALSE),0)</f>
        <v>0</v>
      </c>
    </row>
    <row r="7516" spans="1:10" x14ac:dyDescent="0.25">
      <c r="A7516" t="s">
        <v>7683</v>
      </c>
      <c r="B7516" t="s">
        <v>198</v>
      </c>
      <c r="C7516" t="s">
        <v>127</v>
      </c>
      <c r="D7516" t="s">
        <v>35</v>
      </c>
      <c r="E7516" t="s">
        <v>159</v>
      </c>
      <c r="F7516" s="1">
        <v>43022</v>
      </c>
      <c r="G7516" s="1">
        <v>43023</v>
      </c>
      <c r="H7516">
        <v>0</v>
      </c>
      <c r="I7516" t="str">
        <f>IF(COUNTIF(Products!$A$2:$A$8,C7516)=0,C7516,"")</f>
        <v/>
      </c>
      <c r="J7516">
        <f>IF(OR(E7516="Prospecting",E7516="Engaging"),VLOOKUP(C7516,Products!$A$2:$C$8,3,FALSE),0)</f>
        <v>0</v>
      </c>
    </row>
    <row r="7517" spans="1:10" x14ac:dyDescent="0.25">
      <c r="A7517" t="s">
        <v>7684</v>
      </c>
      <c r="B7517" t="s">
        <v>164</v>
      </c>
      <c r="C7517" t="s">
        <v>127</v>
      </c>
      <c r="D7517" t="s">
        <v>60</v>
      </c>
      <c r="E7517" t="s">
        <v>138</v>
      </c>
      <c r="F7517" s="1">
        <v>43022</v>
      </c>
      <c r="G7517" s="1">
        <v>43023</v>
      </c>
      <c r="H7517">
        <v>881</v>
      </c>
      <c r="I7517" t="str">
        <f>IF(COUNTIF(Products!$A$2:$A$8,C7517)=0,C7517,"")</f>
        <v/>
      </c>
      <c r="J7517">
        <f>IF(OR(E7517="Prospecting",E7517="Engaging"),VLOOKUP(C7517,Products!$A$2:$C$8,3,FALSE),0)</f>
        <v>0</v>
      </c>
    </row>
    <row r="7518" spans="1:10" x14ac:dyDescent="0.25">
      <c r="A7518" t="s">
        <v>7685</v>
      </c>
      <c r="B7518" t="s">
        <v>154</v>
      </c>
      <c r="C7518" t="s">
        <v>120</v>
      </c>
      <c r="D7518" t="s">
        <v>44</v>
      </c>
      <c r="E7518" t="s">
        <v>159</v>
      </c>
      <c r="F7518" s="1">
        <v>43022</v>
      </c>
      <c r="G7518" s="1">
        <v>43069</v>
      </c>
      <c r="H7518">
        <v>0</v>
      </c>
      <c r="I7518" t="str">
        <f>IF(COUNTIF(Products!$A$2:$A$8,C7518)=0,C7518,"")</f>
        <v/>
      </c>
      <c r="J7518">
        <f>IF(OR(E7518="Prospecting",E7518="Engaging"),VLOOKUP(C7518,Products!$A$2:$C$8,3,FALSE),0)</f>
        <v>0</v>
      </c>
    </row>
    <row r="7519" spans="1:10" x14ac:dyDescent="0.25">
      <c r="A7519" t="s">
        <v>7686</v>
      </c>
      <c r="B7519" t="s">
        <v>303</v>
      </c>
      <c r="C7519" t="s">
        <v>120</v>
      </c>
      <c r="D7519" t="s">
        <v>28</v>
      </c>
      <c r="E7519" t="s">
        <v>138</v>
      </c>
      <c r="F7519" s="1">
        <v>43022</v>
      </c>
      <c r="G7519" s="1">
        <v>43030</v>
      </c>
      <c r="H7519">
        <v>472</v>
      </c>
      <c r="I7519" t="str">
        <f>IF(COUNTIF(Products!$A$2:$A$8,C7519)=0,C7519,"")</f>
        <v/>
      </c>
      <c r="J7519">
        <f>IF(OR(E7519="Prospecting",E7519="Engaging"),VLOOKUP(C7519,Products!$A$2:$C$8,3,FALSE),0)</f>
        <v>0</v>
      </c>
    </row>
    <row r="7520" spans="1:10" x14ac:dyDescent="0.25">
      <c r="A7520" t="s">
        <v>7687</v>
      </c>
      <c r="B7520" t="s">
        <v>180</v>
      </c>
      <c r="C7520" t="s">
        <v>120</v>
      </c>
      <c r="D7520" t="s">
        <v>78</v>
      </c>
      <c r="E7520" t="s">
        <v>138</v>
      </c>
      <c r="F7520" s="1">
        <v>43022</v>
      </c>
      <c r="G7520" s="1">
        <v>43072</v>
      </c>
      <c r="H7520">
        <v>562</v>
      </c>
      <c r="I7520" t="str">
        <f>IF(COUNTIF(Products!$A$2:$A$8,C7520)=0,C7520,"")</f>
        <v/>
      </c>
      <c r="J7520">
        <f>IF(OR(E7520="Prospecting",E7520="Engaging"),VLOOKUP(C7520,Products!$A$2:$C$8,3,FALSE),0)</f>
        <v>0</v>
      </c>
    </row>
    <row r="7521" spans="1:10" x14ac:dyDescent="0.25">
      <c r="A7521" t="s">
        <v>7688</v>
      </c>
      <c r="B7521" t="s">
        <v>217</v>
      </c>
      <c r="C7521" t="s">
        <v>120</v>
      </c>
      <c r="D7521" t="s">
        <v>28</v>
      </c>
      <c r="E7521" t="s">
        <v>159</v>
      </c>
      <c r="F7521" s="1">
        <v>43022</v>
      </c>
      <c r="G7521" s="1">
        <v>43028</v>
      </c>
      <c r="H7521">
        <v>0</v>
      </c>
      <c r="I7521" t="str">
        <f>IF(COUNTIF(Products!$A$2:$A$8,C7521)=0,C7521,"")</f>
        <v/>
      </c>
      <c r="J7521">
        <f>IF(OR(E7521="Prospecting",E7521="Engaging"),VLOOKUP(C7521,Products!$A$2:$C$8,3,FALSE),0)</f>
        <v>0</v>
      </c>
    </row>
    <row r="7522" spans="1:10" x14ac:dyDescent="0.25">
      <c r="A7522" t="s">
        <v>7689</v>
      </c>
      <c r="B7522" t="s">
        <v>217</v>
      </c>
      <c r="C7522" t="s">
        <v>123</v>
      </c>
      <c r="D7522" t="s">
        <v>103</v>
      </c>
      <c r="E7522" t="s">
        <v>138</v>
      </c>
      <c r="F7522" s="1">
        <v>43022</v>
      </c>
      <c r="G7522" s="1">
        <v>43024</v>
      </c>
      <c r="H7522">
        <v>42</v>
      </c>
      <c r="I7522" t="str">
        <f>IF(COUNTIF(Products!$A$2:$A$8,C7522)=0,C7522,"")</f>
        <v/>
      </c>
      <c r="J7522">
        <f>IF(OR(E7522="Prospecting",E7522="Engaging"),VLOOKUP(C7522,Products!$A$2:$C$8,3,FALSE),0)</f>
        <v>0</v>
      </c>
    </row>
    <row r="7523" spans="1:10" x14ac:dyDescent="0.25">
      <c r="A7523" t="s">
        <v>7690</v>
      </c>
      <c r="B7523" t="s">
        <v>205</v>
      </c>
      <c r="C7523" t="s">
        <v>122</v>
      </c>
      <c r="D7523" t="s">
        <v>96</v>
      </c>
      <c r="E7523" t="s">
        <v>159</v>
      </c>
      <c r="F7523" s="1">
        <v>43022</v>
      </c>
      <c r="G7523" s="1">
        <v>43026</v>
      </c>
      <c r="H7523">
        <v>0</v>
      </c>
      <c r="I7523" t="str">
        <f>IF(COUNTIF(Products!$A$2:$A$8,C7523)=0,C7523,"")</f>
        <v/>
      </c>
      <c r="J7523">
        <f>IF(OR(E7523="Prospecting",E7523="Engaging"),VLOOKUP(C7523,Products!$A$2:$C$8,3,FALSE),0)</f>
        <v>0</v>
      </c>
    </row>
    <row r="7524" spans="1:10" x14ac:dyDescent="0.25">
      <c r="A7524" t="s">
        <v>7691</v>
      </c>
      <c r="B7524" t="s">
        <v>205</v>
      </c>
      <c r="C7524" t="s">
        <v>120</v>
      </c>
      <c r="D7524" t="s">
        <v>36</v>
      </c>
      <c r="E7524" t="s">
        <v>138</v>
      </c>
      <c r="F7524" s="1">
        <v>43022</v>
      </c>
      <c r="G7524" s="1">
        <v>43095</v>
      </c>
      <c r="H7524">
        <v>615</v>
      </c>
      <c r="I7524" t="str">
        <f>IF(COUNTIF(Products!$A$2:$A$8,C7524)=0,C7524,"")</f>
        <v/>
      </c>
      <c r="J7524">
        <f>IF(OR(E7524="Prospecting",E7524="Engaging"),VLOOKUP(C7524,Products!$A$2:$C$8,3,FALSE),0)</f>
        <v>0</v>
      </c>
    </row>
    <row r="7525" spans="1:10" x14ac:dyDescent="0.25">
      <c r="A7525" t="s">
        <v>7692</v>
      </c>
      <c r="B7525" t="s">
        <v>152</v>
      </c>
      <c r="C7525" t="s">
        <v>127</v>
      </c>
      <c r="D7525" t="s">
        <v>88</v>
      </c>
      <c r="E7525" t="s">
        <v>159</v>
      </c>
      <c r="F7525" s="1">
        <v>43022</v>
      </c>
      <c r="G7525" s="1">
        <v>43100</v>
      </c>
      <c r="H7525">
        <v>0</v>
      </c>
      <c r="I7525" t="str">
        <f>IF(COUNTIF(Products!$A$2:$A$8,C7525)=0,C7525,"")</f>
        <v/>
      </c>
      <c r="J7525">
        <f>IF(OR(E7525="Prospecting",E7525="Engaging"),VLOOKUP(C7525,Products!$A$2:$C$8,3,FALSE),0)</f>
        <v>0</v>
      </c>
    </row>
    <row r="7526" spans="1:10" x14ac:dyDescent="0.25">
      <c r="A7526" t="s">
        <v>7693</v>
      </c>
      <c r="B7526" t="s">
        <v>166</v>
      </c>
      <c r="C7526" t="s">
        <v>125</v>
      </c>
      <c r="D7526" t="s">
        <v>78</v>
      </c>
      <c r="E7526" t="s">
        <v>159</v>
      </c>
      <c r="F7526" s="1">
        <v>43022</v>
      </c>
      <c r="G7526" s="1">
        <v>43031</v>
      </c>
      <c r="H7526">
        <v>0</v>
      </c>
      <c r="I7526" t="str">
        <f>IF(COUNTIF(Products!$A$2:$A$8,C7526)=0,C7526,"")</f>
        <v/>
      </c>
      <c r="J7526">
        <f>IF(OR(E7526="Prospecting",E7526="Engaging"),VLOOKUP(C7526,Products!$A$2:$C$8,3,FALSE),0)</f>
        <v>0</v>
      </c>
    </row>
    <row r="7527" spans="1:10" x14ac:dyDescent="0.25">
      <c r="A7527" t="s">
        <v>7694</v>
      </c>
      <c r="B7527" t="s">
        <v>169</v>
      </c>
      <c r="C7527" t="s">
        <v>123</v>
      </c>
      <c r="D7527" t="s">
        <v>91</v>
      </c>
      <c r="E7527" t="s">
        <v>138</v>
      </c>
      <c r="F7527" s="1">
        <v>43022</v>
      </c>
      <c r="G7527" s="1">
        <v>43030</v>
      </c>
      <c r="H7527">
        <v>58</v>
      </c>
      <c r="I7527" t="str">
        <f>IF(COUNTIF(Products!$A$2:$A$8,C7527)=0,C7527,"")</f>
        <v/>
      </c>
      <c r="J7527">
        <f>IF(OR(E7527="Prospecting",E7527="Engaging"),VLOOKUP(C7527,Products!$A$2:$C$8,3,FALSE),0)</f>
        <v>0</v>
      </c>
    </row>
    <row r="7528" spans="1:10" x14ac:dyDescent="0.25">
      <c r="A7528" t="s">
        <v>7695</v>
      </c>
      <c r="B7528" t="s">
        <v>148</v>
      </c>
      <c r="C7528" t="s">
        <v>126</v>
      </c>
      <c r="E7528" t="s">
        <v>155</v>
      </c>
      <c r="F7528" s="1">
        <v>43022</v>
      </c>
      <c r="I7528" t="str">
        <f>IF(COUNTIF(Products!$A$2:$A$8,C7528)=0,C7528,"")</f>
        <v/>
      </c>
      <c r="J7528">
        <f>IF(OR(E7528="Prospecting",E7528="Engaging"),VLOOKUP(C7528,Products!$A$2:$C$8,3,FALSE),0)</f>
        <v>5482</v>
      </c>
    </row>
    <row r="7529" spans="1:10" x14ac:dyDescent="0.25">
      <c r="A7529" t="s">
        <v>7696</v>
      </c>
      <c r="B7529" t="s">
        <v>148</v>
      </c>
      <c r="C7529" t="s">
        <v>123</v>
      </c>
      <c r="D7529" t="s">
        <v>57</v>
      </c>
      <c r="E7529" t="s">
        <v>159</v>
      </c>
      <c r="F7529" s="1">
        <v>43022</v>
      </c>
      <c r="G7529" s="1">
        <v>43040</v>
      </c>
      <c r="H7529">
        <v>0</v>
      </c>
      <c r="I7529" t="str">
        <f>IF(COUNTIF(Products!$A$2:$A$8,C7529)=0,C7529,"")</f>
        <v/>
      </c>
      <c r="J7529">
        <f>IF(OR(E7529="Prospecting",E7529="Engaging"),VLOOKUP(C7529,Products!$A$2:$C$8,3,FALSE),0)</f>
        <v>0</v>
      </c>
    </row>
    <row r="7530" spans="1:10" x14ac:dyDescent="0.25">
      <c r="A7530" t="s">
        <v>7697</v>
      </c>
      <c r="B7530" t="s">
        <v>144</v>
      </c>
      <c r="C7530" t="s">
        <v>126</v>
      </c>
      <c r="D7530" t="s">
        <v>60</v>
      </c>
      <c r="E7530" t="s">
        <v>159</v>
      </c>
      <c r="F7530" s="1">
        <v>43022</v>
      </c>
      <c r="G7530" s="1">
        <v>43031</v>
      </c>
      <c r="H7530">
        <v>0</v>
      </c>
      <c r="I7530" t="str">
        <f>IF(COUNTIF(Products!$A$2:$A$8,C7530)=0,C7530,"")</f>
        <v/>
      </c>
      <c r="J7530">
        <f>IF(OR(E7530="Prospecting",E7530="Engaging"),VLOOKUP(C7530,Products!$A$2:$C$8,3,FALSE),0)</f>
        <v>0</v>
      </c>
    </row>
    <row r="7531" spans="1:10" x14ac:dyDescent="0.25">
      <c r="A7531" t="s">
        <v>7698</v>
      </c>
      <c r="B7531" t="s">
        <v>144</v>
      </c>
      <c r="C7531" t="s">
        <v>122</v>
      </c>
      <c r="D7531" t="s">
        <v>107</v>
      </c>
      <c r="E7531" t="s">
        <v>138</v>
      </c>
      <c r="F7531" s="1">
        <v>43022</v>
      </c>
      <c r="G7531" s="1">
        <v>43023</v>
      </c>
      <c r="H7531">
        <v>4882</v>
      </c>
      <c r="I7531" t="str">
        <f>IF(COUNTIF(Products!$A$2:$A$8,C7531)=0,C7531,"")</f>
        <v/>
      </c>
      <c r="J7531">
        <f>IF(OR(E7531="Prospecting",E7531="Engaging"),VLOOKUP(C7531,Products!$A$2:$C$8,3,FALSE),0)</f>
        <v>0</v>
      </c>
    </row>
    <row r="7532" spans="1:10" x14ac:dyDescent="0.25">
      <c r="A7532" t="s">
        <v>7699</v>
      </c>
      <c r="B7532" t="s">
        <v>146</v>
      </c>
      <c r="C7532" t="s">
        <v>123</v>
      </c>
      <c r="D7532" t="s">
        <v>64</v>
      </c>
      <c r="E7532" t="s">
        <v>159</v>
      </c>
      <c r="F7532" s="1">
        <v>43023</v>
      </c>
      <c r="G7532" s="1">
        <v>43032</v>
      </c>
      <c r="H7532">
        <v>0</v>
      </c>
      <c r="I7532" t="str">
        <f>IF(COUNTIF(Products!$A$2:$A$8,C7532)=0,C7532,"")</f>
        <v/>
      </c>
      <c r="J7532">
        <f>IF(OR(E7532="Prospecting",E7532="Engaging"),VLOOKUP(C7532,Products!$A$2:$C$8,3,FALSE),0)</f>
        <v>0</v>
      </c>
    </row>
    <row r="7533" spans="1:10" x14ac:dyDescent="0.25">
      <c r="A7533" t="s">
        <v>7700</v>
      </c>
      <c r="B7533" t="s">
        <v>207</v>
      </c>
      <c r="C7533" t="s">
        <v>122</v>
      </c>
      <c r="D7533" t="s">
        <v>103</v>
      </c>
      <c r="E7533" t="s">
        <v>155</v>
      </c>
      <c r="F7533" s="1">
        <v>43023</v>
      </c>
      <c r="I7533" t="str">
        <f>IF(COUNTIF(Products!$A$2:$A$8,C7533)=0,C7533,"")</f>
        <v/>
      </c>
      <c r="J7533">
        <f>IF(OR(E7533="Prospecting",E7533="Engaging"),VLOOKUP(C7533,Products!$A$2:$C$8,3,FALSE),0)</f>
        <v>4821</v>
      </c>
    </row>
    <row r="7534" spans="1:10" x14ac:dyDescent="0.25">
      <c r="A7534" t="s">
        <v>7701</v>
      </c>
      <c r="B7534" t="s">
        <v>207</v>
      </c>
      <c r="C7534" t="s">
        <v>126</v>
      </c>
      <c r="D7534" t="s">
        <v>115</v>
      </c>
      <c r="E7534" t="s">
        <v>159</v>
      </c>
      <c r="F7534" s="1">
        <v>43023</v>
      </c>
      <c r="G7534" s="1">
        <v>43032</v>
      </c>
      <c r="H7534">
        <v>0</v>
      </c>
      <c r="I7534" t="str">
        <f>IF(COUNTIF(Products!$A$2:$A$8,C7534)=0,C7534,"")</f>
        <v/>
      </c>
      <c r="J7534">
        <f>IF(OR(E7534="Prospecting",E7534="Engaging"),VLOOKUP(C7534,Products!$A$2:$C$8,3,FALSE),0)</f>
        <v>0</v>
      </c>
    </row>
    <row r="7535" spans="1:10" x14ac:dyDescent="0.25">
      <c r="A7535" t="s">
        <v>7702</v>
      </c>
      <c r="B7535" t="s">
        <v>264</v>
      </c>
      <c r="C7535" t="s">
        <v>125</v>
      </c>
      <c r="D7535" t="s">
        <v>96</v>
      </c>
      <c r="E7535" t="s">
        <v>159</v>
      </c>
      <c r="F7535" s="1">
        <v>43023</v>
      </c>
      <c r="G7535" s="1">
        <v>43024</v>
      </c>
      <c r="H7535">
        <v>0</v>
      </c>
      <c r="I7535" t="str">
        <f>IF(COUNTIF(Products!$A$2:$A$8,C7535)=0,C7535,"")</f>
        <v/>
      </c>
      <c r="J7535">
        <f>IF(OR(E7535="Prospecting",E7535="Engaging"),VLOOKUP(C7535,Products!$A$2:$C$8,3,FALSE),0)</f>
        <v>0</v>
      </c>
    </row>
    <row r="7536" spans="1:10" x14ac:dyDescent="0.25">
      <c r="A7536" t="s">
        <v>7703</v>
      </c>
      <c r="B7536" t="s">
        <v>171</v>
      </c>
      <c r="C7536" t="s">
        <v>126</v>
      </c>
      <c r="D7536" t="s">
        <v>48</v>
      </c>
      <c r="E7536" t="s">
        <v>159</v>
      </c>
      <c r="F7536" s="1">
        <v>43023</v>
      </c>
      <c r="G7536" s="1">
        <v>43033</v>
      </c>
      <c r="H7536">
        <v>0</v>
      </c>
      <c r="I7536" t="str">
        <f>IF(COUNTIF(Products!$A$2:$A$8,C7536)=0,C7536,"")</f>
        <v/>
      </c>
      <c r="J7536">
        <f>IF(OR(E7536="Prospecting",E7536="Engaging"),VLOOKUP(C7536,Products!$A$2:$C$8,3,FALSE),0)</f>
        <v>0</v>
      </c>
    </row>
    <row r="7537" spans="1:10" x14ac:dyDescent="0.25">
      <c r="A7537" t="s">
        <v>7704</v>
      </c>
      <c r="B7537" t="s">
        <v>171</v>
      </c>
      <c r="C7537" t="s">
        <v>122</v>
      </c>
      <c r="D7537" t="s">
        <v>68</v>
      </c>
      <c r="E7537" t="s">
        <v>138</v>
      </c>
      <c r="F7537" s="1">
        <v>43023</v>
      </c>
      <c r="G7537" s="1">
        <v>43040</v>
      </c>
      <c r="H7537">
        <v>5113</v>
      </c>
      <c r="I7537" t="str">
        <f>IF(COUNTIF(Products!$A$2:$A$8,C7537)=0,C7537,"")</f>
        <v/>
      </c>
      <c r="J7537">
        <f>IF(OR(E7537="Prospecting",E7537="Engaging"),VLOOKUP(C7537,Products!$A$2:$C$8,3,FALSE),0)</f>
        <v>0</v>
      </c>
    </row>
    <row r="7538" spans="1:10" x14ac:dyDescent="0.25">
      <c r="A7538" t="s">
        <v>7705</v>
      </c>
      <c r="B7538" t="s">
        <v>140</v>
      </c>
      <c r="C7538" t="s">
        <v>127</v>
      </c>
      <c r="D7538" t="s">
        <v>88</v>
      </c>
      <c r="E7538" t="s">
        <v>138</v>
      </c>
      <c r="F7538" s="1">
        <v>43023</v>
      </c>
      <c r="G7538" s="1">
        <v>43024</v>
      </c>
      <c r="H7538">
        <v>1154</v>
      </c>
      <c r="I7538" t="str">
        <f>IF(COUNTIF(Products!$A$2:$A$8,C7538)=0,C7538,"")</f>
        <v/>
      </c>
      <c r="J7538">
        <f>IF(OR(E7538="Prospecting",E7538="Engaging"),VLOOKUP(C7538,Products!$A$2:$C$8,3,FALSE),0)</f>
        <v>0</v>
      </c>
    </row>
    <row r="7539" spans="1:10" x14ac:dyDescent="0.25">
      <c r="A7539" t="s">
        <v>7706</v>
      </c>
      <c r="B7539" t="s">
        <v>140</v>
      </c>
      <c r="C7539" t="s">
        <v>122</v>
      </c>
      <c r="D7539" t="s">
        <v>36</v>
      </c>
      <c r="E7539" t="s">
        <v>138</v>
      </c>
      <c r="F7539" s="1">
        <v>43023</v>
      </c>
      <c r="G7539" s="1">
        <v>43024</v>
      </c>
      <c r="H7539">
        <v>4885</v>
      </c>
      <c r="I7539" t="str">
        <f>IF(COUNTIF(Products!$A$2:$A$8,C7539)=0,C7539,"")</f>
        <v/>
      </c>
      <c r="J7539">
        <f>IF(OR(E7539="Prospecting",E7539="Engaging"),VLOOKUP(C7539,Products!$A$2:$C$8,3,FALSE),0)</f>
        <v>0</v>
      </c>
    </row>
    <row r="7540" spans="1:10" x14ac:dyDescent="0.25">
      <c r="A7540" t="s">
        <v>7707</v>
      </c>
      <c r="B7540" t="s">
        <v>140</v>
      </c>
      <c r="C7540" t="s">
        <v>122</v>
      </c>
      <c r="D7540" t="s">
        <v>96</v>
      </c>
      <c r="E7540" t="s">
        <v>138</v>
      </c>
      <c r="F7540" s="1">
        <v>43023</v>
      </c>
      <c r="G7540" s="1">
        <v>43024</v>
      </c>
      <c r="H7540">
        <v>4936</v>
      </c>
      <c r="I7540" t="str">
        <f>IF(COUNTIF(Products!$A$2:$A$8,C7540)=0,C7540,"")</f>
        <v/>
      </c>
      <c r="J7540">
        <f>IF(OR(E7540="Prospecting",E7540="Engaging"),VLOOKUP(C7540,Products!$A$2:$C$8,3,FALSE),0)</f>
        <v>0</v>
      </c>
    </row>
    <row r="7541" spans="1:10" x14ac:dyDescent="0.25">
      <c r="A7541" t="s">
        <v>7708</v>
      </c>
      <c r="B7541" t="s">
        <v>224</v>
      </c>
      <c r="C7541" t="s">
        <v>127</v>
      </c>
      <c r="D7541" t="s">
        <v>27</v>
      </c>
      <c r="E7541" t="s">
        <v>138</v>
      </c>
      <c r="F7541" s="1">
        <v>43023</v>
      </c>
      <c r="G7541" s="1">
        <v>43036</v>
      </c>
      <c r="H7541">
        <v>1062</v>
      </c>
      <c r="I7541" t="str">
        <f>IF(COUNTIF(Products!$A$2:$A$8,C7541)=0,C7541,"")</f>
        <v/>
      </c>
      <c r="J7541">
        <f>IF(OR(E7541="Prospecting",E7541="Engaging"),VLOOKUP(C7541,Products!$A$2:$C$8,3,FALSE),0)</f>
        <v>0</v>
      </c>
    </row>
    <row r="7542" spans="1:10" x14ac:dyDescent="0.25">
      <c r="A7542" t="s">
        <v>7709</v>
      </c>
      <c r="B7542" t="s">
        <v>158</v>
      </c>
      <c r="C7542" t="s">
        <v>122</v>
      </c>
      <c r="D7542" t="s">
        <v>26</v>
      </c>
      <c r="E7542" t="s">
        <v>159</v>
      </c>
      <c r="F7542" s="1">
        <v>43023</v>
      </c>
      <c r="G7542" s="1">
        <v>43027</v>
      </c>
      <c r="H7542">
        <v>0</v>
      </c>
      <c r="I7542" t="str">
        <f>IF(COUNTIF(Products!$A$2:$A$8,C7542)=0,C7542,"")</f>
        <v/>
      </c>
      <c r="J7542">
        <f>IF(OR(E7542="Prospecting",E7542="Engaging"),VLOOKUP(C7542,Products!$A$2:$C$8,3,FALSE),0)</f>
        <v>0</v>
      </c>
    </row>
    <row r="7543" spans="1:10" x14ac:dyDescent="0.25">
      <c r="A7543" t="s">
        <v>7710</v>
      </c>
      <c r="B7543" t="s">
        <v>164</v>
      </c>
      <c r="C7543" t="s">
        <v>123</v>
      </c>
      <c r="D7543" t="s">
        <v>39</v>
      </c>
      <c r="E7543" t="s">
        <v>159</v>
      </c>
      <c r="F7543" s="1">
        <v>43023</v>
      </c>
      <c r="G7543" s="1">
        <v>43029</v>
      </c>
      <c r="H7543">
        <v>0</v>
      </c>
      <c r="I7543" t="str">
        <f>IF(COUNTIF(Products!$A$2:$A$8,C7543)=0,C7543,"")</f>
        <v/>
      </c>
      <c r="J7543">
        <f>IF(OR(E7543="Prospecting",E7543="Engaging"),VLOOKUP(C7543,Products!$A$2:$C$8,3,FALSE),0)</f>
        <v>0</v>
      </c>
    </row>
    <row r="7544" spans="1:10" x14ac:dyDescent="0.25">
      <c r="A7544" t="s">
        <v>7711</v>
      </c>
      <c r="B7544" t="s">
        <v>164</v>
      </c>
      <c r="C7544" t="s">
        <v>127</v>
      </c>
      <c r="D7544" t="s">
        <v>59</v>
      </c>
      <c r="E7544" t="s">
        <v>138</v>
      </c>
      <c r="F7544" s="1">
        <v>43023</v>
      </c>
      <c r="G7544" s="1">
        <v>43089</v>
      </c>
      <c r="H7544">
        <v>954</v>
      </c>
      <c r="I7544" t="str">
        <f>IF(COUNTIF(Products!$A$2:$A$8,C7544)=0,C7544,"")</f>
        <v/>
      </c>
      <c r="J7544">
        <f>IF(OR(E7544="Prospecting",E7544="Engaging"),VLOOKUP(C7544,Products!$A$2:$C$8,3,FALSE),0)</f>
        <v>0</v>
      </c>
    </row>
    <row r="7545" spans="1:10" x14ac:dyDescent="0.25">
      <c r="A7545" t="s">
        <v>7712</v>
      </c>
      <c r="B7545" t="s">
        <v>191</v>
      </c>
      <c r="C7545" t="s">
        <v>120</v>
      </c>
      <c r="D7545" t="s">
        <v>44</v>
      </c>
      <c r="E7545" t="s">
        <v>159</v>
      </c>
      <c r="F7545" s="1">
        <v>43023</v>
      </c>
      <c r="G7545" s="1">
        <v>43031</v>
      </c>
      <c r="H7545">
        <v>0</v>
      </c>
      <c r="I7545" t="str">
        <f>IF(COUNTIF(Products!$A$2:$A$8,C7545)=0,C7545,"")</f>
        <v/>
      </c>
      <c r="J7545">
        <f>IF(OR(E7545="Prospecting",E7545="Engaging"),VLOOKUP(C7545,Products!$A$2:$C$8,3,FALSE),0)</f>
        <v>0</v>
      </c>
    </row>
    <row r="7546" spans="1:10" x14ac:dyDescent="0.25">
      <c r="A7546" t="s">
        <v>7713</v>
      </c>
      <c r="B7546" t="s">
        <v>191</v>
      </c>
      <c r="C7546" t="s">
        <v>120</v>
      </c>
      <c r="D7546" t="s">
        <v>69</v>
      </c>
      <c r="E7546" t="s">
        <v>159</v>
      </c>
      <c r="F7546" s="1">
        <v>43023</v>
      </c>
      <c r="G7546" s="1">
        <v>43034</v>
      </c>
      <c r="H7546">
        <v>0</v>
      </c>
      <c r="I7546" t="str">
        <f>IF(COUNTIF(Products!$A$2:$A$8,C7546)=0,C7546,"")</f>
        <v/>
      </c>
      <c r="J7546">
        <f>IF(OR(E7546="Prospecting",E7546="Engaging"),VLOOKUP(C7546,Products!$A$2:$C$8,3,FALSE),0)</f>
        <v>0</v>
      </c>
    </row>
    <row r="7547" spans="1:10" x14ac:dyDescent="0.25">
      <c r="A7547" t="s">
        <v>7714</v>
      </c>
      <c r="B7547" t="s">
        <v>191</v>
      </c>
      <c r="C7547" t="s">
        <v>127</v>
      </c>
      <c r="D7547" t="s">
        <v>107</v>
      </c>
      <c r="E7547" t="s">
        <v>138</v>
      </c>
      <c r="F7547" s="1">
        <v>43023</v>
      </c>
      <c r="G7547" s="1">
        <v>43024</v>
      </c>
      <c r="H7547">
        <v>868</v>
      </c>
      <c r="I7547" t="str">
        <f>IF(COUNTIF(Products!$A$2:$A$8,C7547)=0,C7547,"")</f>
        <v/>
      </c>
      <c r="J7547">
        <f>IF(OR(E7547="Prospecting",E7547="Engaging"),VLOOKUP(C7547,Products!$A$2:$C$8,3,FALSE),0)</f>
        <v>0</v>
      </c>
    </row>
    <row r="7548" spans="1:10" x14ac:dyDescent="0.25">
      <c r="A7548" t="s">
        <v>7715</v>
      </c>
      <c r="B7548" t="s">
        <v>191</v>
      </c>
      <c r="C7548" t="s">
        <v>126</v>
      </c>
      <c r="D7548" t="s">
        <v>34</v>
      </c>
      <c r="E7548" t="s">
        <v>138</v>
      </c>
      <c r="F7548" s="1">
        <v>43023</v>
      </c>
      <c r="G7548" s="1">
        <v>43065</v>
      </c>
      <c r="H7548">
        <v>5867</v>
      </c>
      <c r="I7548" t="str">
        <f>IF(COUNTIF(Products!$A$2:$A$8,C7548)=0,C7548,"")</f>
        <v/>
      </c>
      <c r="J7548">
        <f>IF(OR(E7548="Prospecting",E7548="Engaging"),VLOOKUP(C7548,Products!$A$2:$C$8,3,FALSE),0)</f>
        <v>0</v>
      </c>
    </row>
    <row r="7549" spans="1:10" x14ac:dyDescent="0.25">
      <c r="A7549" t="s">
        <v>7716</v>
      </c>
      <c r="B7549" t="s">
        <v>191</v>
      </c>
      <c r="C7549" t="s">
        <v>122</v>
      </c>
      <c r="D7549" t="s">
        <v>38</v>
      </c>
      <c r="E7549" t="s">
        <v>138</v>
      </c>
      <c r="F7549" s="1">
        <v>43023</v>
      </c>
      <c r="G7549" s="1">
        <v>43024</v>
      </c>
      <c r="H7549">
        <v>5344</v>
      </c>
      <c r="I7549" t="str">
        <f>IF(COUNTIF(Products!$A$2:$A$8,C7549)=0,C7549,"")</f>
        <v/>
      </c>
      <c r="J7549">
        <f>IF(OR(E7549="Prospecting",E7549="Engaging"),VLOOKUP(C7549,Products!$A$2:$C$8,3,FALSE),0)</f>
        <v>0</v>
      </c>
    </row>
    <row r="7550" spans="1:10" x14ac:dyDescent="0.25">
      <c r="A7550" t="s">
        <v>7717</v>
      </c>
      <c r="B7550" t="s">
        <v>217</v>
      </c>
      <c r="C7550" t="s">
        <v>123</v>
      </c>
      <c r="D7550" t="s">
        <v>30</v>
      </c>
      <c r="E7550" t="s">
        <v>159</v>
      </c>
      <c r="F7550" s="1">
        <v>43023</v>
      </c>
      <c r="G7550" s="1">
        <v>43029</v>
      </c>
      <c r="H7550">
        <v>0</v>
      </c>
      <c r="I7550" t="str">
        <f>IF(COUNTIF(Products!$A$2:$A$8,C7550)=0,C7550,"")</f>
        <v/>
      </c>
      <c r="J7550">
        <f>IF(OR(E7550="Prospecting",E7550="Engaging"),VLOOKUP(C7550,Products!$A$2:$C$8,3,FALSE),0)</f>
        <v>0</v>
      </c>
    </row>
    <row r="7551" spans="1:10" x14ac:dyDescent="0.25">
      <c r="A7551" t="s">
        <v>7718</v>
      </c>
      <c r="B7551" t="s">
        <v>205</v>
      </c>
      <c r="C7551" t="s">
        <v>126</v>
      </c>
      <c r="D7551" t="s">
        <v>53</v>
      </c>
      <c r="E7551" t="s">
        <v>159</v>
      </c>
      <c r="F7551" s="1">
        <v>43023</v>
      </c>
      <c r="G7551" s="1">
        <v>43032</v>
      </c>
      <c r="H7551">
        <v>0</v>
      </c>
      <c r="I7551" t="str">
        <f>IF(COUNTIF(Products!$A$2:$A$8,C7551)=0,C7551,"")</f>
        <v/>
      </c>
      <c r="J7551">
        <f>IF(OR(E7551="Prospecting",E7551="Engaging"),VLOOKUP(C7551,Products!$A$2:$C$8,3,FALSE),0)</f>
        <v>0</v>
      </c>
    </row>
    <row r="7552" spans="1:10" x14ac:dyDescent="0.25">
      <c r="A7552" t="s">
        <v>7719</v>
      </c>
      <c r="B7552" t="s">
        <v>205</v>
      </c>
      <c r="C7552" t="s">
        <v>122</v>
      </c>
      <c r="D7552" t="s">
        <v>96</v>
      </c>
      <c r="E7552" t="s">
        <v>159</v>
      </c>
      <c r="F7552" s="1">
        <v>43023</v>
      </c>
      <c r="G7552" s="1">
        <v>43031</v>
      </c>
      <c r="H7552">
        <v>0</v>
      </c>
      <c r="I7552" t="str">
        <f>IF(COUNTIF(Products!$A$2:$A$8,C7552)=0,C7552,"")</f>
        <v/>
      </c>
      <c r="J7552">
        <f>IF(OR(E7552="Prospecting",E7552="Engaging"),VLOOKUP(C7552,Products!$A$2:$C$8,3,FALSE),0)</f>
        <v>0</v>
      </c>
    </row>
    <row r="7553" spans="1:10" x14ac:dyDescent="0.25">
      <c r="A7553" t="s">
        <v>7720</v>
      </c>
      <c r="B7553" t="s">
        <v>137</v>
      </c>
      <c r="C7553" t="s">
        <v>126</v>
      </c>
      <c r="D7553" t="s">
        <v>26</v>
      </c>
      <c r="E7553" t="s">
        <v>138</v>
      </c>
      <c r="F7553" s="1">
        <v>43023</v>
      </c>
      <c r="G7553" s="1">
        <v>43031</v>
      </c>
      <c r="H7553">
        <v>5449</v>
      </c>
      <c r="I7553" t="str">
        <f>IF(COUNTIF(Products!$A$2:$A$8,C7553)=0,C7553,"")</f>
        <v/>
      </c>
      <c r="J7553">
        <f>IF(OR(E7553="Prospecting",E7553="Engaging"),VLOOKUP(C7553,Products!$A$2:$C$8,3,FALSE),0)</f>
        <v>0</v>
      </c>
    </row>
    <row r="7554" spans="1:10" x14ac:dyDescent="0.25">
      <c r="A7554" t="s">
        <v>7721</v>
      </c>
      <c r="B7554" t="s">
        <v>193</v>
      </c>
      <c r="C7554" t="s">
        <v>125</v>
      </c>
      <c r="D7554" t="s">
        <v>102</v>
      </c>
      <c r="E7554" t="s">
        <v>159</v>
      </c>
      <c r="F7554" s="1">
        <v>43023</v>
      </c>
      <c r="G7554" s="1">
        <v>43096</v>
      </c>
      <c r="H7554">
        <v>0</v>
      </c>
      <c r="I7554" t="str">
        <f>IF(COUNTIF(Products!$A$2:$A$8,C7554)=0,C7554,"")</f>
        <v/>
      </c>
      <c r="J7554">
        <f>IF(OR(E7554="Prospecting",E7554="Engaging"),VLOOKUP(C7554,Products!$A$2:$C$8,3,FALSE),0)</f>
        <v>0</v>
      </c>
    </row>
    <row r="7555" spans="1:10" x14ac:dyDescent="0.25">
      <c r="A7555" t="s">
        <v>7722</v>
      </c>
      <c r="B7555" t="s">
        <v>193</v>
      </c>
      <c r="C7555" t="s">
        <v>126</v>
      </c>
      <c r="D7555" t="s">
        <v>63</v>
      </c>
      <c r="E7555" t="s">
        <v>138</v>
      </c>
      <c r="F7555" s="1">
        <v>43023</v>
      </c>
      <c r="G7555" s="1">
        <v>43067</v>
      </c>
      <c r="H7555">
        <v>4500</v>
      </c>
      <c r="I7555" t="str">
        <f>IF(COUNTIF(Products!$A$2:$A$8,C7555)=0,C7555,"")</f>
        <v/>
      </c>
      <c r="J7555">
        <f>IF(OR(E7555="Prospecting",E7555="Engaging"),VLOOKUP(C7555,Products!$A$2:$C$8,3,FALSE),0)</f>
        <v>0</v>
      </c>
    </row>
    <row r="7556" spans="1:10" x14ac:dyDescent="0.25">
      <c r="A7556" t="s">
        <v>7723</v>
      </c>
      <c r="B7556" t="s">
        <v>169</v>
      </c>
      <c r="C7556" t="s">
        <v>123</v>
      </c>
      <c r="D7556" t="s">
        <v>32</v>
      </c>
      <c r="E7556" t="s">
        <v>159</v>
      </c>
      <c r="F7556" s="1">
        <v>43023</v>
      </c>
      <c r="G7556" s="1">
        <v>43033</v>
      </c>
      <c r="H7556">
        <v>0</v>
      </c>
      <c r="I7556" t="str">
        <f>IF(COUNTIF(Products!$A$2:$A$8,C7556)=0,C7556,"")</f>
        <v/>
      </c>
      <c r="J7556">
        <f>IF(OR(E7556="Prospecting",E7556="Engaging"),VLOOKUP(C7556,Products!$A$2:$C$8,3,FALSE),0)</f>
        <v>0</v>
      </c>
    </row>
    <row r="7557" spans="1:10" x14ac:dyDescent="0.25">
      <c r="A7557" t="s">
        <v>7724</v>
      </c>
      <c r="B7557" t="s">
        <v>196</v>
      </c>
      <c r="C7557" t="s">
        <v>123</v>
      </c>
      <c r="D7557" t="s">
        <v>98</v>
      </c>
      <c r="E7557" t="s">
        <v>138</v>
      </c>
      <c r="F7557" s="1">
        <v>43023</v>
      </c>
      <c r="G7557" s="1">
        <v>43031</v>
      </c>
      <c r="H7557">
        <v>51</v>
      </c>
      <c r="I7557" t="str">
        <f>IF(COUNTIF(Products!$A$2:$A$8,C7557)=0,C7557,"")</f>
        <v/>
      </c>
      <c r="J7557">
        <f>IF(OR(E7557="Prospecting",E7557="Engaging"),VLOOKUP(C7557,Products!$A$2:$C$8,3,FALSE),0)</f>
        <v>0</v>
      </c>
    </row>
    <row r="7558" spans="1:10" x14ac:dyDescent="0.25">
      <c r="A7558" t="s">
        <v>7725</v>
      </c>
      <c r="B7558" t="s">
        <v>144</v>
      </c>
      <c r="C7558" t="s">
        <v>126</v>
      </c>
      <c r="D7558" t="s">
        <v>29</v>
      </c>
      <c r="E7558" t="s">
        <v>138</v>
      </c>
      <c r="F7558" s="1">
        <v>43023</v>
      </c>
      <c r="G7558" s="1">
        <v>43031</v>
      </c>
      <c r="H7558">
        <v>6637</v>
      </c>
      <c r="I7558" t="str">
        <f>IF(COUNTIF(Products!$A$2:$A$8,C7558)=0,C7558,"")</f>
        <v/>
      </c>
      <c r="J7558">
        <f>IF(OR(E7558="Prospecting",E7558="Engaging"),VLOOKUP(C7558,Products!$A$2:$C$8,3,FALSE),0)</f>
        <v>0</v>
      </c>
    </row>
    <row r="7559" spans="1:10" x14ac:dyDescent="0.25">
      <c r="A7559" t="s">
        <v>7726</v>
      </c>
      <c r="B7559" t="s">
        <v>146</v>
      </c>
      <c r="C7559" t="s">
        <v>123</v>
      </c>
      <c r="D7559" t="s">
        <v>94</v>
      </c>
      <c r="E7559" t="s">
        <v>138</v>
      </c>
      <c r="F7559" s="1">
        <v>43024</v>
      </c>
      <c r="G7559" s="1">
        <v>43082</v>
      </c>
      <c r="H7559">
        <v>57</v>
      </c>
      <c r="I7559" t="str">
        <f>IF(COUNTIF(Products!$A$2:$A$8,C7559)=0,C7559,"")</f>
        <v/>
      </c>
      <c r="J7559">
        <f>IF(OR(E7559="Prospecting",E7559="Engaging"),VLOOKUP(C7559,Products!$A$2:$C$8,3,FALSE),0)</f>
        <v>0</v>
      </c>
    </row>
    <row r="7560" spans="1:10" x14ac:dyDescent="0.25">
      <c r="A7560" t="s">
        <v>7727</v>
      </c>
      <c r="B7560" t="s">
        <v>264</v>
      </c>
      <c r="C7560" t="s">
        <v>127</v>
      </c>
      <c r="D7560" t="s">
        <v>95</v>
      </c>
      <c r="E7560" t="s">
        <v>138</v>
      </c>
      <c r="F7560" s="1">
        <v>43024</v>
      </c>
      <c r="G7560" s="1">
        <v>43042</v>
      </c>
      <c r="H7560">
        <v>990</v>
      </c>
      <c r="I7560" t="str">
        <f>IF(COUNTIF(Products!$A$2:$A$8,C7560)=0,C7560,"")</f>
        <v/>
      </c>
      <c r="J7560">
        <f>IF(OR(E7560="Prospecting",E7560="Engaging"),VLOOKUP(C7560,Products!$A$2:$C$8,3,FALSE),0)</f>
        <v>0</v>
      </c>
    </row>
    <row r="7561" spans="1:10" x14ac:dyDescent="0.25">
      <c r="A7561" t="s">
        <v>7728</v>
      </c>
      <c r="B7561" t="s">
        <v>239</v>
      </c>
      <c r="C7561" t="s">
        <v>122</v>
      </c>
      <c r="D7561" t="s">
        <v>112</v>
      </c>
      <c r="E7561" t="s">
        <v>138</v>
      </c>
      <c r="F7561" s="1">
        <v>43024</v>
      </c>
      <c r="G7561" s="1">
        <v>43025</v>
      </c>
      <c r="H7561">
        <v>4247</v>
      </c>
      <c r="I7561" t="str">
        <f>IF(COUNTIF(Products!$A$2:$A$8,C7561)=0,C7561,"")</f>
        <v/>
      </c>
      <c r="J7561">
        <f>IF(OR(E7561="Prospecting",E7561="Engaging"),VLOOKUP(C7561,Products!$A$2:$C$8,3,FALSE),0)</f>
        <v>0</v>
      </c>
    </row>
    <row r="7562" spans="1:10" x14ac:dyDescent="0.25">
      <c r="A7562" t="s">
        <v>7729</v>
      </c>
      <c r="B7562" t="s">
        <v>171</v>
      </c>
      <c r="C7562" t="s">
        <v>127</v>
      </c>
      <c r="D7562" t="s">
        <v>98</v>
      </c>
      <c r="E7562" t="s">
        <v>138</v>
      </c>
      <c r="F7562" s="1">
        <v>43024</v>
      </c>
      <c r="G7562" s="1">
        <v>43094</v>
      </c>
      <c r="H7562">
        <v>1008</v>
      </c>
      <c r="I7562" t="str">
        <f>IF(COUNTIF(Products!$A$2:$A$8,C7562)=0,C7562,"")</f>
        <v/>
      </c>
      <c r="J7562">
        <f>IF(OR(E7562="Prospecting",E7562="Engaging"),VLOOKUP(C7562,Products!$A$2:$C$8,3,FALSE),0)</f>
        <v>0</v>
      </c>
    </row>
    <row r="7563" spans="1:10" x14ac:dyDescent="0.25">
      <c r="A7563" t="s">
        <v>7730</v>
      </c>
      <c r="B7563" t="s">
        <v>140</v>
      </c>
      <c r="C7563" t="s">
        <v>122</v>
      </c>
      <c r="D7563" t="s">
        <v>94</v>
      </c>
      <c r="E7563" t="s">
        <v>159</v>
      </c>
      <c r="F7563" s="1">
        <v>43024</v>
      </c>
      <c r="G7563" s="1">
        <v>43027</v>
      </c>
      <c r="H7563">
        <v>0</v>
      </c>
      <c r="I7563" t="str">
        <f>IF(COUNTIF(Products!$A$2:$A$8,C7563)=0,C7563,"")</f>
        <v/>
      </c>
      <c r="J7563">
        <f>IF(OR(E7563="Prospecting",E7563="Engaging"),VLOOKUP(C7563,Products!$A$2:$C$8,3,FALSE),0)</f>
        <v>0</v>
      </c>
    </row>
    <row r="7564" spans="1:10" x14ac:dyDescent="0.25">
      <c r="A7564" t="s">
        <v>7731</v>
      </c>
      <c r="B7564" t="s">
        <v>140</v>
      </c>
      <c r="C7564" t="s">
        <v>123</v>
      </c>
      <c r="D7564" t="s">
        <v>116</v>
      </c>
      <c r="E7564" t="s">
        <v>159</v>
      </c>
      <c r="F7564" s="1">
        <v>43024</v>
      </c>
      <c r="G7564" s="1">
        <v>43025</v>
      </c>
      <c r="H7564">
        <v>0</v>
      </c>
      <c r="I7564" t="str">
        <f>IF(COUNTIF(Products!$A$2:$A$8,C7564)=0,C7564,"")</f>
        <v/>
      </c>
      <c r="J7564">
        <f>IF(OR(E7564="Prospecting",E7564="Engaging"),VLOOKUP(C7564,Products!$A$2:$C$8,3,FALSE),0)</f>
        <v>0</v>
      </c>
    </row>
    <row r="7565" spans="1:10" x14ac:dyDescent="0.25">
      <c r="A7565" t="s">
        <v>7732</v>
      </c>
      <c r="B7565" t="s">
        <v>140</v>
      </c>
      <c r="C7565" t="s">
        <v>122</v>
      </c>
      <c r="D7565" t="s">
        <v>88</v>
      </c>
      <c r="E7565" t="s">
        <v>138</v>
      </c>
      <c r="F7565" s="1">
        <v>43024</v>
      </c>
      <c r="G7565" s="1">
        <v>43033</v>
      </c>
      <c r="H7565">
        <v>4834</v>
      </c>
      <c r="I7565" t="str">
        <f>IF(COUNTIF(Products!$A$2:$A$8,C7565)=0,C7565,"")</f>
        <v/>
      </c>
      <c r="J7565">
        <f>IF(OR(E7565="Prospecting",E7565="Engaging"),VLOOKUP(C7565,Products!$A$2:$C$8,3,FALSE),0)</f>
        <v>0</v>
      </c>
    </row>
    <row r="7566" spans="1:10" x14ac:dyDescent="0.25">
      <c r="A7566" t="s">
        <v>7733</v>
      </c>
      <c r="B7566" t="s">
        <v>140</v>
      </c>
      <c r="C7566" t="s">
        <v>125</v>
      </c>
      <c r="D7566" t="s">
        <v>28</v>
      </c>
      <c r="E7566" t="s">
        <v>138</v>
      </c>
      <c r="F7566" s="1">
        <v>43024</v>
      </c>
      <c r="G7566" s="1">
        <v>43025</v>
      </c>
      <c r="H7566">
        <v>3490</v>
      </c>
      <c r="I7566" t="str">
        <f>IF(COUNTIF(Products!$A$2:$A$8,C7566)=0,C7566,"")</f>
        <v/>
      </c>
      <c r="J7566">
        <f>IF(OR(E7566="Prospecting",E7566="Engaging"),VLOOKUP(C7566,Products!$A$2:$C$8,3,FALSE),0)</f>
        <v>0</v>
      </c>
    </row>
    <row r="7567" spans="1:10" x14ac:dyDescent="0.25">
      <c r="A7567" t="s">
        <v>7734</v>
      </c>
      <c r="B7567" t="s">
        <v>224</v>
      </c>
      <c r="C7567" t="s">
        <v>120</v>
      </c>
      <c r="D7567" t="s">
        <v>63</v>
      </c>
      <c r="E7567" t="s">
        <v>159</v>
      </c>
      <c r="F7567" s="1">
        <v>43024</v>
      </c>
      <c r="G7567" s="1">
        <v>43034</v>
      </c>
      <c r="H7567">
        <v>0</v>
      </c>
      <c r="I7567" t="str">
        <f>IF(COUNTIF(Products!$A$2:$A$8,C7567)=0,C7567,"")</f>
        <v/>
      </c>
      <c r="J7567">
        <f>IF(OR(E7567="Prospecting",E7567="Engaging"),VLOOKUP(C7567,Products!$A$2:$C$8,3,FALSE),0)</f>
        <v>0</v>
      </c>
    </row>
    <row r="7568" spans="1:10" x14ac:dyDescent="0.25">
      <c r="A7568" t="s">
        <v>7735</v>
      </c>
      <c r="B7568" t="s">
        <v>158</v>
      </c>
      <c r="C7568" t="s">
        <v>123</v>
      </c>
      <c r="D7568" t="s">
        <v>26</v>
      </c>
      <c r="E7568" t="s">
        <v>159</v>
      </c>
      <c r="F7568" s="1">
        <v>43024</v>
      </c>
      <c r="G7568" s="1">
        <v>43032</v>
      </c>
      <c r="H7568">
        <v>0</v>
      </c>
      <c r="I7568" t="str">
        <f>IF(COUNTIF(Products!$A$2:$A$8,C7568)=0,C7568,"")</f>
        <v/>
      </c>
      <c r="J7568">
        <f>IF(OR(E7568="Prospecting",E7568="Engaging"),VLOOKUP(C7568,Products!$A$2:$C$8,3,FALSE),0)</f>
        <v>0</v>
      </c>
    </row>
    <row r="7569" spans="1:10" x14ac:dyDescent="0.25">
      <c r="A7569" t="s">
        <v>7736</v>
      </c>
      <c r="B7569" t="s">
        <v>164</v>
      </c>
      <c r="C7569" t="s">
        <v>125</v>
      </c>
      <c r="D7569" t="s">
        <v>23</v>
      </c>
      <c r="E7569" t="s">
        <v>138</v>
      </c>
      <c r="F7569" s="1">
        <v>43024</v>
      </c>
      <c r="G7569" s="1">
        <v>43028</v>
      </c>
      <c r="H7569">
        <v>3744</v>
      </c>
      <c r="I7569" t="str">
        <f>IF(COUNTIF(Products!$A$2:$A$8,C7569)=0,C7569,"")</f>
        <v/>
      </c>
      <c r="J7569">
        <f>IF(OR(E7569="Prospecting",E7569="Engaging"),VLOOKUP(C7569,Products!$A$2:$C$8,3,FALSE),0)</f>
        <v>0</v>
      </c>
    </row>
    <row r="7570" spans="1:10" x14ac:dyDescent="0.25">
      <c r="A7570" t="s">
        <v>7737</v>
      </c>
      <c r="B7570" t="s">
        <v>180</v>
      </c>
      <c r="C7570" t="s">
        <v>122</v>
      </c>
      <c r="D7570" t="s">
        <v>41</v>
      </c>
      <c r="E7570" t="s">
        <v>159</v>
      </c>
      <c r="F7570" s="1">
        <v>43024</v>
      </c>
      <c r="G7570" s="1">
        <v>43030</v>
      </c>
      <c r="H7570">
        <v>0</v>
      </c>
      <c r="I7570" t="str">
        <f>IF(COUNTIF(Products!$A$2:$A$8,C7570)=0,C7570,"")</f>
        <v/>
      </c>
      <c r="J7570">
        <f>IF(OR(E7570="Prospecting",E7570="Engaging"),VLOOKUP(C7570,Products!$A$2:$C$8,3,FALSE),0)</f>
        <v>0</v>
      </c>
    </row>
    <row r="7571" spans="1:10" x14ac:dyDescent="0.25">
      <c r="A7571" t="s">
        <v>7738</v>
      </c>
      <c r="B7571" t="s">
        <v>191</v>
      </c>
      <c r="C7571" t="s">
        <v>120</v>
      </c>
      <c r="D7571" t="s">
        <v>39</v>
      </c>
      <c r="E7571" t="s">
        <v>159</v>
      </c>
      <c r="F7571" s="1">
        <v>43024</v>
      </c>
      <c r="G7571" s="1">
        <v>43034</v>
      </c>
      <c r="H7571">
        <v>0</v>
      </c>
      <c r="I7571" t="str">
        <f>IF(COUNTIF(Products!$A$2:$A$8,C7571)=0,C7571,"")</f>
        <v/>
      </c>
      <c r="J7571">
        <f>IF(OR(E7571="Prospecting",E7571="Engaging"),VLOOKUP(C7571,Products!$A$2:$C$8,3,FALSE),0)</f>
        <v>0</v>
      </c>
    </row>
    <row r="7572" spans="1:10" x14ac:dyDescent="0.25">
      <c r="A7572" t="s">
        <v>7739</v>
      </c>
      <c r="B7572" t="s">
        <v>191</v>
      </c>
      <c r="C7572" t="s">
        <v>120</v>
      </c>
      <c r="D7572" t="s">
        <v>93</v>
      </c>
      <c r="E7572" t="s">
        <v>159</v>
      </c>
      <c r="F7572" s="1">
        <v>43024</v>
      </c>
      <c r="G7572" s="1">
        <v>43029</v>
      </c>
      <c r="H7572">
        <v>0</v>
      </c>
      <c r="I7572" t="str">
        <f>IF(COUNTIF(Products!$A$2:$A$8,C7572)=0,C7572,"")</f>
        <v/>
      </c>
      <c r="J7572">
        <f>IF(OR(E7572="Prospecting",E7572="Engaging"),VLOOKUP(C7572,Products!$A$2:$C$8,3,FALSE),0)</f>
        <v>0</v>
      </c>
    </row>
    <row r="7573" spans="1:10" x14ac:dyDescent="0.25">
      <c r="A7573" t="s">
        <v>7740</v>
      </c>
      <c r="B7573" t="s">
        <v>191</v>
      </c>
      <c r="C7573" t="s">
        <v>120</v>
      </c>
      <c r="D7573" t="s">
        <v>75</v>
      </c>
      <c r="E7573" t="s">
        <v>138</v>
      </c>
      <c r="F7573" s="1">
        <v>43024</v>
      </c>
      <c r="G7573" s="1">
        <v>43051</v>
      </c>
      <c r="H7573">
        <v>591</v>
      </c>
      <c r="I7573" t="str">
        <f>IF(COUNTIF(Products!$A$2:$A$8,C7573)=0,C7573,"")</f>
        <v/>
      </c>
      <c r="J7573">
        <f>IF(OR(E7573="Prospecting",E7573="Engaging"),VLOOKUP(C7573,Products!$A$2:$C$8,3,FALSE),0)</f>
        <v>0</v>
      </c>
    </row>
    <row r="7574" spans="1:10" x14ac:dyDescent="0.25">
      <c r="A7574" t="s">
        <v>7741</v>
      </c>
      <c r="B7574" t="s">
        <v>191</v>
      </c>
      <c r="C7574" t="s">
        <v>123</v>
      </c>
      <c r="D7574" t="s">
        <v>29</v>
      </c>
      <c r="E7574" t="s">
        <v>138</v>
      </c>
      <c r="F7574" s="1">
        <v>43024</v>
      </c>
      <c r="G7574" s="1">
        <v>43032</v>
      </c>
      <c r="H7574">
        <v>48</v>
      </c>
      <c r="I7574" t="str">
        <f>IF(COUNTIF(Products!$A$2:$A$8,C7574)=0,C7574,"")</f>
        <v/>
      </c>
      <c r="J7574">
        <f>IF(OR(E7574="Prospecting",E7574="Engaging"),VLOOKUP(C7574,Products!$A$2:$C$8,3,FALSE),0)</f>
        <v>0</v>
      </c>
    </row>
    <row r="7575" spans="1:10" x14ac:dyDescent="0.25">
      <c r="A7575" t="s">
        <v>7742</v>
      </c>
      <c r="B7575" t="s">
        <v>150</v>
      </c>
      <c r="C7575" t="s">
        <v>127</v>
      </c>
      <c r="D7575" t="s">
        <v>47</v>
      </c>
      <c r="E7575" t="s">
        <v>138</v>
      </c>
      <c r="F7575" s="1">
        <v>43024</v>
      </c>
      <c r="G7575" s="1">
        <v>43031</v>
      </c>
      <c r="H7575">
        <v>1060</v>
      </c>
      <c r="I7575" t="str">
        <f>IF(COUNTIF(Products!$A$2:$A$8,C7575)=0,C7575,"")</f>
        <v/>
      </c>
      <c r="J7575">
        <f>IF(OR(E7575="Prospecting",E7575="Engaging"),VLOOKUP(C7575,Products!$A$2:$C$8,3,FALSE),0)</f>
        <v>0</v>
      </c>
    </row>
    <row r="7576" spans="1:10" x14ac:dyDescent="0.25">
      <c r="A7576" t="s">
        <v>7743</v>
      </c>
      <c r="B7576" t="s">
        <v>205</v>
      </c>
      <c r="C7576" t="s">
        <v>127</v>
      </c>
      <c r="D7576" t="s">
        <v>61</v>
      </c>
      <c r="E7576" t="s">
        <v>159</v>
      </c>
      <c r="F7576" s="1">
        <v>43024</v>
      </c>
      <c r="G7576" s="1">
        <v>43029</v>
      </c>
      <c r="H7576">
        <v>0</v>
      </c>
      <c r="I7576" t="str">
        <f>IF(COUNTIF(Products!$A$2:$A$8,C7576)=0,C7576,"")</f>
        <v/>
      </c>
      <c r="J7576">
        <f>IF(OR(E7576="Prospecting",E7576="Engaging"),VLOOKUP(C7576,Products!$A$2:$C$8,3,FALSE),0)</f>
        <v>0</v>
      </c>
    </row>
    <row r="7577" spans="1:10" x14ac:dyDescent="0.25">
      <c r="A7577" t="s">
        <v>7744</v>
      </c>
      <c r="B7577" t="s">
        <v>137</v>
      </c>
      <c r="C7577" t="s">
        <v>120</v>
      </c>
      <c r="D7577" t="s">
        <v>12</v>
      </c>
      <c r="E7577" t="s">
        <v>138</v>
      </c>
      <c r="F7577" s="1">
        <v>43024</v>
      </c>
      <c r="G7577" s="1">
        <v>43036</v>
      </c>
      <c r="H7577">
        <v>562</v>
      </c>
      <c r="I7577" t="str">
        <f>IF(COUNTIF(Products!$A$2:$A$8,C7577)=0,C7577,"")</f>
        <v/>
      </c>
      <c r="J7577">
        <f>IF(OR(E7577="Prospecting",E7577="Engaging"),VLOOKUP(C7577,Products!$A$2:$C$8,3,FALSE),0)</f>
        <v>0</v>
      </c>
    </row>
    <row r="7578" spans="1:10" x14ac:dyDescent="0.25">
      <c r="A7578" t="s">
        <v>7745</v>
      </c>
      <c r="B7578" t="s">
        <v>152</v>
      </c>
      <c r="C7578" t="s">
        <v>127</v>
      </c>
      <c r="D7578" t="s">
        <v>61</v>
      </c>
      <c r="E7578" t="s">
        <v>159</v>
      </c>
      <c r="F7578" s="1">
        <v>43024</v>
      </c>
      <c r="G7578" s="1">
        <v>43058</v>
      </c>
      <c r="H7578">
        <v>0</v>
      </c>
      <c r="I7578" t="str">
        <f>IF(COUNTIF(Products!$A$2:$A$8,C7578)=0,C7578,"")</f>
        <v/>
      </c>
      <c r="J7578">
        <f>IF(OR(E7578="Prospecting",E7578="Engaging"),VLOOKUP(C7578,Products!$A$2:$C$8,3,FALSE),0)</f>
        <v>0</v>
      </c>
    </row>
    <row r="7579" spans="1:10" x14ac:dyDescent="0.25">
      <c r="A7579" t="s">
        <v>7746</v>
      </c>
      <c r="B7579" t="s">
        <v>187</v>
      </c>
      <c r="C7579" t="s">
        <v>122</v>
      </c>
      <c r="D7579" t="s">
        <v>106</v>
      </c>
      <c r="E7579" t="s">
        <v>159</v>
      </c>
      <c r="F7579" s="1">
        <v>43024</v>
      </c>
      <c r="G7579" s="1">
        <v>43026</v>
      </c>
      <c r="H7579">
        <v>0</v>
      </c>
      <c r="I7579" t="str">
        <f>IF(COUNTIF(Products!$A$2:$A$8,C7579)=0,C7579,"")</f>
        <v/>
      </c>
      <c r="J7579">
        <f>IF(OR(E7579="Prospecting",E7579="Engaging"),VLOOKUP(C7579,Products!$A$2:$C$8,3,FALSE),0)</f>
        <v>0</v>
      </c>
    </row>
    <row r="7580" spans="1:10" x14ac:dyDescent="0.25">
      <c r="A7580" t="s">
        <v>7747</v>
      </c>
      <c r="B7580" t="s">
        <v>169</v>
      </c>
      <c r="C7580" t="s">
        <v>123</v>
      </c>
      <c r="D7580" t="s">
        <v>64</v>
      </c>
      <c r="E7580" t="s">
        <v>138</v>
      </c>
      <c r="F7580" s="1">
        <v>43024</v>
      </c>
      <c r="G7580" s="1">
        <v>43025</v>
      </c>
      <c r="H7580">
        <v>57</v>
      </c>
      <c r="I7580" t="str">
        <f>IF(COUNTIF(Products!$A$2:$A$8,C7580)=0,C7580,"")</f>
        <v/>
      </c>
      <c r="J7580">
        <f>IF(OR(E7580="Prospecting",E7580="Engaging"),VLOOKUP(C7580,Products!$A$2:$C$8,3,FALSE),0)</f>
        <v>0</v>
      </c>
    </row>
    <row r="7581" spans="1:10" x14ac:dyDescent="0.25">
      <c r="A7581" t="s">
        <v>7748</v>
      </c>
      <c r="B7581" t="s">
        <v>148</v>
      </c>
      <c r="C7581" t="s">
        <v>120</v>
      </c>
      <c r="D7581" t="s">
        <v>57</v>
      </c>
      <c r="E7581" t="s">
        <v>138</v>
      </c>
      <c r="F7581" s="1">
        <v>43024</v>
      </c>
      <c r="G7581" s="1">
        <v>43090</v>
      </c>
      <c r="H7581">
        <v>535</v>
      </c>
      <c r="I7581" t="str">
        <f>IF(COUNTIF(Products!$A$2:$A$8,C7581)=0,C7581,"")</f>
        <v/>
      </c>
      <c r="J7581">
        <f>IF(OR(E7581="Prospecting",E7581="Engaging"),VLOOKUP(C7581,Products!$A$2:$C$8,3,FALSE),0)</f>
        <v>0</v>
      </c>
    </row>
    <row r="7582" spans="1:10" x14ac:dyDescent="0.25">
      <c r="A7582" t="s">
        <v>7749</v>
      </c>
      <c r="B7582" t="s">
        <v>148</v>
      </c>
      <c r="C7582" t="s">
        <v>122</v>
      </c>
      <c r="D7582" t="s">
        <v>27</v>
      </c>
      <c r="E7582" t="s">
        <v>138</v>
      </c>
      <c r="F7582" s="1">
        <v>43024</v>
      </c>
      <c r="G7582" s="1">
        <v>43033</v>
      </c>
      <c r="H7582">
        <v>4580</v>
      </c>
      <c r="I7582" t="str">
        <f>IF(COUNTIF(Products!$A$2:$A$8,C7582)=0,C7582,"")</f>
        <v/>
      </c>
      <c r="J7582">
        <f>IF(OR(E7582="Prospecting",E7582="Engaging"),VLOOKUP(C7582,Products!$A$2:$C$8,3,FALSE),0)</f>
        <v>0</v>
      </c>
    </row>
    <row r="7583" spans="1:10" x14ac:dyDescent="0.25">
      <c r="A7583" t="s">
        <v>7750</v>
      </c>
      <c r="B7583" t="s">
        <v>148</v>
      </c>
      <c r="C7583" t="s">
        <v>123</v>
      </c>
      <c r="D7583" t="s">
        <v>72</v>
      </c>
      <c r="E7583" t="s">
        <v>138</v>
      </c>
      <c r="F7583" s="1">
        <v>43024</v>
      </c>
      <c r="G7583" s="1">
        <v>43026</v>
      </c>
      <c r="H7583">
        <v>56</v>
      </c>
      <c r="I7583" t="str">
        <f>IF(COUNTIF(Products!$A$2:$A$8,C7583)=0,C7583,"")</f>
        <v/>
      </c>
      <c r="J7583">
        <f>IF(OR(E7583="Prospecting",E7583="Engaging"),VLOOKUP(C7583,Products!$A$2:$C$8,3,FALSE),0)</f>
        <v>0</v>
      </c>
    </row>
    <row r="7584" spans="1:10" x14ac:dyDescent="0.25">
      <c r="A7584" t="s">
        <v>7751</v>
      </c>
      <c r="B7584" t="s">
        <v>177</v>
      </c>
      <c r="C7584" t="s">
        <v>120</v>
      </c>
      <c r="E7584" t="s">
        <v>155</v>
      </c>
      <c r="F7584" s="1">
        <v>43024</v>
      </c>
      <c r="I7584" t="str">
        <f>IF(COUNTIF(Products!$A$2:$A$8,C7584)=0,C7584,"")</f>
        <v/>
      </c>
      <c r="J7584">
        <f>IF(OR(E7584="Prospecting",E7584="Engaging"),VLOOKUP(C7584,Products!$A$2:$C$8,3,FALSE),0)</f>
        <v>550</v>
      </c>
    </row>
    <row r="7585" spans="1:10" x14ac:dyDescent="0.25">
      <c r="A7585" t="s">
        <v>7752</v>
      </c>
      <c r="B7585" t="s">
        <v>177</v>
      </c>
      <c r="C7585" t="s">
        <v>127</v>
      </c>
      <c r="E7585" t="s">
        <v>155</v>
      </c>
      <c r="F7585" s="1">
        <v>43024</v>
      </c>
      <c r="I7585" t="str">
        <f>IF(COUNTIF(Products!$A$2:$A$8,C7585)=0,C7585,"")</f>
        <v/>
      </c>
      <c r="J7585">
        <f>IF(OR(E7585="Prospecting",E7585="Engaging"),VLOOKUP(C7585,Products!$A$2:$C$8,3,FALSE),0)</f>
        <v>1096</v>
      </c>
    </row>
    <row r="7586" spans="1:10" x14ac:dyDescent="0.25">
      <c r="A7586" t="s">
        <v>7753</v>
      </c>
      <c r="B7586" t="s">
        <v>144</v>
      </c>
      <c r="C7586" t="s">
        <v>126</v>
      </c>
      <c r="D7586" t="s">
        <v>56</v>
      </c>
      <c r="E7586" t="s">
        <v>138</v>
      </c>
      <c r="F7586" s="1">
        <v>43024</v>
      </c>
      <c r="G7586" s="1">
        <v>43031</v>
      </c>
      <c r="H7586">
        <v>4942</v>
      </c>
      <c r="I7586" t="str">
        <f>IF(COUNTIF(Products!$A$2:$A$8,C7586)=0,C7586,"")</f>
        <v/>
      </c>
      <c r="J7586">
        <f>IF(OR(E7586="Prospecting",E7586="Engaging"),VLOOKUP(C7586,Products!$A$2:$C$8,3,FALSE),0)</f>
        <v>0</v>
      </c>
    </row>
    <row r="7587" spans="1:10" x14ac:dyDescent="0.25">
      <c r="A7587" t="s">
        <v>7754</v>
      </c>
      <c r="B7587" t="s">
        <v>146</v>
      </c>
      <c r="C7587" t="s">
        <v>123</v>
      </c>
      <c r="D7587" t="s">
        <v>30</v>
      </c>
      <c r="E7587" t="s">
        <v>138</v>
      </c>
      <c r="F7587" s="1">
        <v>43025</v>
      </c>
      <c r="G7587" s="1">
        <v>43031</v>
      </c>
      <c r="H7587">
        <v>55</v>
      </c>
      <c r="I7587" t="str">
        <f>IF(COUNTIF(Products!$A$2:$A$8,C7587)=0,C7587,"")</f>
        <v/>
      </c>
      <c r="J7587">
        <f>IF(OR(E7587="Prospecting",E7587="Engaging"),VLOOKUP(C7587,Products!$A$2:$C$8,3,FALSE),0)</f>
        <v>0</v>
      </c>
    </row>
    <row r="7588" spans="1:10" x14ac:dyDescent="0.25">
      <c r="A7588" t="s">
        <v>7755</v>
      </c>
      <c r="B7588" t="s">
        <v>222</v>
      </c>
      <c r="C7588" t="s">
        <v>126</v>
      </c>
      <c r="D7588" t="s">
        <v>110</v>
      </c>
      <c r="E7588" t="s">
        <v>159</v>
      </c>
      <c r="F7588" s="1">
        <v>43025</v>
      </c>
      <c r="G7588" s="1">
        <v>43033</v>
      </c>
      <c r="H7588">
        <v>0</v>
      </c>
      <c r="I7588" t="str">
        <f>IF(COUNTIF(Products!$A$2:$A$8,C7588)=0,C7588,"")</f>
        <v/>
      </c>
      <c r="J7588">
        <f>IF(OR(E7588="Prospecting",E7588="Engaging"),VLOOKUP(C7588,Products!$A$2:$C$8,3,FALSE),0)</f>
        <v>0</v>
      </c>
    </row>
    <row r="7589" spans="1:10" x14ac:dyDescent="0.25">
      <c r="A7589" t="s">
        <v>7756</v>
      </c>
      <c r="B7589" t="s">
        <v>207</v>
      </c>
      <c r="C7589" t="s">
        <v>122</v>
      </c>
      <c r="D7589" t="s">
        <v>108</v>
      </c>
      <c r="E7589" t="s">
        <v>138</v>
      </c>
      <c r="F7589" s="1">
        <v>43025</v>
      </c>
      <c r="G7589" s="1">
        <v>43037</v>
      </c>
      <c r="H7589">
        <v>5144</v>
      </c>
      <c r="I7589" t="str">
        <f>IF(COUNTIF(Products!$A$2:$A$8,C7589)=0,C7589,"")</f>
        <v/>
      </c>
      <c r="J7589">
        <f>IF(OR(E7589="Prospecting",E7589="Engaging"),VLOOKUP(C7589,Products!$A$2:$C$8,3,FALSE),0)</f>
        <v>0</v>
      </c>
    </row>
    <row r="7590" spans="1:10" x14ac:dyDescent="0.25">
      <c r="A7590" t="s">
        <v>7757</v>
      </c>
      <c r="B7590" t="s">
        <v>239</v>
      </c>
      <c r="C7590" t="s">
        <v>125</v>
      </c>
      <c r="D7590" t="s">
        <v>84</v>
      </c>
      <c r="E7590" t="s">
        <v>159</v>
      </c>
      <c r="F7590" s="1">
        <v>43025</v>
      </c>
      <c r="G7590" s="1">
        <v>43082</v>
      </c>
      <c r="H7590">
        <v>0</v>
      </c>
      <c r="I7590" t="str">
        <f>IF(COUNTIF(Products!$A$2:$A$8,C7590)=0,C7590,"")</f>
        <v/>
      </c>
      <c r="J7590">
        <f>IF(OR(E7590="Prospecting",E7590="Engaging"),VLOOKUP(C7590,Products!$A$2:$C$8,3,FALSE),0)</f>
        <v>0</v>
      </c>
    </row>
    <row r="7591" spans="1:10" x14ac:dyDescent="0.25">
      <c r="A7591" t="s">
        <v>7758</v>
      </c>
      <c r="B7591" t="s">
        <v>140</v>
      </c>
      <c r="C7591" t="s">
        <v>122</v>
      </c>
      <c r="D7591" t="s">
        <v>89</v>
      </c>
      <c r="E7591" t="s">
        <v>159</v>
      </c>
      <c r="F7591" s="1">
        <v>43025</v>
      </c>
      <c r="G7591" s="1">
        <v>43032</v>
      </c>
      <c r="H7591">
        <v>0</v>
      </c>
      <c r="I7591" t="str">
        <f>IF(COUNTIF(Products!$A$2:$A$8,C7591)=0,C7591,"")</f>
        <v/>
      </c>
      <c r="J7591">
        <f>IF(OR(E7591="Prospecting",E7591="Engaging"),VLOOKUP(C7591,Products!$A$2:$C$8,3,FALSE),0)</f>
        <v>0</v>
      </c>
    </row>
    <row r="7592" spans="1:10" x14ac:dyDescent="0.25">
      <c r="A7592" t="s">
        <v>7759</v>
      </c>
      <c r="B7592" t="s">
        <v>140</v>
      </c>
      <c r="C7592" t="s">
        <v>122</v>
      </c>
      <c r="D7592" t="s">
        <v>22</v>
      </c>
      <c r="E7592" t="s">
        <v>138</v>
      </c>
      <c r="F7592" s="1">
        <v>43025</v>
      </c>
      <c r="G7592" s="1">
        <v>43031</v>
      </c>
      <c r="H7592">
        <v>5458</v>
      </c>
      <c r="I7592" t="str">
        <f>IF(COUNTIF(Products!$A$2:$A$8,C7592)=0,C7592,"")</f>
        <v/>
      </c>
      <c r="J7592">
        <f>IF(OR(E7592="Prospecting",E7592="Engaging"),VLOOKUP(C7592,Products!$A$2:$C$8,3,FALSE),0)</f>
        <v>0</v>
      </c>
    </row>
    <row r="7593" spans="1:10" x14ac:dyDescent="0.25">
      <c r="A7593" t="s">
        <v>7760</v>
      </c>
      <c r="B7593" t="s">
        <v>158</v>
      </c>
      <c r="C7593" t="s">
        <v>122</v>
      </c>
      <c r="D7593" t="s">
        <v>89</v>
      </c>
      <c r="E7593" t="s">
        <v>159</v>
      </c>
      <c r="F7593" s="1">
        <v>43025</v>
      </c>
      <c r="G7593" s="1">
        <v>43031</v>
      </c>
      <c r="H7593">
        <v>0</v>
      </c>
      <c r="I7593" t="str">
        <f>IF(COUNTIF(Products!$A$2:$A$8,C7593)=0,C7593,"")</f>
        <v/>
      </c>
      <c r="J7593">
        <f>IF(OR(E7593="Prospecting",E7593="Engaging"),VLOOKUP(C7593,Products!$A$2:$C$8,3,FALSE),0)</f>
        <v>0</v>
      </c>
    </row>
    <row r="7594" spans="1:10" x14ac:dyDescent="0.25">
      <c r="A7594" t="s">
        <v>7761</v>
      </c>
      <c r="B7594" t="s">
        <v>303</v>
      </c>
      <c r="C7594" t="s">
        <v>122</v>
      </c>
      <c r="D7594" t="s">
        <v>94</v>
      </c>
      <c r="E7594" t="s">
        <v>138</v>
      </c>
      <c r="F7594" s="1">
        <v>43025</v>
      </c>
      <c r="G7594" s="1">
        <v>43027</v>
      </c>
      <c r="H7594">
        <v>5046</v>
      </c>
      <c r="I7594" t="str">
        <f>IF(COUNTIF(Products!$A$2:$A$8,C7594)=0,C7594,"")</f>
        <v/>
      </c>
      <c r="J7594">
        <f>IF(OR(E7594="Prospecting",E7594="Engaging"),VLOOKUP(C7594,Products!$A$2:$C$8,3,FALSE),0)</f>
        <v>0</v>
      </c>
    </row>
    <row r="7595" spans="1:10" x14ac:dyDescent="0.25">
      <c r="A7595" t="s">
        <v>7762</v>
      </c>
      <c r="B7595" t="s">
        <v>180</v>
      </c>
      <c r="C7595" t="s">
        <v>127</v>
      </c>
      <c r="E7595" t="s">
        <v>155</v>
      </c>
      <c r="F7595" s="1">
        <v>43025</v>
      </c>
      <c r="I7595" t="str">
        <f>IF(COUNTIF(Products!$A$2:$A$8,C7595)=0,C7595,"")</f>
        <v/>
      </c>
      <c r="J7595">
        <f>IF(OR(E7595="Prospecting",E7595="Engaging"),VLOOKUP(C7595,Products!$A$2:$C$8,3,FALSE),0)</f>
        <v>1096</v>
      </c>
    </row>
    <row r="7596" spans="1:10" x14ac:dyDescent="0.25">
      <c r="A7596" t="s">
        <v>7763</v>
      </c>
      <c r="B7596" t="s">
        <v>180</v>
      </c>
      <c r="C7596" t="s">
        <v>122</v>
      </c>
      <c r="E7596" t="s">
        <v>155</v>
      </c>
      <c r="F7596" s="1">
        <v>43025</v>
      </c>
      <c r="I7596" t="str">
        <f>IF(COUNTIF(Products!$A$2:$A$8,C7596)=0,C7596,"")</f>
        <v/>
      </c>
      <c r="J7596">
        <f>IF(OR(E7596="Prospecting",E7596="Engaging"),VLOOKUP(C7596,Products!$A$2:$C$8,3,FALSE),0)</f>
        <v>4821</v>
      </c>
    </row>
    <row r="7597" spans="1:10" x14ac:dyDescent="0.25">
      <c r="A7597" t="s">
        <v>7764</v>
      </c>
      <c r="B7597" t="s">
        <v>150</v>
      </c>
      <c r="C7597" t="s">
        <v>120</v>
      </c>
      <c r="D7597" t="s">
        <v>60</v>
      </c>
      <c r="E7597" t="s">
        <v>159</v>
      </c>
      <c r="F7597" s="1">
        <v>43025</v>
      </c>
      <c r="G7597" s="1">
        <v>43031</v>
      </c>
      <c r="H7597">
        <v>0</v>
      </c>
      <c r="I7597" t="str">
        <f>IF(COUNTIF(Products!$A$2:$A$8,C7597)=0,C7597,"")</f>
        <v/>
      </c>
      <c r="J7597">
        <f>IF(OR(E7597="Prospecting",E7597="Engaging"),VLOOKUP(C7597,Products!$A$2:$C$8,3,FALSE),0)</f>
        <v>0</v>
      </c>
    </row>
    <row r="7598" spans="1:10" x14ac:dyDescent="0.25">
      <c r="A7598" t="s">
        <v>7765</v>
      </c>
      <c r="B7598" t="s">
        <v>150</v>
      </c>
      <c r="C7598" t="s">
        <v>123</v>
      </c>
      <c r="D7598" t="s">
        <v>56</v>
      </c>
      <c r="E7598" t="s">
        <v>159</v>
      </c>
      <c r="F7598" s="1">
        <v>43025</v>
      </c>
      <c r="G7598" s="1">
        <v>43034</v>
      </c>
      <c r="H7598">
        <v>0</v>
      </c>
      <c r="I7598" t="str">
        <f>IF(COUNTIF(Products!$A$2:$A$8,C7598)=0,C7598,"")</f>
        <v/>
      </c>
      <c r="J7598">
        <f>IF(OR(E7598="Prospecting",E7598="Engaging"),VLOOKUP(C7598,Products!$A$2:$C$8,3,FALSE),0)</f>
        <v>0</v>
      </c>
    </row>
    <row r="7599" spans="1:10" x14ac:dyDescent="0.25">
      <c r="A7599" t="s">
        <v>7766</v>
      </c>
      <c r="B7599" t="s">
        <v>150</v>
      </c>
      <c r="C7599" t="s">
        <v>123</v>
      </c>
      <c r="D7599" t="s">
        <v>75</v>
      </c>
      <c r="E7599" t="s">
        <v>159</v>
      </c>
      <c r="F7599" s="1">
        <v>43025</v>
      </c>
      <c r="G7599" s="1">
        <v>43034</v>
      </c>
      <c r="H7599">
        <v>0</v>
      </c>
      <c r="I7599" t="str">
        <f>IF(COUNTIF(Products!$A$2:$A$8,C7599)=0,C7599,"")</f>
        <v/>
      </c>
      <c r="J7599">
        <f>IF(OR(E7599="Prospecting",E7599="Engaging"),VLOOKUP(C7599,Products!$A$2:$C$8,3,FALSE),0)</f>
        <v>0</v>
      </c>
    </row>
    <row r="7600" spans="1:10" x14ac:dyDescent="0.25">
      <c r="A7600" t="s">
        <v>7767</v>
      </c>
      <c r="B7600" t="s">
        <v>205</v>
      </c>
      <c r="C7600" t="s">
        <v>123</v>
      </c>
      <c r="D7600" t="s">
        <v>30</v>
      </c>
      <c r="E7600" t="s">
        <v>138</v>
      </c>
      <c r="F7600" s="1">
        <v>43025</v>
      </c>
      <c r="G7600" s="1">
        <v>43034</v>
      </c>
      <c r="H7600">
        <v>64</v>
      </c>
      <c r="I7600" t="str">
        <f>IF(COUNTIF(Products!$A$2:$A$8,C7600)=0,C7600,"")</f>
        <v/>
      </c>
      <c r="J7600">
        <f>IF(OR(E7600="Prospecting",E7600="Engaging"),VLOOKUP(C7600,Products!$A$2:$C$8,3,FALSE),0)</f>
        <v>0</v>
      </c>
    </row>
    <row r="7601" spans="1:10" x14ac:dyDescent="0.25">
      <c r="A7601" t="s">
        <v>7768</v>
      </c>
      <c r="B7601" t="s">
        <v>169</v>
      </c>
      <c r="C7601" t="s">
        <v>123</v>
      </c>
      <c r="D7601" t="s">
        <v>12</v>
      </c>
      <c r="E7601" t="s">
        <v>138</v>
      </c>
      <c r="F7601" s="1">
        <v>43025</v>
      </c>
      <c r="G7601" s="1">
        <v>43035</v>
      </c>
      <c r="H7601">
        <v>54</v>
      </c>
      <c r="I7601" t="str">
        <f>IF(COUNTIF(Products!$A$2:$A$8,C7601)=0,C7601,"")</f>
        <v/>
      </c>
      <c r="J7601">
        <f>IF(OR(E7601="Prospecting",E7601="Engaging"),VLOOKUP(C7601,Products!$A$2:$C$8,3,FALSE),0)</f>
        <v>0</v>
      </c>
    </row>
    <row r="7602" spans="1:10" x14ac:dyDescent="0.25">
      <c r="A7602" t="s">
        <v>7769</v>
      </c>
      <c r="B7602" t="s">
        <v>148</v>
      </c>
      <c r="C7602" t="s">
        <v>123</v>
      </c>
      <c r="D7602" t="s">
        <v>107</v>
      </c>
      <c r="E7602" t="s">
        <v>138</v>
      </c>
      <c r="F7602" s="1">
        <v>43025</v>
      </c>
      <c r="G7602" s="1">
        <v>43034</v>
      </c>
      <c r="H7602">
        <v>68</v>
      </c>
      <c r="I7602" t="str">
        <f>IF(COUNTIF(Products!$A$2:$A$8,C7602)=0,C7602,"")</f>
        <v/>
      </c>
      <c r="J7602">
        <f>IF(OR(E7602="Prospecting",E7602="Engaging"),VLOOKUP(C7602,Products!$A$2:$C$8,3,FALSE),0)</f>
        <v>0</v>
      </c>
    </row>
    <row r="7603" spans="1:10" x14ac:dyDescent="0.25">
      <c r="A7603" t="s">
        <v>7770</v>
      </c>
      <c r="B7603" t="s">
        <v>177</v>
      </c>
      <c r="C7603" t="s">
        <v>127</v>
      </c>
      <c r="D7603" t="s">
        <v>10</v>
      </c>
      <c r="E7603" t="s">
        <v>159</v>
      </c>
      <c r="F7603" s="1">
        <v>43025</v>
      </c>
      <c r="G7603" s="1">
        <v>43026</v>
      </c>
      <c r="H7603">
        <v>0</v>
      </c>
      <c r="I7603" t="str">
        <f>IF(COUNTIF(Products!$A$2:$A$8,C7603)=0,C7603,"")</f>
        <v/>
      </c>
      <c r="J7603">
        <f>IF(OR(E7603="Prospecting",E7603="Engaging"),VLOOKUP(C7603,Products!$A$2:$C$8,3,FALSE),0)</f>
        <v>0</v>
      </c>
    </row>
    <row r="7604" spans="1:10" x14ac:dyDescent="0.25">
      <c r="A7604" t="s">
        <v>7771</v>
      </c>
      <c r="B7604" t="s">
        <v>177</v>
      </c>
      <c r="C7604" t="s">
        <v>123</v>
      </c>
      <c r="D7604" t="s">
        <v>102</v>
      </c>
      <c r="E7604" t="s">
        <v>159</v>
      </c>
      <c r="F7604" s="1">
        <v>43025</v>
      </c>
      <c r="G7604" s="1">
        <v>43026</v>
      </c>
      <c r="H7604">
        <v>0</v>
      </c>
      <c r="I7604" t="str">
        <f>IF(COUNTIF(Products!$A$2:$A$8,C7604)=0,C7604,"")</f>
        <v/>
      </c>
      <c r="J7604">
        <f>IF(OR(E7604="Prospecting",E7604="Engaging"),VLOOKUP(C7604,Products!$A$2:$C$8,3,FALSE),0)</f>
        <v>0</v>
      </c>
    </row>
    <row r="7605" spans="1:10" x14ac:dyDescent="0.25">
      <c r="A7605" t="s">
        <v>7772</v>
      </c>
      <c r="B7605" t="s">
        <v>196</v>
      </c>
      <c r="C7605" t="s">
        <v>123</v>
      </c>
      <c r="D7605" t="s">
        <v>25</v>
      </c>
      <c r="E7605" t="s">
        <v>159</v>
      </c>
      <c r="F7605" s="1">
        <v>43025</v>
      </c>
      <c r="G7605" s="1">
        <v>43027</v>
      </c>
      <c r="H7605">
        <v>0</v>
      </c>
      <c r="I7605" t="str">
        <f>IF(COUNTIF(Products!$A$2:$A$8,C7605)=0,C7605,"")</f>
        <v/>
      </c>
      <c r="J7605">
        <f>IF(OR(E7605="Prospecting",E7605="Engaging"),VLOOKUP(C7605,Products!$A$2:$C$8,3,FALSE),0)</f>
        <v>0</v>
      </c>
    </row>
    <row r="7606" spans="1:10" x14ac:dyDescent="0.25">
      <c r="A7606" t="s">
        <v>7773</v>
      </c>
      <c r="B7606" t="s">
        <v>144</v>
      </c>
      <c r="C7606" t="s">
        <v>127</v>
      </c>
      <c r="D7606" t="s">
        <v>67</v>
      </c>
      <c r="E7606" t="s">
        <v>138</v>
      </c>
      <c r="F7606" s="1">
        <v>43025</v>
      </c>
      <c r="G7606" s="1">
        <v>43079</v>
      </c>
      <c r="H7606">
        <v>1129</v>
      </c>
      <c r="I7606" t="str">
        <f>IF(COUNTIF(Products!$A$2:$A$8,C7606)=0,C7606,"")</f>
        <v/>
      </c>
      <c r="J7606">
        <f>IF(OR(E7606="Prospecting",E7606="Engaging"),VLOOKUP(C7606,Products!$A$2:$C$8,3,FALSE),0)</f>
        <v>0</v>
      </c>
    </row>
    <row r="7607" spans="1:10" x14ac:dyDescent="0.25">
      <c r="A7607" t="s">
        <v>7774</v>
      </c>
      <c r="B7607" t="s">
        <v>207</v>
      </c>
      <c r="C7607" t="s">
        <v>125</v>
      </c>
      <c r="D7607" t="s">
        <v>102</v>
      </c>
      <c r="E7607" t="s">
        <v>159</v>
      </c>
      <c r="F7607" s="1">
        <v>43026</v>
      </c>
      <c r="G7607" s="1">
        <v>43027</v>
      </c>
      <c r="H7607">
        <v>0</v>
      </c>
      <c r="I7607" t="str">
        <f>IF(COUNTIF(Products!$A$2:$A$8,C7607)=0,C7607,"")</f>
        <v/>
      </c>
      <c r="J7607">
        <f>IF(OR(E7607="Prospecting",E7607="Engaging"),VLOOKUP(C7607,Products!$A$2:$C$8,3,FALSE),0)</f>
        <v>0</v>
      </c>
    </row>
    <row r="7608" spans="1:10" x14ac:dyDescent="0.25">
      <c r="A7608" t="s">
        <v>7775</v>
      </c>
      <c r="B7608" t="s">
        <v>264</v>
      </c>
      <c r="C7608" t="s">
        <v>127</v>
      </c>
      <c r="D7608" t="s">
        <v>32</v>
      </c>
      <c r="E7608" t="s">
        <v>138</v>
      </c>
      <c r="F7608" s="1">
        <v>43026</v>
      </c>
      <c r="G7608" s="1">
        <v>43028</v>
      </c>
      <c r="H7608">
        <v>1200</v>
      </c>
      <c r="I7608" t="str">
        <f>IF(COUNTIF(Products!$A$2:$A$8,C7608)=0,C7608,"")</f>
        <v/>
      </c>
      <c r="J7608">
        <f>IF(OR(E7608="Prospecting",E7608="Engaging"),VLOOKUP(C7608,Products!$A$2:$C$8,3,FALSE),0)</f>
        <v>0</v>
      </c>
    </row>
    <row r="7609" spans="1:10" x14ac:dyDescent="0.25">
      <c r="A7609" t="s">
        <v>7776</v>
      </c>
      <c r="B7609" t="s">
        <v>264</v>
      </c>
      <c r="C7609" t="s">
        <v>125</v>
      </c>
      <c r="D7609" t="s">
        <v>53</v>
      </c>
      <c r="E7609" t="s">
        <v>138</v>
      </c>
      <c r="F7609" s="1">
        <v>43026</v>
      </c>
      <c r="G7609" s="1">
        <v>43088</v>
      </c>
      <c r="H7609">
        <v>3164</v>
      </c>
      <c r="I7609" t="str">
        <f>IF(COUNTIF(Products!$A$2:$A$8,C7609)=0,C7609,"")</f>
        <v/>
      </c>
      <c r="J7609">
        <f>IF(OR(E7609="Prospecting",E7609="Engaging"),VLOOKUP(C7609,Products!$A$2:$C$8,3,FALSE),0)</f>
        <v>0</v>
      </c>
    </row>
    <row r="7610" spans="1:10" x14ac:dyDescent="0.25">
      <c r="A7610" t="s">
        <v>7777</v>
      </c>
      <c r="B7610" t="s">
        <v>239</v>
      </c>
      <c r="C7610" t="s">
        <v>127</v>
      </c>
      <c r="D7610" t="s">
        <v>69</v>
      </c>
      <c r="E7610" t="s">
        <v>159</v>
      </c>
      <c r="F7610" s="1">
        <v>43026</v>
      </c>
      <c r="G7610" s="1">
        <v>43033</v>
      </c>
      <c r="H7610">
        <v>0</v>
      </c>
      <c r="I7610" t="str">
        <f>IF(COUNTIF(Products!$A$2:$A$8,C7610)=0,C7610,"")</f>
        <v/>
      </c>
      <c r="J7610">
        <f>IF(OR(E7610="Prospecting",E7610="Engaging"),VLOOKUP(C7610,Products!$A$2:$C$8,3,FALSE),0)</f>
        <v>0</v>
      </c>
    </row>
    <row r="7611" spans="1:10" x14ac:dyDescent="0.25">
      <c r="A7611" t="s">
        <v>7778</v>
      </c>
      <c r="B7611" t="s">
        <v>239</v>
      </c>
      <c r="C7611" t="s">
        <v>125</v>
      </c>
      <c r="D7611" t="s">
        <v>115</v>
      </c>
      <c r="E7611" t="s">
        <v>138</v>
      </c>
      <c r="F7611" s="1">
        <v>43026</v>
      </c>
      <c r="G7611" s="1">
        <v>43034</v>
      </c>
      <c r="H7611">
        <v>3225</v>
      </c>
      <c r="I7611" t="str">
        <f>IF(COUNTIF(Products!$A$2:$A$8,C7611)=0,C7611,"")</f>
        <v/>
      </c>
      <c r="J7611">
        <f>IF(OR(E7611="Prospecting",E7611="Engaging"),VLOOKUP(C7611,Products!$A$2:$C$8,3,FALSE),0)</f>
        <v>0</v>
      </c>
    </row>
    <row r="7612" spans="1:10" x14ac:dyDescent="0.25">
      <c r="A7612" t="s">
        <v>7779</v>
      </c>
      <c r="B7612" t="s">
        <v>171</v>
      </c>
      <c r="C7612" t="s">
        <v>127</v>
      </c>
      <c r="D7612" t="s">
        <v>25</v>
      </c>
      <c r="E7612" t="s">
        <v>159</v>
      </c>
      <c r="F7612" s="1">
        <v>43026</v>
      </c>
      <c r="G7612" s="1">
        <v>43044</v>
      </c>
      <c r="H7612">
        <v>0</v>
      </c>
      <c r="I7612" t="str">
        <f>IF(COUNTIF(Products!$A$2:$A$8,C7612)=0,C7612,"")</f>
        <v/>
      </c>
      <c r="J7612">
        <f>IF(OR(E7612="Prospecting",E7612="Engaging"),VLOOKUP(C7612,Products!$A$2:$C$8,3,FALSE),0)</f>
        <v>0</v>
      </c>
    </row>
    <row r="7613" spans="1:10" x14ac:dyDescent="0.25">
      <c r="A7613" t="s">
        <v>7780</v>
      </c>
      <c r="B7613" t="s">
        <v>140</v>
      </c>
      <c r="C7613" t="s">
        <v>122</v>
      </c>
      <c r="D7613" t="s">
        <v>85</v>
      </c>
      <c r="E7613" t="s">
        <v>138</v>
      </c>
      <c r="F7613" s="1">
        <v>43026</v>
      </c>
      <c r="G7613" s="1">
        <v>43028</v>
      </c>
      <c r="H7613">
        <v>4130</v>
      </c>
      <c r="I7613" t="str">
        <f>IF(COUNTIF(Products!$A$2:$A$8,C7613)=0,C7613,"")</f>
        <v/>
      </c>
      <c r="J7613">
        <f>IF(OR(E7613="Prospecting",E7613="Engaging"),VLOOKUP(C7613,Products!$A$2:$C$8,3,FALSE),0)</f>
        <v>0</v>
      </c>
    </row>
    <row r="7614" spans="1:10" x14ac:dyDescent="0.25">
      <c r="A7614" t="s">
        <v>7781</v>
      </c>
      <c r="B7614" t="s">
        <v>224</v>
      </c>
      <c r="C7614" t="s">
        <v>120</v>
      </c>
      <c r="D7614" t="s">
        <v>19</v>
      </c>
      <c r="E7614" t="s">
        <v>159</v>
      </c>
      <c r="F7614" s="1">
        <v>43026</v>
      </c>
      <c r="G7614" s="1">
        <v>43032</v>
      </c>
      <c r="H7614">
        <v>0</v>
      </c>
      <c r="I7614" t="str">
        <f>IF(COUNTIF(Products!$A$2:$A$8,C7614)=0,C7614,"")</f>
        <v/>
      </c>
      <c r="J7614">
        <f>IF(OR(E7614="Prospecting",E7614="Engaging"),VLOOKUP(C7614,Products!$A$2:$C$8,3,FALSE),0)</f>
        <v>0</v>
      </c>
    </row>
    <row r="7615" spans="1:10" x14ac:dyDescent="0.25">
      <c r="A7615" t="s">
        <v>7782</v>
      </c>
      <c r="B7615" t="s">
        <v>224</v>
      </c>
      <c r="C7615" t="s">
        <v>122</v>
      </c>
      <c r="D7615" t="s">
        <v>37</v>
      </c>
      <c r="E7615" t="s">
        <v>159</v>
      </c>
      <c r="F7615" s="1">
        <v>43026</v>
      </c>
      <c r="G7615" s="1">
        <v>43068</v>
      </c>
      <c r="H7615">
        <v>0</v>
      </c>
      <c r="I7615" t="str">
        <f>IF(COUNTIF(Products!$A$2:$A$8,C7615)=0,C7615,"")</f>
        <v/>
      </c>
      <c r="J7615">
        <f>IF(OR(E7615="Prospecting",E7615="Engaging"),VLOOKUP(C7615,Products!$A$2:$C$8,3,FALSE),0)</f>
        <v>0</v>
      </c>
    </row>
    <row r="7616" spans="1:10" x14ac:dyDescent="0.25">
      <c r="A7616" t="s">
        <v>7783</v>
      </c>
      <c r="B7616" t="s">
        <v>173</v>
      </c>
      <c r="C7616" t="s">
        <v>123</v>
      </c>
      <c r="D7616" t="s">
        <v>93</v>
      </c>
      <c r="E7616" t="s">
        <v>138</v>
      </c>
      <c r="F7616" s="1">
        <v>43026</v>
      </c>
      <c r="G7616" s="1">
        <v>43028</v>
      </c>
      <c r="H7616">
        <v>47</v>
      </c>
      <c r="I7616" t="str">
        <f>IF(COUNTIF(Products!$A$2:$A$8,C7616)=0,C7616,"")</f>
        <v/>
      </c>
      <c r="J7616">
        <f>IF(OR(E7616="Prospecting",E7616="Engaging"),VLOOKUP(C7616,Products!$A$2:$C$8,3,FALSE),0)</f>
        <v>0</v>
      </c>
    </row>
    <row r="7617" spans="1:10" x14ac:dyDescent="0.25">
      <c r="A7617" t="s">
        <v>7784</v>
      </c>
      <c r="B7617" t="s">
        <v>198</v>
      </c>
      <c r="C7617" t="s">
        <v>126</v>
      </c>
      <c r="D7617" t="s">
        <v>69</v>
      </c>
      <c r="E7617" t="s">
        <v>138</v>
      </c>
      <c r="F7617" s="1">
        <v>43026</v>
      </c>
      <c r="G7617" s="1">
        <v>43033</v>
      </c>
      <c r="H7617">
        <v>4751</v>
      </c>
      <c r="I7617" t="str">
        <f>IF(COUNTIF(Products!$A$2:$A$8,C7617)=0,C7617,"")</f>
        <v/>
      </c>
      <c r="J7617">
        <f>IF(OR(E7617="Prospecting",E7617="Engaging"),VLOOKUP(C7617,Products!$A$2:$C$8,3,FALSE),0)</f>
        <v>0</v>
      </c>
    </row>
    <row r="7618" spans="1:10" x14ac:dyDescent="0.25">
      <c r="A7618" t="s">
        <v>7785</v>
      </c>
      <c r="B7618" t="s">
        <v>158</v>
      </c>
      <c r="C7618" t="s">
        <v>125</v>
      </c>
      <c r="D7618" t="s">
        <v>70</v>
      </c>
      <c r="E7618" t="s">
        <v>159</v>
      </c>
      <c r="F7618" s="1">
        <v>43026</v>
      </c>
      <c r="G7618" s="1">
        <v>43032</v>
      </c>
      <c r="H7618">
        <v>0</v>
      </c>
      <c r="I7618" t="str">
        <f>IF(COUNTIF(Products!$A$2:$A$8,C7618)=0,C7618,"")</f>
        <v/>
      </c>
      <c r="J7618">
        <f>IF(OR(E7618="Prospecting",E7618="Engaging"),VLOOKUP(C7618,Products!$A$2:$C$8,3,FALSE),0)</f>
        <v>0</v>
      </c>
    </row>
    <row r="7619" spans="1:10" x14ac:dyDescent="0.25">
      <c r="A7619" t="s">
        <v>7786</v>
      </c>
      <c r="B7619" t="s">
        <v>164</v>
      </c>
      <c r="C7619" t="s">
        <v>125</v>
      </c>
      <c r="D7619" t="s">
        <v>57</v>
      </c>
      <c r="E7619" t="s">
        <v>159</v>
      </c>
      <c r="F7619" s="1">
        <v>43026</v>
      </c>
      <c r="G7619" s="1">
        <v>43027</v>
      </c>
      <c r="H7619">
        <v>0</v>
      </c>
      <c r="I7619" t="str">
        <f>IF(COUNTIF(Products!$A$2:$A$8,C7619)=0,C7619,"")</f>
        <v/>
      </c>
      <c r="J7619">
        <f>IF(OR(E7619="Prospecting",E7619="Engaging"),VLOOKUP(C7619,Products!$A$2:$C$8,3,FALSE),0)</f>
        <v>0</v>
      </c>
    </row>
    <row r="7620" spans="1:10" x14ac:dyDescent="0.25">
      <c r="A7620" t="s">
        <v>7787</v>
      </c>
      <c r="B7620" t="s">
        <v>164</v>
      </c>
      <c r="C7620" t="s">
        <v>123</v>
      </c>
      <c r="D7620" t="s">
        <v>109</v>
      </c>
      <c r="E7620" t="s">
        <v>138</v>
      </c>
      <c r="F7620" s="1">
        <v>43026</v>
      </c>
      <c r="G7620" s="1">
        <v>43089</v>
      </c>
      <c r="H7620">
        <v>51</v>
      </c>
      <c r="I7620" t="str">
        <f>IF(COUNTIF(Products!$A$2:$A$8,C7620)=0,C7620,"")</f>
        <v/>
      </c>
      <c r="J7620">
        <f>IF(OR(E7620="Prospecting",E7620="Engaging"),VLOOKUP(C7620,Products!$A$2:$C$8,3,FALSE),0)</f>
        <v>0</v>
      </c>
    </row>
    <row r="7621" spans="1:10" x14ac:dyDescent="0.25">
      <c r="A7621" t="s">
        <v>7788</v>
      </c>
      <c r="B7621" t="s">
        <v>164</v>
      </c>
      <c r="C7621" t="s">
        <v>125</v>
      </c>
      <c r="D7621" t="s">
        <v>93</v>
      </c>
      <c r="E7621" t="s">
        <v>138</v>
      </c>
      <c r="F7621" s="1">
        <v>43026</v>
      </c>
      <c r="G7621" s="1">
        <v>43030</v>
      </c>
      <c r="H7621">
        <v>3696</v>
      </c>
      <c r="I7621" t="str">
        <f>IF(COUNTIF(Products!$A$2:$A$8,C7621)=0,C7621,"")</f>
        <v/>
      </c>
      <c r="J7621">
        <f>IF(OR(E7621="Prospecting",E7621="Engaging"),VLOOKUP(C7621,Products!$A$2:$C$8,3,FALSE),0)</f>
        <v>0</v>
      </c>
    </row>
    <row r="7622" spans="1:10" x14ac:dyDescent="0.25">
      <c r="A7622" t="s">
        <v>7789</v>
      </c>
      <c r="B7622" t="s">
        <v>180</v>
      </c>
      <c r="C7622" t="s">
        <v>122</v>
      </c>
      <c r="D7622" t="s">
        <v>82</v>
      </c>
      <c r="E7622" t="s">
        <v>159</v>
      </c>
      <c r="F7622" s="1">
        <v>43026</v>
      </c>
      <c r="G7622" s="1">
        <v>43034</v>
      </c>
      <c r="H7622">
        <v>0</v>
      </c>
      <c r="I7622" t="str">
        <f>IF(COUNTIF(Products!$A$2:$A$8,C7622)=0,C7622,"")</f>
        <v/>
      </c>
      <c r="J7622">
        <f>IF(OR(E7622="Prospecting",E7622="Engaging"),VLOOKUP(C7622,Products!$A$2:$C$8,3,FALSE),0)</f>
        <v>0</v>
      </c>
    </row>
    <row r="7623" spans="1:10" x14ac:dyDescent="0.25">
      <c r="A7623" t="s">
        <v>7790</v>
      </c>
      <c r="B7623" t="s">
        <v>180</v>
      </c>
      <c r="C7623" t="s">
        <v>125</v>
      </c>
      <c r="D7623" t="s">
        <v>59</v>
      </c>
      <c r="E7623" t="s">
        <v>138</v>
      </c>
      <c r="F7623" s="1">
        <v>43026</v>
      </c>
      <c r="G7623" s="1">
        <v>43032</v>
      </c>
      <c r="H7623">
        <v>3536</v>
      </c>
      <c r="I7623" t="str">
        <f>IF(COUNTIF(Products!$A$2:$A$8,C7623)=0,C7623,"")</f>
        <v/>
      </c>
      <c r="J7623">
        <f>IF(OR(E7623="Prospecting",E7623="Engaging"),VLOOKUP(C7623,Products!$A$2:$C$8,3,FALSE),0)</f>
        <v>0</v>
      </c>
    </row>
    <row r="7624" spans="1:10" x14ac:dyDescent="0.25">
      <c r="A7624" t="s">
        <v>7791</v>
      </c>
      <c r="B7624" t="s">
        <v>191</v>
      </c>
      <c r="C7624" t="s">
        <v>120</v>
      </c>
      <c r="D7624" t="s">
        <v>29</v>
      </c>
      <c r="E7624" t="s">
        <v>159</v>
      </c>
      <c r="F7624" s="1">
        <v>43026</v>
      </c>
      <c r="G7624" s="1">
        <v>43061</v>
      </c>
      <c r="H7624">
        <v>0</v>
      </c>
      <c r="I7624" t="str">
        <f>IF(COUNTIF(Products!$A$2:$A$8,C7624)=0,C7624,"")</f>
        <v/>
      </c>
      <c r="J7624">
        <f>IF(OR(E7624="Prospecting",E7624="Engaging"),VLOOKUP(C7624,Products!$A$2:$C$8,3,FALSE),0)</f>
        <v>0</v>
      </c>
    </row>
    <row r="7625" spans="1:10" x14ac:dyDescent="0.25">
      <c r="A7625" t="s">
        <v>7792</v>
      </c>
      <c r="B7625" t="s">
        <v>191</v>
      </c>
      <c r="C7625" t="s">
        <v>123</v>
      </c>
      <c r="D7625" t="s">
        <v>75</v>
      </c>
      <c r="E7625" t="s">
        <v>159</v>
      </c>
      <c r="F7625" s="1">
        <v>43026</v>
      </c>
      <c r="G7625" s="1">
        <v>43044</v>
      </c>
      <c r="H7625">
        <v>0</v>
      </c>
      <c r="I7625" t="str">
        <f>IF(COUNTIF(Products!$A$2:$A$8,C7625)=0,C7625,"")</f>
        <v/>
      </c>
      <c r="J7625">
        <f>IF(OR(E7625="Prospecting",E7625="Engaging"),VLOOKUP(C7625,Products!$A$2:$C$8,3,FALSE),0)</f>
        <v>0</v>
      </c>
    </row>
    <row r="7626" spans="1:10" x14ac:dyDescent="0.25">
      <c r="A7626" t="s">
        <v>7793</v>
      </c>
      <c r="B7626" t="s">
        <v>191</v>
      </c>
      <c r="C7626" t="s">
        <v>123</v>
      </c>
      <c r="D7626" t="s">
        <v>83</v>
      </c>
      <c r="E7626" t="s">
        <v>138</v>
      </c>
      <c r="F7626" s="1">
        <v>43026</v>
      </c>
      <c r="G7626" s="1">
        <v>43086</v>
      </c>
      <c r="H7626">
        <v>59</v>
      </c>
      <c r="I7626" t="str">
        <f>IF(COUNTIF(Products!$A$2:$A$8,C7626)=0,C7626,"")</f>
        <v/>
      </c>
      <c r="J7626">
        <f>IF(OR(E7626="Prospecting",E7626="Engaging"),VLOOKUP(C7626,Products!$A$2:$C$8,3,FALSE),0)</f>
        <v>0</v>
      </c>
    </row>
    <row r="7627" spans="1:10" x14ac:dyDescent="0.25">
      <c r="A7627" t="s">
        <v>7794</v>
      </c>
      <c r="B7627" t="s">
        <v>217</v>
      </c>
      <c r="C7627" t="s">
        <v>120</v>
      </c>
      <c r="D7627" t="s">
        <v>46</v>
      </c>
      <c r="E7627" t="s">
        <v>138</v>
      </c>
      <c r="F7627" s="1">
        <v>43026</v>
      </c>
      <c r="G7627" s="1">
        <v>43028</v>
      </c>
      <c r="H7627">
        <v>474</v>
      </c>
      <c r="I7627" t="str">
        <f>IF(COUNTIF(Products!$A$2:$A$8,C7627)=0,C7627,"")</f>
        <v/>
      </c>
      <c r="J7627">
        <f>IF(OR(E7627="Prospecting",E7627="Engaging"),VLOOKUP(C7627,Products!$A$2:$C$8,3,FALSE),0)</f>
        <v>0</v>
      </c>
    </row>
    <row r="7628" spans="1:10" x14ac:dyDescent="0.25">
      <c r="A7628" t="s">
        <v>7795</v>
      </c>
      <c r="B7628" t="s">
        <v>205</v>
      </c>
      <c r="C7628" t="s">
        <v>123</v>
      </c>
      <c r="D7628" t="s">
        <v>14</v>
      </c>
      <c r="E7628" t="s">
        <v>138</v>
      </c>
      <c r="F7628" s="1">
        <v>43026</v>
      </c>
      <c r="G7628" s="1">
        <v>43038</v>
      </c>
      <c r="H7628">
        <v>43</v>
      </c>
      <c r="I7628" t="str">
        <f>IF(COUNTIF(Products!$A$2:$A$8,C7628)=0,C7628,"")</f>
        <v/>
      </c>
      <c r="J7628">
        <f>IF(OR(E7628="Prospecting",E7628="Engaging"),VLOOKUP(C7628,Products!$A$2:$C$8,3,FALSE),0)</f>
        <v>0</v>
      </c>
    </row>
    <row r="7629" spans="1:10" x14ac:dyDescent="0.25">
      <c r="A7629" t="s">
        <v>7796</v>
      </c>
      <c r="B7629" t="s">
        <v>205</v>
      </c>
      <c r="C7629" t="s">
        <v>123</v>
      </c>
      <c r="D7629" t="s">
        <v>61</v>
      </c>
      <c r="E7629" t="s">
        <v>138</v>
      </c>
      <c r="F7629" s="1">
        <v>43026</v>
      </c>
      <c r="G7629" s="1">
        <v>43088</v>
      </c>
      <c r="H7629">
        <v>60</v>
      </c>
      <c r="I7629" t="str">
        <f>IF(COUNTIF(Products!$A$2:$A$8,C7629)=0,C7629,"")</f>
        <v/>
      </c>
      <c r="J7629">
        <f>IF(OR(E7629="Prospecting",E7629="Engaging"),VLOOKUP(C7629,Products!$A$2:$C$8,3,FALSE),0)</f>
        <v>0</v>
      </c>
    </row>
    <row r="7630" spans="1:10" x14ac:dyDescent="0.25">
      <c r="A7630" t="s">
        <v>7797</v>
      </c>
      <c r="B7630" t="s">
        <v>152</v>
      </c>
      <c r="C7630" t="s">
        <v>120</v>
      </c>
      <c r="D7630" t="s">
        <v>104</v>
      </c>
      <c r="E7630" t="s">
        <v>159</v>
      </c>
      <c r="F7630" s="1">
        <v>43026</v>
      </c>
      <c r="G7630" s="1">
        <v>43037</v>
      </c>
      <c r="H7630">
        <v>0</v>
      </c>
      <c r="I7630" t="str">
        <f>IF(COUNTIF(Products!$A$2:$A$8,C7630)=0,C7630,"")</f>
        <v/>
      </c>
      <c r="J7630">
        <f>IF(OR(E7630="Prospecting",E7630="Engaging"),VLOOKUP(C7630,Products!$A$2:$C$8,3,FALSE),0)</f>
        <v>0</v>
      </c>
    </row>
    <row r="7631" spans="1:10" x14ac:dyDescent="0.25">
      <c r="A7631" t="s">
        <v>7798</v>
      </c>
      <c r="B7631" t="s">
        <v>152</v>
      </c>
      <c r="C7631" t="s">
        <v>120</v>
      </c>
      <c r="D7631" t="s">
        <v>88</v>
      </c>
      <c r="E7631" t="s">
        <v>138</v>
      </c>
      <c r="F7631" s="1">
        <v>43026</v>
      </c>
      <c r="G7631" s="1">
        <v>43035</v>
      </c>
      <c r="H7631">
        <v>461</v>
      </c>
      <c r="I7631" t="str">
        <f>IF(COUNTIF(Products!$A$2:$A$8,C7631)=0,C7631,"")</f>
        <v/>
      </c>
      <c r="J7631">
        <f>IF(OR(E7631="Prospecting",E7631="Engaging"),VLOOKUP(C7631,Products!$A$2:$C$8,3,FALSE),0)</f>
        <v>0</v>
      </c>
    </row>
    <row r="7632" spans="1:10" x14ac:dyDescent="0.25">
      <c r="A7632" t="s">
        <v>7799</v>
      </c>
      <c r="B7632" t="s">
        <v>193</v>
      </c>
      <c r="C7632" t="s">
        <v>127</v>
      </c>
      <c r="D7632" t="s">
        <v>108</v>
      </c>
      <c r="E7632" t="s">
        <v>159</v>
      </c>
      <c r="F7632" s="1">
        <v>43026</v>
      </c>
      <c r="G7632" s="1">
        <v>43080</v>
      </c>
      <c r="H7632">
        <v>0</v>
      </c>
      <c r="I7632" t="str">
        <f>IF(COUNTIF(Products!$A$2:$A$8,C7632)=0,C7632,"")</f>
        <v/>
      </c>
      <c r="J7632">
        <f>IF(OR(E7632="Prospecting",E7632="Engaging"),VLOOKUP(C7632,Products!$A$2:$C$8,3,FALSE),0)</f>
        <v>0</v>
      </c>
    </row>
    <row r="7633" spans="1:10" x14ac:dyDescent="0.25">
      <c r="A7633" t="s">
        <v>7800</v>
      </c>
      <c r="B7633" t="s">
        <v>193</v>
      </c>
      <c r="C7633" t="s">
        <v>123</v>
      </c>
      <c r="D7633" t="s">
        <v>50</v>
      </c>
      <c r="E7633" t="s">
        <v>138</v>
      </c>
      <c r="F7633" s="1">
        <v>43026</v>
      </c>
      <c r="G7633" s="1">
        <v>43027</v>
      </c>
      <c r="H7633">
        <v>54</v>
      </c>
      <c r="I7633" t="str">
        <f>IF(COUNTIF(Products!$A$2:$A$8,C7633)=0,C7633,"")</f>
        <v/>
      </c>
      <c r="J7633">
        <f>IF(OR(E7633="Prospecting",E7633="Engaging"),VLOOKUP(C7633,Products!$A$2:$C$8,3,FALSE),0)</f>
        <v>0</v>
      </c>
    </row>
    <row r="7634" spans="1:10" x14ac:dyDescent="0.25">
      <c r="A7634" t="s">
        <v>7801</v>
      </c>
      <c r="B7634" t="s">
        <v>166</v>
      </c>
      <c r="C7634" t="s">
        <v>123</v>
      </c>
      <c r="E7634" t="s">
        <v>155</v>
      </c>
      <c r="F7634" s="1">
        <v>43026</v>
      </c>
      <c r="I7634" t="str">
        <f>IF(COUNTIF(Products!$A$2:$A$8,C7634)=0,C7634,"")</f>
        <v/>
      </c>
      <c r="J7634">
        <f>IF(OR(E7634="Prospecting",E7634="Engaging"),VLOOKUP(C7634,Products!$A$2:$C$8,3,FALSE),0)</f>
        <v>55</v>
      </c>
    </row>
    <row r="7635" spans="1:10" x14ac:dyDescent="0.25">
      <c r="A7635" t="s">
        <v>7802</v>
      </c>
      <c r="B7635" t="s">
        <v>166</v>
      </c>
      <c r="C7635" t="s">
        <v>123</v>
      </c>
      <c r="D7635" t="s">
        <v>83</v>
      </c>
      <c r="E7635" t="s">
        <v>159</v>
      </c>
      <c r="F7635" s="1">
        <v>43026</v>
      </c>
      <c r="G7635" s="1">
        <v>43071</v>
      </c>
      <c r="H7635">
        <v>0</v>
      </c>
      <c r="I7635" t="str">
        <f>IF(COUNTIF(Products!$A$2:$A$8,C7635)=0,C7635,"")</f>
        <v/>
      </c>
      <c r="J7635">
        <f>IF(OR(E7635="Prospecting",E7635="Engaging"),VLOOKUP(C7635,Products!$A$2:$C$8,3,FALSE),0)</f>
        <v>0</v>
      </c>
    </row>
    <row r="7636" spans="1:10" x14ac:dyDescent="0.25">
      <c r="A7636" t="s">
        <v>7803</v>
      </c>
      <c r="B7636" t="s">
        <v>187</v>
      </c>
      <c r="C7636" t="s">
        <v>127</v>
      </c>
      <c r="D7636" t="s">
        <v>105</v>
      </c>
      <c r="E7636" t="s">
        <v>159</v>
      </c>
      <c r="F7636" s="1">
        <v>43026</v>
      </c>
      <c r="G7636" s="1">
        <v>43033</v>
      </c>
      <c r="H7636">
        <v>0</v>
      </c>
      <c r="I7636" t="str">
        <f>IF(COUNTIF(Products!$A$2:$A$8,C7636)=0,C7636,"")</f>
        <v/>
      </c>
      <c r="J7636">
        <f>IF(OR(E7636="Prospecting",E7636="Engaging"),VLOOKUP(C7636,Products!$A$2:$C$8,3,FALSE),0)</f>
        <v>0</v>
      </c>
    </row>
    <row r="7637" spans="1:10" x14ac:dyDescent="0.25">
      <c r="A7637" t="s">
        <v>7804</v>
      </c>
      <c r="B7637" t="s">
        <v>187</v>
      </c>
      <c r="C7637" t="s">
        <v>123</v>
      </c>
      <c r="D7637" t="s">
        <v>63</v>
      </c>
      <c r="E7637" t="s">
        <v>159</v>
      </c>
      <c r="F7637" s="1">
        <v>43026</v>
      </c>
      <c r="G7637" s="1">
        <v>43036</v>
      </c>
      <c r="H7637">
        <v>0</v>
      </c>
      <c r="I7637" t="str">
        <f>IF(COUNTIF(Products!$A$2:$A$8,C7637)=0,C7637,"")</f>
        <v/>
      </c>
      <c r="J7637">
        <f>IF(OR(E7637="Prospecting",E7637="Engaging"),VLOOKUP(C7637,Products!$A$2:$C$8,3,FALSE),0)</f>
        <v>0</v>
      </c>
    </row>
    <row r="7638" spans="1:10" x14ac:dyDescent="0.25">
      <c r="A7638" t="s">
        <v>7805</v>
      </c>
      <c r="B7638" t="s">
        <v>148</v>
      </c>
      <c r="C7638" t="s">
        <v>120</v>
      </c>
      <c r="D7638" t="s">
        <v>34</v>
      </c>
      <c r="E7638" t="s">
        <v>159</v>
      </c>
      <c r="F7638" s="1">
        <v>43026</v>
      </c>
      <c r="G7638" s="1">
        <v>43100</v>
      </c>
      <c r="H7638">
        <v>0</v>
      </c>
      <c r="I7638" t="str">
        <f>IF(COUNTIF(Products!$A$2:$A$8,C7638)=0,C7638,"")</f>
        <v/>
      </c>
      <c r="J7638">
        <f>IF(OR(E7638="Prospecting",E7638="Engaging"),VLOOKUP(C7638,Products!$A$2:$C$8,3,FALSE),0)</f>
        <v>0</v>
      </c>
    </row>
    <row r="7639" spans="1:10" x14ac:dyDescent="0.25">
      <c r="A7639" t="s">
        <v>7806</v>
      </c>
      <c r="B7639" t="s">
        <v>148</v>
      </c>
      <c r="C7639" t="s">
        <v>125</v>
      </c>
      <c r="D7639" t="s">
        <v>61</v>
      </c>
      <c r="E7639" t="s">
        <v>159</v>
      </c>
      <c r="F7639" s="1">
        <v>43026</v>
      </c>
      <c r="G7639" s="1">
        <v>43032</v>
      </c>
      <c r="H7639">
        <v>0</v>
      </c>
      <c r="I7639" t="str">
        <f>IF(COUNTIF(Products!$A$2:$A$8,C7639)=0,C7639,"")</f>
        <v/>
      </c>
      <c r="J7639">
        <f>IF(OR(E7639="Prospecting",E7639="Engaging"),VLOOKUP(C7639,Products!$A$2:$C$8,3,FALSE),0)</f>
        <v>0</v>
      </c>
    </row>
    <row r="7640" spans="1:10" x14ac:dyDescent="0.25">
      <c r="A7640" t="s">
        <v>7807</v>
      </c>
      <c r="B7640" t="s">
        <v>148</v>
      </c>
      <c r="C7640" t="s">
        <v>125</v>
      </c>
      <c r="D7640" t="s">
        <v>87</v>
      </c>
      <c r="E7640" t="s">
        <v>138</v>
      </c>
      <c r="F7640" s="1">
        <v>43026</v>
      </c>
      <c r="G7640" s="1">
        <v>43035</v>
      </c>
      <c r="H7640">
        <v>3363</v>
      </c>
      <c r="I7640" t="str">
        <f>IF(COUNTIF(Products!$A$2:$A$8,C7640)=0,C7640,"")</f>
        <v/>
      </c>
      <c r="J7640">
        <f>IF(OR(E7640="Prospecting",E7640="Engaging"),VLOOKUP(C7640,Products!$A$2:$C$8,3,FALSE),0)</f>
        <v>0</v>
      </c>
    </row>
    <row r="7641" spans="1:10" x14ac:dyDescent="0.25">
      <c r="A7641" t="s">
        <v>7808</v>
      </c>
      <c r="B7641" t="s">
        <v>146</v>
      </c>
      <c r="C7641" t="s">
        <v>127</v>
      </c>
      <c r="D7641" t="s">
        <v>61</v>
      </c>
      <c r="E7641" t="s">
        <v>138</v>
      </c>
      <c r="F7641" s="1">
        <v>43027</v>
      </c>
      <c r="G7641" s="1">
        <v>43038</v>
      </c>
      <c r="H7641">
        <v>1089</v>
      </c>
      <c r="I7641" t="str">
        <f>IF(COUNTIF(Products!$A$2:$A$8,C7641)=0,C7641,"")</f>
        <v/>
      </c>
      <c r="J7641">
        <f>IF(OR(E7641="Prospecting",E7641="Engaging"),VLOOKUP(C7641,Products!$A$2:$C$8,3,FALSE),0)</f>
        <v>0</v>
      </c>
    </row>
    <row r="7642" spans="1:10" x14ac:dyDescent="0.25">
      <c r="A7642" t="s">
        <v>7809</v>
      </c>
      <c r="B7642" t="s">
        <v>207</v>
      </c>
      <c r="C7642" t="s">
        <v>122</v>
      </c>
      <c r="D7642" t="s">
        <v>81</v>
      </c>
      <c r="E7642" t="s">
        <v>159</v>
      </c>
      <c r="F7642" s="1">
        <v>43027</v>
      </c>
      <c r="G7642" s="1">
        <v>43039</v>
      </c>
      <c r="H7642">
        <v>0</v>
      </c>
      <c r="I7642" t="str">
        <f>IF(COUNTIF(Products!$A$2:$A$8,C7642)=0,C7642,"")</f>
        <v/>
      </c>
      <c r="J7642">
        <f>IF(OR(E7642="Prospecting",E7642="Engaging"),VLOOKUP(C7642,Products!$A$2:$C$8,3,FALSE),0)</f>
        <v>0</v>
      </c>
    </row>
    <row r="7643" spans="1:10" x14ac:dyDescent="0.25">
      <c r="A7643" t="s">
        <v>7810</v>
      </c>
      <c r="B7643" t="s">
        <v>207</v>
      </c>
      <c r="C7643" t="s">
        <v>127</v>
      </c>
      <c r="D7643" t="s">
        <v>7</v>
      </c>
      <c r="E7643" t="s">
        <v>138</v>
      </c>
      <c r="F7643" s="1">
        <v>43027</v>
      </c>
      <c r="G7643" s="1">
        <v>43029</v>
      </c>
      <c r="H7643">
        <v>1096</v>
      </c>
      <c r="I7643" t="str">
        <f>IF(COUNTIF(Products!$A$2:$A$8,C7643)=0,C7643,"")</f>
        <v/>
      </c>
      <c r="J7643">
        <f>IF(OR(E7643="Prospecting",E7643="Engaging"),VLOOKUP(C7643,Products!$A$2:$C$8,3,FALSE),0)</f>
        <v>0</v>
      </c>
    </row>
    <row r="7644" spans="1:10" x14ac:dyDescent="0.25">
      <c r="A7644" t="s">
        <v>7811</v>
      </c>
      <c r="B7644" t="s">
        <v>264</v>
      </c>
      <c r="C7644" t="s">
        <v>123</v>
      </c>
      <c r="D7644" t="s">
        <v>88</v>
      </c>
      <c r="E7644" t="s">
        <v>138</v>
      </c>
      <c r="F7644" s="1">
        <v>43027</v>
      </c>
      <c r="G7644" s="1">
        <v>43037</v>
      </c>
      <c r="H7644">
        <v>62</v>
      </c>
      <c r="I7644" t="str">
        <f>IF(COUNTIF(Products!$A$2:$A$8,C7644)=0,C7644,"")</f>
        <v/>
      </c>
      <c r="J7644">
        <f>IF(OR(E7644="Prospecting",E7644="Engaging"),VLOOKUP(C7644,Products!$A$2:$C$8,3,FALSE),0)</f>
        <v>0</v>
      </c>
    </row>
    <row r="7645" spans="1:10" x14ac:dyDescent="0.25">
      <c r="A7645" t="s">
        <v>7812</v>
      </c>
      <c r="B7645" t="s">
        <v>239</v>
      </c>
      <c r="C7645" t="s">
        <v>125</v>
      </c>
      <c r="D7645" t="s">
        <v>67</v>
      </c>
      <c r="E7645" t="s">
        <v>159</v>
      </c>
      <c r="F7645" s="1">
        <v>43027</v>
      </c>
      <c r="G7645" s="1">
        <v>43095</v>
      </c>
      <c r="H7645">
        <v>0</v>
      </c>
      <c r="I7645" t="str">
        <f>IF(COUNTIF(Products!$A$2:$A$8,C7645)=0,C7645,"")</f>
        <v/>
      </c>
      <c r="J7645">
        <f>IF(OR(E7645="Prospecting",E7645="Engaging"),VLOOKUP(C7645,Products!$A$2:$C$8,3,FALSE),0)</f>
        <v>0</v>
      </c>
    </row>
    <row r="7646" spans="1:10" x14ac:dyDescent="0.25">
      <c r="A7646" t="s">
        <v>7813</v>
      </c>
      <c r="B7646" t="s">
        <v>239</v>
      </c>
      <c r="C7646" t="s">
        <v>127</v>
      </c>
      <c r="D7646" t="s">
        <v>69</v>
      </c>
      <c r="E7646" t="s">
        <v>138</v>
      </c>
      <c r="F7646" s="1">
        <v>43027</v>
      </c>
      <c r="G7646" s="1">
        <v>43029</v>
      </c>
      <c r="H7646">
        <v>1105</v>
      </c>
      <c r="I7646" t="str">
        <f>IF(COUNTIF(Products!$A$2:$A$8,C7646)=0,C7646,"")</f>
        <v/>
      </c>
      <c r="J7646">
        <f>IF(OR(E7646="Prospecting",E7646="Engaging"),VLOOKUP(C7646,Products!$A$2:$C$8,3,FALSE),0)</f>
        <v>0</v>
      </c>
    </row>
    <row r="7647" spans="1:10" x14ac:dyDescent="0.25">
      <c r="A7647" t="s">
        <v>7814</v>
      </c>
      <c r="B7647" t="s">
        <v>171</v>
      </c>
      <c r="C7647" t="s">
        <v>122</v>
      </c>
      <c r="D7647" t="s">
        <v>19</v>
      </c>
      <c r="E7647" t="s">
        <v>159</v>
      </c>
      <c r="F7647" s="1">
        <v>43027</v>
      </c>
      <c r="G7647" s="1">
        <v>43036</v>
      </c>
      <c r="H7647">
        <v>0</v>
      </c>
      <c r="I7647" t="str">
        <f>IF(COUNTIF(Products!$A$2:$A$8,C7647)=0,C7647,"")</f>
        <v/>
      </c>
      <c r="J7647">
        <f>IF(OR(E7647="Prospecting",E7647="Engaging"),VLOOKUP(C7647,Products!$A$2:$C$8,3,FALSE),0)</f>
        <v>0</v>
      </c>
    </row>
    <row r="7648" spans="1:10" x14ac:dyDescent="0.25">
      <c r="A7648" t="s">
        <v>7815</v>
      </c>
      <c r="B7648" t="s">
        <v>171</v>
      </c>
      <c r="C7648" t="s">
        <v>122</v>
      </c>
      <c r="D7648" t="s">
        <v>16</v>
      </c>
      <c r="E7648" t="s">
        <v>138</v>
      </c>
      <c r="F7648" s="1">
        <v>43027</v>
      </c>
      <c r="G7648" s="1">
        <v>43032</v>
      </c>
      <c r="H7648">
        <v>4353</v>
      </c>
      <c r="I7648" t="str">
        <f>IF(COUNTIF(Products!$A$2:$A$8,C7648)=0,C7648,"")</f>
        <v/>
      </c>
      <c r="J7648">
        <f>IF(OR(E7648="Prospecting",E7648="Engaging"),VLOOKUP(C7648,Products!$A$2:$C$8,3,FALSE),0)</f>
        <v>0</v>
      </c>
    </row>
    <row r="7649" spans="1:10" x14ac:dyDescent="0.25">
      <c r="A7649" t="s">
        <v>7816</v>
      </c>
      <c r="B7649" t="s">
        <v>140</v>
      </c>
      <c r="C7649" t="s">
        <v>122</v>
      </c>
      <c r="D7649" t="s">
        <v>42</v>
      </c>
      <c r="E7649" t="s">
        <v>159</v>
      </c>
      <c r="F7649" s="1">
        <v>43027</v>
      </c>
      <c r="G7649" s="1">
        <v>43036</v>
      </c>
      <c r="H7649">
        <v>0</v>
      </c>
      <c r="I7649" t="str">
        <f>IF(COUNTIF(Products!$A$2:$A$8,C7649)=0,C7649,"")</f>
        <v/>
      </c>
      <c r="J7649">
        <f>IF(OR(E7649="Prospecting",E7649="Engaging"),VLOOKUP(C7649,Products!$A$2:$C$8,3,FALSE),0)</f>
        <v>0</v>
      </c>
    </row>
    <row r="7650" spans="1:10" x14ac:dyDescent="0.25">
      <c r="A7650" t="s">
        <v>7817</v>
      </c>
      <c r="B7650" t="s">
        <v>140</v>
      </c>
      <c r="C7650" t="s">
        <v>126</v>
      </c>
      <c r="D7650" t="s">
        <v>77</v>
      </c>
      <c r="E7650" t="s">
        <v>138</v>
      </c>
      <c r="F7650" s="1">
        <v>43027</v>
      </c>
      <c r="G7650" s="1">
        <v>43035</v>
      </c>
      <c r="H7650">
        <v>6276</v>
      </c>
      <c r="I7650" t="str">
        <f>IF(COUNTIF(Products!$A$2:$A$8,C7650)=0,C7650,"")</f>
        <v/>
      </c>
      <c r="J7650">
        <f>IF(OR(E7650="Prospecting",E7650="Engaging"),VLOOKUP(C7650,Products!$A$2:$C$8,3,FALSE),0)</f>
        <v>0</v>
      </c>
    </row>
    <row r="7651" spans="1:10" x14ac:dyDescent="0.25">
      <c r="A7651" t="s">
        <v>7818</v>
      </c>
      <c r="B7651" t="s">
        <v>140</v>
      </c>
      <c r="C7651" t="s">
        <v>122</v>
      </c>
      <c r="D7651" t="s">
        <v>12</v>
      </c>
      <c r="E7651" t="s">
        <v>138</v>
      </c>
      <c r="F7651" s="1">
        <v>43027</v>
      </c>
      <c r="G7651" s="1">
        <v>43035</v>
      </c>
      <c r="H7651">
        <v>4688</v>
      </c>
      <c r="I7651" t="str">
        <f>IF(COUNTIF(Products!$A$2:$A$8,C7651)=0,C7651,"")</f>
        <v/>
      </c>
      <c r="J7651">
        <f>IF(OR(E7651="Prospecting",E7651="Engaging"),VLOOKUP(C7651,Products!$A$2:$C$8,3,FALSE),0)</f>
        <v>0</v>
      </c>
    </row>
    <row r="7652" spans="1:10" x14ac:dyDescent="0.25">
      <c r="A7652" t="s">
        <v>7819</v>
      </c>
      <c r="B7652" t="s">
        <v>198</v>
      </c>
      <c r="C7652" t="s">
        <v>120</v>
      </c>
      <c r="D7652" t="s">
        <v>80</v>
      </c>
      <c r="E7652" t="s">
        <v>159</v>
      </c>
      <c r="F7652" s="1">
        <v>43027</v>
      </c>
      <c r="G7652" s="1">
        <v>43034</v>
      </c>
      <c r="H7652">
        <v>0</v>
      </c>
      <c r="I7652" t="str">
        <f>IF(COUNTIF(Products!$A$2:$A$8,C7652)=0,C7652,"")</f>
        <v/>
      </c>
      <c r="J7652">
        <f>IF(OR(E7652="Prospecting",E7652="Engaging"),VLOOKUP(C7652,Products!$A$2:$C$8,3,FALSE),0)</f>
        <v>0</v>
      </c>
    </row>
    <row r="7653" spans="1:10" x14ac:dyDescent="0.25">
      <c r="A7653" t="s">
        <v>7820</v>
      </c>
      <c r="B7653" t="s">
        <v>198</v>
      </c>
      <c r="C7653" t="s">
        <v>125</v>
      </c>
      <c r="D7653" t="s">
        <v>81</v>
      </c>
      <c r="E7653" t="s">
        <v>138</v>
      </c>
      <c r="F7653" s="1">
        <v>43027</v>
      </c>
      <c r="G7653" s="1">
        <v>43040</v>
      </c>
      <c r="H7653">
        <v>3422</v>
      </c>
      <c r="I7653" t="str">
        <f>IF(COUNTIF(Products!$A$2:$A$8,C7653)=0,C7653,"")</f>
        <v/>
      </c>
      <c r="J7653">
        <f>IF(OR(E7653="Prospecting",E7653="Engaging"),VLOOKUP(C7653,Products!$A$2:$C$8,3,FALSE),0)</f>
        <v>0</v>
      </c>
    </row>
    <row r="7654" spans="1:10" x14ac:dyDescent="0.25">
      <c r="A7654" t="s">
        <v>7821</v>
      </c>
      <c r="B7654" t="s">
        <v>158</v>
      </c>
      <c r="C7654" t="s">
        <v>123</v>
      </c>
      <c r="D7654" t="s">
        <v>61</v>
      </c>
      <c r="E7654" t="s">
        <v>159</v>
      </c>
      <c r="F7654" s="1">
        <v>43027</v>
      </c>
      <c r="G7654" s="1">
        <v>43028</v>
      </c>
      <c r="H7654">
        <v>0</v>
      </c>
      <c r="I7654" t="str">
        <f>IF(COUNTIF(Products!$A$2:$A$8,C7654)=0,C7654,"")</f>
        <v/>
      </c>
      <c r="J7654">
        <f>IF(OR(E7654="Prospecting",E7654="Engaging"),VLOOKUP(C7654,Products!$A$2:$C$8,3,FALSE),0)</f>
        <v>0</v>
      </c>
    </row>
    <row r="7655" spans="1:10" x14ac:dyDescent="0.25">
      <c r="A7655" t="s">
        <v>7822</v>
      </c>
      <c r="B7655" t="s">
        <v>158</v>
      </c>
      <c r="C7655" t="s">
        <v>122</v>
      </c>
      <c r="D7655" t="s">
        <v>32</v>
      </c>
      <c r="E7655" t="s">
        <v>138</v>
      </c>
      <c r="F7655" s="1">
        <v>43027</v>
      </c>
      <c r="G7655" s="1">
        <v>43078</v>
      </c>
      <c r="H7655">
        <v>5192</v>
      </c>
      <c r="I7655" t="str">
        <f>IF(COUNTIF(Products!$A$2:$A$8,C7655)=0,C7655,"")</f>
        <v/>
      </c>
      <c r="J7655">
        <f>IF(OR(E7655="Prospecting",E7655="Engaging"),VLOOKUP(C7655,Products!$A$2:$C$8,3,FALSE),0)</f>
        <v>0</v>
      </c>
    </row>
    <row r="7656" spans="1:10" x14ac:dyDescent="0.25">
      <c r="A7656" t="s">
        <v>7823</v>
      </c>
      <c r="B7656" t="s">
        <v>164</v>
      </c>
      <c r="C7656" t="s">
        <v>127</v>
      </c>
      <c r="D7656" t="s">
        <v>61</v>
      </c>
      <c r="E7656" t="s">
        <v>138</v>
      </c>
      <c r="F7656" s="1">
        <v>43027</v>
      </c>
      <c r="G7656" s="1">
        <v>43036</v>
      </c>
      <c r="H7656">
        <v>1226</v>
      </c>
      <c r="I7656" t="str">
        <f>IF(COUNTIF(Products!$A$2:$A$8,C7656)=0,C7656,"")</f>
        <v/>
      </c>
      <c r="J7656">
        <f>IF(OR(E7656="Prospecting",E7656="Engaging"),VLOOKUP(C7656,Products!$A$2:$C$8,3,FALSE),0)</f>
        <v>0</v>
      </c>
    </row>
    <row r="7657" spans="1:10" x14ac:dyDescent="0.25">
      <c r="A7657" t="s">
        <v>7824</v>
      </c>
      <c r="B7657" t="s">
        <v>164</v>
      </c>
      <c r="C7657" t="s">
        <v>126</v>
      </c>
      <c r="D7657" t="s">
        <v>66</v>
      </c>
      <c r="E7657" t="s">
        <v>138</v>
      </c>
      <c r="F7657" s="1">
        <v>43027</v>
      </c>
      <c r="G7657" s="1">
        <v>43033</v>
      </c>
      <c r="H7657">
        <v>4552</v>
      </c>
      <c r="I7657" t="str">
        <f>IF(COUNTIF(Products!$A$2:$A$8,C7657)=0,C7657,"")</f>
        <v/>
      </c>
      <c r="J7657">
        <f>IF(OR(E7657="Prospecting",E7657="Engaging"),VLOOKUP(C7657,Products!$A$2:$C$8,3,FALSE),0)</f>
        <v>0</v>
      </c>
    </row>
    <row r="7658" spans="1:10" x14ac:dyDescent="0.25">
      <c r="A7658" t="s">
        <v>7825</v>
      </c>
      <c r="B7658" t="s">
        <v>154</v>
      </c>
      <c r="C7658" t="s">
        <v>126</v>
      </c>
      <c r="E7658" t="s">
        <v>155</v>
      </c>
      <c r="F7658" s="1">
        <v>43027</v>
      </c>
      <c r="I7658" t="str">
        <f>IF(COUNTIF(Products!$A$2:$A$8,C7658)=0,C7658,"")</f>
        <v/>
      </c>
      <c r="J7658">
        <f>IF(OR(E7658="Prospecting",E7658="Engaging"),VLOOKUP(C7658,Products!$A$2:$C$8,3,FALSE),0)</f>
        <v>5482</v>
      </c>
    </row>
    <row r="7659" spans="1:10" x14ac:dyDescent="0.25">
      <c r="A7659" t="s">
        <v>7826</v>
      </c>
      <c r="B7659" t="s">
        <v>154</v>
      </c>
      <c r="C7659" t="s">
        <v>126</v>
      </c>
      <c r="D7659" t="s">
        <v>107</v>
      </c>
      <c r="E7659" t="s">
        <v>138</v>
      </c>
      <c r="F7659" s="1">
        <v>43027</v>
      </c>
      <c r="G7659" s="1">
        <v>43034</v>
      </c>
      <c r="H7659">
        <v>5569</v>
      </c>
      <c r="I7659" t="str">
        <f>IF(COUNTIF(Products!$A$2:$A$8,C7659)=0,C7659,"")</f>
        <v/>
      </c>
      <c r="J7659">
        <f>IF(OR(E7659="Prospecting",E7659="Engaging"),VLOOKUP(C7659,Products!$A$2:$C$8,3,FALSE),0)</f>
        <v>0</v>
      </c>
    </row>
    <row r="7660" spans="1:10" x14ac:dyDescent="0.25">
      <c r="A7660" t="s">
        <v>7827</v>
      </c>
      <c r="B7660" t="s">
        <v>154</v>
      </c>
      <c r="C7660" t="s">
        <v>122</v>
      </c>
      <c r="D7660" t="s">
        <v>38</v>
      </c>
      <c r="E7660" t="s">
        <v>138</v>
      </c>
      <c r="F7660" s="1">
        <v>43027</v>
      </c>
      <c r="G7660" s="1">
        <v>43028</v>
      </c>
      <c r="H7660">
        <v>4389</v>
      </c>
      <c r="I7660" t="str">
        <f>IF(COUNTIF(Products!$A$2:$A$8,C7660)=0,C7660,"")</f>
        <v/>
      </c>
      <c r="J7660">
        <f>IF(OR(E7660="Prospecting",E7660="Engaging"),VLOOKUP(C7660,Products!$A$2:$C$8,3,FALSE),0)</f>
        <v>0</v>
      </c>
    </row>
    <row r="7661" spans="1:10" x14ac:dyDescent="0.25">
      <c r="A7661" t="s">
        <v>7828</v>
      </c>
      <c r="B7661" t="s">
        <v>303</v>
      </c>
      <c r="C7661" t="s">
        <v>126</v>
      </c>
      <c r="D7661" t="s">
        <v>61</v>
      </c>
      <c r="E7661" t="s">
        <v>159</v>
      </c>
      <c r="F7661" s="1">
        <v>43027</v>
      </c>
      <c r="G7661" s="1">
        <v>43040</v>
      </c>
      <c r="H7661">
        <v>0</v>
      </c>
      <c r="I7661" t="str">
        <f>IF(COUNTIF(Products!$A$2:$A$8,C7661)=0,C7661,"")</f>
        <v/>
      </c>
      <c r="J7661">
        <f>IF(OR(E7661="Prospecting",E7661="Engaging"),VLOOKUP(C7661,Products!$A$2:$C$8,3,FALSE),0)</f>
        <v>0</v>
      </c>
    </row>
    <row r="7662" spans="1:10" x14ac:dyDescent="0.25">
      <c r="A7662" t="s">
        <v>7829</v>
      </c>
      <c r="B7662" t="s">
        <v>180</v>
      </c>
      <c r="C7662" t="s">
        <v>122</v>
      </c>
      <c r="E7662" t="s">
        <v>155</v>
      </c>
      <c r="F7662" s="1">
        <v>43027</v>
      </c>
      <c r="I7662" t="str">
        <f>IF(COUNTIF(Products!$A$2:$A$8,C7662)=0,C7662,"")</f>
        <v/>
      </c>
      <c r="J7662">
        <f>IF(OR(E7662="Prospecting",E7662="Engaging"),VLOOKUP(C7662,Products!$A$2:$C$8,3,FALSE),0)</f>
        <v>4821</v>
      </c>
    </row>
    <row r="7663" spans="1:10" x14ac:dyDescent="0.25">
      <c r="A7663" t="s">
        <v>7830</v>
      </c>
      <c r="B7663" t="s">
        <v>191</v>
      </c>
      <c r="C7663" t="s">
        <v>125</v>
      </c>
      <c r="E7663" t="s">
        <v>155</v>
      </c>
      <c r="F7663" s="1">
        <v>43027</v>
      </c>
      <c r="I7663" t="str">
        <f>IF(COUNTIF(Products!$A$2:$A$8,C7663)=0,C7663,"")</f>
        <v/>
      </c>
      <c r="J7663">
        <f>IF(OR(E7663="Prospecting",E7663="Engaging"),VLOOKUP(C7663,Products!$A$2:$C$8,3,FALSE),0)</f>
        <v>3393</v>
      </c>
    </row>
    <row r="7664" spans="1:10" x14ac:dyDescent="0.25">
      <c r="A7664" t="s">
        <v>7831</v>
      </c>
      <c r="B7664" t="s">
        <v>217</v>
      </c>
      <c r="C7664" t="s">
        <v>125</v>
      </c>
      <c r="D7664" t="s">
        <v>53</v>
      </c>
      <c r="E7664" t="s">
        <v>159</v>
      </c>
      <c r="F7664" s="1">
        <v>43027</v>
      </c>
      <c r="G7664" s="1">
        <v>43029</v>
      </c>
      <c r="H7664">
        <v>0</v>
      </c>
      <c r="I7664" t="str">
        <f>IF(COUNTIF(Products!$A$2:$A$8,C7664)=0,C7664,"")</f>
        <v/>
      </c>
      <c r="J7664">
        <f>IF(OR(E7664="Prospecting",E7664="Engaging"),VLOOKUP(C7664,Products!$A$2:$C$8,3,FALSE),0)</f>
        <v>0</v>
      </c>
    </row>
    <row r="7665" spans="1:10" x14ac:dyDescent="0.25">
      <c r="A7665" t="s">
        <v>7832</v>
      </c>
      <c r="B7665" t="s">
        <v>217</v>
      </c>
      <c r="C7665" t="s">
        <v>120</v>
      </c>
      <c r="D7665" t="s">
        <v>88</v>
      </c>
      <c r="E7665" t="s">
        <v>138</v>
      </c>
      <c r="F7665" s="1">
        <v>43027</v>
      </c>
      <c r="G7665" s="1">
        <v>43034</v>
      </c>
      <c r="H7665">
        <v>451</v>
      </c>
      <c r="I7665" t="str">
        <f>IF(COUNTIF(Products!$A$2:$A$8,C7665)=0,C7665,"")</f>
        <v/>
      </c>
      <c r="J7665">
        <f>IF(OR(E7665="Prospecting",E7665="Engaging"),VLOOKUP(C7665,Products!$A$2:$C$8,3,FALSE),0)</f>
        <v>0</v>
      </c>
    </row>
    <row r="7666" spans="1:10" x14ac:dyDescent="0.25">
      <c r="A7666" t="s">
        <v>7833</v>
      </c>
      <c r="B7666" t="s">
        <v>150</v>
      </c>
      <c r="C7666" t="s">
        <v>123</v>
      </c>
      <c r="E7666" t="s">
        <v>155</v>
      </c>
      <c r="F7666" s="1">
        <v>43027</v>
      </c>
      <c r="I7666" t="str">
        <f>IF(COUNTIF(Products!$A$2:$A$8,C7666)=0,C7666,"")</f>
        <v/>
      </c>
      <c r="J7666">
        <f>IF(OR(E7666="Prospecting",E7666="Engaging"),VLOOKUP(C7666,Products!$A$2:$C$8,3,FALSE),0)</f>
        <v>55</v>
      </c>
    </row>
    <row r="7667" spans="1:10" x14ac:dyDescent="0.25">
      <c r="A7667" t="s">
        <v>7834</v>
      </c>
      <c r="B7667" t="s">
        <v>150</v>
      </c>
      <c r="C7667" t="s">
        <v>123</v>
      </c>
      <c r="E7667" t="s">
        <v>155</v>
      </c>
      <c r="F7667" s="1">
        <v>43027</v>
      </c>
      <c r="I7667" t="str">
        <f>IF(COUNTIF(Products!$A$2:$A$8,C7667)=0,C7667,"")</f>
        <v/>
      </c>
      <c r="J7667">
        <f>IF(OR(E7667="Prospecting",E7667="Engaging"),VLOOKUP(C7667,Products!$A$2:$C$8,3,FALSE),0)</f>
        <v>55</v>
      </c>
    </row>
    <row r="7668" spans="1:10" x14ac:dyDescent="0.25">
      <c r="A7668" t="s">
        <v>7835</v>
      </c>
      <c r="B7668" t="s">
        <v>150</v>
      </c>
      <c r="C7668" t="s">
        <v>125</v>
      </c>
      <c r="D7668" t="s">
        <v>82</v>
      </c>
      <c r="E7668" t="s">
        <v>159</v>
      </c>
      <c r="F7668" s="1">
        <v>43027</v>
      </c>
      <c r="G7668" s="1">
        <v>43067</v>
      </c>
      <c r="H7668">
        <v>0</v>
      </c>
      <c r="I7668" t="str">
        <f>IF(COUNTIF(Products!$A$2:$A$8,C7668)=0,C7668,"")</f>
        <v/>
      </c>
      <c r="J7668">
        <f>IF(OR(E7668="Prospecting",E7668="Engaging"),VLOOKUP(C7668,Products!$A$2:$C$8,3,FALSE),0)</f>
        <v>0</v>
      </c>
    </row>
    <row r="7669" spans="1:10" x14ac:dyDescent="0.25">
      <c r="A7669" t="s">
        <v>7836</v>
      </c>
      <c r="B7669" t="s">
        <v>150</v>
      </c>
      <c r="C7669" t="s">
        <v>120</v>
      </c>
      <c r="D7669" t="s">
        <v>56</v>
      </c>
      <c r="E7669" t="s">
        <v>138</v>
      </c>
      <c r="F7669" s="1">
        <v>43027</v>
      </c>
      <c r="G7669" s="1">
        <v>43029</v>
      </c>
      <c r="H7669">
        <v>553</v>
      </c>
      <c r="I7669" t="str">
        <f>IF(COUNTIF(Products!$A$2:$A$8,C7669)=0,C7669,"")</f>
        <v/>
      </c>
      <c r="J7669">
        <f>IF(OR(E7669="Prospecting",E7669="Engaging"),VLOOKUP(C7669,Products!$A$2:$C$8,3,FALSE),0)</f>
        <v>0</v>
      </c>
    </row>
    <row r="7670" spans="1:10" x14ac:dyDescent="0.25">
      <c r="A7670" t="s">
        <v>7837</v>
      </c>
      <c r="B7670" t="s">
        <v>205</v>
      </c>
      <c r="C7670" t="s">
        <v>122</v>
      </c>
      <c r="D7670" t="s">
        <v>91</v>
      </c>
      <c r="E7670" t="s">
        <v>159</v>
      </c>
      <c r="F7670" s="1">
        <v>43027</v>
      </c>
      <c r="G7670" s="1">
        <v>43037</v>
      </c>
      <c r="H7670">
        <v>0</v>
      </c>
      <c r="I7670" t="str">
        <f>IF(COUNTIF(Products!$A$2:$A$8,C7670)=0,C7670,"")</f>
        <v/>
      </c>
      <c r="J7670">
        <f>IF(OR(E7670="Prospecting",E7670="Engaging"),VLOOKUP(C7670,Products!$A$2:$C$8,3,FALSE),0)</f>
        <v>0</v>
      </c>
    </row>
    <row r="7671" spans="1:10" x14ac:dyDescent="0.25">
      <c r="A7671" t="s">
        <v>7838</v>
      </c>
      <c r="B7671" t="s">
        <v>162</v>
      </c>
      <c r="C7671" t="s">
        <v>127</v>
      </c>
      <c r="E7671" t="s">
        <v>155</v>
      </c>
      <c r="F7671" s="1">
        <v>43027</v>
      </c>
      <c r="I7671" t="str">
        <f>IF(COUNTIF(Products!$A$2:$A$8,C7671)=0,C7671,"")</f>
        <v/>
      </c>
      <c r="J7671">
        <f>IF(OR(E7671="Prospecting",E7671="Engaging"),VLOOKUP(C7671,Products!$A$2:$C$8,3,FALSE),0)</f>
        <v>1096</v>
      </c>
    </row>
    <row r="7672" spans="1:10" x14ac:dyDescent="0.25">
      <c r="A7672" t="s">
        <v>7839</v>
      </c>
      <c r="B7672" t="s">
        <v>162</v>
      </c>
      <c r="C7672" t="s">
        <v>120</v>
      </c>
      <c r="D7672" t="s">
        <v>17</v>
      </c>
      <c r="E7672" t="s">
        <v>138</v>
      </c>
      <c r="F7672" s="1">
        <v>43027</v>
      </c>
      <c r="G7672" s="1">
        <v>43040</v>
      </c>
      <c r="H7672">
        <v>524</v>
      </c>
      <c r="I7672" t="str">
        <f>IF(COUNTIF(Products!$A$2:$A$8,C7672)=0,C7672,"")</f>
        <v/>
      </c>
      <c r="J7672">
        <f>IF(OR(E7672="Prospecting",E7672="Engaging"),VLOOKUP(C7672,Products!$A$2:$C$8,3,FALSE),0)</f>
        <v>0</v>
      </c>
    </row>
    <row r="7673" spans="1:10" x14ac:dyDescent="0.25">
      <c r="A7673" t="s">
        <v>7840</v>
      </c>
      <c r="B7673" t="s">
        <v>193</v>
      </c>
      <c r="C7673" t="s">
        <v>125</v>
      </c>
      <c r="D7673" t="s">
        <v>84</v>
      </c>
      <c r="E7673" t="s">
        <v>159</v>
      </c>
      <c r="F7673" s="1">
        <v>43027</v>
      </c>
      <c r="G7673" s="1">
        <v>43029</v>
      </c>
      <c r="H7673">
        <v>0</v>
      </c>
      <c r="I7673" t="str">
        <f>IF(COUNTIF(Products!$A$2:$A$8,C7673)=0,C7673,"")</f>
        <v/>
      </c>
      <c r="J7673">
        <f>IF(OR(E7673="Prospecting",E7673="Engaging"),VLOOKUP(C7673,Products!$A$2:$C$8,3,FALSE),0)</f>
        <v>0</v>
      </c>
    </row>
    <row r="7674" spans="1:10" x14ac:dyDescent="0.25">
      <c r="A7674" t="s">
        <v>7841</v>
      </c>
      <c r="B7674" t="s">
        <v>169</v>
      </c>
      <c r="C7674" t="s">
        <v>127</v>
      </c>
      <c r="D7674" t="s">
        <v>88</v>
      </c>
      <c r="E7674" t="s">
        <v>159</v>
      </c>
      <c r="F7674" s="1">
        <v>43027</v>
      </c>
      <c r="G7674" s="1">
        <v>43039</v>
      </c>
      <c r="H7674">
        <v>0</v>
      </c>
      <c r="I7674" t="str">
        <f>IF(COUNTIF(Products!$A$2:$A$8,C7674)=0,C7674,"")</f>
        <v/>
      </c>
      <c r="J7674">
        <f>IF(OR(E7674="Prospecting",E7674="Engaging"),VLOOKUP(C7674,Products!$A$2:$C$8,3,FALSE),0)</f>
        <v>0</v>
      </c>
    </row>
    <row r="7675" spans="1:10" x14ac:dyDescent="0.25">
      <c r="A7675" t="s">
        <v>7842</v>
      </c>
      <c r="B7675" t="s">
        <v>169</v>
      </c>
      <c r="C7675" t="s">
        <v>123</v>
      </c>
      <c r="D7675" t="s">
        <v>32</v>
      </c>
      <c r="E7675" t="s">
        <v>138</v>
      </c>
      <c r="F7675" s="1">
        <v>43027</v>
      </c>
      <c r="G7675" s="1">
        <v>43035</v>
      </c>
      <c r="H7675">
        <v>53</v>
      </c>
      <c r="I7675" t="str">
        <f>IF(COUNTIF(Products!$A$2:$A$8,C7675)=0,C7675,"")</f>
        <v/>
      </c>
      <c r="J7675">
        <f>IF(OR(E7675="Prospecting",E7675="Engaging"),VLOOKUP(C7675,Products!$A$2:$C$8,3,FALSE),0)</f>
        <v>0</v>
      </c>
    </row>
    <row r="7676" spans="1:10" x14ac:dyDescent="0.25">
      <c r="A7676" t="s">
        <v>7843</v>
      </c>
      <c r="B7676" t="s">
        <v>169</v>
      </c>
      <c r="C7676" t="s">
        <v>125</v>
      </c>
      <c r="D7676" t="s">
        <v>95</v>
      </c>
      <c r="E7676" t="s">
        <v>138</v>
      </c>
      <c r="F7676" s="1">
        <v>43027</v>
      </c>
      <c r="G7676" s="1">
        <v>43028</v>
      </c>
      <c r="H7676">
        <v>2749</v>
      </c>
      <c r="I7676" t="str">
        <f>IF(COUNTIF(Products!$A$2:$A$8,C7676)=0,C7676,"")</f>
        <v/>
      </c>
      <c r="J7676">
        <f>IF(OR(E7676="Prospecting",E7676="Engaging"),VLOOKUP(C7676,Products!$A$2:$C$8,3,FALSE),0)</f>
        <v>0</v>
      </c>
    </row>
    <row r="7677" spans="1:10" x14ac:dyDescent="0.25">
      <c r="A7677" t="s">
        <v>7844</v>
      </c>
      <c r="B7677" t="s">
        <v>148</v>
      </c>
      <c r="C7677" t="s">
        <v>122</v>
      </c>
      <c r="D7677" t="s">
        <v>66</v>
      </c>
      <c r="E7677" t="s">
        <v>159</v>
      </c>
      <c r="F7677" s="1">
        <v>43027</v>
      </c>
      <c r="G7677" s="1">
        <v>43034</v>
      </c>
      <c r="H7677">
        <v>0</v>
      </c>
      <c r="I7677" t="str">
        <f>IF(COUNTIF(Products!$A$2:$A$8,C7677)=0,C7677,"")</f>
        <v/>
      </c>
      <c r="J7677">
        <f>IF(OR(E7677="Prospecting",E7677="Engaging"),VLOOKUP(C7677,Products!$A$2:$C$8,3,FALSE),0)</f>
        <v>0</v>
      </c>
    </row>
    <row r="7678" spans="1:10" x14ac:dyDescent="0.25">
      <c r="A7678" t="s">
        <v>7845</v>
      </c>
      <c r="B7678" t="s">
        <v>148</v>
      </c>
      <c r="C7678" t="s">
        <v>122</v>
      </c>
      <c r="D7678" t="s">
        <v>87</v>
      </c>
      <c r="E7678" t="s">
        <v>159</v>
      </c>
      <c r="F7678" s="1">
        <v>43027</v>
      </c>
      <c r="G7678" s="1">
        <v>43029</v>
      </c>
      <c r="H7678">
        <v>0</v>
      </c>
      <c r="I7678" t="str">
        <f>IF(COUNTIF(Products!$A$2:$A$8,C7678)=0,C7678,"")</f>
        <v/>
      </c>
      <c r="J7678">
        <f>IF(OR(E7678="Prospecting",E7678="Engaging"),VLOOKUP(C7678,Products!$A$2:$C$8,3,FALSE),0)</f>
        <v>0</v>
      </c>
    </row>
    <row r="7679" spans="1:10" x14ac:dyDescent="0.25">
      <c r="A7679" t="s">
        <v>7846</v>
      </c>
      <c r="B7679" t="s">
        <v>148</v>
      </c>
      <c r="C7679" t="s">
        <v>126</v>
      </c>
      <c r="D7679" t="s">
        <v>59</v>
      </c>
      <c r="E7679" t="s">
        <v>138</v>
      </c>
      <c r="F7679" s="1">
        <v>43027</v>
      </c>
      <c r="G7679" s="1">
        <v>43028</v>
      </c>
      <c r="H7679">
        <v>5368</v>
      </c>
      <c r="I7679" t="str">
        <f>IF(COUNTIF(Products!$A$2:$A$8,C7679)=0,C7679,"")</f>
        <v/>
      </c>
      <c r="J7679">
        <f>IF(OR(E7679="Prospecting",E7679="Engaging"),VLOOKUP(C7679,Products!$A$2:$C$8,3,FALSE),0)</f>
        <v>0</v>
      </c>
    </row>
    <row r="7680" spans="1:10" x14ac:dyDescent="0.25">
      <c r="A7680" t="s">
        <v>7847</v>
      </c>
      <c r="B7680" t="s">
        <v>196</v>
      </c>
      <c r="C7680" t="s">
        <v>122</v>
      </c>
      <c r="D7680" t="s">
        <v>67</v>
      </c>
      <c r="E7680" t="s">
        <v>138</v>
      </c>
      <c r="F7680" s="1">
        <v>43027</v>
      </c>
      <c r="G7680" s="1">
        <v>43094</v>
      </c>
      <c r="H7680">
        <v>4734</v>
      </c>
      <c r="I7680" t="str">
        <f>IF(COUNTIF(Products!$A$2:$A$8,C7680)=0,C7680,"")</f>
        <v/>
      </c>
      <c r="J7680">
        <f>IF(OR(E7680="Prospecting",E7680="Engaging"),VLOOKUP(C7680,Products!$A$2:$C$8,3,FALSE),0)</f>
        <v>0</v>
      </c>
    </row>
    <row r="7681" spans="1:10" x14ac:dyDescent="0.25">
      <c r="A7681" t="s">
        <v>7848</v>
      </c>
      <c r="B7681" t="s">
        <v>196</v>
      </c>
      <c r="C7681" t="s">
        <v>125</v>
      </c>
      <c r="D7681" t="s">
        <v>27</v>
      </c>
      <c r="E7681" t="s">
        <v>138</v>
      </c>
      <c r="F7681" s="1">
        <v>43027</v>
      </c>
      <c r="G7681" s="1">
        <v>43085</v>
      </c>
      <c r="H7681">
        <v>3089</v>
      </c>
      <c r="I7681" t="str">
        <f>IF(COUNTIF(Products!$A$2:$A$8,C7681)=0,C7681,"")</f>
        <v/>
      </c>
      <c r="J7681">
        <f>IF(OR(E7681="Prospecting",E7681="Engaging"),VLOOKUP(C7681,Products!$A$2:$C$8,3,FALSE),0)</f>
        <v>0</v>
      </c>
    </row>
    <row r="7682" spans="1:10" x14ac:dyDescent="0.25">
      <c r="A7682" t="s">
        <v>7849</v>
      </c>
      <c r="B7682" t="s">
        <v>146</v>
      </c>
      <c r="C7682" t="s">
        <v>125</v>
      </c>
      <c r="D7682" t="s">
        <v>36</v>
      </c>
      <c r="E7682" t="s">
        <v>159</v>
      </c>
      <c r="F7682" s="1">
        <v>43028</v>
      </c>
      <c r="G7682" s="1">
        <v>43029</v>
      </c>
      <c r="H7682">
        <v>0</v>
      </c>
      <c r="I7682" t="str">
        <f>IF(COUNTIF(Products!$A$2:$A$8,C7682)=0,C7682,"")</f>
        <v/>
      </c>
      <c r="J7682">
        <f>IF(OR(E7682="Prospecting",E7682="Engaging"),VLOOKUP(C7682,Products!$A$2:$C$8,3,FALSE),0)</f>
        <v>0</v>
      </c>
    </row>
    <row r="7683" spans="1:10" x14ac:dyDescent="0.25">
      <c r="A7683" t="s">
        <v>7850</v>
      </c>
      <c r="B7683" t="s">
        <v>146</v>
      </c>
      <c r="C7683" t="s">
        <v>123</v>
      </c>
      <c r="D7683" t="s">
        <v>55</v>
      </c>
      <c r="E7683" t="s">
        <v>138</v>
      </c>
      <c r="F7683" s="1">
        <v>43028</v>
      </c>
      <c r="G7683" s="1">
        <v>43038</v>
      </c>
      <c r="H7683">
        <v>54</v>
      </c>
      <c r="I7683" t="str">
        <f>IF(COUNTIF(Products!$A$2:$A$8,C7683)=0,C7683,"")</f>
        <v/>
      </c>
      <c r="J7683">
        <f>IF(OR(E7683="Prospecting",E7683="Engaging"),VLOOKUP(C7683,Products!$A$2:$C$8,3,FALSE),0)</f>
        <v>0</v>
      </c>
    </row>
    <row r="7684" spans="1:10" x14ac:dyDescent="0.25">
      <c r="A7684" t="s">
        <v>7851</v>
      </c>
      <c r="B7684" t="s">
        <v>207</v>
      </c>
      <c r="C7684" t="s">
        <v>122</v>
      </c>
      <c r="D7684" t="s">
        <v>92</v>
      </c>
      <c r="E7684" t="s">
        <v>138</v>
      </c>
      <c r="F7684" s="1">
        <v>43028</v>
      </c>
      <c r="G7684" s="1">
        <v>43035</v>
      </c>
      <c r="H7684">
        <v>4345</v>
      </c>
      <c r="I7684" t="str">
        <f>IF(COUNTIF(Products!$A$2:$A$8,C7684)=0,C7684,"")</f>
        <v/>
      </c>
      <c r="J7684">
        <f>IF(OR(E7684="Prospecting",E7684="Engaging"),VLOOKUP(C7684,Products!$A$2:$C$8,3,FALSE),0)</f>
        <v>0</v>
      </c>
    </row>
    <row r="7685" spans="1:10" x14ac:dyDescent="0.25">
      <c r="A7685" t="s">
        <v>7852</v>
      </c>
      <c r="B7685" t="s">
        <v>264</v>
      </c>
      <c r="C7685" t="s">
        <v>125</v>
      </c>
      <c r="D7685" t="s">
        <v>77</v>
      </c>
      <c r="E7685" t="s">
        <v>138</v>
      </c>
      <c r="F7685" s="1">
        <v>43028</v>
      </c>
      <c r="G7685" s="1">
        <v>43035</v>
      </c>
      <c r="H7685">
        <v>3848</v>
      </c>
      <c r="I7685" t="str">
        <f>IF(COUNTIF(Products!$A$2:$A$8,C7685)=0,C7685,"")</f>
        <v/>
      </c>
      <c r="J7685">
        <f>IF(OR(E7685="Prospecting",E7685="Engaging"),VLOOKUP(C7685,Products!$A$2:$C$8,3,FALSE),0)</f>
        <v>0</v>
      </c>
    </row>
    <row r="7686" spans="1:10" x14ac:dyDescent="0.25">
      <c r="A7686" t="s">
        <v>7853</v>
      </c>
      <c r="B7686" t="s">
        <v>239</v>
      </c>
      <c r="C7686" t="s">
        <v>122</v>
      </c>
      <c r="D7686" t="s">
        <v>63</v>
      </c>
      <c r="E7686" t="s">
        <v>138</v>
      </c>
      <c r="F7686" s="1">
        <v>43028</v>
      </c>
      <c r="G7686" s="1">
        <v>43034</v>
      </c>
      <c r="H7686">
        <v>4287</v>
      </c>
      <c r="I7686" t="str">
        <f>IF(COUNTIF(Products!$A$2:$A$8,C7686)=0,C7686,"")</f>
        <v/>
      </c>
      <c r="J7686">
        <f>IF(OR(E7686="Prospecting",E7686="Engaging"),VLOOKUP(C7686,Products!$A$2:$C$8,3,FALSE),0)</f>
        <v>0</v>
      </c>
    </row>
    <row r="7687" spans="1:10" x14ac:dyDescent="0.25">
      <c r="A7687" t="s">
        <v>7854</v>
      </c>
      <c r="B7687" t="s">
        <v>140</v>
      </c>
      <c r="C7687" t="s">
        <v>122</v>
      </c>
      <c r="D7687" t="s">
        <v>26</v>
      </c>
      <c r="E7687" t="s">
        <v>138</v>
      </c>
      <c r="F7687" s="1">
        <v>43028</v>
      </c>
      <c r="G7687" s="1">
        <v>43035</v>
      </c>
      <c r="H7687">
        <v>4435</v>
      </c>
      <c r="I7687" t="str">
        <f>IF(COUNTIF(Products!$A$2:$A$8,C7687)=0,C7687,"")</f>
        <v/>
      </c>
      <c r="J7687">
        <f>IF(OR(E7687="Prospecting",E7687="Engaging"),VLOOKUP(C7687,Products!$A$2:$C$8,3,FALSE),0)</f>
        <v>0</v>
      </c>
    </row>
    <row r="7688" spans="1:10" x14ac:dyDescent="0.25">
      <c r="A7688" t="s">
        <v>7855</v>
      </c>
      <c r="B7688" t="s">
        <v>140</v>
      </c>
      <c r="C7688" t="s">
        <v>122</v>
      </c>
      <c r="D7688" t="s">
        <v>94</v>
      </c>
      <c r="E7688" t="s">
        <v>138</v>
      </c>
      <c r="F7688" s="1">
        <v>43028</v>
      </c>
      <c r="G7688" s="1">
        <v>43036</v>
      </c>
      <c r="H7688">
        <v>4699</v>
      </c>
      <c r="I7688" t="str">
        <f>IF(COUNTIF(Products!$A$2:$A$8,C7688)=0,C7688,"")</f>
        <v/>
      </c>
      <c r="J7688">
        <f>IF(OR(E7688="Prospecting",E7688="Engaging"),VLOOKUP(C7688,Products!$A$2:$C$8,3,FALSE),0)</f>
        <v>0</v>
      </c>
    </row>
    <row r="7689" spans="1:10" x14ac:dyDescent="0.25">
      <c r="A7689" t="s">
        <v>7856</v>
      </c>
      <c r="B7689" t="s">
        <v>158</v>
      </c>
      <c r="C7689" t="s">
        <v>126</v>
      </c>
      <c r="D7689" t="s">
        <v>22</v>
      </c>
      <c r="E7689" t="s">
        <v>159</v>
      </c>
      <c r="F7689" s="1">
        <v>43028</v>
      </c>
      <c r="G7689" s="1">
        <v>43032</v>
      </c>
      <c r="H7689">
        <v>0</v>
      </c>
      <c r="I7689" t="str">
        <f>IF(COUNTIF(Products!$A$2:$A$8,C7689)=0,C7689,"")</f>
        <v/>
      </c>
      <c r="J7689">
        <f>IF(OR(E7689="Prospecting",E7689="Engaging"),VLOOKUP(C7689,Products!$A$2:$C$8,3,FALSE),0)</f>
        <v>0</v>
      </c>
    </row>
    <row r="7690" spans="1:10" x14ac:dyDescent="0.25">
      <c r="A7690" t="s">
        <v>7857</v>
      </c>
      <c r="B7690" t="s">
        <v>158</v>
      </c>
      <c r="C7690" t="s">
        <v>123</v>
      </c>
      <c r="D7690" t="s">
        <v>51</v>
      </c>
      <c r="E7690" t="s">
        <v>159</v>
      </c>
      <c r="F7690" s="1">
        <v>43028</v>
      </c>
      <c r="G7690" s="1">
        <v>43030</v>
      </c>
      <c r="H7690">
        <v>0</v>
      </c>
      <c r="I7690" t="str">
        <f>IF(COUNTIF(Products!$A$2:$A$8,C7690)=0,C7690,"")</f>
        <v/>
      </c>
      <c r="J7690">
        <f>IF(OR(E7690="Prospecting",E7690="Engaging"),VLOOKUP(C7690,Products!$A$2:$C$8,3,FALSE),0)</f>
        <v>0</v>
      </c>
    </row>
    <row r="7691" spans="1:10" x14ac:dyDescent="0.25">
      <c r="A7691" t="s">
        <v>7858</v>
      </c>
      <c r="B7691" t="s">
        <v>158</v>
      </c>
      <c r="C7691" t="s">
        <v>123</v>
      </c>
      <c r="D7691" t="s">
        <v>94</v>
      </c>
      <c r="E7691" t="s">
        <v>138</v>
      </c>
      <c r="F7691" s="1">
        <v>43028</v>
      </c>
      <c r="G7691" s="1">
        <v>43038</v>
      </c>
      <c r="H7691">
        <v>60</v>
      </c>
      <c r="I7691" t="str">
        <f>IF(COUNTIF(Products!$A$2:$A$8,C7691)=0,C7691,"")</f>
        <v/>
      </c>
      <c r="J7691">
        <f>IF(OR(E7691="Prospecting",E7691="Engaging"),VLOOKUP(C7691,Products!$A$2:$C$8,3,FALSE),0)</f>
        <v>0</v>
      </c>
    </row>
    <row r="7692" spans="1:10" x14ac:dyDescent="0.25">
      <c r="A7692" t="s">
        <v>7859</v>
      </c>
      <c r="B7692" t="s">
        <v>164</v>
      </c>
      <c r="C7692" t="s">
        <v>126</v>
      </c>
      <c r="D7692" t="s">
        <v>60</v>
      </c>
      <c r="E7692" t="s">
        <v>138</v>
      </c>
      <c r="F7692" s="1">
        <v>43028</v>
      </c>
      <c r="G7692" s="1">
        <v>43029</v>
      </c>
      <c r="H7692">
        <v>6026</v>
      </c>
      <c r="I7692" t="str">
        <f>IF(COUNTIF(Products!$A$2:$A$8,C7692)=0,C7692,"")</f>
        <v/>
      </c>
      <c r="J7692">
        <f>IF(OR(E7692="Prospecting",E7692="Engaging"),VLOOKUP(C7692,Products!$A$2:$C$8,3,FALSE),0)</f>
        <v>0</v>
      </c>
    </row>
    <row r="7693" spans="1:10" x14ac:dyDescent="0.25">
      <c r="A7693" t="s">
        <v>7860</v>
      </c>
      <c r="B7693" t="s">
        <v>154</v>
      </c>
      <c r="C7693" t="s">
        <v>126</v>
      </c>
      <c r="D7693" t="s">
        <v>47</v>
      </c>
      <c r="E7693" t="s">
        <v>159</v>
      </c>
      <c r="F7693" s="1">
        <v>43028</v>
      </c>
      <c r="G7693" s="1">
        <v>43035</v>
      </c>
      <c r="H7693">
        <v>0</v>
      </c>
      <c r="I7693" t="str">
        <f>IF(COUNTIF(Products!$A$2:$A$8,C7693)=0,C7693,"")</f>
        <v/>
      </c>
      <c r="J7693">
        <f>IF(OR(E7693="Prospecting",E7693="Engaging"),VLOOKUP(C7693,Products!$A$2:$C$8,3,FALSE),0)</f>
        <v>0</v>
      </c>
    </row>
    <row r="7694" spans="1:10" x14ac:dyDescent="0.25">
      <c r="A7694" t="s">
        <v>7861</v>
      </c>
      <c r="B7694" t="s">
        <v>154</v>
      </c>
      <c r="C7694" t="s">
        <v>126</v>
      </c>
      <c r="D7694" t="s">
        <v>78</v>
      </c>
      <c r="E7694" t="s">
        <v>138</v>
      </c>
      <c r="F7694" s="1">
        <v>43028</v>
      </c>
      <c r="G7694" s="1">
        <v>43094</v>
      </c>
      <c r="H7694">
        <v>5095</v>
      </c>
      <c r="I7694" t="str">
        <f>IF(COUNTIF(Products!$A$2:$A$8,C7694)=0,C7694,"")</f>
        <v/>
      </c>
      <c r="J7694">
        <f>IF(OR(E7694="Prospecting",E7694="Engaging"),VLOOKUP(C7694,Products!$A$2:$C$8,3,FALSE),0)</f>
        <v>0</v>
      </c>
    </row>
    <row r="7695" spans="1:10" x14ac:dyDescent="0.25">
      <c r="A7695" t="s">
        <v>7862</v>
      </c>
      <c r="B7695" t="s">
        <v>180</v>
      </c>
      <c r="C7695" t="s">
        <v>120</v>
      </c>
      <c r="D7695" t="s">
        <v>38</v>
      </c>
      <c r="E7695" t="s">
        <v>155</v>
      </c>
      <c r="F7695" s="1">
        <v>43028</v>
      </c>
      <c r="I7695" t="str">
        <f>IF(COUNTIF(Products!$A$2:$A$8,C7695)=0,C7695,"")</f>
        <v/>
      </c>
      <c r="J7695">
        <f>IF(OR(E7695="Prospecting",E7695="Engaging"),VLOOKUP(C7695,Products!$A$2:$C$8,3,FALSE),0)</f>
        <v>550</v>
      </c>
    </row>
    <row r="7696" spans="1:10" x14ac:dyDescent="0.25">
      <c r="A7696" t="s">
        <v>7863</v>
      </c>
      <c r="B7696" t="s">
        <v>180</v>
      </c>
      <c r="C7696" t="s">
        <v>120</v>
      </c>
      <c r="D7696" t="s">
        <v>100</v>
      </c>
      <c r="E7696" t="s">
        <v>138</v>
      </c>
      <c r="F7696" s="1">
        <v>43028</v>
      </c>
      <c r="G7696" s="1">
        <v>43085</v>
      </c>
      <c r="H7696">
        <v>565</v>
      </c>
      <c r="I7696" t="str">
        <f>IF(COUNTIF(Products!$A$2:$A$8,C7696)=0,C7696,"")</f>
        <v/>
      </c>
      <c r="J7696">
        <f>IF(OR(E7696="Prospecting",E7696="Engaging"),VLOOKUP(C7696,Products!$A$2:$C$8,3,FALSE),0)</f>
        <v>0</v>
      </c>
    </row>
    <row r="7697" spans="1:10" x14ac:dyDescent="0.25">
      <c r="A7697" t="s">
        <v>7864</v>
      </c>
      <c r="B7697" t="s">
        <v>162</v>
      </c>
      <c r="C7697" t="s">
        <v>126</v>
      </c>
      <c r="D7697" t="s">
        <v>109</v>
      </c>
      <c r="E7697" t="s">
        <v>138</v>
      </c>
      <c r="F7697" s="1">
        <v>43028</v>
      </c>
      <c r="G7697" s="1">
        <v>43091</v>
      </c>
      <c r="H7697">
        <v>5883</v>
      </c>
      <c r="I7697" t="str">
        <f>IF(COUNTIF(Products!$A$2:$A$8,C7697)=0,C7697,"")</f>
        <v/>
      </c>
      <c r="J7697">
        <f>IF(OR(E7697="Prospecting",E7697="Engaging"),VLOOKUP(C7697,Products!$A$2:$C$8,3,FALSE),0)</f>
        <v>0</v>
      </c>
    </row>
    <row r="7698" spans="1:10" x14ac:dyDescent="0.25">
      <c r="A7698" t="s">
        <v>7865</v>
      </c>
      <c r="B7698" t="s">
        <v>152</v>
      </c>
      <c r="C7698" t="s">
        <v>127</v>
      </c>
      <c r="D7698" t="s">
        <v>46</v>
      </c>
      <c r="E7698" t="s">
        <v>138</v>
      </c>
      <c r="F7698" s="1">
        <v>43028</v>
      </c>
      <c r="G7698" s="1">
        <v>43081</v>
      </c>
      <c r="H7698">
        <v>1135</v>
      </c>
      <c r="I7698" t="str">
        <f>IF(COUNTIF(Products!$A$2:$A$8,C7698)=0,C7698,"")</f>
        <v/>
      </c>
      <c r="J7698">
        <f>IF(OR(E7698="Prospecting",E7698="Engaging"),VLOOKUP(C7698,Products!$A$2:$C$8,3,FALSE),0)</f>
        <v>0</v>
      </c>
    </row>
    <row r="7699" spans="1:10" x14ac:dyDescent="0.25">
      <c r="A7699" t="s">
        <v>7866</v>
      </c>
      <c r="B7699" t="s">
        <v>193</v>
      </c>
      <c r="C7699" t="s">
        <v>127</v>
      </c>
      <c r="D7699" t="s">
        <v>69</v>
      </c>
      <c r="E7699" t="s">
        <v>138</v>
      </c>
      <c r="F7699" s="1">
        <v>43028</v>
      </c>
      <c r="G7699" s="1">
        <v>43090</v>
      </c>
      <c r="H7699">
        <v>903</v>
      </c>
      <c r="I7699" t="str">
        <f>IF(COUNTIF(Products!$A$2:$A$8,C7699)=0,C7699,"")</f>
        <v/>
      </c>
      <c r="J7699">
        <f>IF(OR(E7699="Prospecting",E7699="Engaging"),VLOOKUP(C7699,Products!$A$2:$C$8,3,FALSE),0)</f>
        <v>0</v>
      </c>
    </row>
    <row r="7700" spans="1:10" x14ac:dyDescent="0.25">
      <c r="A7700" t="s">
        <v>7867</v>
      </c>
      <c r="B7700" t="s">
        <v>187</v>
      </c>
      <c r="C7700" t="s">
        <v>122</v>
      </c>
      <c r="D7700" t="s">
        <v>69</v>
      </c>
      <c r="E7700" t="s">
        <v>155</v>
      </c>
      <c r="F7700" s="1">
        <v>43028</v>
      </c>
      <c r="I7700" t="str">
        <f>IF(COUNTIF(Products!$A$2:$A$8,C7700)=0,C7700,"")</f>
        <v/>
      </c>
      <c r="J7700">
        <f>IF(OR(E7700="Prospecting",E7700="Engaging"),VLOOKUP(C7700,Products!$A$2:$C$8,3,FALSE),0)</f>
        <v>4821</v>
      </c>
    </row>
    <row r="7701" spans="1:10" x14ac:dyDescent="0.25">
      <c r="A7701" t="s">
        <v>7868</v>
      </c>
      <c r="B7701" t="s">
        <v>148</v>
      </c>
      <c r="C7701" t="s">
        <v>123</v>
      </c>
      <c r="D7701" t="s">
        <v>57</v>
      </c>
      <c r="E7701" t="s">
        <v>159</v>
      </c>
      <c r="F7701" s="1">
        <v>43028</v>
      </c>
      <c r="G7701" s="1">
        <v>43035</v>
      </c>
      <c r="H7701">
        <v>0</v>
      </c>
      <c r="I7701" t="str">
        <f>IF(COUNTIF(Products!$A$2:$A$8,C7701)=0,C7701,"")</f>
        <v/>
      </c>
      <c r="J7701">
        <f>IF(OR(E7701="Prospecting",E7701="Engaging"),VLOOKUP(C7701,Products!$A$2:$C$8,3,FALSE),0)</f>
        <v>0</v>
      </c>
    </row>
    <row r="7702" spans="1:10" x14ac:dyDescent="0.25">
      <c r="A7702" t="s">
        <v>7869</v>
      </c>
      <c r="B7702" t="s">
        <v>148</v>
      </c>
      <c r="C7702" t="s">
        <v>123</v>
      </c>
      <c r="D7702" t="s">
        <v>72</v>
      </c>
      <c r="E7702" t="s">
        <v>159</v>
      </c>
      <c r="F7702" s="1">
        <v>43028</v>
      </c>
      <c r="G7702" s="1">
        <v>43036</v>
      </c>
      <c r="H7702">
        <v>0</v>
      </c>
      <c r="I7702" t="str">
        <f>IF(COUNTIF(Products!$A$2:$A$8,C7702)=0,C7702,"")</f>
        <v/>
      </c>
      <c r="J7702">
        <f>IF(OR(E7702="Prospecting",E7702="Engaging"),VLOOKUP(C7702,Products!$A$2:$C$8,3,FALSE),0)</f>
        <v>0</v>
      </c>
    </row>
    <row r="7703" spans="1:10" x14ac:dyDescent="0.25">
      <c r="A7703" t="s">
        <v>7870</v>
      </c>
      <c r="B7703" t="s">
        <v>148</v>
      </c>
      <c r="C7703" t="s">
        <v>123</v>
      </c>
      <c r="D7703" t="s">
        <v>29</v>
      </c>
      <c r="E7703" t="s">
        <v>138</v>
      </c>
      <c r="F7703" s="1">
        <v>43028</v>
      </c>
      <c r="G7703" s="1">
        <v>43042</v>
      </c>
      <c r="H7703">
        <v>48</v>
      </c>
      <c r="I7703" t="str">
        <f>IF(COUNTIF(Products!$A$2:$A$8,C7703)=0,C7703,"")</f>
        <v/>
      </c>
      <c r="J7703">
        <f>IF(OR(E7703="Prospecting",E7703="Engaging"),VLOOKUP(C7703,Products!$A$2:$C$8,3,FALSE),0)</f>
        <v>0</v>
      </c>
    </row>
    <row r="7704" spans="1:10" x14ac:dyDescent="0.25">
      <c r="A7704" t="s">
        <v>7871</v>
      </c>
      <c r="B7704" t="s">
        <v>144</v>
      </c>
      <c r="C7704" t="s">
        <v>126</v>
      </c>
      <c r="D7704" t="s">
        <v>60</v>
      </c>
      <c r="E7704" t="s">
        <v>138</v>
      </c>
      <c r="F7704" s="1">
        <v>43028</v>
      </c>
      <c r="G7704" s="1">
        <v>43038</v>
      </c>
      <c r="H7704">
        <v>5388</v>
      </c>
      <c r="I7704" t="str">
        <f>IF(COUNTIF(Products!$A$2:$A$8,C7704)=0,C7704,"")</f>
        <v/>
      </c>
      <c r="J7704">
        <f>IF(OR(E7704="Prospecting",E7704="Engaging"),VLOOKUP(C7704,Products!$A$2:$C$8,3,FALSE),0)</f>
        <v>0</v>
      </c>
    </row>
    <row r="7705" spans="1:10" x14ac:dyDescent="0.25">
      <c r="A7705" t="s">
        <v>7872</v>
      </c>
      <c r="B7705" t="s">
        <v>144</v>
      </c>
      <c r="C7705" t="s">
        <v>122</v>
      </c>
      <c r="D7705" t="s">
        <v>82</v>
      </c>
      <c r="E7705" t="s">
        <v>138</v>
      </c>
      <c r="F7705" s="1">
        <v>43028</v>
      </c>
      <c r="G7705" s="1">
        <v>43035</v>
      </c>
      <c r="H7705">
        <v>4109</v>
      </c>
      <c r="I7705" t="str">
        <f>IF(COUNTIF(Products!$A$2:$A$8,C7705)=0,C7705,"")</f>
        <v/>
      </c>
      <c r="J7705">
        <f>IF(OR(E7705="Prospecting",E7705="Engaging"),VLOOKUP(C7705,Products!$A$2:$C$8,3,FALSE),0)</f>
        <v>0</v>
      </c>
    </row>
    <row r="7706" spans="1:10" x14ac:dyDescent="0.25">
      <c r="A7706" t="s">
        <v>7873</v>
      </c>
      <c r="B7706" t="s">
        <v>146</v>
      </c>
      <c r="C7706" t="s">
        <v>127</v>
      </c>
      <c r="D7706" t="s">
        <v>30</v>
      </c>
      <c r="E7706" t="s">
        <v>159</v>
      </c>
      <c r="F7706" s="1">
        <v>43029</v>
      </c>
      <c r="G7706" s="1">
        <v>43031</v>
      </c>
      <c r="H7706">
        <v>0</v>
      </c>
      <c r="I7706" t="str">
        <f>IF(COUNTIF(Products!$A$2:$A$8,C7706)=0,C7706,"")</f>
        <v/>
      </c>
      <c r="J7706">
        <f>IF(OR(E7706="Prospecting",E7706="Engaging"),VLOOKUP(C7706,Products!$A$2:$C$8,3,FALSE),0)</f>
        <v>0</v>
      </c>
    </row>
    <row r="7707" spans="1:10" x14ac:dyDescent="0.25">
      <c r="A7707" t="s">
        <v>7874</v>
      </c>
      <c r="B7707" t="s">
        <v>146</v>
      </c>
      <c r="C7707" t="s">
        <v>123</v>
      </c>
      <c r="D7707" t="s">
        <v>88</v>
      </c>
      <c r="E7707" t="s">
        <v>159</v>
      </c>
      <c r="F7707" s="1">
        <v>43029</v>
      </c>
      <c r="G7707" s="1">
        <v>43035</v>
      </c>
      <c r="H7707">
        <v>0</v>
      </c>
      <c r="I7707" t="str">
        <f>IF(COUNTIF(Products!$A$2:$A$8,C7707)=0,C7707,"")</f>
        <v/>
      </c>
      <c r="J7707">
        <f>IF(OR(E7707="Prospecting",E7707="Engaging"),VLOOKUP(C7707,Products!$A$2:$C$8,3,FALSE),0)</f>
        <v>0</v>
      </c>
    </row>
    <row r="7708" spans="1:10" x14ac:dyDescent="0.25">
      <c r="A7708" t="s">
        <v>7875</v>
      </c>
      <c r="B7708" t="s">
        <v>146</v>
      </c>
      <c r="C7708" t="s">
        <v>126</v>
      </c>
      <c r="D7708" t="s">
        <v>26</v>
      </c>
      <c r="E7708" t="s">
        <v>138</v>
      </c>
      <c r="F7708" s="1">
        <v>43029</v>
      </c>
      <c r="G7708" s="1">
        <v>43085</v>
      </c>
      <c r="H7708">
        <v>5543</v>
      </c>
      <c r="I7708" t="str">
        <f>IF(COUNTIF(Products!$A$2:$A$8,C7708)=0,C7708,"")</f>
        <v/>
      </c>
      <c r="J7708">
        <f>IF(OR(E7708="Prospecting",E7708="Engaging"),VLOOKUP(C7708,Products!$A$2:$C$8,3,FALSE),0)</f>
        <v>0</v>
      </c>
    </row>
    <row r="7709" spans="1:10" x14ac:dyDescent="0.25">
      <c r="A7709" t="s">
        <v>7876</v>
      </c>
      <c r="B7709" t="s">
        <v>207</v>
      </c>
      <c r="C7709" t="s">
        <v>127</v>
      </c>
      <c r="D7709" t="s">
        <v>37</v>
      </c>
      <c r="E7709" t="s">
        <v>159</v>
      </c>
      <c r="F7709" s="1">
        <v>43029</v>
      </c>
      <c r="G7709" s="1">
        <v>43068</v>
      </c>
      <c r="H7709">
        <v>0</v>
      </c>
      <c r="I7709" t="str">
        <f>IF(COUNTIF(Products!$A$2:$A$8,C7709)=0,C7709,"")</f>
        <v/>
      </c>
      <c r="J7709">
        <f>IF(OR(E7709="Prospecting",E7709="Engaging"),VLOOKUP(C7709,Products!$A$2:$C$8,3,FALSE),0)</f>
        <v>0</v>
      </c>
    </row>
    <row r="7710" spans="1:10" x14ac:dyDescent="0.25">
      <c r="A7710" t="s">
        <v>7877</v>
      </c>
      <c r="B7710" t="s">
        <v>264</v>
      </c>
      <c r="C7710" t="s">
        <v>127</v>
      </c>
      <c r="D7710" t="s">
        <v>96</v>
      </c>
      <c r="E7710" t="s">
        <v>159</v>
      </c>
      <c r="F7710" s="1">
        <v>43029</v>
      </c>
      <c r="G7710" s="1">
        <v>43036</v>
      </c>
      <c r="H7710">
        <v>0</v>
      </c>
      <c r="I7710" t="str">
        <f>IF(COUNTIF(Products!$A$2:$A$8,C7710)=0,C7710,"")</f>
        <v/>
      </c>
      <c r="J7710">
        <f>IF(OR(E7710="Prospecting",E7710="Engaging"),VLOOKUP(C7710,Products!$A$2:$C$8,3,FALSE),0)</f>
        <v>0</v>
      </c>
    </row>
    <row r="7711" spans="1:10" x14ac:dyDescent="0.25">
      <c r="A7711" t="s">
        <v>7878</v>
      </c>
      <c r="B7711" t="s">
        <v>264</v>
      </c>
      <c r="C7711" t="s">
        <v>125</v>
      </c>
      <c r="D7711" t="s">
        <v>51</v>
      </c>
      <c r="E7711" t="s">
        <v>159</v>
      </c>
      <c r="F7711" s="1">
        <v>43029</v>
      </c>
      <c r="G7711" s="1">
        <v>43035</v>
      </c>
      <c r="H7711">
        <v>0</v>
      </c>
      <c r="I7711" t="str">
        <f>IF(COUNTIF(Products!$A$2:$A$8,C7711)=0,C7711,"")</f>
        <v/>
      </c>
      <c r="J7711">
        <f>IF(OR(E7711="Prospecting",E7711="Engaging"),VLOOKUP(C7711,Products!$A$2:$C$8,3,FALSE),0)</f>
        <v>0</v>
      </c>
    </row>
    <row r="7712" spans="1:10" x14ac:dyDescent="0.25">
      <c r="A7712" t="s">
        <v>7879</v>
      </c>
      <c r="B7712" t="s">
        <v>140</v>
      </c>
      <c r="C7712" t="s">
        <v>122</v>
      </c>
      <c r="D7712" t="s">
        <v>14</v>
      </c>
      <c r="E7712" t="s">
        <v>159</v>
      </c>
      <c r="F7712" s="1">
        <v>43029</v>
      </c>
      <c r="G7712" s="1">
        <v>43039</v>
      </c>
      <c r="H7712">
        <v>0</v>
      </c>
      <c r="I7712" t="str">
        <f>IF(COUNTIF(Products!$A$2:$A$8,C7712)=0,C7712,"")</f>
        <v/>
      </c>
      <c r="J7712">
        <f>IF(OR(E7712="Prospecting",E7712="Engaging"),VLOOKUP(C7712,Products!$A$2:$C$8,3,FALSE),0)</f>
        <v>0</v>
      </c>
    </row>
    <row r="7713" spans="1:10" x14ac:dyDescent="0.25">
      <c r="A7713" t="s">
        <v>7880</v>
      </c>
      <c r="B7713" t="s">
        <v>140</v>
      </c>
      <c r="C7713" t="s">
        <v>122</v>
      </c>
      <c r="D7713" t="s">
        <v>95</v>
      </c>
      <c r="E7713" t="s">
        <v>138</v>
      </c>
      <c r="F7713" s="1">
        <v>43029</v>
      </c>
      <c r="G7713" s="1">
        <v>43037</v>
      </c>
      <c r="H7713">
        <v>4732</v>
      </c>
      <c r="I7713" t="str">
        <f>IF(COUNTIF(Products!$A$2:$A$8,C7713)=0,C7713,"")</f>
        <v/>
      </c>
      <c r="J7713">
        <f>IF(OR(E7713="Prospecting",E7713="Engaging"),VLOOKUP(C7713,Products!$A$2:$C$8,3,FALSE),0)</f>
        <v>0</v>
      </c>
    </row>
    <row r="7714" spans="1:10" x14ac:dyDescent="0.25">
      <c r="A7714" t="s">
        <v>7881</v>
      </c>
      <c r="B7714" t="s">
        <v>140</v>
      </c>
      <c r="C7714" t="s">
        <v>123</v>
      </c>
      <c r="D7714" t="s">
        <v>26</v>
      </c>
      <c r="E7714" t="s">
        <v>138</v>
      </c>
      <c r="F7714" s="1">
        <v>43029</v>
      </c>
      <c r="G7714" s="1">
        <v>43046</v>
      </c>
      <c r="H7714">
        <v>55</v>
      </c>
      <c r="I7714" t="str">
        <f>IF(COUNTIF(Products!$A$2:$A$8,C7714)=0,C7714,"")</f>
        <v/>
      </c>
      <c r="J7714">
        <f>IF(OR(E7714="Prospecting",E7714="Engaging"),VLOOKUP(C7714,Products!$A$2:$C$8,3,FALSE),0)</f>
        <v>0</v>
      </c>
    </row>
    <row r="7715" spans="1:10" x14ac:dyDescent="0.25">
      <c r="A7715" t="s">
        <v>7882</v>
      </c>
      <c r="B7715" t="s">
        <v>224</v>
      </c>
      <c r="C7715" t="s">
        <v>120</v>
      </c>
      <c r="D7715" t="s">
        <v>108</v>
      </c>
      <c r="E7715" t="s">
        <v>159</v>
      </c>
      <c r="F7715" s="1">
        <v>43029</v>
      </c>
      <c r="G7715" s="1">
        <v>43038</v>
      </c>
      <c r="H7715">
        <v>0</v>
      </c>
      <c r="I7715" t="str">
        <f>IF(COUNTIF(Products!$A$2:$A$8,C7715)=0,C7715,"")</f>
        <v/>
      </c>
      <c r="J7715">
        <f>IF(OR(E7715="Prospecting",E7715="Engaging"),VLOOKUP(C7715,Products!$A$2:$C$8,3,FALSE),0)</f>
        <v>0</v>
      </c>
    </row>
    <row r="7716" spans="1:10" x14ac:dyDescent="0.25">
      <c r="A7716" t="s">
        <v>7883</v>
      </c>
      <c r="B7716" t="s">
        <v>224</v>
      </c>
      <c r="C7716" t="s">
        <v>126</v>
      </c>
      <c r="D7716" t="s">
        <v>102</v>
      </c>
      <c r="E7716" t="s">
        <v>159</v>
      </c>
      <c r="F7716" s="1">
        <v>43029</v>
      </c>
      <c r="G7716" s="1">
        <v>43037</v>
      </c>
      <c r="H7716">
        <v>0</v>
      </c>
      <c r="I7716" t="str">
        <f>IF(COUNTIF(Products!$A$2:$A$8,C7716)=0,C7716,"")</f>
        <v/>
      </c>
      <c r="J7716">
        <f>IF(OR(E7716="Prospecting",E7716="Engaging"),VLOOKUP(C7716,Products!$A$2:$C$8,3,FALSE),0)</f>
        <v>0</v>
      </c>
    </row>
    <row r="7717" spans="1:10" x14ac:dyDescent="0.25">
      <c r="A7717" t="s">
        <v>7884</v>
      </c>
      <c r="B7717" t="s">
        <v>158</v>
      </c>
      <c r="C7717" t="s">
        <v>123</v>
      </c>
      <c r="D7717" t="s">
        <v>70</v>
      </c>
      <c r="E7717" t="s">
        <v>138</v>
      </c>
      <c r="F7717" s="1">
        <v>43029</v>
      </c>
      <c r="G7717" s="1">
        <v>43038</v>
      </c>
      <c r="H7717">
        <v>52</v>
      </c>
      <c r="I7717" t="str">
        <f>IF(COUNTIF(Products!$A$2:$A$8,C7717)=0,C7717,"")</f>
        <v/>
      </c>
      <c r="J7717">
        <f>IF(OR(E7717="Prospecting",E7717="Engaging"),VLOOKUP(C7717,Products!$A$2:$C$8,3,FALSE),0)</f>
        <v>0</v>
      </c>
    </row>
    <row r="7718" spans="1:10" x14ac:dyDescent="0.25">
      <c r="A7718" t="s">
        <v>7885</v>
      </c>
      <c r="B7718" t="s">
        <v>303</v>
      </c>
      <c r="C7718" t="s">
        <v>120</v>
      </c>
      <c r="D7718" t="s">
        <v>51</v>
      </c>
      <c r="E7718" t="s">
        <v>159</v>
      </c>
      <c r="F7718" s="1">
        <v>43029</v>
      </c>
      <c r="G7718" s="1">
        <v>43030</v>
      </c>
      <c r="H7718">
        <v>0</v>
      </c>
      <c r="I7718" t="str">
        <f>IF(COUNTIF(Products!$A$2:$A$8,C7718)=0,C7718,"")</f>
        <v/>
      </c>
      <c r="J7718">
        <f>IF(OR(E7718="Prospecting",E7718="Engaging"),VLOOKUP(C7718,Products!$A$2:$C$8,3,FALSE),0)</f>
        <v>0</v>
      </c>
    </row>
    <row r="7719" spans="1:10" x14ac:dyDescent="0.25">
      <c r="A7719" t="s">
        <v>7886</v>
      </c>
      <c r="B7719" t="s">
        <v>180</v>
      </c>
      <c r="C7719" t="s">
        <v>120</v>
      </c>
      <c r="D7719" t="s">
        <v>34</v>
      </c>
      <c r="E7719" t="s">
        <v>159</v>
      </c>
      <c r="F7719" s="1">
        <v>43029</v>
      </c>
      <c r="G7719" s="1">
        <v>43083</v>
      </c>
      <c r="H7719">
        <v>0</v>
      </c>
      <c r="I7719" t="str">
        <f>IF(COUNTIF(Products!$A$2:$A$8,C7719)=0,C7719,"")</f>
        <v/>
      </c>
      <c r="J7719">
        <f>IF(OR(E7719="Prospecting",E7719="Engaging"),VLOOKUP(C7719,Products!$A$2:$C$8,3,FALSE),0)</f>
        <v>0</v>
      </c>
    </row>
    <row r="7720" spans="1:10" x14ac:dyDescent="0.25">
      <c r="A7720" t="s">
        <v>7887</v>
      </c>
      <c r="B7720" t="s">
        <v>191</v>
      </c>
      <c r="C7720" t="s">
        <v>120</v>
      </c>
      <c r="D7720" t="s">
        <v>23</v>
      </c>
      <c r="E7720" t="s">
        <v>159</v>
      </c>
      <c r="F7720" s="1">
        <v>43029</v>
      </c>
      <c r="G7720" s="1">
        <v>43031</v>
      </c>
      <c r="H7720">
        <v>0</v>
      </c>
      <c r="I7720" t="str">
        <f>IF(COUNTIF(Products!$A$2:$A$8,C7720)=0,C7720,"")</f>
        <v/>
      </c>
      <c r="J7720">
        <f>IF(OR(E7720="Prospecting",E7720="Engaging"),VLOOKUP(C7720,Products!$A$2:$C$8,3,FALSE),0)</f>
        <v>0</v>
      </c>
    </row>
    <row r="7721" spans="1:10" x14ac:dyDescent="0.25">
      <c r="A7721" t="s">
        <v>7888</v>
      </c>
      <c r="B7721" t="s">
        <v>191</v>
      </c>
      <c r="C7721" t="s">
        <v>120</v>
      </c>
      <c r="D7721" t="s">
        <v>71</v>
      </c>
      <c r="E7721" t="s">
        <v>138</v>
      </c>
      <c r="F7721" s="1">
        <v>43029</v>
      </c>
      <c r="G7721" s="1">
        <v>43035</v>
      </c>
      <c r="H7721">
        <v>575</v>
      </c>
      <c r="I7721" t="str">
        <f>IF(COUNTIF(Products!$A$2:$A$8,C7721)=0,C7721,"")</f>
        <v/>
      </c>
      <c r="J7721">
        <f>IF(OR(E7721="Prospecting",E7721="Engaging"),VLOOKUP(C7721,Products!$A$2:$C$8,3,FALSE),0)</f>
        <v>0</v>
      </c>
    </row>
    <row r="7722" spans="1:10" x14ac:dyDescent="0.25">
      <c r="A7722" t="s">
        <v>7889</v>
      </c>
      <c r="B7722" t="s">
        <v>162</v>
      </c>
      <c r="C7722" t="s">
        <v>120</v>
      </c>
      <c r="D7722" t="s">
        <v>57</v>
      </c>
      <c r="E7722" t="s">
        <v>159</v>
      </c>
      <c r="F7722" s="1">
        <v>43029</v>
      </c>
      <c r="G7722" s="1">
        <v>43038</v>
      </c>
      <c r="H7722">
        <v>0</v>
      </c>
      <c r="I7722" t="str">
        <f>IF(COUNTIF(Products!$A$2:$A$8,C7722)=0,C7722,"")</f>
        <v/>
      </c>
      <c r="J7722">
        <f>IF(OR(E7722="Prospecting",E7722="Engaging"),VLOOKUP(C7722,Products!$A$2:$C$8,3,FALSE),0)</f>
        <v>0</v>
      </c>
    </row>
    <row r="7723" spans="1:10" x14ac:dyDescent="0.25">
      <c r="A7723" t="s">
        <v>7890</v>
      </c>
      <c r="B7723" t="s">
        <v>152</v>
      </c>
      <c r="C7723" t="s">
        <v>123</v>
      </c>
      <c r="D7723" t="s">
        <v>33</v>
      </c>
      <c r="E7723" t="s">
        <v>159</v>
      </c>
      <c r="F7723" s="1">
        <v>43029</v>
      </c>
      <c r="G7723" s="1">
        <v>43040</v>
      </c>
      <c r="H7723">
        <v>0</v>
      </c>
      <c r="I7723" t="str">
        <f>IF(COUNTIF(Products!$A$2:$A$8,C7723)=0,C7723,"")</f>
        <v/>
      </c>
      <c r="J7723">
        <f>IF(OR(E7723="Prospecting",E7723="Engaging"),VLOOKUP(C7723,Products!$A$2:$C$8,3,FALSE),0)</f>
        <v>0</v>
      </c>
    </row>
    <row r="7724" spans="1:10" x14ac:dyDescent="0.25">
      <c r="A7724" t="s">
        <v>7891</v>
      </c>
      <c r="B7724" t="s">
        <v>193</v>
      </c>
      <c r="C7724" t="s">
        <v>125</v>
      </c>
      <c r="D7724" t="s">
        <v>84</v>
      </c>
      <c r="E7724" t="s">
        <v>138</v>
      </c>
      <c r="F7724" s="1">
        <v>43029</v>
      </c>
      <c r="G7724" s="1">
        <v>43037</v>
      </c>
      <c r="H7724">
        <v>3612</v>
      </c>
      <c r="I7724" t="str">
        <f>IF(COUNTIF(Products!$A$2:$A$8,C7724)=0,C7724,"")</f>
        <v/>
      </c>
      <c r="J7724">
        <f>IF(OR(E7724="Prospecting",E7724="Engaging"),VLOOKUP(C7724,Products!$A$2:$C$8,3,FALSE),0)</f>
        <v>0</v>
      </c>
    </row>
    <row r="7725" spans="1:10" x14ac:dyDescent="0.25">
      <c r="A7725" t="s">
        <v>7892</v>
      </c>
      <c r="B7725" t="s">
        <v>177</v>
      </c>
      <c r="C7725" t="s">
        <v>123</v>
      </c>
      <c r="D7725" t="s">
        <v>111</v>
      </c>
      <c r="E7725" t="s">
        <v>159</v>
      </c>
      <c r="F7725" s="1">
        <v>43029</v>
      </c>
      <c r="G7725" s="1">
        <v>43033</v>
      </c>
      <c r="H7725">
        <v>0</v>
      </c>
      <c r="I7725" t="str">
        <f>IF(COUNTIF(Products!$A$2:$A$8,C7725)=0,C7725,"")</f>
        <v/>
      </c>
      <c r="J7725">
        <f>IF(OR(E7725="Prospecting",E7725="Engaging"),VLOOKUP(C7725,Products!$A$2:$C$8,3,FALSE),0)</f>
        <v>0</v>
      </c>
    </row>
    <row r="7726" spans="1:10" x14ac:dyDescent="0.25">
      <c r="A7726" t="s">
        <v>7893</v>
      </c>
      <c r="B7726" t="s">
        <v>196</v>
      </c>
      <c r="C7726" t="s">
        <v>122</v>
      </c>
      <c r="D7726" t="s">
        <v>65</v>
      </c>
      <c r="E7726" t="s">
        <v>138</v>
      </c>
      <c r="F7726" s="1">
        <v>43029</v>
      </c>
      <c r="G7726" s="1">
        <v>43084</v>
      </c>
      <c r="H7726">
        <v>4970</v>
      </c>
      <c r="I7726" t="str">
        <f>IF(COUNTIF(Products!$A$2:$A$8,C7726)=0,C7726,"")</f>
        <v/>
      </c>
      <c r="J7726">
        <f>IF(OR(E7726="Prospecting",E7726="Engaging"),VLOOKUP(C7726,Products!$A$2:$C$8,3,FALSE),0)</f>
        <v>0</v>
      </c>
    </row>
    <row r="7727" spans="1:10" x14ac:dyDescent="0.25">
      <c r="A7727" t="s">
        <v>7894</v>
      </c>
      <c r="B7727" t="s">
        <v>196</v>
      </c>
      <c r="C7727" t="s">
        <v>125</v>
      </c>
      <c r="D7727" t="s">
        <v>48</v>
      </c>
      <c r="E7727" t="s">
        <v>138</v>
      </c>
      <c r="F7727" s="1">
        <v>43029</v>
      </c>
      <c r="G7727" s="1">
        <v>43039</v>
      </c>
      <c r="H7727">
        <v>2995</v>
      </c>
      <c r="I7727" t="str">
        <f>IF(COUNTIF(Products!$A$2:$A$8,C7727)=0,C7727,"")</f>
        <v/>
      </c>
      <c r="J7727">
        <f>IF(OR(E7727="Prospecting",E7727="Engaging"),VLOOKUP(C7727,Products!$A$2:$C$8,3,FALSE),0)</f>
        <v>0</v>
      </c>
    </row>
    <row r="7728" spans="1:10" x14ac:dyDescent="0.25">
      <c r="A7728" t="s">
        <v>7895</v>
      </c>
      <c r="B7728" t="s">
        <v>222</v>
      </c>
      <c r="C7728" t="s">
        <v>120</v>
      </c>
      <c r="D7728" t="s">
        <v>111</v>
      </c>
      <c r="E7728" t="s">
        <v>138</v>
      </c>
      <c r="F7728" s="1">
        <v>43030</v>
      </c>
      <c r="G7728" s="1">
        <v>43099</v>
      </c>
      <c r="H7728">
        <v>546</v>
      </c>
      <c r="I7728" t="str">
        <f>IF(COUNTIF(Products!$A$2:$A$8,C7728)=0,C7728,"")</f>
        <v/>
      </c>
      <c r="J7728">
        <f>IF(OR(E7728="Prospecting",E7728="Engaging"),VLOOKUP(C7728,Products!$A$2:$C$8,3,FALSE),0)</f>
        <v>0</v>
      </c>
    </row>
    <row r="7729" spans="1:10" x14ac:dyDescent="0.25">
      <c r="A7729" t="s">
        <v>7896</v>
      </c>
      <c r="B7729" t="s">
        <v>222</v>
      </c>
      <c r="C7729" t="s">
        <v>127</v>
      </c>
      <c r="D7729" t="s">
        <v>50</v>
      </c>
      <c r="E7729" t="s">
        <v>138</v>
      </c>
      <c r="F7729" s="1">
        <v>43030</v>
      </c>
      <c r="G7729" s="1">
        <v>43089</v>
      </c>
      <c r="H7729">
        <v>1184</v>
      </c>
      <c r="I7729" t="str">
        <f>IF(COUNTIF(Products!$A$2:$A$8,C7729)=0,C7729,"")</f>
        <v/>
      </c>
      <c r="J7729">
        <f>IF(OR(E7729="Prospecting",E7729="Engaging"),VLOOKUP(C7729,Products!$A$2:$C$8,3,FALSE),0)</f>
        <v>0</v>
      </c>
    </row>
    <row r="7730" spans="1:10" x14ac:dyDescent="0.25">
      <c r="A7730" t="s">
        <v>7897</v>
      </c>
      <c r="B7730" t="s">
        <v>207</v>
      </c>
      <c r="C7730" t="s">
        <v>126</v>
      </c>
      <c r="D7730" t="s">
        <v>84</v>
      </c>
      <c r="E7730" t="s">
        <v>138</v>
      </c>
      <c r="F7730" s="1">
        <v>43030</v>
      </c>
      <c r="G7730" s="1">
        <v>43032</v>
      </c>
      <c r="H7730">
        <v>5500</v>
      </c>
      <c r="I7730" t="str">
        <f>IF(COUNTIF(Products!$A$2:$A$8,C7730)=0,C7730,"")</f>
        <v/>
      </c>
      <c r="J7730">
        <f>IF(OR(E7730="Prospecting",E7730="Engaging"),VLOOKUP(C7730,Products!$A$2:$C$8,3,FALSE),0)</f>
        <v>0</v>
      </c>
    </row>
    <row r="7731" spans="1:10" x14ac:dyDescent="0.25">
      <c r="A7731" t="s">
        <v>7898</v>
      </c>
      <c r="B7731" t="s">
        <v>264</v>
      </c>
      <c r="C7731" t="s">
        <v>125</v>
      </c>
      <c r="D7731" t="s">
        <v>33</v>
      </c>
      <c r="E7731" t="s">
        <v>138</v>
      </c>
      <c r="F7731" s="1">
        <v>43030</v>
      </c>
      <c r="G7731" s="1">
        <v>43032</v>
      </c>
      <c r="H7731">
        <v>3616</v>
      </c>
      <c r="I7731" t="str">
        <f>IF(COUNTIF(Products!$A$2:$A$8,C7731)=0,C7731,"")</f>
        <v/>
      </c>
      <c r="J7731">
        <f>IF(OR(E7731="Prospecting",E7731="Engaging"),VLOOKUP(C7731,Products!$A$2:$C$8,3,FALSE),0)</f>
        <v>0</v>
      </c>
    </row>
    <row r="7732" spans="1:10" x14ac:dyDescent="0.25">
      <c r="A7732" t="s">
        <v>7899</v>
      </c>
      <c r="B7732" t="s">
        <v>239</v>
      </c>
      <c r="C7732" t="s">
        <v>128</v>
      </c>
      <c r="D7732" t="s">
        <v>67</v>
      </c>
      <c r="E7732" t="s">
        <v>159</v>
      </c>
      <c r="F7732" s="1">
        <v>43030</v>
      </c>
      <c r="G7732" s="1">
        <v>43069</v>
      </c>
      <c r="H7732">
        <v>0</v>
      </c>
      <c r="I7732" t="str">
        <f>IF(COUNTIF(Products!$A$2:$A$8,C7732)=0,C7732,"")</f>
        <v/>
      </c>
      <c r="J7732">
        <f>IF(OR(E7732="Prospecting",E7732="Engaging"),VLOOKUP(C7732,Products!$A$2:$C$8,3,FALSE),0)</f>
        <v>0</v>
      </c>
    </row>
    <row r="7733" spans="1:10" x14ac:dyDescent="0.25">
      <c r="A7733" t="s">
        <v>7900</v>
      </c>
      <c r="B7733" t="s">
        <v>171</v>
      </c>
      <c r="C7733" t="s">
        <v>125</v>
      </c>
      <c r="D7733" t="s">
        <v>73</v>
      </c>
      <c r="E7733" t="s">
        <v>159</v>
      </c>
      <c r="F7733" s="1">
        <v>43030</v>
      </c>
      <c r="G7733" s="1">
        <v>43034</v>
      </c>
      <c r="H7733">
        <v>0</v>
      </c>
      <c r="I7733" t="str">
        <f>IF(COUNTIF(Products!$A$2:$A$8,C7733)=0,C7733,"")</f>
        <v/>
      </c>
      <c r="J7733">
        <f>IF(OR(E7733="Prospecting",E7733="Engaging"),VLOOKUP(C7733,Products!$A$2:$C$8,3,FALSE),0)</f>
        <v>0</v>
      </c>
    </row>
    <row r="7734" spans="1:10" x14ac:dyDescent="0.25">
      <c r="A7734" t="s">
        <v>7901</v>
      </c>
      <c r="B7734" t="s">
        <v>140</v>
      </c>
      <c r="C7734" t="s">
        <v>127</v>
      </c>
      <c r="D7734" t="s">
        <v>89</v>
      </c>
      <c r="E7734" t="s">
        <v>138</v>
      </c>
      <c r="F7734" s="1">
        <v>43030</v>
      </c>
      <c r="G7734" s="1">
        <v>43098</v>
      </c>
      <c r="H7734">
        <v>1087</v>
      </c>
      <c r="I7734" t="str">
        <f>IF(COUNTIF(Products!$A$2:$A$8,C7734)=0,C7734,"")</f>
        <v/>
      </c>
      <c r="J7734">
        <f>IF(OR(E7734="Prospecting",E7734="Engaging"),VLOOKUP(C7734,Products!$A$2:$C$8,3,FALSE),0)</f>
        <v>0</v>
      </c>
    </row>
    <row r="7735" spans="1:10" x14ac:dyDescent="0.25">
      <c r="A7735" t="s">
        <v>7902</v>
      </c>
      <c r="B7735" t="s">
        <v>140</v>
      </c>
      <c r="C7735" t="s">
        <v>122</v>
      </c>
      <c r="D7735" t="s">
        <v>32</v>
      </c>
      <c r="E7735" t="s">
        <v>138</v>
      </c>
      <c r="F7735" s="1">
        <v>43030</v>
      </c>
      <c r="G7735" s="1">
        <v>43038</v>
      </c>
      <c r="H7735">
        <v>3578</v>
      </c>
      <c r="I7735" t="str">
        <f>IF(COUNTIF(Products!$A$2:$A$8,C7735)=0,C7735,"")</f>
        <v/>
      </c>
      <c r="J7735">
        <f>IF(OR(E7735="Prospecting",E7735="Engaging"),VLOOKUP(C7735,Products!$A$2:$C$8,3,FALSE),0)</f>
        <v>0</v>
      </c>
    </row>
    <row r="7736" spans="1:10" x14ac:dyDescent="0.25">
      <c r="A7736" t="s">
        <v>7903</v>
      </c>
      <c r="B7736" t="s">
        <v>173</v>
      </c>
      <c r="C7736" t="s">
        <v>120</v>
      </c>
      <c r="D7736" t="s">
        <v>44</v>
      </c>
      <c r="E7736" t="s">
        <v>138</v>
      </c>
      <c r="F7736" s="1">
        <v>43030</v>
      </c>
      <c r="G7736" s="1">
        <v>43037</v>
      </c>
      <c r="H7736">
        <v>544</v>
      </c>
      <c r="I7736" t="str">
        <f>IF(COUNTIF(Products!$A$2:$A$8,C7736)=0,C7736,"")</f>
        <v/>
      </c>
      <c r="J7736">
        <f>IF(OR(E7736="Prospecting",E7736="Engaging"),VLOOKUP(C7736,Products!$A$2:$C$8,3,FALSE),0)</f>
        <v>0</v>
      </c>
    </row>
    <row r="7737" spans="1:10" x14ac:dyDescent="0.25">
      <c r="A7737" t="s">
        <v>7904</v>
      </c>
      <c r="B7737" t="s">
        <v>173</v>
      </c>
      <c r="C7737" t="s">
        <v>125</v>
      </c>
      <c r="D7737" t="s">
        <v>29</v>
      </c>
      <c r="E7737" t="s">
        <v>138</v>
      </c>
      <c r="F7737" s="1">
        <v>43030</v>
      </c>
      <c r="G7737" s="1">
        <v>43037</v>
      </c>
      <c r="H7737">
        <v>3082</v>
      </c>
      <c r="I7737" t="str">
        <f>IF(COUNTIF(Products!$A$2:$A$8,C7737)=0,C7737,"")</f>
        <v/>
      </c>
      <c r="J7737">
        <f>IF(OR(E7737="Prospecting",E7737="Engaging"),VLOOKUP(C7737,Products!$A$2:$C$8,3,FALSE),0)</f>
        <v>0</v>
      </c>
    </row>
    <row r="7738" spans="1:10" x14ac:dyDescent="0.25">
      <c r="A7738" t="s">
        <v>7905</v>
      </c>
      <c r="B7738" t="s">
        <v>173</v>
      </c>
      <c r="C7738" t="s">
        <v>125</v>
      </c>
      <c r="D7738" t="s">
        <v>61</v>
      </c>
      <c r="E7738" t="s">
        <v>138</v>
      </c>
      <c r="F7738" s="1">
        <v>43030</v>
      </c>
      <c r="G7738" s="1">
        <v>43032</v>
      </c>
      <c r="H7738">
        <v>3450</v>
      </c>
      <c r="I7738" t="str">
        <f>IF(COUNTIF(Products!$A$2:$A$8,C7738)=0,C7738,"")</f>
        <v/>
      </c>
      <c r="J7738">
        <f>IF(OR(E7738="Prospecting",E7738="Engaging"),VLOOKUP(C7738,Products!$A$2:$C$8,3,FALSE),0)</f>
        <v>0</v>
      </c>
    </row>
    <row r="7739" spans="1:10" x14ac:dyDescent="0.25">
      <c r="A7739" t="s">
        <v>7906</v>
      </c>
      <c r="B7739" t="s">
        <v>198</v>
      </c>
      <c r="C7739" t="s">
        <v>122</v>
      </c>
      <c r="D7739" t="s">
        <v>67</v>
      </c>
      <c r="E7739" t="s">
        <v>138</v>
      </c>
      <c r="F7739" s="1">
        <v>43030</v>
      </c>
      <c r="G7739" s="1">
        <v>43037</v>
      </c>
      <c r="H7739">
        <v>5360</v>
      </c>
      <c r="I7739" t="str">
        <f>IF(COUNTIF(Products!$A$2:$A$8,C7739)=0,C7739,"")</f>
        <v/>
      </c>
      <c r="J7739">
        <f>IF(OR(E7739="Prospecting",E7739="Engaging"),VLOOKUP(C7739,Products!$A$2:$C$8,3,FALSE),0)</f>
        <v>0</v>
      </c>
    </row>
    <row r="7740" spans="1:10" x14ac:dyDescent="0.25">
      <c r="A7740" t="s">
        <v>7907</v>
      </c>
      <c r="B7740" t="s">
        <v>154</v>
      </c>
      <c r="C7740" t="s">
        <v>122</v>
      </c>
      <c r="D7740" t="s">
        <v>23</v>
      </c>
      <c r="E7740" t="s">
        <v>138</v>
      </c>
      <c r="F7740" s="1">
        <v>43030</v>
      </c>
      <c r="G7740" s="1">
        <v>43040</v>
      </c>
      <c r="H7740">
        <v>4991</v>
      </c>
      <c r="I7740" t="str">
        <f>IF(COUNTIF(Products!$A$2:$A$8,C7740)=0,C7740,"")</f>
        <v/>
      </c>
      <c r="J7740">
        <f>IF(OR(E7740="Prospecting",E7740="Engaging"),VLOOKUP(C7740,Products!$A$2:$C$8,3,FALSE),0)</f>
        <v>0</v>
      </c>
    </row>
    <row r="7741" spans="1:10" x14ac:dyDescent="0.25">
      <c r="A7741" t="s">
        <v>7908</v>
      </c>
      <c r="B7741" t="s">
        <v>154</v>
      </c>
      <c r="C7741" t="s">
        <v>125</v>
      </c>
      <c r="D7741" t="s">
        <v>23</v>
      </c>
      <c r="E7741" t="s">
        <v>138</v>
      </c>
      <c r="F7741" s="1">
        <v>43030</v>
      </c>
      <c r="G7741" s="1">
        <v>43038</v>
      </c>
      <c r="H7741">
        <v>3294</v>
      </c>
      <c r="I7741" t="str">
        <f>IF(COUNTIF(Products!$A$2:$A$8,C7741)=0,C7741,"")</f>
        <v/>
      </c>
      <c r="J7741">
        <f>IF(OR(E7741="Prospecting",E7741="Engaging"),VLOOKUP(C7741,Products!$A$2:$C$8,3,FALSE),0)</f>
        <v>0</v>
      </c>
    </row>
    <row r="7742" spans="1:10" x14ac:dyDescent="0.25">
      <c r="A7742" t="s">
        <v>7909</v>
      </c>
      <c r="B7742" t="s">
        <v>303</v>
      </c>
      <c r="C7742" t="s">
        <v>127</v>
      </c>
      <c r="D7742" t="s">
        <v>28</v>
      </c>
      <c r="E7742" t="s">
        <v>159</v>
      </c>
      <c r="F7742" s="1">
        <v>43030</v>
      </c>
      <c r="G7742" s="1">
        <v>43038</v>
      </c>
      <c r="H7742">
        <v>0</v>
      </c>
      <c r="I7742" t="str">
        <f>IF(COUNTIF(Products!$A$2:$A$8,C7742)=0,C7742,"")</f>
        <v/>
      </c>
      <c r="J7742">
        <f>IF(OR(E7742="Prospecting",E7742="Engaging"),VLOOKUP(C7742,Products!$A$2:$C$8,3,FALSE),0)</f>
        <v>0</v>
      </c>
    </row>
    <row r="7743" spans="1:10" x14ac:dyDescent="0.25">
      <c r="A7743" t="s">
        <v>7910</v>
      </c>
      <c r="B7743" t="s">
        <v>150</v>
      </c>
      <c r="C7743" t="s">
        <v>127</v>
      </c>
      <c r="D7743" t="s">
        <v>87</v>
      </c>
      <c r="E7743" t="s">
        <v>138</v>
      </c>
      <c r="F7743" s="1">
        <v>43030</v>
      </c>
      <c r="G7743" s="1">
        <v>43039</v>
      </c>
      <c r="H7743">
        <v>981</v>
      </c>
      <c r="I7743" t="str">
        <f>IF(COUNTIF(Products!$A$2:$A$8,C7743)=0,C7743,"")</f>
        <v/>
      </c>
      <c r="J7743">
        <f>IF(OR(E7743="Prospecting",E7743="Engaging"),VLOOKUP(C7743,Products!$A$2:$C$8,3,FALSE),0)</f>
        <v>0</v>
      </c>
    </row>
    <row r="7744" spans="1:10" x14ac:dyDescent="0.25">
      <c r="A7744" t="s">
        <v>7911</v>
      </c>
      <c r="B7744" t="s">
        <v>205</v>
      </c>
      <c r="C7744" t="s">
        <v>127</v>
      </c>
      <c r="D7744" t="s">
        <v>64</v>
      </c>
      <c r="E7744" t="s">
        <v>159</v>
      </c>
      <c r="F7744" s="1">
        <v>43030</v>
      </c>
      <c r="G7744" s="1">
        <v>43042</v>
      </c>
      <c r="H7744">
        <v>0</v>
      </c>
      <c r="I7744" t="str">
        <f>IF(COUNTIF(Products!$A$2:$A$8,C7744)=0,C7744,"")</f>
        <v/>
      </c>
      <c r="J7744">
        <f>IF(OR(E7744="Prospecting",E7744="Engaging"),VLOOKUP(C7744,Products!$A$2:$C$8,3,FALSE),0)</f>
        <v>0</v>
      </c>
    </row>
    <row r="7745" spans="1:10" x14ac:dyDescent="0.25">
      <c r="A7745" t="s">
        <v>7912</v>
      </c>
      <c r="B7745" t="s">
        <v>205</v>
      </c>
      <c r="C7745" t="s">
        <v>126</v>
      </c>
      <c r="D7745" t="s">
        <v>96</v>
      </c>
      <c r="E7745" t="s">
        <v>138</v>
      </c>
      <c r="F7745" s="1">
        <v>43030</v>
      </c>
      <c r="G7745" s="1">
        <v>43031</v>
      </c>
      <c r="H7745">
        <v>6233</v>
      </c>
      <c r="I7745" t="str">
        <f>IF(COUNTIF(Products!$A$2:$A$8,C7745)=0,C7745,"")</f>
        <v/>
      </c>
      <c r="J7745">
        <f>IF(OR(E7745="Prospecting",E7745="Engaging"),VLOOKUP(C7745,Products!$A$2:$C$8,3,FALSE),0)</f>
        <v>0</v>
      </c>
    </row>
    <row r="7746" spans="1:10" x14ac:dyDescent="0.25">
      <c r="A7746" t="s">
        <v>7913</v>
      </c>
      <c r="B7746" t="s">
        <v>205</v>
      </c>
      <c r="C7746" t="s">
        <v>123</v>
      </c>
      <c r="D7746" t="s">
        <v>33</v>
      </c>
      <c r="E7746" t="s">
        <v>138</v>
      </c>
      <c r="F7746" s="1">
        <v>43030</v>
      </c>
      <c r="G7746" s="1">
        <v>43067</v>
      </c>
      <c r="H7746">
        <v>55</v>
      </c>
      <c r="I7746" t="str">
        <f>IF(COUNTIF(Products!$A$2:$A$8,C7746)=0,C7746,"")</f>
        <v/>
      </c>
      <c r="J7746">
        <f>IF(OR(E7746="Prospecting",E7746="Engaging"),VLOOKUP(C7746,Products!$A$2:$C$8,3,FALSE),0)</f>
        <v>0</v>
      </c>
    </row>
    <row r="7747" spans="1:10" x14ac:dyDescent="0.25">
      <c r="A7747" t="s">
        <v>7914</v>
      </c>
      <c r="B7747" t="s">
        <v>152</v>
      </c>
      <c r="C7747" t="s">
        <v>123</v>
      </c>
      <c r="D7747" t="s">
        <v>53</v>
      </c>
      <c r="E7747" t="s">
        <v>159</v>
      </c>
      <c r="F7747" s="1">
        <v>43030</v>
      </c>
      <c r="G7747" s="1">
        <v>43036</v>
      </c>
      <c r="H7747">
        <v>0</v>
      </c>
      <c r="I7747" t="str">
        <f>IF(COUNTIF(Products!$A$2:$A$8,C7747)=0,C7747,"")</f>
        <v/>
      </c>
      <c r="J7747">
        <f>IF(OR(E7747="Prospecting",E7747="Engaging"),VLOOKUP(C7747,Products!$A$2:$C$8,3,FALSE),0)</f>
        <v>0</v>
      </c>
    </row>
    <row r="7748" spans="1:10" x14ac:dyDescent="0.25">
      <c r="A7748" t="s">
        <v>7915</v>
      </c>
      <c r="B7748" t="s">
        <v>152</v>
      </c>
      <c r="C7748" t="s">
        <v>126</v>
      </c>
      <c r="D7748" t="s">
        <v>28</v>
      </c>
      <c r="E7748" t="s">
        <v>138</v>
      </c>
      <c r="F7748" s="1">
        <v>43030</v>
      </c>
      <c r="G7748" s="1">
        <v>43079</v>
      </c>
      <c r="H7748">
        <v>6142</v>
      </c>
      <c r="I7748" t="str">
        <f>IF(COUNTIF(Products!$A$2:$A$8,C7748)=0,C7748,"")</f>
        <v/>
      </c>
      <c r="J7748">
        <f>IF(OR(E7748="Prospecting",E7748="Engaging"),VLOOKUP(C7748,Products!$A$2:$C$8,3,FALSE),0)</f>
        <v>0</v>
      </c>
    </row>
    <row r="7749" spans="1:10" x14ac:dyDescent="0.25">
      <c r="A7749" t="s">
        <v>7916</v>
      </c>
      <c r="B7749" t="s">
        <v>166</v>
      </c>
      <c r="C7749" t="s">
        <v>120</v>
      </c>
      <c r="E7749" t="s">
        <v>155</v>
      </c>
      <c r="F7749" s="1">
        <v>43030</v>
      </c>
      <c r="I7749" t="str">
        <f>IF(COUNTIF(Products!$A$2:$A$8,C7749)=0,C7749,"")</f>
        <v/>
      </c>
      <c r="J7749">
        <f>IF(OR(E7749="Prospecting",E7749="Engaging"),VLOOKUP(C7749,Products!$A$2:$C$8,3,FALSE),0)</f>
        <v>550</v>
      </c>
    </row>
    <row r="7750" spans="1:10" x14ac:dyDescent="0.25">
      <c r="A7750" t="s">
        <v>7917</v>
      </c>
      <c r="B7750" t="s">
        <v>166</v>
      </c>
      <c r="C7750" t="s">
        <v>123</v>
      </c>
      <c r="D7750" t="s">
        <v>47</v>
      </c>
      <c r="E7750" t="s">
        <v>159</v>
      </c>
      <c r="F7750" s="1">
        <v>43030</v>
      </c>
      <c r="G7750" s="1">
        <v>43037</v>
      </c>
      <c r="H7750">
        <v>0</v>
      </c>
      <c r="I7750" t="str">
        <f>IF(COUNTIF(Products!$A$2:$A$8,C7750)=0,C7750,"")</f>
        <v/>
      </c>
      <c r="J7750">
        <f>IF(OR(E7750="Prospecting",E7750="Engaging"),VLOOKUP(C7750,Products!$A$2:$C$8,3,FALSE),0)</f>
        <v>0</v>
      </c>
    </row>
    <row r="7751" spans="1:10" x14ac:dyDescent="0.25">
      <c r="A7751" t="s">
        <v>7918</v>
      </c>
      <c r="B7751" t="s">
        <v>187</v>
      </c>
      <c r="C7751" t="s">
        <v>127</v>
      </c>
      <c r="D7751" t="s">
        <v>105</v>
      </c>
      <c r="E7751" t="s">
        <v>159</v>
      </c>
      <c r="F7751" s="1">
        <v>43030</v>
      </c>
      <c r="G7751" s="1">
        <v>43075</v>
      </c>
      <c r="H7751">
        <v>0</v>
      </c>
      <c r="I7751" t="str">
        <f>IF(COUNTIF(Products!$A$2:$A$8,C7751)=0,C7751,"")</f>
        <v/>
      </c>
      <c r="J7751">
        <f>IF(OR(E7751="Prospecting",E7751="Engaging"),VLOOKUP(C7751,Products!$A$2:$C$8,3,FALSE),0)</f>
        <v>0</v>
      </c>
    </row>
    <row r="7752" spans="1:10" x14ac:dyDescent="0.25">
      <c r="A7752" t="s">
        <v>7919</v>
      </c>
      <c r="B7752" t="s">
        <v>148</v>
      </c>
      <c r="C7752" t="s">
        <v>122</v>
      </c>
      <c r="D7752" t="s">
        <v>60</v>
      </c>
      <c r="E7752" t="s">
        <v>138</v>
      </c>
      <c r="F7752" s="1">
        <v>43030</v>
      </c>
      <c r="G7752" s="1">
        <v>43036</v>
      </c>
      <c r="H7752">
        <v>5190</v>
      </c>
      <c r="I7752" t="str">
        <f>IF(COUNTIF(Products!$A$2:$A$8,C7752)=0,C7752,"")</f>
        <v/>
      </c>
      <c r="J7752">
        <f>IF(OR(E7752="Prospecting",E7752="Engaging"),VLOOKUP(C7752,Products!$A$2:$C$8,3,FALSE),0)</f>
        <v>0</v>
      </c>
    </row>
    <row r="7753" spans="1:10" x14ac:dyDescent="0.25">
      <c r="A7753" t="s">
        <v>7920</v>
      </c>
      <c r="B7753" t="s">
        <v>207</v>
      </c>
      <c r="C7753" t="s">
        <v>125</v>
      </c>
      <c r="D7753" t="s">
        <v>63</v>
      </c>
      <c r="E7753" t="s">
        <v>159</v>
      </c>
      <c r="F7753" s="1">
        <v>43031</v>
      </c>
      <c r="G7753" s="1">
        <v>43033</v>
      </c>
      <c r="H7753">
        <v>0</v>
      </c>
      <c r="I7753" t="str">
        <f>IF(COUNTIF(Products!$A$2:$A$8,C7753)=0,C7753,"")</f>
        <v/>
      </c>
      <c r="J7753">
        <f>IF(OR(E7753="Prospecting",E7753="Engaging"),VLOOKUP(C7753,Products!$A$2:$C$8,3,FALSE),0)</f>
        <v>0</v>
      </c>
    </row>
    <row r="7754" spans="1:10" x14ac:dyDescent="0.25">
      <c r="A7754" t="s">
        <v>7921</v>
      </c>
      <c r="B7754" t="s">
        <v>207</v>
      </c>
      <c r="C7754" t="s">
        <v>127</v>
      </c>
      <c r="D7754" t="s">
        <v>50</v>
      </c>
      <c r="E7754" t="s">
        <v>138</v>
      </c>
      <c r="F7754" s="1">
        <v>43031</v>
      </c>
      <c r="G7754" s="1">
        <v>43040</v>
      </c>
      <c r="H7754">
        <v>1027</v>
      </c>
      <c r="I7754" t="str">
        <f>IF(COUNTIF(Products!$A$2:$A$8,C7754)=0,C7754,"")</f>
        <v/>
      </c>
      <c r="J7754">
        <f>IF(OR(E7754="Prospecting",E7754="Engaging"),VLOOKUP(C7754,Products!$A$2:$C$8,3,FALSE),0)</f>
        <v>0</v>
      </c>
    </row>
    <row r="7755" spans="1:10" x14ac:dyDescent="0.25">
      <c r="A7755" t="s">
        <v>7922</v>
      </c>
      <c r="B7755" t="s">
        <v>140</v>
      </c>
      <c r="C7755" t="s">
        <v>127</v>
      </c>
      <c r="D7755" t="s">
        <v>36</v>
      </c>
      <c r="E7755" t="s">
        <v>138</v>
      </c>
      <c r="F7755" s="1">
        <v>43031</v>
      </c>
      <c r="G7755" s="1">
        <v>43039</v>
      </c>
      <c r="H7755">
        <v>1237</v>
      </c>
      <c r="I7755" t="str">
        <f>IF(COUNTIF(Products!$A$2:$A$8,C7755)=0,C7755,"")</f>
        <v/>
      </c>
      <c r="J7755">
        <f>IF(OR(E7755="Prospecting",E7755="Engaging"),VLOOKUP(C7755,Products!$A$2:$C$8,3,FALSE),0)</f>
        <v>0</v>
      </c>
    </row>
    <row r="7756" spans="1:10" x14ac:dyDescent="0.25">
      <c r="A7756" t="s">
        <v>7923</v>
      </c>
      <c r="B7756" t="s">
        <v>140</v>
      </c>
      <c r="C7756" t="s">
        <v>127</v>
      </c>
      <c r="D7756" t="s">
        <v>96</v>
      </c>
      <c r="E7756" t="s">
        <v>138</v>
      </c>
      <c r="F7756" s="1">
        <v>43031</v>
      </c>
      <c r="G7756" s="1">
        <v>43037</v>
      </c>
      <c r="H7756">
        <v>965</v>
      </c>
      <c r="I7756" t="str">
        <f>IF(COUNTIF(Products!$A$2:$A$8,C7756)=0,C7756,"")</f>
        <v/>
      </c>
      <c r="J7756">
        <f>IF(OR(E7756="Prospecting",E7756="Engaging"),VLOOKUP(C7756,Products!$A$2:$C$8,3,FALSE),0)</f>
        <v>0</v>
      </c>
    </row>
    <row r="7757" spans="1:10" x14ac:dyDescent="0.25">
      <c r="A7757" t="s">
        <v>7924</v>
      </c>
      <c r="B7757" t="s">
        <v>140</v>
      </c>
      <c r="C7757" t="s">
        <v>122</v>
      </c>
      <c r="D7757" t="s">
        <v>32</v>
      </c>
      <c r="E7757" t="s">
        <v>138</v>
      </c>
      <c r="F7757" s="1">
        <v>43031</v>
      </c>
      <c r="G7757" s="1">
        <v>43042</v>
      </c>
      <c r="H7757">
        <v>5729</v>
      </c>
      <c r="I7757" t="str">
        <f>IF(COUNTIF(Products!$A$2:$A$8,C7757)=0,C7757,"")</f>
        <v/>
      </c>
      <c r="J7757">
        <f>IF(OR(E7757="Prospecting",E7757="Engaging"),VLOOKUP(C7757,Products!$A$2:$C$8,3,FALSE),0)</f>
        <v>0</v>
      </c>
    </row>
    <row r="7758" spans="1:10" x14ac:dyDescent="0.25">
      <c r="A7758" t="s">
        <v>7925</v>
      </c>
      <c r="B7758" t="s">
        <v>140</v>
      </c>
      <c r="C7758" t="s">
        <v>122</v>
      </c>
      <c r="D7758" t="s">
        <v>64</v>
      </c>
      <c r="E7758" t="s">
        <v>138</v>
      </c>
      <c r="F7758" s="1">
        <v>43031</v>
      </c>
      <c r="G7758" s="1">
        <v>43032</v>
      </c>
      <c r="H7758">
        <v>5685</v>
      </c>
      <c r="I7758" t="str">
        <f>IF(COUNTIF(Products!$A$2:$A$8,C7758)=0,C7758,"")</f>
        <v/>
      </c>
      <c r="J7758">
        <f>IF(OR(E7758="Prospecting",E7758="Engaging"),VLOOKUP(C7758,Products!$A$2:$C$8,3,FALSE),0)</f>
        <v>0</v>
      </c>
    </row>
    <row r="7759" spans="1:10" x14ac:dyDescent="0.25">
      <c r="A7759" t="s">
        <v>7926</v>
      </c>
      <c r="B7759" t="s">
        <v>140</v>
      </c>
      <c r="C7759" t="s">
        <v>122</v>
      </c>
      <c r="D7759" t="s">
        <v>89</v>
      </c>
      <c r="E7759" t="s">
        <v>138</v>
      </c>
      <c r="F7759" s="1">
        <v>43031</v>
      </c>
      <c r="G7759" s="1">
        <v>43034</v>
      </c>
      <c r="H7759">
        <v>4024</v>
      </c>
      <c r="I7759" t="str">
        <f>IF(COUNTIF(Products!$A$2:$A$8,C7759)=0,C7759,"")</f>
        <v/>
      </c>
      <c r="J7759">
        <f>IF(OR(E7759="Prospecting",E7759="Engaging"),VLOOKUP(C7759,Products!$A$2:$C$8,3,FALSE),0)</f>
        <v>0</v>
      </c>
    </row>
    <row r="7760" spans="1:10" x14ac:dyDescent="0.25">
      <c r="A7760" t="s">
        <v>7927</v>
      </c>
      <c r="B7760" t="s">
        <v>224</v>
      </c>
      <c r="C7760" t="s">
        <v>120</v>
      </c>
      <c r="D7760" t="s">
        <v>92</v>
      </c>
      <c r="E7760" t="s">
        <v>138</v>
      </c>
      <c r="F7760" s="1">
        <v>43031</v>
      </c>
      <c r="G7760" s="1">
        <v>43081</v>
      </c>
      <c r="H7760">
        <v>511</v>
      </c>
      <c r="I7760" t="str">
        <f>IF(COUNTIF(Products!$A$2:$A$8,C7760)=0,C7760,"")</f>
        <v/>
      </c>
      <c r="J7760">
        <f>IF(OR(E7760="Prospecting",E7760="Engaging"),VLOOKUP(C7760,Products!$A$2:$C$8,3,FALSE),0)</f>
        <v>0</v>
      </c>
    </row>
    <row r="7761" spans="1:10" x14ac:dyDescent="0.25">
      <c r="A7761" t="s">
        <v>7928</v>
      </c>
      <c r="B7761" t="s">
        <v>173</v>
      </c>
      <c r="C7761" t="s">
        <v>126</v>
      </c>
      <c r="D7761" t="s">
        <v>41</v>
      </c>
      <c r="E7761" t="s">
        <v>159</v>
      </c>
      <c r="F7761" s="1">
        <v>43031</v>
      </c>
      <c r="G7761" s="1">
        <v>43038</v>
      </c>
      <c r="H7761">
        <v>0</v>
      </c>
      <c r="I7761" t="str">
        <f>IF(COUNTIF(Products!$A$2:$A$8,C7761)=0,C7761,"")</f>
        <v/>
      </c>
      <c r="J7761">
        <f>IF(OR(E7761="Prospecting",E7761="Engaging"),VLOOKUP(C7761,Products!$A$2:$C$8,3,FALSE),0)</f>
        <v>0</v>
      </c>
    </row>
    <row r="7762" spans="1:10" x14ac:dyDescent="0.25">
      <c r="A7762" t="s">
        <v>7929</v>
      </c>
      <c r="B7762" t="s">
        <v>198</v>
      </c>
      <c r="C7762" t="s">
        <v>122</v>
      </c>
      <c r="D7762" t="s">
        <v>80</v>
      </c>
      <c r="E7762" t="s">
        <v>159</v>
      </c>
      <c r="F7762" s="1">
        <v>43031</v>
      </c>
      <c r="G7762" s="1">
        <v>43043</v>
      </c>
      <c r="H7762">
        <v>0</v>
      </c>
      <c r="I7762" t="str">
        <f>IF(COUNTIF(Products!$A$2:$A$8,C7762)=0,C7762,"")</f>
        <v/>
      </c>
      <c r="J7762">
        <f>IF(OR(E7762="Prospecting",E7762="Engaging"),VLOOKUP(C7762,Products!$A$2:$C$8,3,FALSE),0)</f>
        <v>0</v>
      </c>
    </row>
    <row r="7763" spans="1:10" x14ac:dyDescent="0.25">
      <c r="A7763" t="s">
        <v>7930</v>
      </c>
      <c r="B7763" t="s">
        <v>158</v>
      </c>
      <c r="C7763" t="s">
        <v>125</v>
      </c>
      <c r="D7763" t="s">
        <v>94</v>
      </c>
      <c r="E7763" t="s">
        <v>159</v>
      </c>
      <c r="F7763" s="1">
        <v>43031</v>
      </c>
      <c r="G7763" s="1">
        <v>43032</v>
      </c>
      <c r="H7763">
        <v>0</v>
      </c>
      <c r="I7763" t="str">
        <f>IF(COUNTIF(Products!$A$2:$A$8,C7763)=0,C7763,"")</f>
        <v/>
      </c>
      <c r="J7763">
        <f>IF(OR(E7763="Prospecting",E7763="Engaging"),VLOOKUP(C7763,Products!$A$2:$C$8,3,FALSE),0)</f>
        <v>0</v>
      </c>
    </row>
    <row r="7764" spans="1:10" x14ac:dyDescent="0.25">
      <c r="A7764" t="s">
        <v>7931</v>
      </c>
      <c r="B7764" t="s">
        <v>191</v>
      </c>
      <c r="C7764" t="s">
        <v>126</v>
      </c>
      <c r="D7764" t="s">
        <v>85</v>
      </c>
      <c r="E7764" t="s">
        <v>155</v>
      </c>
      <c r="F7764" s="1">
        <v>43031</v>
      </c>
      <c r="I7764" t="str">
        <f>IF(COUNTIF(Products!$A$2:$A$8,C7764)=0,C7764,"")</f>
        <v/>
      </c>
      <c r="J7764">
        <f>IF(OR(E7764="Prospecting",E7764="Engaging"),VLOOKUP(C7764,Products!$A$2:$C$8,3,FALSE),0)</f>
        <v>5482</v>
      </c>
    </row>
    <row r="7765" spans="1:10" x14ac:dyDescent="0.25">
      <c r="A7765" t="s">
        <v>7932</v>
      </c>
      <c r="B7765" t="s">
        <v>191</v>
      </c>
      <c r="C7765" t="s">
        <v>122</v>
      </c>
      <c r="D7765" t="s">
        <v>109</v>
      </c>
      <c r="E7765" t="s">
        <v>138</v>
      </c>
      <c r="F7765" s="1">
        <v>43031</v>
      </c>
      <c r="G7765" s="1">
        <v>43044</v>
      </c>
      <c r="H7765">
        <v>4382</v>
      </c>
      <c r="I7765" t="str">
        <f>IF(COUNTIF(Products!$A$2:$A$8,C7765)=0,C7765,"")</f>
        <v/>
      </c>
      <c r="J7765">
        <f>IF(OR(E7765="Prospecting",E7765="Engaging"),VLOOKUP(C7765,Products!$A$2:$C$8,3,FALSE),0)</f>
        <v>0</v>
      </c>
    </row>
    <row r="7766" spans="1:10" x14ac:dyDescent="0.25">
      <c r="A7766" t="s">
        <v>7933</v>
      </c>
      <c r="B7766" t="s">
        <v>205</v>
      </c>
      <c r="C7766" t="s">
        <v>127</v>
      </c>
      <c r="D7766" t="s">
        <v>46</v>
      </c>
      <c r="E7766" t="s">
        <v>159</v>
      </c>
      <c r="F7766" s="1">
        <v>43031</v>
      </c>
      <c r="G7766" s="1">
        <v>43058</v>
      </c>
      <c r="H7766">
        <v>0</v>
      </c>
      <c r="I7766" t="str">
        <f>IF(COUNTIF(Products!$A$2:$A$8,C7766)=0,C7766,"")</f>
        <v/>
      </c>
      <c r="J7766">
        <f>IF(OR(E7766="Prospecting",E7766="Engaging"),VLOOKUP(C7766,Products!$A$2:$C$8,3,FALSE),0)</f>
        <v>0</v>
      </c>
    </row>
    <row r="7767" spans="1:10" x14ac:dyDescent="0.25">
      <c r="A7767" t="s">
        <v>7934</v>
      </c>
      <c r="B7767" t="s">
        <v>205</v>
      </c>
      <c r="C7767" t="s">
        <v>126</v>
      </c>
      <c r="D7767" t="s">
        <v>104</v>
      </c>
      <c r="E7767" t="s">
        <v>138</v>
      </c>
      <c r="F7767" s="1">
        <v>43031</v>
      </c>
      <c r="G7767" s="1">
        <v>43038</v>
      </c>
      <c r="H7767">
        <v>5516</v>
      </c>
      <c r="I7767" t="str">
        <f>IF(COUNTIF(Products!$A$2:$A$8,C7767)=0,C7767,"")</f>
        <v/>
      </c>
      <c r="J7767">
        <f>IF(OR(E7767="Prospecting",E7767="Engaging"),VLOOKUP(C7767,Products!$A$2:$C$8,3,FALSE),0)</f>
        <v>0</v>
      </c>
    </row>
    <row r="7768" spans="1:10" x14ac:dyDescent="0.25">
      <c r="A7768" t="s">
        <v>7935</v>
      </c>
      <c r="B7768" t="s">
        <v>169</v>
      </c>
      <c r="C7768" t="s">
        <v>126</v>
      </c>
      <c r="D7768" t="s">
        <v>42</v>
      </c>
      <c r="E7768" t="s">
        <v>159</v>
      </c>
      <c r="F7768" s="1">
        <v>43031</v>
      </c>
      <c r="G7768" s="1">
        <v>43045</v>
      </c>
      <c r="H7768">
        <v>0</v>
      </c>
      <c r="I7768" t="str">
        <f>IF(COUNTIF(Products!$A$2:$A$8,C7768)=0,C7768,"")</f>
        <v/>
      </c>
      <c r="J7768">
        <f>IF(OR(E7768="Prospecting",E7768="Engaging"),VLOOKUP(C7768,Products!$A$2:$C$8,3,FALSE),0)</f>
        <v>0</v>
      </c>
    </row>
    <row r="7769" spans="1:10" x14ac:dyDescent="0.25">
      <c r="A7769" t="s">
        <v>7936</v>
      </c>
      <c r="B7769" t="s">
        <v>148</v>
      </c>
      <c r="C7769" t="s">
        <v>126</v>
      </c>
      <c r="E7769" t="s">
        <v>155</v>
      </c>
      <c r="F7769" s="1">
        <v>43031</v>
      </c>
      <c r="I7769" t="str">
        <f>IF(COUNTIF(Products!$A$2:$A$8,C7769)=0,C7769,"")</f>
        <v/>
      </c>
      <c r="J7769">
        <f>IF(OR(E7769="Prospecting",E7769="Engaging"),VLOOKUP(C7769,Products!$A$2:$C$8,3,FALSE),0)</f>
        <v>5482</v>
      </c>
    </row>
    <row r="7770" spans="1:10" x14ac:dyDescent="0.25">
      <c r="A7770" t="s">
        <v>7937</v>
      </c>
      <c r="B7770" t="s">
        <v>148</v>
      </c>
      <c r="C7770" t="s">
        <v>122</v>
      </c>
      <c r="D7770" t="s">
        <v>87</v>
      </c>
      <c r="E7770" t="s">
        <v>159</v>
      </c>
      <c r="F7770" s="1">
        <v>43031</v>
      </c>
      <c r="G7770" s="1">
        <v>43032</v>
      </c>
      <c r="H7770">
        <v>0</v>
      </c>
      <c r="I7770" t="str">
        <f>IF(COUNTIF(Products!$A$2:$A$8,C7770)=0,C7770,"")</f>
        <v/>
      </c>
      <c r="J7770">
        <f>IF(OR(E7770="Prospecting",E7770="Engaging"),VLOOKUP(C7770,Products!$A$2:$C$8,3,FALSE),0)</f>
        <v>0</v>
      </c>
    </row>
    <row r="7771" spans="1:10" x14ac:dyDescent="0.25">
      <c r="A7771" t="s">
        <v>7938</v>
      </c>
      <c r="B7771" t="s">
        <v>148</v>
      </c>
      <c r="C7771" t="s">
        <v>123</v>
      </c>
      <c r="D7771" t="s">
        <v>27</v>
      </c>
      <c r="E7771" t="s">
        <v>138</v>
      </c>
      <c r="F7771" s="1">
        <v>43031</v>
      </c>
      <c r="G7771" s="1">
        <v>43097</v>
      </c>
      <c r="H7771">
        <v>51</v>
      </c>
      <c r="I7771" t="str">
        <f>IF(COUNTIF(Products!$A$2:$A$8,C7771)=0,C7771,"")</f>
        <v/>
      </c>
      <c r="J7771">
        <f>IF(OR(E7771="Prospecting",E7771="Engaging"),VLOOKUP(C7771,Products!$A$2:$C$8,3,FALSE),0)</f>
        <v>0</v>
      </c>
    </row>
    <row r="7772" spans="1:10" x14ac:dyDescent="0.25">
      <c r="A7772" t="s">
        <v>7939</v>
      </c>
      <c r="B7772" t="s">
        <v>144</v>
      </c>
      <c r="C7772" t="s">
        <v>127</v>
      </c>
      <c r="D7772" t="s">
        <v>59</v>
      </c>
      <c r="E7772" t="s">
        <v>159</v>
      </c>
      <c r="F7772" s="1">
        <v>43031</v>
      </c>
      <c r="G7772" s="1">
        <v>43036</v>
      </c>
      <c r="H7772">
        <v>0</v>
      </c>
      <c r="I7772" t="str">
        <f>IF(COUNTIF(Products!$A$2:$A$8,C7772)=0,C7772,"")</f>
        <v/>
      </c>
      <c r="J7772">
        <f>IF(OR(E7772="Prospecting",E7772="Engaging"),VLOOKUP(C7772,Products!$A$2:$C$8,3,FALSE),0)</f>
        <v>0</v>
      </c>
    </row>
    <row r="7773" spans="1:10" x14ac:dyDescent="0.25">
      <c r="A7773" t="s">
        <v>7940</v>
      </c>
      <c r="B7773" t="s">
        <v>144</v>
      </c>
      <c r="C7773" t="s">
        <v>127</v>
      </c>
      <c r="D7773" t="s">
        <v>67</v>
      </c>
      <c r="E7773" t="s">
        <v>138</v>
      </c>
      <c r="F7773" s="1">
        <v>43031</v>
      </c>
      <c r="G7773" s="1">
        <v>43039</v>
      </c>
      <c r="H7773">
        <v>1195</v>
      </c>
      <c r="I7773" t="str">
        <f>IF(COUNTIF(Products!$A$2:$A$8,C7773)=0,C7773,"")</f>
        <v/>
      </c>
      <c r="J7773">
        <f>IF(OR(E7773="Prospecting",E7773="Engaging"),VLOOKUP(C7773,Products!$A$2:$C$8,3,FALSE),0)</f>
        <v>0</v>
      </c>
    </row>
    <row r="7774" spans="1:10" x14ac:dyDescent="0.25">
      <c r="A7774" t="s">
        <v>7941</v>
      </c>
      <c r="B7774" t="s">
        <v>222</v>
      </c>
      <c r="C7774" t="s">
        <v>127</v>
      </c>
      <c r="D7774" t="s">
        <v>73</v>
      </c>
      <c r="E7774" t="s">
        <v>159</v>
      </c>
      <c r="F7774" s="1">
        <v>43032</v>
      </c>
      <c r="G7774" s="1">
        <v>43034</v>
      </c>
      <c r="H7774">
        <v>0</v>
      </c>
      <c r="I7774" t="str">
        <f>IF(COUNTIF(Products!$A$2:$A$8,C7774)=0,C7774,"")</f>
        <v/>
      </c>
      <c r="J7774">
        <f>IF(OR(E7774="Prospecting",E7774="Engaging"),VLOOKUP(C7774,Products!$A$2:$C$8,3,FALSE),0)</f>
        <v>0</v>
      </c>
    </row>
    <row r="7775" spans="1:10" x14ac:dyDescent="0.25">
      <c r="A7775" t="s">
        <v>7942</v>
      </c>
      <c r="B7775" t="s">
        <v>207</v>
      </c>
      <c r="C7775" t="s">
        <v>126</v>
      </c>
      <c r="D7775" t="s">
        <v>92</v>
      </c>
      <c r="E7775" t="s">
        <v>159</v>
      </c>
      <c r="F7775" s="1">
        <v>43032</v>
      </c>
      <c r="G7775" s="1">
        <v>43033</v>
      </c>
      <c r="H7775">
        <v>0</v>
      </c>
      <c r="I7775" t="str">
        <f>IF(COUNTIF(Products!$A$2:$A$8,C7775)=0,C7775,"")</f>
        <v/>
      </c>
      <c r="J7775">
        <f>IF(OR(E7775="Prospecting",E7775="Engaging"),VLOOKUP(C7775,Products!$A$2:$C$8,3,FALSE),0)</f>
        <v>0</v>
      </c>
    </row>
    <row r="7776" spans="1:10" x14ac:dyDescent="0.25">
      <c r="A7776" t="s">
        <v>7943</v>
      </c>
      <c r="B7776" t="s">
        <v>207</v>
      </c>
      <c r="C7776" t="s">
        <v>125</v>
      </c>
      <c r="D7776" t="s">
        <v>68</v>
      </c>
      <c r="E7776" t="s">
        <v>138</v>
      </c>
      <c r="F7776" s="1">
        <v>43032</v>
      </c>
      <c r="G7776" s="1">
        <v>43041</v>
      </c>
      <c r="H7776">
        <v>3588</v>
      </c>
      <c r="I7776" t="str">
        <f>IF(COUNTIF(Products!$A$2:$A$8,C7776)=0,C7776,"")</f>
        <v/>
      </c>
      <c r="J7776">
        <f>IF(OR(E7776="Prospecting",E7776="Engaging"),VLOOKUP(C7776,Products!$A$2:$C$8,3,FALSE),0)</f>
        <v>0</v>
      </c>
    </row>
    <row r="7777" spans="1:10" x14ac:dyDescent="0.25">
      <c r="A7777" t="s">
        <v>7944</v>
      </c>
      <c r="B7777" t="s">
        <v>239</v>
      </c>
      <c r="C7777" t="s">
        <v>123</v>
      </c>
      <c r="E7777" t="s">
        <v>155</v>
      </c>
      <c r="F7777" s="1">
        <v>43032</v>
      </c>
      <c r="I7777" t="str">
        <f>IF(COUNTIF(Products!$A$2:$A$8,C7777)=0,C7777,"")</f>
        <v/>
      </c>
      <c r="J7777">
        <f>IF(OR(E7777="Prospecting",E7777="Engaging"),VLOOKUP(C7777,Products!$A$2:$C$8,3,FALSE),0)</f>
        <v>55</v>
      </c>
    </row>
    <row r="7778" spans="1:10" x14ac:dyDescent="0.25">
      <c r="A7778" t="s">
        <v>7945</v>
      </c>
      <c r="B7778" t="s">
        <v>171</v>
      </c>
      <c r="C7778" t="s">
        <v>127</v>
      </c>
      <c r="D7778" t="s">
        <v>25</v>
      </c>
      <c r="E7778" t="s">
        <v>159</v>
      </c>
      <c r="F7778" s="1">
        <v>43032</v>
      </c>
      <c r="G7778" s="1">
        <v>43037</v>
      </c>
      <c r="H7778">
        <v>0</v>
      </c>
      <c r="I7778" t="str">
        <f>IF(COUNTIF(Products!$A$2:$A$8,C7778)=0,C7778,"")</f>
        <v/>
      </c>
      <c r="J7778">
        <f>IF(OR(E7778="Prospecting",E7778="Engaging"),VLOOKUP(C7778,Products!$A$2:$C$8,3,FALSE),0)</f>
        <v>0</v>
      </c>
    </row>
    <row r="7779" spans="1:10" x14ac:dyDescent="0.25">
      <c r="A7779" t="s">
        <v>7946</v>
      </c>
      <c r="B7779" t="s">
        <v>140</v>
      </c>
      <c r="C7779" t="s">
        <v>127</v>
      </c>
      <c r="D7779" t="s">
        <v>26</v>
      </c>
      <c r="E7779" t="s">
        <v>159</v>
      </c>
      <c r="F7779" s="1">
        <v>43032</v>
      </c>
      <c r="G7779" s="1">
        <v>43047</v>
      </c>
      <c r="H7779">
        <v>0</v>
      </c>
      <c r="I7779" t="str">
        <f>IF(COUNTIF(Products!$A$2:$A$8,C7779)=0,C7779,"")</f>
        <v/>
      </c>
      <c r="J7779">
        <f>IF(OR(E7779="Prospecting",E7779="Engaging"),VLOOKUP(C7779,Products!$A$2:$C$8,3,FALSE),0)</f>
        <v>0</v>
      </c>
    </row>
    <row r="7780" spans="1:10" x14ac:dyDescent="0.25">
      <c r="A7780" t="s">
        <v>7947</v>
      </c>
      <c r="B7780" t="s">
        <v>140</v>
      </c>
      <c r="C7780" t="s">
        <v>122</v>
      </c>
      <c r="D7780" t="s">
        <v>94</v>
      </c>
      <c r="E7780" t="s">
        <v>138</v>
      </c>
      <c r="F7780" s="1">
        <v>43032</v>
      </c>
      <c r="G7780" s="1">
        <v>43070</v>
      </c>
      <c r="H7780">
        <v>5542</v>
      </c>
      <c r="I7780" t="str">
        <f>IF(COUNTIF(Products!$A$2:$A$8,C7780)=0,C7780,"")</f>
        <v/>
      </c>
      <c r="J7780">
        <f>IF(OR(E7780="Prospecting",E7780="Engaging"),VLOOKUP(C7780,Products!$A$2:$C$8,3,FALSE),0)</f>
        <v>0</v>
      </c>
    </row>
    <row r="7781" spans="1:10" x14ac:dyDescent="0.25">
      <c r="A7781" t="s">
        <v>7948</v>
      </c>
      <c r="B7781" t="s">
        <v>154</v>
      </c>
      <c r="C7781" t="s">
        <v>125</v>
      </c>
      <c r="D7781" t="s">
        <v>44</v>
      </c>
      <c r="E7781" t="s">
        <v>138</v>
      </c>
      <c r="F7781" s="1">
        <v>43032</v>
      </c>
      <c r="G7781" s="1">
        <v>43100</v>
      </c>
      <c r="H7781">
        <v>3296</v>
      </c>
      <c r="I7781" t="str">
        <f>IF(COUNTIF(Products!$A$2:$A$8,C7781)=0,C7781,"")</f>
        <v/>
      </c>
      <c r="J7781">
        <f>IF(OR(E7781="Prospecting",E7781="Engaging"),VLOOKUP(C7781,Products!$A$2:$C$8,3,FALSE),0)</f>
        <v>0</v>
      </c>
    </row>
    <row r="7782" spans="1:10" x14ac:dyDescent="0.25">
      <c r="A7782" t="s">
        <v>7949</v>
      </c>
      <c r="B7782" t="s">
        <v>303</v>
      </c>
      <c r="C7782" t="s">
        <v>127</v>
      </c>
      <c r="D7782" t="s">
        <v>33</v>
      </c>
      <c r="E7782" t="s">
        <v>159</v>
      </c>
      <c r="F7782" s="1">
        <v>43032</v>
      </c>
      <c r="G7782" s="1">
        <v>43033</v>
      </c>
      <c r="H7782">
        <v>0</v>
      </c>
      <c r="I7782" t="str">
        <f>IF(COUNTIF(Products!$A$2:$A$8,C7782)=0,C7782,"")</f>
        <v/>
      </c>
      <c r="J7782">
        <f>IF(OR(E7782="Prospecting",E7782="Engaging"),VLOOKUP(C7782,Products!$A$2:$C$8,3,FALSE),0)</f>
        <v>0</v>
      </c>
    </row>
    <row r="7783" spans="1:10" x14ac:dyDescent="0.25">
      <c r="A7783" t="s">
        <v>7950</v>
      </c>
      <c r="B7783" t="s">
        <v>303</v>
      </c>
      <c r="C7783" t="s">
        <v>120</v>
      </c>
      <c r="D7783" t="s">
        <v>12</v>
      </c>
      <c r="E7783" t="s">
        <v>138</v>
      </c>
      <c r="F7783" s="1">
        <v>43032</v>
      </c>
      <c r="G7783" s="1">
        <v>43037</v>
      </c>
      <c r="H7783">
        <v>519</v>
      </c>
      <c r="I7783" t="str">
        <f>IF(COUNTIF(Products!$A$2:$A$8,C7783)=0,C7783,"")</f>
        <v/>
      </c>
      <c r="J7783">
        <f>IF(OR(E7783="Prospecting",E7783="Engaging"),VLOOKUP(C7783,Products!$A$2:$C$8,3,FALSE),0)</f>
        <v>0</v>
      </c>
    </row>
    <row r="7784" spans="1:10" x14ac:dyDescent="0.25">
      <c r="A7784" t="s">
        <v>7951</v>
      </c>
      <c r="B7784" t="s">
        <v>303</v>
      </c>
      <c r="C7784" t="s">
        <v>127</v>
      </c>
      <c r="D7784" t="s">
        <v>12</v>
      </c>
      <c r="E7784" t="s">
        <v>138</v>
      </c>
      <c r="F7784" s="1">
        <v>43032</v>
      </c>
      <c r="G7784" s="1">
        <v>43033</v>
      </c>
      <c r="H7784">
        <v>1243</v>
      </c>
      <c r="I7784" t="str">
        <f>IF(COUNTIF(Products!$A$2:$A$8,C7784)=0,C7784,"")</f>
        <v/>
      </c>
      <c r="J7784">
        <f>IF(OR(E7784="Prospecting",E7784="Engaging"),VLOOKUP(C7784,Products!$A$2:$C$8,3,FALSE),0)</f>
        <v>0</v>
      </c>
    </row>
    <row r="7785" spans="1:10" x14ac:dyDescent="0.25">
      <c r="A7785" t="s">
        <v>7952</v>
      </c>
      <c r="B7785" t="s">
        <v>180</v>
      </c>
      <c r="C7785" t="s">
        <v>125</v>
      </c>
      <c r="D7785" t="s">
        <v>38</v>
      </c>
      <c r="E7785" t="s">
        <v>159</v>
      </c>
      <c r="F7785" s="1">
        <v>43032</v>
      </c>
      <c r="G7785" s="1">
        <v>43034</v>
      </c>
      <c r="H7785">
        <v>0</v>
      </c>
      <c r="I7785" t="str">
        <f>IF(COUNTIF(Products!$A$2:$A$8,C7785)=0,C7785,"")</f>
        <v/>
      </c>
      <c r="J7785">
        <f>IF(OR(E7785="Prospecting",E7785="Engaging"),VLOOKUP(C7785,Products!$A$2:$C$8,3,FALSE),0)</f>
        <v>0</v>
      </c>
    </row>
    <row r="7786" spans="1:10" x14ac:dyDescent="0.25">
      <c r="A7786" t="s">
        <v>7953</v>
      </c>
      <c r="B7786" t="s">
        <v>217</v>
      </c>
      <c r="C7786" t="s">
        <v>127</v>
      </c>
      <c r="D7786" t="s">
        <v>88</v>
      </c>
      <c r="E7786" t="s">
        <v>138</v>
      </c>
      <c r="F7786" s="1">
        <v>43032</v>
      </c>
      <c r="G7786" s="1">
        <v>43039</v>
      </c>
      <c r="H7786">
        <v>1133</v>
      </c>
      <c r="I7786" t="str">
        <f>IF(COUNTIF(Products!$A$2:$A$8,C7786)=0,C7786,"")</f>
        <v/>
      </c>
      <c r="J7786">
        <f>IF(OR(E7786="Prospecting",E7786="Engaging"),VLOOKUP(C7786,Products!$A$2:$C$8,3,FALSE),0)</f>
        <v>0</v>
      </c>
    </row>
    <row r="7787" spans="1:10" x14ac:dyDescent="0.25">
      <c r="A7787" t="s">
        <v>7954</v>
      </c>
      <c r="B7787" t="s">
        <v>205</v>
      </c>
      <c r="C7787" t="s">
        <v>120</v>
      </c>
      <c r="D7787" t="s">
        <v>61</v>
      </c>
      <c r="E7787" t="s">
        <v>159</v>
      </c>
      <c r="F7787" s="1">
        <v>43032</v>
      </c>
      <c r="G7787" s="1">
        <v>43093</v>
      </c>
      <c r="H7787">
        <v>0</v>
      </c>
      <c r="I7787" t="str">
        <f>IF(COUNTIF(Products!$A$2:$A$8,C7787)=0,C7787,"")</f>
        <v/>
      </c>
      <c r="J7787">
        <f>IF(OR(E7787="Prospecting",E7787="Engaging"),VLOOKUP(C7787,Products!$A$2:$C$8,3,FALSE),0)</f>
        <v>0</v>
      </c>
    </row>
    <row r="7788" spans="1:10" x14ac:dyDescent="0.25">
      <c r="A7788" t="s">
        <v>7955</v>
      </c>
      <c r="B7788" t="s">
        <v>205</v>
      </c>
      <c r="C7788" t="s">
        <v>125</v>
      </c>
      <c r="D7788" t="s">
        <v>51</v>
      </c>
      <c r="E7788" t="s">
        <v>159</v>
      </c>
      <c r="F7788" s="1">
        <v>43032</v>
      </c>
      <c r="G7788" s="1">
        <v>43098</v>
      </c>
      <c r="H7788">
        <v>0</v>
      </c>
      <c r="I7788" t="str">
        <f>IF(COUNTIF(Products!$A$2:$A$8,C7788)=0,C7788,"")</f>
        <v/>
      </c>
      <c r="J7788">
        <f>IF(OR(E7788="Prospecting",E7788="Engaging"),VLOOKUP(C7788,Products!$A$2:$C$8,3,FALSE),0)</f>
        <v>0</v>
      </c>
    </row>
    <row r="7789" spans="1:10" x14ac:dyDescent="0.25">
      <c r="A7789" t="s">
        <v>7956</v>
      </c>
      <c r="B7789" t="s">
        <v>162</v>
      </c>
      <c r="C7789" t="s">
        <v>126</v>
      </c>
      <c r="D7789" t="s">
        <v>29</v>
      </c>
      <c r="E7789" t="s">
        <v>138</v>
      </c>
      <c r="F7789" s="1">
        <v>43032</v>
      </c>
      <c r="G7789" s="1">
        <v>43049</v>
      </c>
      <c r="H7789">
        <v>4945</v>
      </c>
      <c r="I7789" t="str">
        <f>IF(COUNTIF(Products!$A$2:$A$8,C7789)=0,C7789,"")</f>
        <v/>
      </c>
      <c r="J7789">
        <f>IF(OR(E7789="Prospecting",E7789="Engaging"),VLOOKUP(C7789,Products!$A$2:$C$8,3,FALSE),0)</f>
        <v>0</v>
      </c>
    </row>
    <row r="7790" spans="1:10" x14ac:dyDescent="0.25">
      <c r="A7790" t="s">
        <v>7957</v>
      </c>
      <c r="B7790" t="s">
        <v>169</v>
      </c>
      <c r="C7790" t="s">
        <v>125</v>
      </c>
      <c r="D7790" t="s">
        <v>104</v>
      </c>
      <c r="E7790" t="s">
        <v>159</v>
      </c>
      <c r="F7790" s="1">
        <v>43032</v>
      </c>
      <c r="G7790" s="1">
        <v>43038</v>
      </c>
      <c r="H7790">
        <v>0</v>
      </c>
      <c r="I7790" t="str">
        <f>IF(COUNTIF(Products!$A$2:$A$8,C7790)=0,C7790,"")</f>
        <v/>
      </c>
      <c r="J7790">
        <f>IF(OR(E7790="Prospecting",E7790="Engaging"),VLOOKUP(C7790,Products!$A$2:$C$8,3,FALSE),0)</f>
        <v>0</v>
      </c>
    </row>
    <row r="7791" spans="1:10" x14ac:dyDescent="0.25">
      <c r="A7791" t="s">
        <v>7958</v>
      </c>
      <c r="B7791" t="s">
        <v>148</v>
      </c>
      <c r="C7791" t="s">
        <v>120</v>
      </c>
      <c r="D7791" t="s">
        <v>23</v>
      </c>
      <c r="E7791" t="s">
        <v>138</v>
      </c>
      <c r="F7791" s="1">
        <v>43032</v>
      </c>
      <c r="G7791" s="1">
        <v>43034</v>
      </c>
      <c r="H7791">
        <v>535</v>
      </c>
      <c r="I7791" t="str">
        <f>IF(COUNTIF(Products!$A$2:$A$8,C7791)=0,C7791,"")</f>
        <v/>
      </c>
      <c r="J7791">
        <f>IF(OR(E7791="Prospecting",E7791="Engaging"),VLOOKUP(C7791,Products!$A$2:$C$8,3,FALSE),0)</f>
        <v>0</v>
      </c>
    </row>
    <row r="7792" spans="1:10" x14ac:dyDescent="0.25">
      <c r="A7792" t="s">
        <v>7959</v>
      </c>
      <c r="B7792" t="s">
        <v>196</v>
      </c>
      <c r="C7792" t="s">
        <v>120</v>
      </c>
      <c r="E7792" t="s">
        <v>155</v>
      </c>
      <c r="F7792" s="1">
        <v>43032</v>
      </c>
      <c r="I7792" t="str">
        <f>IF(COUNTIF(Products!$A$2:$A$8,C7792)=0,C7792,"")</f>
        <v/>
      </c>
      <c r="J7792">
        <f>IF(OR(E7792="Prospecting",E7792="Engaging"),VLOOKUP(C7792,Products!$A$2:$C$8,3,FALSE),0)</f>
        <v>550</v>
      </c>
    </row>
    <row r="7793" spans="1:10" x14ac:dyDescent="0.25">
      <c r="A7793" t="s">
        <v>7960</v>
      </c>
      <c r="B7793" t="s">
        <v>144</v>
      </c>
      <c r="C7793" t="s">
        <v>125</v>
      </c>
      <c r="D7793" t="s">
        <v>114</v>
      </c>
      <c r="E7793" t="s">
        <v>159</v>
      </c>
      <c r="F7793" s="1">
        <v>43032</v>
      </c>
      <c r="G7793" s="1">
        <v>43046</v>
      </c>
      <c r="H7793">
        <v>0</v>
      </c>
      <c r="I7793" t="str">
        <f>IF(COUNTIF(Products!$A$2:$A$8,C7793)=0,C7793,"")</f>
        <v/>
      </c>
      <c r="J7793">
        <f>IF(OR(E7793="Prospecting",E7793="Engaging"),VLOOKUP(C7793,Products!$A$2:$C$8,3,FALSE),0)</f>
        <v>0</v>
      </c>
    </row>
    <row r="7794" spans="1:10" x14ac:dyDescent="0.25">
      <c r="A7794" t="s">
        <v>7961</v>
      </c>
      <c r="B7794" t="s">
        <v>146</v>
      </c>
      <c r="C7794" t="s">
        <v>123</v>
      </c>
      <c r="D7794" t="s">
        <v>22</v>
      </c>
      <c r="E7794" t="s">
        <v>138</v>
      </c>
      <c r="F7794" s="1">
        <v>43033</v>
      </c>
      <c r="G7794" s="1">
        <v>43065</v>
      </c>
      <c r="H7794">
        <v>59</v>
      </c>
      <c r="I7794" t="str">
        <f>IF(COUNTIF(Products!$A$2:$A$8,C7794)=0,C7794,"")</f>
        <v/>
      </c>
      <c r="J7794">
        <f>IF(OR(E7794="Prospecting",E7794="Engaging"),VLOOKUP(C7794,Products!$A$2:$C$8,3,FALSE),0)</f>
        <v>0</v>
      </c>
    </row>
    <row r="7795" spans="1:10" x14ac:dyDescent="0.25">
      <c r="A7795" t="s">
        <v>7962</v>
      </c>
      <c r="B7795" t="s">
        <v>239</v>
      </c>
      <c r="C7795" t="s">
        <v>120</v>
      </c>
      <c r="E7795" t="s">
        <v>155</v>
      </c>
      <c r="F7795" s="1">
        <v>43033</v>
      </c>
      <c r="I7795" t="str">
        <f>IF(COUNTIF(Products!$A$2:$A$8,C7795)=0,C7795,"")</f>
        <v/>
      </c>
      <c r="J7795">
        <f>IF(OR(E7795="Prospecting",E7795="Engaging"),VLOOKUP(C7795,Products!$A$2:$C$8,3,FALSE),0)</f>
        <v>550</v>
      </c>
    </row>
    <row r="7796" spans="1:10" x14ac:dyDescent="0.25">
      <c r="A7796" t="s">
        <v>7963</v>
      </c>
      <c r="B7796" t="s">
        <v>171</v>
      </c>
      <c r="C7796" t="s">
        <v>120</v>
      </c>
      <c r="D7796" t="s">
        <v>27</v>
      </c>
      <c r="E7796" t="s">
        <v>138</v>
      </c>
      <c r="F7796" s="1">
        <v>43033</v>
      </c>
      <c r="G7796" s="1">
        <v>43035</v>
      </c>
      <c r="H7796">
        <v>526</v>
      </c>
      <c r="I7796" t="str">
        <f>IF(COUNTIF(Products!$A$2:$A$8,C7796)=0,C7796,"")</f>
        <v/>
      </c>
      <c r="J7796">
        <f>IF(OR(E7796="Prospecting",E7796="Engaging"),VLOOKUP(C7796,Products!$A$2:$C$8,3,FALSE),0)</f>
        <v>0</v>
      </c>
    </row>
    <row r="7797" spans="1:10" x14ac:dyDescent="0.25">
      <c r="A7797" t="s">
        <v>7964</v>
      </c>
      <c r="B7797" t="s">
        <v>224</v>
      </c>
      <c r="C7797" t="s">
        <v>120</v>
      </c>
      <c r="D7797" t="s">
        <v>7</v>
      </c>
      <c r="E7797" t="s">
        <v>138</v>
      </c>
      <c r="F7797" s="1">
        <v>43033</v>
      </c>
      <c r="G7797" s="1">
        <v>43044</v>
      </c>
      <c r="H7797">
        <v>586</v>
      </c>
      <c r="I7797" t="str">
        <f>IF(COUNTIF(Products!$A$2:$A$8,C7797)=0,C7797,"")</f>
        <v/>
      </c>
      <c r="J7797">
        <f>IF(OR(E7797="Prospecting",E7797="Engaging"),VLOOKUP(C7797,Products!$A$2:$C$8,3,FALSE),0)</f>
        <v>0</v>
      </c>
    </row>
    <row r="7798" spans="1:10" x14ac:dyDescent="0.25">
      <c r="A7798" t="s">
        <v>7965</v>
      </c>
      <c r="B7798" t="s">
        <v>158</v>
      </c>
      <c r="C7798" t="s">
        <v>125</v>
      </c>
      <c r="D7798" t="s">
        <v>91</v>
      </c>
      <c r="E7798" t="s">
        <v>159</v>
      </c>
      <c r="F7798" s="1">
        <v>43033</v>
      </c>
      <c r="G7798" s="1">
        <v>43035</v>
      </c>
      <c r="H7798">
        <v>0</v>
      </c>
      <c r="I7798" t="str">
        <f>IF(COUNTIF(Products!$A$2:$A$8,C7798)=0,C7798,"")</f>
        <v/>
      </c>
      <c r="J7798">
        <f>IF(OR(E7798="Prospecting",E7798="Engaging"),VLOOKUP(C7798,Products!$A$2:$C$8,3,FALSE),0)</f>
        <v>0</v>
      </c>
    </row>
    <row r="7799" spans="1:10" x14ac:dyDescent="0.25">
      <c r="A7799" t="s">
        <v>7966</v>
      </c>
      <c r="B7799" t="s">
        <v>303</v>
      </c>
      <c r="C7799" t="s">
        <v>122</v>
      </c>
      <c r="D7799" t="s">
        <v>89</v>
      </c>
      <c r="E7799" t="s">
        <v>138</v>
      </c>
      <c r="F7799" s="1">
        <v>43033</v>
      </c>
      <c r="G7799" s="1">
        <v>43049</v>
      </c>
      <c r="H7799">
        <v>4356</v>
      </c>
      <c r="I7799" t="str">
        <f>IF(COUNTIF(Products!$A$2:$A$8,C7799)=0,C7799,"")</f>
        <v/>
      </c>
      <c r="J7799">
        <f>IF(OR(E7799="Prospecting",E7799="Engaging"),VLOOKUP(C7799,Products!$A$2:$C$8,3,FALSE),0)</f>
        <v>0</v>
      </c>
    </row>
    <row r="7800" spans="1:10" x14ac:dyDescent="0.25">
      <c r="A7800" t="s">
        <v>7967</v>
      </c>
      <c r="B7800" t="s">
        <v>150</v>
      </c>
      <c r="C7800" t="s">
        <v>120</v>
      </c>
      <c r="D7800" t="s">
        <v>27</v>
      </c>
      <c r="E7800" t="s">
        <v>138</v>
      </c>
      <c r="F7800" s="1">
        <v>43033</v>
      </c>
      <c r="G7800" s="1">
        <v>43034</v>
      </c>
      <c r="H7800">
        <v>566</v>
      </c>
      <c r="I7800" t="str">
        <f>IF(COUNTIF(Products!$A$2:$A$8,C7800)=0,C7800,"")</f>
        <v/>
      </c>
      <c r="J7800">
        <f>IF(OR(E7800="Prospecting",E7800="Engaging"),VLOOKUP(C7800,Products!$A$2:$C$8,3,FALSE),0)</f>
        <v>0</v>
      </c>
    </row>
    <row r="7801" spans="1:10" x14ac:dyDescent="0.25">
      <c r="A7801" t="s">
        <v>7968</v>
      </c>
      <c r="B7801" t="s">
        <v>162</v>
      </c>
      <c r="C7801" t="s">
        <v>125</v>
      </c>
      <c r="E7801" t="s">
        <v>155</v>
      </c>
      <c r="F7801" s="1">
        <v>43033</v>
      </c>
      <c r="I7801" t="str">
        <f>IF(COUNTIF(Products!$A$2:$A$8,C7801)=0,C7801,"")</f>
        <v/>
      </c>
      <c r="J7801">
        <f>IF(OR(E7801="Prospecting",E7801="Engaging"),VLOOKUP(C7801,Products!$A$2:$C$8,3,FALSE),0)</f>
        <v>3393</v>
      </c>
    </row>
    <row r="7802" spans="1:10" x14ac:dyDescent="0.25">
      <c r="A7802" t="s">
        <v>7969</v>
      </c>
      <c r="B7802" t="s">
        <v>137</v>
      </c>
      <c r="C7802" t="s">
        <v>120</v>
      </c>
      <c r="D7802" t="s">
        <v>61</v>
      </c>
      <c r="E7802" t="s">
        <v>138</v>
      </c>
      <c r="F7802" s="1">
        <v>43033</v>
      </c>
      <c r="G7802" s="1">
        <v>43099</v>
      </c>
      <c r="H7802">
        <v>537</v>
      </c>
      <c r="I7802" t="str">
        <f>IF(COUNTIF(Products!$A$2:$A$8,C7802)=0,C7802,"")</f>
        <v/>
      </c>
      <c r="J7802">
        <f>IF(OR(E7802="Prospecting",E7802="Engaging"),VLOOKUP(C7802,Products!$A$2:$C$8,3,FALSE),0)</f>
        <v>0</v>
      </c>
    </row>
    <row r="7803" spans="1:10" x14ac:dyDescent="0.25">
      <c r="A7803" t="s">
        <v>7970</v>
      </c>
      <c r="B7803" t="s">
        <v>177</v>
      </c>
      <c r="C7803" t="s">
        <v>123</v>
      </c>
      <c r="D7803" t="s">
        <v>102</v>
      </c>
      <c r="E7803" t="s">
        <v>138</v>
      </c>
      <c r="F7803" s="1">
        <v>43033</v>
      </c>
      <c r="G7803" s="1">
        <v>43090</v>
      </c>
      <c r="H7803">
        <v>47</v>
      </c>
      <c r="I7803" t="str">
        <f>IF(COUNTIF(Products!$A$2:$A$8,C7803)=0,C7803,"")</f>
        <v/>
      </c>
      <c r="J7803">
        <f>IF(OR(E7803="Prospecting",E7803="Engaging"),VLOOKUP(C7803,Products!$A$2:$C$8,3,FALSE),0)</f>
        <v>0</v>
      </c>
    </row>
    <row r="7804" spans="1:10" x14ac:dyDescent="0.25">
      <c r="A7804" t="s">
        <v>7971</v>
      </c>
      <c r="B7804" t="s">
        <v>144</v>
      </c>
      <c r="C7804" t="s">
        <v>120</v>
      </c>
      <c r="D7804" t="s">
        <v>27</v>
      </c>
      <c r="E7804" t="s">
        <v>138</v>
      </c>
      <c r="F7804" s="1">
        <v>43033</v>
      </c>
      <c r="G7804" s="1">
        <v>43042</v>
      </c>
      <c r="H7804">
        <v>447</v>
      </c>
      <c r="I7804" t="str">
        <f>IF(COUNTIF(Products!$A$2:$A$8,C7804)=0,C7804,"")</f>
        <v/>
      </c>
      <c r="J7804">
        <f>IF(OR(E7804="Prospecting",E7804="Engaging"),VLOOKUP(C7804,Products!$A$2:$C$8,3,FALSE),0)</f>
        <v>0</v>
      </c>
    </row>
    <row r="7805" spans="1:10" x14ac:dyDescent="0.25">
      <c r="A7805" t="s">
        <v>7972</v>
      </c>
      <c r="B7805" t="s">
        <v>146</v>
      </c>
      <c r="C7805" t="s">
        <v>127</v>
      </c>
      <c r="D7805" t="s">
        <v>33</v>
      </c>
      <c r="E7805" t="s">
        <v>138</v>
      </c>
      <c r="F7805" s="1">
        <v>43034</v>
      </c>
      <c r="G7805" s="1">
        <v>43035</v>
      </c>
      <c r="H7805">
        <v>1103</v>
      </c>
      <c r="I7805" t="str">
        <f>IF(COUNTIF(Products!$A$2:$A$8,C7805)=0,C7805,"")</f>
        <v/>
      </c>
      <c r="J7805">
        <f>IF(OR(E7805="Prospecting",E7805="Engaging"),VLOOKUP(C7805,Products!$A$2:$C$8,3,FALSE),0)</f>
        <v>0</v>
      </c>
    </row>
    <row r="7806" spans="1:10" x14ac:dyDescent="0.25">
      <c r="A7806" t="s">
        <v>7973</v>
      </c>
      <c r="B7806" t="s">
        <v>146</v>
      </c>
      <c r="C7806" t="s">
        <v>123</v>
      </c>
      <c r="D7806" t="s">
        <v>42</v>
      </c>
      <c r="E7806" t="s">
        <v>138</v>
      </c>
      <c r="F7806" s="1">
        <v>43034</v>
      </c>
      <c r="G7806" s="1">
        <v>43097</v>
      </c>
      <c r="H7806">
        <v>57</v>
      </c>
      <c r="I7806" t="str">
        <f>IF(COUNTIF(Products!$A$2:$A$8,C7806)=0,C7806,"")</f>
        <v/>
      </c>
      <c r="J7806">
        <f>IF(OR(E7806="Prospecting",E7806="Engaging"),VLOOKUP(C7806,Products!$A$2:$C$8,3,FALSE),0)</f>
        <v>0</v>
      </c>
    </row>
    <row r="7807" spans="1:10" x14ac:dyDescent="0.25">
      <c r="A7807" t="s">
        <v>7974</v>
      </c>
      <c r="B7807" t="s">
        <v>207</v>
      </c>
      <c r="C7807" t="s">
        <v>120</v>
      </c>
      <c r="D7807" t="s">
        <v>10</v>
      </c>
      <c r="E7807" t="s">
        <v>159</v>
      </c>
      <c r="F7807" s="1">
        <v>43034</v>
      </c>
      <c r="G7807" s="1">
        <v>43045</v>
      </c>
      <c r="H7807">
        <v>0</v>
      </c>
      <c r="I7807" t="str">
        <f>IF(COUNTIF(Products!$A$2:$A$8,C7807)=0,C7807,"")</f>
        <v/>
      </c>
      <c r="J7807">
        <f>IF(OR(E7807="Prospecting",E7807="Engaging"),VLOOKUP(C7807,Products!$A$2:$C$8,3,FALSE),0)</f>
        <v>0</v>
      </c>
    </row>
    <row r="7808" spans="1:10" x14ac:dyDescent="0.25">
      <c r="A7808" t="s">
        <v>7975</v>
      </c>
      <c r="B7808" t="s">
        <v>264</v>
      </c>
      <c r="C7808" t="s">
        <v>126</v>
      </c>
      <c r="D7808" t="s">
        <v>61</v>
      </c>
      <c r="E7808" t="s">
        <v>159</v>
      </c>
      <c r="F7808" s="1">
        <v>43034</v>
      </c>
      <c r="G7808" s="1">
        <v>43063</v>
      </c>
      <c r="H7808">
        <v>0</v>
      </c>
      <c r="I7808" t="str">
        <f>IF(COUNTIF(Products!$A$2:$A$8,C7808)=0,C7808,"")</f>
        <v/>
      </c>
      <c r="J7808">
        <f>IF(OR(E7808="Prospecting",E7808="Engaging"),VLOOKUP(C7808,Products!$A$2:$C$8,3,FALSE),0)</f>
        <v>0</v>
      </c>
    </row>
    <row r="7809" spans="1:10" x14ac:dyDescent="0.25">
      <c r="A7809" t="s">
        <v>7976</v>
      </c>
      <c r="B7809" t="s">
        <v>239</v>
      </c>
      <c r="C7809" t="s">
        <v>122</v>
      </c>
      <c r="D7809" t="s">
        <v>80</v>
      </c>
      <c r="E7809" t="s">
        <v>138</v>
      </c>
      <c r="F7809" s="1">
        <v>43034</v>
      </c>
      <c r="G7809" s="1">
        <v>43043</v>
      </c>
      <c r="H7809">
        <v>4525</v>
      </c>
      <c r="I7809" t="str">
        <f>IF(COUNTIF(Products!$A$2:$A$8,C7809)=0,C7809,"")</f>
        <v/>
      </c>
      <c r="J7809">
        <f>IF(OR(E7809="Prospecting",E7809="Engaging"),VLOOKUP(C7809,Products!$A$2:$C$8,3,FALSE),0)</f>
        <v>0</v>
      </c>
    </row>
    <row r="7810" spans="1:10" x14ac:dyDescent="0.25">
      <c r="A7810" t="s">
        <v>7977</v>
      </c>
      <c r="B7810" t="s">
        <v>140</v>
      </c>
      <c r="C7810" t="s">
        <v>122</v>
      </c>
      <c r="D7810" t="s">
        <v>64</v>
      </c>
      <c r="E7810" t="s">
        <v>159</v>
      </c>
      <c r="F7810" s="1">
        <v>43034</v>
      </c>
      <c r="G7810" s="1">
        <v>43038</v>
      </c>
      <c r="H7810">
        <v>0</v>
      </c>
      <c r="I7810" t="str">
        <f>IF(COUNTIF(Products!$A$2:$A$8,C7810)=0,C7810,"")</f>
        <v/>
      </c>
      <c r="J7810">
        <f>IF(OR(E7810="Prospecting",E7810="Engaging"),VLOOKUP(C7810,Products!$A$2:$C$8,3,FALSE),0)</f>
        <v>0</v>
      </c>
    </row>
    <row r="7811" spans="1:10" x14ac:dyDescent="0.25">
      <c r="A7811" t="s">
        <v>7978</v>
      </c>
      <c r="B7811" t="s">
        <v>140</v>
      </c>
      <c r="C7811" t="s">
        <v>122</v>
      </c>
      <c r="D7811" t="s">
        <v>116</v>
      </c>
      <c r="E7811" t="s">
        <v>159</v>
      </c>
      <c r="F7811" s="1">
        <v>43034</v>
      </c>
      <c r="G7811" s="1">
        <v>43035</v>
      </c>
      <c r="H7811">
        <v>0</v>
      </c>
      <c r="I7811" t="str">
        <f>IF(COUNTIF(Products!$A$2:$A$8,C7811)=0,C7811,"")</f>
        <v/>
      </c>
      <c r="J7811">
        <f>IF(OR(E7811="Prospecting",E7811="Engaging"),VLOOKUP(C7811,Products!$A$2:$C$8,3,FALSE),0)</f>
        <v>0</v>
      </c>
    </row>
    <row r="7812" spans="1:10" x14ac:dyDescent="0.25">
      <c r="A7812" t="s">
        <v>7979</v>
      </c>
      <c r="B7812" t="s">
        <v>173</v>
      </c>
      <c r="C7812" t="s">
        <v>120</v>
      </c>
      <c r="D7812" t="s">
        <v>38</v>
      </c>
      <c r="E7812" t="s">
        <v>138</v>
      </c>
      <c r="F7812" s="1">
        <v>43034</v>
      </c>
      <c r="G7812" s="1">
        <v>43036</v>
      </c>
      <c r="H7812">
        <v>504</v>
      </c>
      <c r="I7812" t="str">
        <f>IF(COUNTIF(Products!$A$2:$A$8,C7812)=0,C7812,"")</f>
        <v/>
      </c>
      <c r="J7812">
        <f>IF(OR(E7812="Prospecting",E7812="Engaging"),VLOOKUP(C7812,Products!$A$2:$C$8,3,FALSE),0)</f>
        <v>0</v>
      </c>
    </row>
    <row r="7813" spans="1:10" x14ac:dyDescent="0.25">
      <c r="A7813" t="s">
        <v>7980</v>
      </c>
      <c r="B7813" t="s">
        <v>158</v>
      </c>
      <c r="C7813" t="s">
        <v>122</v>
      </c>
      <c r="D7813" t="s">
        <v>36</v>
      </c>
      <c r="E7813" t="s">
        <v>159</v>
      </c>
      <c r="F7813" s="1">
        <v>43034</v>
      </c>
      <c r="G7813" s="1">
        <v>43035</v>
      </c>
      <c r="H7813">
        <v>0</v>
      </c>
      <c r="I7813" t="str">
        <f>IF(COUNTIF(Products!$A$2:$A$8,C7813)=0,C7813,"")</f>
        <v/>
      </c>
      <c r="J7813">
        <f>IF(OR(E7813="Prospecting",E7813="Engaging"),VLOOKUP(C7813,Products!$A$2:$C$8,3,FALSE),0)</f>
        <v>0</v>
      </c>
    </row>
    <row r="7814" spans="1:10" x14ac:dyDescent="0.25">
      <c r="A7814" t="s">
        <v>7981</v>
      </c>
      <c r="B7814" t="s">
        <v>205</v>
      </c>
      <c r="C7814" t="s">
        <v>122</v>
      </c>
      <c r="D7814" t="s">
        <v>91</v>
      </c>
      <c r="E7814" t="s">
        <v>138</v>
      </c>
      <c r="F7814" s="1">
        <v>43034</v>
      </c>
      <c r="G7814" s="1">
        <v>43039</v>
      </c>
      <c r="H7814">
        <v>4377</v>
      </c>
      <c r="I7814" t="str">
        <f>IF(COUNTIF(Products!$A$2:$A$8,C7814)=0,C7814,"")</f>
        <v/>
      </c>
      <c r="J7814">
        <f>IF(OR(E7814="Prospecting",E7814="Engaging"),VLOOKUP(C7814,Products!$A$2:$C$8,3,FALSE),0)</f>
        <v>0</v>
      </c>
    </row>
    <row r="7815" spans="1:10" x14ac:dyDescent="0.25">
      <c r="A7815" t="s">
        <v>7982</v>
      </c>
      <c r="B7815" t="s">
        <v>205</v>
      </c>
      <c r="C7815" t="s">
        <v>125</v>
      </c>
      <c r="D7815" t="s">
        <v>12</v>
      </c>
      <c r="E7815" t="s">
        <v>138</v>
      </c>
      <c r="F7815" s="1">
        <v>43034</v>
      </c>
      <c r="G7815" s="1">
        <v>43035</v>
      </c>
      <c r="H7815">
        <v>3353</v>
      </c>
      <c r="I7815" t="str">
        <f>IF(COUNTIF(Products!$A$2:$A$8,C7815)=0,C7815,"")</f>
        <v/>
      </c>
      <c r="J7815">
        <f>IF(OR(E7815="Prospecting",E7815="Engaging"),VLOOKUP(C7815,Products!$A$2:$C$8,3,FALSE),0)</f>
        <v>0</v>
      </c>
    </row>
    <row r="7816" spans="1:10" x14ac:dyDescent="0.25">
      <c r="A7816" t="s">
        <v>7983</v>
      </c>
      <c r="B7816" t="s">
        <v>162</v>
      </c>
      <c r="C7816" t="s">
        <v>126</v>
      </c>
      <c r="D7816" t="s">
        <v>67</v>
      </c>
      <c r="E7816" t="s">
        <v>159</v>
      </c>
      <c r="F7816" s="1">
        <v>43034</v>
      </c>
      <c r="G7816" s="1">
        <v>43039</v>
      </c>
      <c r="H7816">
        <v>0</v>
      </c>
      <c r="I7816" t="str">
        <f>IF(COUNTIF(Products!$A$2:$A$8,C7816)=0,C7816,"")</f>
        <v/>
      </c>
      <c r="J7816">
        <f>IF(OR(E7816="Prospecting",E7816="Engaging"),VLOOKUP(C7816,Products!$A$2:$C$8,3,FALSE),0)</f>
        <v>0</v>
      </c>
    </row>
    <row r="7817" spans="1:10" x14ac:dyDescent="0.25">
      <c r="A7817" t="s">
        <v>7984</v>
      </c>
      <c r="B7817" t="s">
        <v>162</v>
      </c>
      <c r="C7817" t="s">
        <v>123</v>
      </c>
      <c r="D7817" t="s">
        <v>38</v>
      </c>
      <c r="E7817" t="s">
        <v>138</v>
      </c>
      <c r="F7817" s="1">
        <v>43034</v>
      </c>
      <c r="G7817" s="1">
        <v>43042</v>
      </c>
      <c r="H7817">
        <v>50</v>
      </c>
      <c r="I7817" t="str">
        <f>IF(COUNTIF(Products!$A$2:$A$8,C7817)=0,C7817,"")</f>
        <v/>
      </c>
      <c r="J7817">
        <f>IF(OR(E7817="Prospecting",E7817="Engaging"),VLOOKUP(C7817,Products!$A$2:$C$8,3,FALSE),0)</f>
        <v>0</v>
      </c>
    </row>
    <row r="7818" spans="1:10" x14ac:dyDescent="0.25">
      <c r="A7818" t="s">
        <v>7985</v>
      </c>
      <c r="B7818" t="s">
        <v>152</v>
      </c>
      <c r="C7818" t="s">
        <v>120</v>
      </c>
      <c r="D7818" t="s">
        <v>28</v>
      </c>
      <c r="E7818" t="s">
        <v>159</v>
      </c>
      <c r="F7818" s="1">
        <v>43034</v>
      </c>
      <c r="G7818" s="1">
        <v>43038</v>
      </c>
      <c r="H7818">
        <v>0</v>
      </c>
      <c r="I7818" t="str">
        <f>IF(COUNTIF(Products!$A$2:$A$8,C7818)=0,C7818,"")</f>
        <v/>
      </c>
      <c r="J7818">
        <f>IF(OR(E7818="Prospecting",E7818="Engaging"),VLOOKUP(C7818,Products!$A$2:$C$8,3,FALSE),0)</f>
        <v>0</v>
      </c>
    </row>
    <row r="7819" spans="1:10" x14ac:dyDescent="0.25">
      <c r="A7819" t="s">
        <v>7986</v>
      </c>
      <c r="B7819" t="s">
        <v>148</v>
      </c>
      <c r="C7819" t="s">
        <v>120</v>
      </c>
      <c r="E7819" t="s">
        <v>155</v>
      </c>
      <c r="F7819" s="1">
        <v>43034</v>
      </c>
      <c r="I7819" t="str">
        <f>IF(COUNTIF(Products!$A$2:$A$8,C7819)=0,C7819,"")</f>
        <v/>
      </c>
      <c r="J7819">
        <f>IF(OR(E7819="Prospecting",E7819="Engaging"),VLOOKUP(C7819,Products!$A$2:$C$8,3,FALSE),0)</f>
        <v>550</v>
      </c>
    </row>
    <row r="7820" spans="1:10" x14ac:dyDescent="0.25">
      <c r="A7820" t="s">
        <v>7987</v>
      </c>
      <c r="B7820" t="s">
        <v>148</v>
      </c>
      <c r="C7820" t="s">
        <v>120</v>
      </c>
      <c r="D7820" t="s">
        <v>17</v>
      </c>
      <c r="E7820" t="s">
        <v>159</v>
      </c>
      <c r="F7820" s="1">
        <v>43034</v>
      </c>
      <c r="G7820" s="1">
        <v>43036</v>
      </c>
      <c r="H7820">
        <v>0</v>
      </c>
      <c r="I7820" t="str">
        <f>IF(COUNTIF(Products!$A$2:$A$8,C7820)=0,C7820,"")</f>
        <v/>
      </c>
      <c r="J7820">
        <f>IF(OR(E7820="Prospecting",E7820="Engaging"),VLOOKUP(C7820,Products!$A$2:$C$8,3,FALSE),0)</f>
        <v>0</v>
      </c>
    </row>
    <row r="7821" spans="1:10" x14ac:dyDescent="0.25">
      <c r="A7821" t="s">
        <v>7988</v>
      </c>
      <c r="B7821" t="s">
        <v>148</v>
      </c>
      <c r="C7821" t="s">
        <v>120</v>
      </c>
      <c r="D7821" t="s">
        <v>59</v>
      </c>
      <c r="E7821" t="s">
        <v>159</v>
      </c>
      <c r="F7821" s="1">
        <v>43034</v>
      </c>
      <c r="G7821" s="1">
        <v>43035</v>
      </c>
      <c r="H7821">
        <v>0</v>
      </c>
      <c r="I7821" t="str">
        <f>IF(COUNTIF(Products!$A$2:$A$8,C7821)=0,C7821,"")</f>
        <v/>
      </c>
      <c r="J7821">
        <f>IF(OR(E7821="Prospecting",E7821="Engaging"),VLOOKUP(C7821,Products!$A$2:$C$8,3,FALSE),0)</f>
        <v>0</v>
      </c>
    </row>
    <row r="7822" spans="1:10" x14ac:dyDescent="0.25">
      <c r="A7822" t="s">
        <v>7989</v>
      </c>
      <c r="B7822" t="s">
        <v>148</v>
      </c>
      <c r="C7822" t="s">
        <v>125</v>
      </c>
      <c r="D7822" t="s">
        <v>100</v>
      </c>
      <c r="E7822" t="s">
        <v>159</v>
      </c>
      <c r="F7822" s="1">
        <v>43034</v>
      </c>
      <c r="G7822" s="1">
        <v>43043</v>
      </c>
      <c r="H7822">
        <v>0</v>
      </c>
      <c r="I7822" t="str">
        <f>IF(COUNTIF(Products!$A$2:$A$8,C7822)=0,C7822,"")</f>
        <v/>
      </c>
      <c r="J7822">
        <f>IF(OR(E7822="Prospecting",E7822="Engaging"),VLOOKUP(C7822,Products!$A$2:$C$8,3,FALSE),0)</f>
        <v>0</v>
      </c>
    </row>
    <row r="7823" spans="1:10" x14ac:dyDescent="0.25">
      <c r="A7823" t="s">
        <v>7990</v>
      </c>
      <c r="B7823" t="s">
        <v>177</v>
      </c>
      <c r="C7823" t="s">
        <v>120</v>
      </c>
      <c r="D7823" t="s">
        <v>48</v>
      </c>
      <c r="E7823" t="s">
        <v>159</v>
      </c>
      <c r="F7823" s="1">
        <v>43034</v>
      </c>
      <c r="G7823" s="1">
        <v>43039</v>
      </c>
      <c r="H7823">
        <v>0</v>
      </c>
      <c r="I7823" t="str">
        <f>IF(COUNTIF(Products!$A$2:$A$8,C7823)=0,C7823,"")</f>
        <v/>
      </c>
      <c r="J7823">
        <f>IF(OR(E7823="Prospecting",E7823="Engaging"),VLOOKUP(C7823,Products!$A$2:$C$8,3,FALSE),0)</f>
        <v>0</v>
      </c>
    </row>
    <row r="7824" spans="1:10" x14ac:dyDescent="0.25">
      <c r="A7824" t="s">
        <v>7991</v>
      </c>
      <c r="B7824" t="s">
        <v>177</v>
      </c>
      <c r="C7824" t="s">
        <v>120</v>
      </c>
      <c r="D7824" t="s">
        <v>112</v>
      </c>
      <c r="E7824" t="s">
        <v>159</v>
      </c>
      <c r="F7824" s="1">
        <v>43034</v>
      </c>
      <c r="G7824" s="1">
        <v>43036</v>
      </c>
      <c r="H7824">
        <v>0</v>
      </c>
      <c r="I7824" t="str">
        <f>IF(COUNTIF(Products!$A$2:$A$8,C7824)=0,C7824,"")</f>
        <v/>
      </c>
      <c r="J7824">
        <f>IF(OR(E7824="Prospecting",E7824="Engaging"),VLOOKUP(C7824,Products!$A$2:$C$8,3,FALSE),0)</f>
        <v>0</v>
      </c>
    </row>
    <row r="7825" spans="1:10" x14ac:dyDescent="0.25">
      <c r="A7825" t="s">
        <v>7992</v>
      </c>
      <c r="B7825" t="s">
        <v>144</v>
      </c>
      <c r="C7825" t="s">
        <v>122</v>
      </c>
      <c r="D7825" t="s">
        <v>55</v>
      </c>
      <c r="E7825" t="s">
        <v>155</v>
      </c>
      <c r="F7825" s="1">
        <v>43034</v>
      </c>
      <c r="I7825" t="str">
        <f>IF(COUNTIF(Products!$A$2:$A$8,C7825)=0,C7825,"")</f>
        <v/>
      </c>
      <c r="J7825">
        <f>IF(OR(E7825="Prospecting",E7825="Engaging"),VLOOKUP(C7825,Products!$A$2:$C$8,3,FALSE),0)</f>
        <v>4821</v>
      </c>
    </row>
    <row r="7826" spans="1:10" x14ac:dyDescent="0.25">
      <c r="A7826" t="s">
        <v>7993</v>
      </c>
      <c r="B7826" t="s">
        <v>146</v>
      </c>
      <c r="C7826" t="s">
        <v>126</v>
      </c>
      <c r="D7826" t="s">
        <v>89</v>
      </c>
      <c r="E7826" t="s">
        <v>138</v>
      </c>
      <c r="F7826" s="1">
        <v>43035</v>
      </c>
      <c r="G7826" s="1">
        <v>43076</v>
      </c>
      <c r="H7826">
        <v>5269</v>
      </c>
      <c r="I7826" t="str">
        <f>IF(COUNTIF(Products!$A$2:$A$8,C7826)=0,C7826,"")</f>
        <v/>
      </c>
      <c r="J7826">
        <f>IF(OR(E7826="Prospecting",E7826="Engaging"),VLOOKUP(C7826,Products!$A$2:$C$8,3,FALSE),0)</f>
        <v>0</v>
      </c>
    </row>
    <row r="7827" spans="1:10" x14ac:dyDescent="0.25">
      <c r="A7827" t="s">
        <v>7994</v>
      </c>
      <c r="B7827" t="s">
        <v>222</v>
      </c>
      <c r="C7827" t="s">
        <v>122</v>
      </c>
      <c r="D7827" t="s">
        <v>16</v>
      </c>
      <c r="E7827" t="s">
        <v>138</v>
      </c>
      <c r="F7827" s="1">
        <v>43035</v>
      </c>
      <c r="G7827" s="1">
        <v>43036</v>
      </c>
      <c r="H7827">
        <v>5275</v>
      </c>
      <c r="I7827" t="str">
        <f>IF(COUNTIF(Products!$A$2:$A$8,C7827)=0,C7827,"")</f>
        <v/>
      </c>
      <c r="J7827">
        <f>IF(OR(E7827="Prospecting",E7827="Engaging"),VLOOKUP(C7827,Products!$A$2:$C$8,3,FALSE),0)</f>
        <v>0</v>
      </c>
    </row>
    <row r="7828" spans="1:10" x14ac:dyDescent="0.25">
      <c r="A7828" t="s">
        <v>7995</v>
      </c>
      <c r="B7828" t="s">
        <v>207</v>
      </c>
      <c r="C7828" t="s">
        <v>126</v>
      </c>
      <c r="D7828" t="s">
        <v>108</v>
      </c>
      <c r="E7828" t="s">
        <v>159</v>
      </c>
      <c r="F7828" s="1">
        <v>43035</v>
      </c>
      <c r="G7828" s="1">
        <v>43037</v>
      </c>
      <c r="H7828">
        <v>0</v>
      </c>
      <c r="I7828" t="str">
        <f>IF(COUNTIF(Products!$A$2:$A$8,C7828)=0,C7828,"")</f>
        <v/>
      </c>
      <c r="J7828">
        <f>IF(OR(E7828="Prospecting",E7828="Engaging"),VLOOKUP(C7828,Products!$A$2:$C$8,3,FALSE),0)</f>
        <v>0</v>
      </c>
    </row>
    <row r="7829" spans="1:10" x14ac:dyDescent="0.25">
      <c r="A7829" t="s">
        <v>7996</v>
      </c>
      <c r="B7829" t="s">
        <v>264</v>
      </c>
      <c r="C7829" t="s">
        <v>125</v>
      </c>
      <c r="D7829" t="s">
        <v>28</v>
      </c>
      <c r="E7829" t="s">
        <v>159</v>
      </c>
      <c r="F7829" s="1">
        <v>43035</v>
      </c>
      <c r="G7829" s="1">
        <v>43046</v>
      </c>
      <c r="H7829">
        <v>0</v>
      </c>
      <c r="I7829" t="str">
        <f>IF(COUNTIF(Products!$A$2:$A$8,C7829)=0,C7829,"")</f>
        <v/>
      </c>
      <c r="J7829">
        <f>IF(OR(E7829="Prospecting",E7829="Engaging"),VLOOKUP(C7829,Products!$A$2:$C$8,3,FALSE),0)</f>
        <v>0</v>
      </c>
    </row>
    <row r="7830" spans="1:10" x14ac:dyDescent="0.25">
      <c r="A7830" t="s">
        <v>7997</v>
      </c>
      <c r="B7830" t="s">
        <v>239</v>
      </c>
      <c r="C7830" t="s">
        <v>120</v>
      </c>
      <c r="D7830" t="s">
        <v>73</v>
      </c>
      <c r="E7830" t="s">
        <v>138</v>
      </c>
      <c r="F7830" s="1">
        <v>43035</v>
      </c>
      <c r="G7830" s="1">
        <v>43037</v>
      </c>
      <c r="H7830">
        <v>601</v>
      </c>
      <c r="I7830" t="str">
        <f>IF(COUNTIF(Products!$A$2:$A$8,C7830)=0,C7830,"")</f>
        <v/>
      </c>
      <c r="J7830">
        <f>IF(OR(E7830="Prospecting",E7830="Engaging"),VLOOKUP(C7830,Products!$A$2:$C$8,3,FALSE),0)</f>
        <v>0</v>
      </c>
    </row>
    <row r="7831" spans="1:10" x14ac:dyDescent="0.25">
      <c r="A7831" t="s">
        <v>7998</v>
      </c>
      <c r="B7831" t="s">
        <v>140</v>
      </c>
      <c r="C7831" t="s">
        <v>128</v>
      </c>
      <c r="D7831" t="s">
        <v>104</v>
      </c>
      <c r="E7831" t="s">
        <v>159</v>
      </c>
      <c r="F7831" s="1">
        <v>43035</v>
      </c>
      <c r="G7831" s="1">
        <v>43049</v>
      </c>
      <c r="H7831">
        <v>0</v>
      </c>
      <c r="I7831" t="str">
        <f>IF(COUNTIF(Products!$A$2:$A$8,C7831)=0,C7831,"")</f>
        <v/>
      </c>
      <c r="J7831">
        <f>IF(OR(E7831="Prospecting",E7831="Engaging"),VLOOKUP(C7831,Products!$A$2:$C$8,3,FALSE),0)</f>
        <v>0</v>
      </c>
    </row>
    <row r="7832" spans="1:10" x14ac:dyDescent="0.25">
      <c r="A7832" t="s">
        <v>7999</v>
      </c>
      <c r="B7832" t="s">
        <v>140</v>
      </c>
      <c r="C7832" t="s">
        <v>123</v>
      </c>
      <c r="D7832" t="s">
        <v>42</v>
      </c>
      <c r="E7832" t="s">
        <v>138</v>
      </c>
      <c r="F7832" s="1">
        <v>43035</v>
      </c>
      <c r="G7832" s="1">
        <v>43098</v>
      </c>
      <c r="H7832">
        <v>53</v>
      </c>
      <c r="I7832" t="str">
        <f>IF(COUNTIF(Products!$A$2:$A$8,C7832)=0,C7832,"")</f>
        <v/>
      </c>
      <c r="J7832">
        <f>IF(OR(E7832="Prospecting",E7832="Engaging"),VLOOKUP(C7832,Products!$A$2:$C$8,3,FALSE),0)</f>
        <v>0</v>
      </c>
    </row>
    <row r="7833" spans="1:10" x14ac:dyDescent="0.25">
      <c r="A7833" t="s">
        <v>8000</v>
      </c>
      <c r="B7833" t="s">
        <v>173</v>
      </c>
      <c r="C7833" t="s">
        <v>123</v>
      </c>
      <c r="D7833" t="s">
        <v>59</v>
      </c>
      <c r="E7833" t="s">
        <v>138</v>
      </c>
      <c r="F7833" s="1">
        <v>43035</v>
      </c>
      <c r="G7833" s="1">
        <v>43049</v>
      </c>
      <c r="H7833">
        <v>46</v>
      </c>
      <c r="I7833" t="str">
        <f>IF(COUNTIF(Products!$A$2:$A$8,C7833)=0,C7833,"")</f>
        <v/>
      </c>
      <c r="J7833">
        <f>IF(OR(E7833="Prospecting",E7833="Engaging"),VLOOKUP(C7833,Products!$A$2:$C$8,3,FALSE),0)</f>
        <v>0</v>
      </c>
    </row>
    <row r="7834" spans="1:10" x14ac:dyDescent="0.25">
      <c r="A7834" t="s">
        <v>8001</v>
      </c>
      <c r="B7834" t="s">
        <v>154</v>
      </c>
      <c r="C7834" t="s">
        <v>122</v>
      </c>
      <c r="D7834" t="s">
        <v>60</v>
      </c>
      <c r="E7834" t="s">
        <v>159</v>
      </c>
      <c r="F7834" s="1">
        <v>43035</v>
      </c>
      <c r="G7834" s="1">
        <v>43037</v>
      </c>
      <c r="H7834">
        <v>0</v>
      </c>
      <c r="I7834" t="str">
        <f>IF(COUNTIF(Products!$A$2:$A$8,C7834)=0,C7834,"")</f>
        <v/>
      </c>
      <c r="J7834">
        <f>IF(OR(E7834="Prospecting",E7834="Engaging"),VLOOKUP(C7834,Products!$A$2:$C$8,3,FALSE),0)</f>
        <v>0</v>
      </c>
    </row>
    <row r="7835" spans="1:10" x14ac:dyDescent="0.25">
      <c r="A7835" t="s">
        <v>8002</v>
      </c>
      <c r="B7835" t="s">
        <v>303</v>
      </c>
      <c r="C7835" t="s">
        <v>120</v>
      </c>
      <c r="D7835" t="s">
        <v>104</v>
      </c>
      <c r="E7835" t="s">
        <v>138</v>
      </c>
      <c r="F7835" s="1">
        <v>43035</v>
      </c>
      <c r="G7835" s="1">
        <v>43037</v>
      </c>
      <c r="H7835">
        <v>538</v>
      </c>
      <c r="I7835" t="str">
        <f>IF(COUNTIF(Products!$A$2:$A$8,C7835)=0,C7835,"")</f>
        <v/>
      </c>
      <c r="J7835">
        <f>IF(OR(E7835="Prospecting",E7835="Engaging"),VLOOKUP(C7835,Products!$A$2:$C$8,3,FALSE),0)</f>
        <v>0</v>
      </c>
    </row>
    <row r="7836" spans="1:10" x14ac:dyDescent="0.25">
      <c r="A7836" t="s">
        <v>8003</v>
      </c>
      <c r="B7836" t="s">
        <v>180</v>
      </c>
      <c r="C7836" t="s">
        <v>123</v>
      </c>
      <c r="D7836" t="s">
        <v>82</v>
      </c>
      <c r="E7836" t="s">
        <v>138</v>
      </c>
      <c r="F7836" s="1">
        <v>43035</v>
      </c>
      <c r="G7836" s="1">
        <v>43084</v>
      </c>
      <c r="H7836">
        <v>53</v>
      </c>
      <c r="I7836" t="str">
        <f>IF(COUNTIF(Products!$A$2:$A$8,C7836)=0,C7836,"")</f>
        <v/>
      </c>
      <c r="J7836">
        <f>IF(OR(E7836="Prospecting",E7836="Engaging"),VLOOKUP(C7836,Products!$A$2:$C$8,3,FALSE),0)</f>
        <v>0</v>
      </c>
    </row>
    <row r="7837" spans="1:10" x14ac:dyDescent="0.25">
      <c r="A7837" t="s">
        <v>8004</v>
      </c>
      <c r="B7837" t="s">
        <v>217</v>
      </c>
      <c r="C7837" t="s">
        <v>125</v>
      </c>
      <c r="D7837" t="s">
        <v>36</v>
      </c>
      <c r="E7837" t="s">
        <v>138</v>
      </c>
      <c r="F7837" s="1">
        <v>43035</v>
      </c>
      <c r="G7837" s="1">
        <v>43042</v>
      </c>
      <c r="H7837">
        <v>3296</v>
      </c>
      <c r="I7837" t="str">
        <f>IF(COUNTIF(Products!$A$2:$A$8,C7837)=0,C7837,"")</f>
        <v/>
      </c>
      <c r="J7837">
        <f>IF(OR(E7837="Prospecting",E7837="Engaging"),VLOOKUP(C7837,Products!$A$2:$C$8,3,FALSE),0)</f>
        <v>0</v>
      </c>
    </row>
    <row r="7838" spans="1:10" x14ac:dyDescent="0.25">
      <c r="A7838" t="s">
        <v>8005</v>
      </c>
      <c r="B7838" t="s">
        <v>150</v>
      </c>
      <c r="C7838" t="s">
        <v>120</v>
      </c>
      <c r="D7838" t="s">
        <v>34</v>
      </c>
      <c r="E7838" t="s">
        <v>159</v>
      </c>
      <c r="F7838" s="1">
        <v>43035</v>
      </c>
      <c r="G7838" s="1">
        <v>43036</v>
      </c>
      <c r="H7838">
        <v>0</v>
      </c>
      <c r="I7838" t="str">
        <f>IF(COUNTIF(Products!$A$2:$A$8,C7838)=0,C7838,"")</f>
        <v/>
      </c>
      <c r="J7838">
        <f>IF(OR(E7838="Prospecting",E7838="Engaging"),VLOOKUP(C7838,Products!$A$2:$C$8,3,FALSE),0)</f>
        <v>0</v>
      </c>
    </row>
    <row r="7839" spans="1:10" x14ac:dyDescent="0.25">
      <c r="A7839" t="s">
        <v>8006</v>
      </c>
      <c r="B7839" t="s">
        <v>205</v>
      </c>
      <c r="C7839" t="s">
        <v>125</v>
      </c>
      <c r="D7839" t="s">
        <v>64</v>
      </c>
      <c r="E7839" t="s">
        <v>138</v>
      </c>
      <c r="F7839" s="1">
        <v>43035</v>
      </c>
      <c r="G7839" s="1">
        <v>43046</v>
      </c>
      <c r="H7839">
        <v>3561</v>
      </c>
      <c r="I7839" t="str">
        <f>IF(COUNTIF(Products!$A$2:$A$8,C7839)=0,C7839,"")</f>
        <v/>
      </c>
      <c r="J7839">
        <f>IF(OR(E7839="Prospecting",E7839="Engaging"),VLOOKUP(C7839,Products!$A$2:$C$8,3,FALSE),0)</f>
        <v>0</v>
      </c>
    </row>
    <row r="7840" spans="1:10" x14ac:dyDescent="0.25">
      <c r="A7840" t="s">
        <v>8007</v>
      </c>
      <c r="B7840" t="s">
        <v>162</v>
      </c>
      <c r="C7840" t="s">
        <v>126</v>
      </c>
      <c r="D7840" t="s">
        <v>93</v>
      </c>
      <c r="E7840" t="s">
        <v>138</v>
      </c>
      <c r="F7840" s="1">
        <v>43035</v>
      </c>
      <c r="G7840" s="1">
        <v>43045</v>
      </c>
      <c r="H7840">
        <v>5655</v>
      </c>
      <c r="I7840" t="str">
        <f>IF(COUNTIF(Products!$A$2:$A$8,C7840)=0,C7840,"")</f>
        <v/>
      </c>
      <c r="J7840">
        <f>IF(OR(E7840="Prospecting",E7840="Engaging"),VLOOKUP(C7840,Products!$A$2:$C$8,3,FALSE),0)</f>
        <v>0</v>
      </c>
    </row>
    <row r="7841" spans="1:10" x14ac:dyDescent="0.25">
      <c r="A7841" t="s">
        <v>8008</v>
      </c>
      <c r="B7841" t="s">
        <v>137</v>
      </c>
      <c r="C7841" t="s">
        <v>120</v>
      </c>
      <c r="D7841" t="s">
        <v>33</v>
      </c>
      <c r="E7841" t="s">
        <v>138</v>
      </c>
      <c r="F7841" s="1">
        <v>43035</v>
      </c>
      <c r="G7841" s="1">
        <v>43083</v>
      </c>
      <c r="H7841">
        <v>656</v>
      </c>
      <c r="I7841" t="str">
        <f>IF(COUNTIF(Products!$A$2:$A$8,C7841)=0,C7841,"")</f>
        <v/>
      </c>
      <c r="J7841">
        <f>IF(OR(E7841="Prospecting",E7841="Engaging"),VLOOKUP(C7841,Products!$A$2:$C$8,3,FALSE),0)</f>
        <v>0</v>
      </c>
    </row>
    <row r="7842" spans="1:10" x14ac:dyDescent="0.25">
      <c r="A7842" t="s">
        <v>8009</v>
      </c>
      <c r="B7842" t="s">
        <v>193</v>
      </c>
      <c r="C7842" t="s">
        <v>125</v>
      </c>
      <c r="D7842" t="s">
        <v>35</v>
      </c>
      <c r="E7842" t="s">
        <v>138</v>
      </c>
      <c r="F7842" s="1">
        <v>43035</v>
      </c>
      <c r="G7842" s="1">
        <v>43044</v>
      </c>
      <c r="H7842">
        <v>3258</v>
      </c>
      <c r="I7842" t="str">
        <f>IF(COUNTIF(Products!$A$2:$A$8,C7842)=0,C7842,"")</f>
        <v/>
      </c>
      <c r="J7842">
        <f>IF(OR(E7842="Prospecting",E7842="Engaging"),VLOOKUP(C7842,Products!$A$2:$C$8,3,FALSE),0)</f>
        <v>0</v>
      </c>
    </row>
    <row r="7843" spans="1:10" x14ac:dyDescent="0.25">
      <c r="A7843" t="s">
        <v>8010</v>
      </c>
      <c r="B7843" t="s">
        <v>166</v>
      </c>
      <c r="C7843" t="s">
        <v>120</v>
      </c>
      <c r="D7843" t="s">
        <v>56</v>
      </c>
      <c r="E7843" t="s">
        <v>138</v>
      </c>
      <c r="F7843" s="1">
        <v>43035</v>
      </c>
      <c r="G7843" s="1">
        <v>43051</v>
      </c>
      <c r="H7843">
        <v>577</v>
      </c>
      <c r="I7843" t="str">
        <f>IF(COUNTIF(Products!$A$2:$A$8,C7843)=0,C7843,"")</f>
        <v/>
      </c>
      <c r="J7843">
        <f>IF(OR(E7843="Prospecting",E7843="Engaging"),VLOOKUP(C7843,Products!$A$2:$C$8,3,FALSE),0)</f>
        <v>0</v>
      </c>
    </row>
    <row r="7844" spans="1:10" x14ac:dyDescent="0.25">
      <c r="A7844" t="s">
        <v>8011</v>
      </c>
      <c r="B7844" t="s">
        <v>169</v>
      </c>
      <c r="C7844" t="s">
        <v>123</v>
      </c>
      <c r="D7844" t="s">
        <v>95</v>
      </c>
      <c r="E7844" t="s">
        <v>138</v>
      </c>
      <c r="F7844" s="1">
        <v>43035</v>
      </c>
      <c r="G7844" s="1">
        <v>43036</v>
      </c>
      <c r="H7844">
        <v>50</v>
      </c>
      <c r="I7844" t="str">
        <f>IF(COUNTIF(Products!$A$2:$A$8,C7844)=0,C7844,"")</f>
        <v/>
      </c>
      <c r="J7844">
        <f>IF(OR(E7844="Prospecting",E7844="Engaging"),VLOOKUP(C7844,Products!$A$2:$C$8,3,FALSE),0)</f>
        <v>0</v>
      </c>
    </row>
    <row r="7845" spans="1:10" x14ac:dyDescent="0.25">
      <c r="A7845" t="s">
        <v>8012</v>
      </c>
      <c r="B7845" t="s">
        <v>148</v>
      </c>
      <c r="C7845" t="s">
        <v>120</v>
      </c>
      <c r="D7845" t="s">
        <v>72</v>
      </c>
      <c r="E7845" t="s">
        <v>159</v>
      </c>
      <c r="F7845" s="1">
        <v>43035</v>
      </c>
      <c r="G7845" s="1">
        <v>43037</v>
      </c>
      <c r="H7845">
        <v>0</v>
      </c>
      <c r="I7845" t="str">
        <f>IF(COUNTIF(Products!$A$2:$A$8,C7845)=0,C7845,"")</f>
        <v/>
      </c>
      <c r="J7845">
        <f>IF(OR(E7845="Prospecting",E7845="Engaging"),VLOOKUP(C7845,Products!$A$2:$C$8,3,FALSE),0)</f>
        <v>0</v>
      </c>
    </row>
    <row r="7846" spans="1:10" x14ac:dyDescent="0.25">
      <c r="A7846" t="s">
        <v>8013</v>
      </c>
      <c r="B7846" t="s">
        <v>146</v>
      </c>
      <c r="C7846" t="s">
        <v>123</v>
      </c>
      <c r="D7846" t="s">
        <v>30</v>
      </c>
      <c r="E7846" t="s">
        <v>138</v>
      </c>
      <c r="F7846" s="1">
        <v>43036</v>
      </c>
      <c r="G7846" s="1">
        <v>43037</v>
      </c>
      <c r="H7846">
        <v>66</v>
      </c>
      <c r="I7846" t="str">
        <f>IF(COUNTIF(Products!$A$2:$A$8,C7846)=0,C7846,"")</f>
        <v/>
      </c>
      <c r="J7846">
        <f>IF(OR(E7846="Prospecting",E7846="Engaging"),VLOOKUP(C7846,Products!$A$2:$C$8,3,FALSE),0)</f>
        <v>0</v>
      </c>
    </row>
    <row r="7847" spans="1:10" x14ac:dyDescent="0.25">
      <c r="A7847" t="s">
        <v>8014</v>
      </c>
      <c r="B7847" t="s">
        <v>239</v>
      </c>
      <c r="C7847" t="s">
        <v>127</v>
      </c>
      <c r="D7847" t="s">
        <v>50</v>
      </c>
      <c r="E7847" t="s">
        <v>138</v>
      </c>
      <c r="F7847" s="1">
        <v>43036</v>
      </c>
      <c r="G7847" s="1">
        <v>43051</v>
      </c>
      <c r="H7847">
        <v>1079</v>
      </c>
      <c r="I7847" t="str">
        <f>IF(COUNTIF(Products!$A$2:$A$8,C7847)=0,C7847,"")</f>
        <v/>
      </c>
      <c r="J7847">
        <f>IF(OR(E7847="Prospecting",E7847="Engaging"),VLOOKUP(C7847,Products!$A$2:$C$8,3,FALSE),0)</f>
        <v>0</v>
      </c>
    </row>
    <row r="7848" spans="1:10" x14ac:dyDescent="0.25">
      <c r="A7848" t="s">
        <v>8015</v>
      </c>
      <c r="B7848" t="s">
        <v>140</v>
      </c>
      <c r="C7848" t="s">
        <v>125</v>
      </c>
      <c r="D7848" t="s">
        <v>28</v>
      </c>
      <c r="E7848" t="s">
        <v>159</v>
      </c>
      <c r="F7848" s="1">
        <v>43036</v>
      </c>
      <c r="G7848" s="1">
        <v>43037</v>
      </c>
      <c r="H7848">
        <v>0</v>
      </c>
      <c r="I7848" t="str">
        <f>IF(COUNTIF(Products!$A$2:$A$8,C7848)=0,C7848,"")</f>
        <v/>
      </c>
      <c r="J7848">
        <f>IF(OR(E7848="Prospecting",E7848="Engaging"),VLOOKUP(C7848,Products!$A$2:$C$8,3,FALSE),0)</f>
        <v>0</v>
      </c>
    </row>
    <row r="7849" spans="1:10" x14ac:dyDescent="0.25">
      <c r="A7849" t="s">
        <v>8016</v>
      </c>
      <c r="B7849" t="s">
        <v>224</v>
      </c>
      <c r="C7849" t="s">
        <v>125</v>
      </c>
      <c r="D7849" t="s">
        <v>35</v>
      </c>
      <c r="E7849" t="s">
        <v>159</v>
      </c>
      <c r="F7849" s="1">
        <v>43036</v>
      </c>
      <c r="G7849" s="1">
        <v>43042</v>
      </c>
      <c r="H7849">
        <v>0</v>
      </c>
      <c r="I7849" t="str">
        <f>IF(COUNTIF(Products!$A$2:$A$8,C7849)=0,C7849,"")</f>
        <v/>
      </c>
      <c r="J7849">
        <f>IF(OR(E7849="Prospecting",E7849="Engaging"),VLOOKUP(C7849,Products!$A$2:$C$8,3,FALSE),0)</f>
        <v>0</v>
      </c>
    </row>
    <row r="7850" spans="1:10" x14ac:dyDescent="0.25">
      <c r="A7850" t="s">
        <v>8017</v>
      </c>
      <c r="B7850" t="s">
        <v>173</v>
      </c>
      <c r="C7850" t="s">
        <v>128</v>
      </c>
      <c r="D7850" t="s">
        <v>23</v>
      </c>
      <c r="E7850" t="s">
        <v>138</v>
      </c>
      <c r="F7850" s="1">
        <v>43036</v>
      </c>
      <c r="G7850" s="1">
        <v>43037</v>
      </c>
      <c r="H7850">
        <v>27971</v>
      </c>
      <c r="I7850" t="str">
        <f>IF(COUNTIF(Products!$A$2:$A$8,C7850)=0,C7850,"")</f>
        <v/>
      </c>
      <c r="J7850">
        <f>IF(OR(E7850="Prospecting",E7850="Engaging"),VLOOKUP(C7850,Products!$A$2:$C$8,3,FALSE),0)</f>
        <v>0</v>
      </c>
    </row>
    <row r="7851" spans="1:10" x14ac:dyDescent="0.25">
      <c r="A7851" t="s">
        <v>8018</v>
      </c>
      <c r="B7851" t="s">
        <v>180</v>
      </c>
      <c r="C7851" t="s">
        <v>126</v>
      </c>
      <c r="E7851" t="s">
        <v>155</v>
      </c>
      <c r="F7851" s="1">
        <v>43036</v>
      </c>
      <c r="I7851" t="str">
        <f>IF(COUNTIF(Products!$A$2:$A$8,C7851)=0,C7851,"")</f>
        <v/>
      </c>
      <c r="J7851">
        <f>IF(OR(E7851="Prospecting",E7851="Engaging"),VLOOKUP(C7851,Products!$A$2:$C$8,3,FALSE),0)</f>
        <v>5482</v>
      </c>
    </row>
    <row r="7852" spans="1:10" x14ac:dyDescent="0.25">
      <c r="A7852" t="s">
        <v>8019</v>
      </c>
      <c r="B7852" t="s">
        <v>191</v>
      </c>
      <c r="C7852" t="s">
        <v>120</v>
      </c>
      <c r="D7852" t="s">
        <v>107</v>
      </c>
      <c r="E7852" t="s">
        <v>155</v>
      </c>
      <c r="F7852" s="1">
        <v>43036</v>
      </c>
      <c r="I7852" t="str">
        <f>IF(COUNTIF(Products!$A$2:$A$8,C7852)=0,C7852,"")</f>
        <v/>
      </c>
      <c r="J7852">
        <f>IF(OR(E7852="Prospecting",E7852="Engaging"),VLOOKUP(C7852,Products!$A$2:$C$8,3,FALSE),0)</f>
        <v>550</v>
      </c>
    </row>
    <row r="7853" spans="1:10" x14ac:dyDescent="0.25">
      <c r="A7853" t="s">
        <v>8020</v>
      </c>
      <c r="B7853" t="s">
        <v>150</v>
      </c>
      <c r="C7853" t="s">
        <v>120</v>
      </c>
      <c r="D7853" t="s">
        <v>109</v>
      </c>
      <c r="E7853" t="s">
        <v>138</v>
      </c>
      <c r="F7853" s="1">
        <v>43036</v>
      </c>
      <c r="G7853" s="1">
        <v>43050</v>
      </c>
      <c r="H7853">
        <v>598</v>
      </c>
      <c r="I7853" t="str">
        <f>IF(COUNTIF(Products!$A$2:$A$8,C7853)=0,C7853,"")</f>
        <v/>
      </c>
      <c r="J7853">
        <f>IF(OR(E7853="Prospecting",E7853="Engaging"),VLOOKUP(C7853,Products!$A$2:$C$8,3,FALSE),0)</f>
        <v>0</v>
      </c>
    </row>
    <row r="7854" spans="1:10" x14ac:dyDescent="0.25">
      <c r="A7854" t="s">
        <v>8021</v>
      </c>
      <c r="B7854" t="s">
        <v>169</v>
      </c>
      <c r="C7854" t="s">
        <v>123</v>
      </c>
      <c r="D7854" t="s">
        <v>95</v>
      </c>
      <c r="E7854" t="s">
        <v>159</v>
      </c>
      <c r="F7854" s="1">
        <v>43036</v>
      </c>
      <c r="G7854" s="1">
        <v>43037</v>
      </c>
      <c r="H7854">
        <v>0</v>
      </c>
      <c r="I7854" t="str">
        <f>IF(COUNTIF(Products!$A$2:$A$8,C7854)=0,C7854,"")</f>
        <v/>
      </c>
      <c r="J7854">
        <f>IF(OR(E7854="Prospecting",E7854="Engaging"),VLOOKUP(C7854,Products!$A$2:$C$8,3,FALSE),0)</f>
        <v>0</v>
      </c>
    </row>
    <row r="7855" spans="1:10" x14ac:dyDescent="0.25">
      <c r="A7855" t="s">
        <v>8022</v>
      </c>
      <c r="B7855" t="s">
        <v>148</v>
      </c>
      <c r="C7855" t="s">
        <v>122</v>
      </c>
      <c r="D7855" t="s">
        <v>66</v>
      </c>
      <c r="E7855" t="s">
        <v>159</v>
      </c>
      <c r="F7855" s="1">
        <v>43036</v>
      </c>
      <c r="G7855" s="1">
        <v>43037</v>
      </c>
      <c r="H7855">
        <v>0</v>
      </c>
      <c r="I7855" t="str">
        <f>IF(COUNTIF(Products!$A$2:$A$8,C7855)=0,C7855,"")</f>
        <v/>
      </c>
      <c r="J7855">
        <f>IF(OR(E7855="Prospecting",E7855="Engaging"),VLOOKUP(C7855,Products!$A$2:$C$8,3,FALSE),0)</f>
        <v>0</v>
      </c>
    </row>
    <row r="7856" spans="1:10" x14ac:dyDescent="0.25">
      <c r="A7856" t="s">
        <v>8023</v>
      </c>
      <c r="B7856" t="s">
        <v>177</v>
      </c>
      <c r="C7856" t="s">
        <v>123</v>
      </c>
      <c r="D7856" t="s">
        <v>19</v>
      </c>
      <c r="E7856" t="s">
        <v>138</v>
      </c>
      <c r="F7856" s="1">
        <v>43036</v>
      </c>
      <c r="G7856" s="1">
        <v>43053</v>
      </c>
      <c r="H7856">
        <v>61</v>
      </c>
      <c r="I7856" t="str">
        <f>IF(COUNTIF(Products!$A$2:$A$8,C7856)=0,C7856,"")</f>
        <v/>
      </c>
      <c r="J7856">
        <f>IF(OR(E7856="Prospecting",E7856="Engaging"),VLOOKUP(C7856,Products!$A$2:$C$8,3,FALSE),0)</f>
        <v>0</v>
      </c>
    </row>
    <row r="7857" spans="1:10" x14ac:dyDescent="0.25">
      <c r="A7857" t="s">
        <v>8024</v>
      </c>
      <c r="B7857" t="s">
        <v>144</v>
      </c>
      <c r="C7857" t="s">
        <v>120</v>
      </c>
      <c r="D7857" t="s">
        <v>87</v>
      </c>
      <c r="E7857" t="s">
        <v>159</v>
      </c>
      <c r="F7857" s="1">
        <v>43036</v>
      </c>
      <c r="G7857" s="1">
        <v>43046</v>
      </c>
      <c r="H7857">
        <v>0</v>
      </c>
      <c r="I7857" t="str">
        <f>IF(COUNTIF(Products!$A$2:$A$8,C7857)=0,C7857,"")</f>
        <v/>
      </c>
      <c r="J7857">
        <f>IF(OR(E7857="Prospecting",E7857="Engaging"),VLOOKUP(C7857,Products!$A$2:$C$8,3,FALSE),0)</f>
        <v>0</v>
      </c>
    </row>
    <row r="7858" spans="1:10" x14ac:dyDescent="0.25">
      <c r="A7858" t="s">
        <v>8025</v>
      </c>
      <c r="B7858" t="s">
        <v>144</v>
      </c>
      <c r="C7858" t="s">
        <v>125</v>
      </c>
      <c r="D7858" t="s">
        <v>83</v>
      </c>
      <c r="E7858" t="s">
        <v>138</v>
      </c>
      <c r="F7858" s="1">
        <v>43036</v>
      </c>
      <c r="G7858" s="1">
        <v>43051</v>
      </c>
      <c r="H7858">
        <v>3082</v>
      </c>
      <c r="I7858" t="str">
        <f>IF(COUNTIF(Products!$A$2:$A$8,C7858)=0,C7858,"")</f>
        <v/>
      </c>
      <c r="J7858">
        <f>IF(OR(E7858="Prospecting",E7858="Engaging"),VLOOKUP(C7858,Products!$A$2:$C$8,3,FALSE),0)</f>
        <v>0</v>
      </c>
    </row>
    <row r="7859" spans="1:10" x14ac:dyDescent="0.25">
      <c r="A7859" t="s">
        <v>8026</v>
      </c>
      <c r="B7859" t="s">
        <v>207</v>
      </c>
      <c r="C7859" t="s">
        <v>120</v>
      </c>
      <c r="D7859" t="s">
        <v>50</v>
      </c>
      <c r="E7859" t="s">
        <v>159</v>
      </c>
      <c r="F7859" s="1">
        <v>43037</v>
      </c>
      <c r="G7859" s="1">
        <v>43051</v>
      </c>
      <c r="H7859">
        <v>0</v>
      </c>
      <c r="I7859" t="str">
        <f>IF(COUNTIF(Products!$A$2:$A$8,C7859)=0,C7859,"")</f>
        <v/>
      </c>
      <c r="J7859">
        <f>IF(OR(E7859="Prospecting",E7859="Engaging"),VLOOKUP(C7859,Products!$A$2:$C$8,3,FALSE),0)</f>
        <v>0</v>
      </c>
    </row>
    <row r="7860" spans="1:10" x14ac:dyDescent="0.25">
      <c r="A7860" t="s">
        <v>8027</v>
      </c>
      <c r="B7860" t="s">
        <v>239</v>
      </c>
      <c r="C7860" t="s">
        <v>126</v>
      </c>
      <c r="D7860" t="s">
        <v>80</v>
      </c>
      <c r="E7860" t="s">
        <v>138</v>
      </c>
      <c r="F7860" s="1">
        <v>43037</v>
      </c>
      <c r="G7860" s="1">
        <v>43050</v>
      </c>
      <c r="H7860">
        <v>5646</v>
      </c>
      <c r="I7860" t="str">
        <f>IF(COUNTIF(Products!$A$2:$A$8,C7860)=0,C7860,"")</f>
        <v/>
      </c>
      <c r="J7860">
        <f>IF(OR(E7860="Prospecting",E7860="Engaging"),VLOOKUP(C7860,Products!$A$2:$C$8,3,FALSE),0)</f>
        <v>0</v>
      </c>
    </row>
    <row r="7861" spans="1:10" x14ac:dyDescent="0.25">
      <c r="A7861" t="s">
        <v>8028</v>
      </c>
      <c r="B7861" t="s">
        <v>140</v>
      </c>
      <c r="C7861" t="s">
        <v>125</v>
      </c>
      <c r="D7861" t="s">
        <v>26</v>
      </c>
      <c r="E7861" t="s">
        <v>159</v>
      </c>
      <c r="F7861" s="1">
        <v>43037</v>
      </c>
      <c r="G7861" s="1">
        <v>43043</v>
      </c>
      <c r="H7861">
        <v>0</v>
      </c>
      <c r="I7861" t="str">
        <f>IF(COUNTIF(Products!$A$2:$A$8,C7861)=0,C7861,"")</f>
        <v/>
      </c>
      <c r="J7861">
        <f>IF(OR(E7861="Prospecting",E7861="Engaging"),VLOOKUP(C7861,Products!$A$2:$C$8,3,FALSE),0)</f>
        <v>0</v>
      </c>
    </row>
    <row r="7862" spans="1:10" x14ac:dyDescent="0.25">
      <c r="A7862" t="s">
        <v>8029</v>
      </c>
      <c r="B7862" t="s">
        <v>140</v>
      </c>
      <c r="C7862" t="s">
        <v>122</v>
      </c>
      <c r="D7862" t="s">
        <v>26</v>
      </c>
      <c r="E7862" t="s">
        <v>138</v>
      </c>
      <c r="F7862" s="1">
        <v>43037</v>
      </c>
      <c r="G7862" s="1">
        <v>43038</v>
      </c>
      <c r="H7862">
        <v>4733</v>
      </c>
      <c r="I7862" t="str">
        <f>IF(COUNTIF(Products!$A$2:$A$8,C7862)=0,C7862,"")</f>
        <v/>
      </c>
      <c r="J7862">
        <f>IF(OR(E7862="Prospecting",E7862="Engaging"),VLOOKUP(C7862,Products!$A$2:$C$8,3,FALSE),0)</f>
        <v>0</v>
      </c>
    </row>
    <row r="7863" spans="1:10" x14ac:dyDescent="0.25">
      <c r="A7863" t="s">
        <v>8030</v>
      </c>
      <c r="B7863" t="s">
        <v>158</v>
      </c>
      <c r="C7863" t="s">
        <v>125</v>
      </c>
      <c r="D7863" t="s">
        <v>22</v>
      </c>
      <c r="E7863" t="s">
        <v>138</v>
      </c>
      <c r="F7863" s="1">
        <v>43037</v>
      </c>
      <c r="G7863" s="1">
        <v>43099</v>
      </c>
      <c r="H7863">
        <v>2931</v>
      </c>
      <c r="I7863" t="str">
        <f>IF(COUNTIF(Products!$A$2:$A$8,C7863)=0,C7863,"")</f>
        <v/>
      </c>
      <c r="J7863">
        <f>IF(OR(E7863="Prospecting",E7863="Engaging"),VLOOKUP(C7863,Products!$A$2:$C$8,3,FALSE),0)</f>
        <v>0</v>
      </c>
    </row>
    <row r="7864" spans="1:10" x14ac:dyDescent="0.25">
      <c r="A7864" t="s">
        <v>8031</v>
      </c>
      <c r="B7864" t="s">
        <v>303</v>
      </c>
      <c r="C7864" t="s">
        <v>123</v>
      </c>
      <c r="D7864" t="s">
        <v>14</v>
      </c>
      <c r="E7864" t="s">
        <v>138</v>
      </c>
      <c r="F7864" s="1">
        <v>43037</v>
      </c>
      <c r="G7864" s="1">
        <v>43039</v>
      </c>
      <c r="H7864">
        <v>62</v>
      </c>
      <c r="I7864" t="str">
        <f>IF(COUNTIF(Products!$A$2:$A$8,C7864)=0,C7864,"")</f>
        <v/>
      </c>
      <c r="J7864">
        <f>IF(OR(E7864="Prospecting",E7864="Engaging"),VLOOKUP(C7864,Products!$A$2:$C$8,3,FALSE),0)</f>
        <v>0</v>
      </c>
    </row>
    <row r="7865" spans="1:10" x14ac:dyDescent="0.25">
      <c r="A7865" t="s">
        <v>8032</v>
      </c>
      <c r="B7865" t="s">
        <v>187</v>
      </c>
      <c r="C7865" t="s">
        <v>125</v>
      </c>
      <c r="D7865" t="s">
        <v>69</v>
      </c>
      <c r="E7865" t="s">
        <v>159</v>
      </c>
      <c r="F7865" s="1">
        <v>43037</v>
      </c>
      <c r="G7865" s="1">
        <v>43042</v>
      </c>
      <c r="H7865">
        <v>0</v>
      </c>
      <c r="I7865" t="str">
        <f>IF(COUNTIF(Products!$A$2:$A$8,C7865)=0,C7865,"")</f>
        <v/>
      </c>
      <c r="J7865">
        <f>IF(OR(E7865="Prospecting",E7865="Engaging"),VLOOKUP(C7865,Products!$A$2:$C$8,3,FALSE),0)</f>
        <v>0</v>
      </c>
    </row>
    <row r="7866" spans="1:10" x14ac:dyDescent="0.25">
      <c r="A7866" t="s">
        <v>8033</v>
      </c>
      <c r="B7866" t="s">
        <v>144</v>
      </c>
      <c r="C7866" t="s">
        <v>122</v>
      </c>
      <c r="D7866" t="s">
        <v>57</v>
      </c>
      <c r="E7866" t="s">
        <v>138</v>
      </c>
      <c r="F7866" s="1">
        <v>43037</v>
      </c>
      <c r="G7866" s="1">
        <v>43039</v>
      </c>
      <c r="H7866">
        <v>4178</v>
      </c>
      <c r="I7866" t="str">
        <f>IF(COUNTIF(Products!$A$2:$A$8,C7866)=0,C7866,"")</f>
        <v/>
      </c>
      <c r="J7866">
        <f>IF(OR(E7866="Prospecting",E7866="Engaging"),VLOOKUP(C7866,Products!$A$2:$C$8,3,FALSE),0)</f>
        <v>0</v>
      </c>
    </row>
    <row r="7867" spans="1:10" x14ac:dyDescent="0.25">
      <c r="A7867" t="s">
        <v>8034</v>
      </c>
      <c r="B7867" t="s">
        <v>207</v>
      </c>
      <c r="C7867" t="s">
        <v>122</v>
      </c>
      <c r="D7867" t="s">
        <v>68</v>
      </c>
      <c r="E7867" t="s">
        <v>138</v>
      </c>
      <c r="F7867" s="1">
        <v>43038</v>
      </c>
      <c r="G7867" s="1">
        <v>43043</v>
      </c>
      <c r="H7867">
        <v>5239</v>
      </c>
      <c r="I7867" t="str">
        <f>IF(COUNTIF(Products!$A$2:$A$8,C7867)=0,C7867,"")</f>
        <v/>
      </c>
      <c r="J7867">
        <f>IF(OR(E7867="Prospecting",E7867="Engaging"),VLOOKUP(C7867,Products!$A$2:$C$8,3,FALSE),0)</f>
        <v>0</v>
      </c>
    </row>
    <row r="7868" spans="1:10" x14ac:dyDescent="0.25">
      <c r="A7868" t="s">
        <v>8035</v>
      </c>
      <c r="B7868" t="s">
        <v>171</v>
      </c>
      <c r="C7868" t="s">
        <v>127</v>
      </c>
      <c r="D7868" t="s">
        <v>7</v>
      </c>
      <c r="E7868" t="s">
        <v>155</v>
      </c>
      <c r="F7868" s="1">
        <v>43038</v>
      </c>
      <c r="I7868" t="str">
        <f>IF(COUNTIF(Products!$A$2:$A$8,C7868)=0,C7868,"")</f>
        <v/>
      </c>
      <c r="J7868">
        <f>IF(OR(E7868="Prospecting",E7868="Engaging"),VLOOKUP(C7868,Products!$A$2:$C$8,3,FALSE),0)</f>
        <v>1096</v>
      </c>
    </row>
    <row r="7869" spans="1:10" x14ac:dyDescent="0.25">
      <c r="A7869" t="s">
        <v>8036</v>
      </c>
      <c r="B7869" t="s">
        <v>158</v>
      </c>
      <c r="C7869" t="s">
        <v>120</v>
      </c>
      <c r="D7869" t="s">
        <v>104</v>
      </c>
      <c r="E7869" t="s">
        <v>138</v>
      </c>
      <c r="F7869" s="1">
        <v>43038</v>
      </c>
      <c r="G7869" s="1">
        <v>43050</v>
      </c>
      <c r="H7869">
        <v>539</v>
      </c>
      <c r="I7869" t="str">
        <f>IF(COUNTIF(Products!$A$2:$A$8,C7869)=0,C7869,"")</f>
        <v/>
      </c>
      <c r="J7869">
        <f>IF(OR(E7869="Prospecting",E7869="Engaging"),VLOOKUP(C7869,Products!$A$2:$C$8,3,FALSE),0)</f>
        <v>0</v>
      </c>
    </row>
    <row r="7870" spans="1:10" x14ac:dyDescent="0.25">
      <c r="A7870" t="s">
        <v>8037</v>
      </c>
      <c r="B7870" t="s">
        <v>164</v>
      </c>
      <c r="C7870" t="s">
        <v>123</v>
      </c>
      <c r="E7870" t="s">
        <v>155</v>
      </c>
      <c r="F7870" s="1">
        <v>43038</v>
      </c>
      <c r="I7870" t="str">
        <f>IF(COUNTIF(Products!$A$2:$A$8,C7870)=0,C7870,"")</f>
        <v/>
      </c>
      <c r="J7870">
        <f>IF(OR(E7870="Prospecting",E7870="Engaging"),VLOOKUP(C7870,Products!$A$2:$C$8,3,FALSE),0)</f>
        <v>55</v>
      </c>
    </row>
    <row r="7871" spans="1:10" x14ac:dyDescent="0.25">
      <c r="A7871" t="s">
        <v>8038</v>
      </c>
      <c r="B7871" t="s">
        <v>303</v>
      </c>
      <c r="C7871" t="s">
        <v>127</v>
      </c>
      <c r="D7871" t="s">
        <v>85</v>
      </c>
      <c r="E7871" t="s">
        <v>138</v>
      </c>
      <c r="F7871" s="1">
        <v>43038</v>
      </c>
      <c r="G7871" s="1">
        <v>43039</v>
      </c>
      <c r="H7871">
        <v>973</v>
      </c>
      <c r="I7871" t="str">
        <f>IF(COUNTIF(Products!$A$2:$A$8,C7871)=0,C7871,"")</f>
        <v/>
      </c>
      <c r="J7871">
        <f>IF(OR(E7871="Prospecting",E7871="Engaging"),VLOOKUP(C7871,Products!$A$2:$C$8,3,FALSE),0)</f>
        <v>0</v>
      </c>
    </row>
    <row r="7872" spans="1:10" x14ac:dyDescent="0.25">
      <c r="A7872" t="s">
        <v>8039</v>
      </c>
      <c r="B7872" t="s">
        <v>217</v>
      </c>
      <c r="C7872" t="s">
        <v>123</v>
      </c>
      <c r="D7872" t="s">
        <v>95</v>
      </c>
      <c r="E7872" t="s">
        <v>159</v>
      </c>
      <c r="F7872" s="1">
        <v>43038</v>
      </c>
      <c r="G7872" s="1">
        <v>43039</v>
      </c>
      <c r="H7872">
        <v>0</v>
      </c>
      <c r="I7872" t="str">
        <f>IF(COUNTIF(Products!$A$2:$A$8,C7872)=0,C7872,"")</f>
        <v/>
      </c>
      <c r="J7872">
        <f>IF(OR(E7872="Prospecting",E7872="Engaging"),VLOOKUP(C7872,Products!$A$2:$C$8,3,FALSE),0)</f>
        <v>0</v>
      </c>
    </row>
    <row r="7873" spans="1:10" x14ac:dyDescent="0.25">
      <c r="A7873" t="s">
        <v>8040</v>
      </c>
      <c r="B7873" t="s">
        <v>193</v>
      </c>
      <c r="C7873" t="s">
        <v>126</v>
      </c>
      <c r="D7873" t="s">
        <v>48</v>
      </c>
      <c r="E7873" t="s">
        <v>159</v>
      </c>
      <c r="F7873" s="1">
        <v>43038</v>
      </c>
      <c r="G7873" s="1">
        <v>43039</v>
      </c>
      <c r="H7873">
        <v>0</v>
      </c>
      <c r="I7873" t="str">
        <f>IF(COUNTIF(Products!$A$2:$A$8,C7873)=0,C7873,"")</f>
        <v/>
      </c>
      <c r="J7873">
        <f>IF(OR(E7873="Prospecting",E7873="Engaging"),VLOOKUP(C7873,Products!$A$2:$C$8,3,FALSE),0)</f>
        <v>0</v>
      </c>
    </row>
    <row r="7874" spans="1:10" x14ac:dyDescent="0.25">
      <c r="A7874" t="s">
        <v>8041</v>
      </c>
      <c r="B7874" t="s">
        <v>148</v>
      </c>
      <c r="C7874" t="s">
        <v>120</v>
      </c>
      <c r="D7874" t="s">
        <v>69</v>
      </c>
      <c r="E7874" t="s">
        <v>138</v>
      </c>
      <c r="F7874" s="1">
        <v>43038</v>
      </c>
      <c r="G7874" s="1">
        <v>43043</v>
      </c>
      <c r="H7874">
        <v>622</v>
      </c>
      <c r="I7874" t="str">
        <f>IF(COUNTIF(Products!$A$2:$A$8,C7874)=0,C7874,"")</f>
        <v/>
      </c>
      <c r="J7874">
        <f>IF(OR(E7874="Prospecting",E7874="Engaging"),VLOOKUP(C7874,Products!$A$2:$C$8,3,FALSE),0)</f>
        <v>0</v>
      </c>
    </row>
    <row r="7875" spans="1:10" x14ac:dyDescent="0.25">
      <c r="A7875" t="s">
        <v>8042</v>
      </c>
      <c r="B7875" t="s">
        <v>144</v>
      </c>
      <c r="C7875" t="s">
        <v>127</v>
      </c>
      <c r="D7875" t="s">
        <v>100</v>
      </c>
      <c r="E7875" t="s">
        <v>159</v>
      </c>
      <c r="F7875" s="1">
        <v>43038</v>
      </c>
      <c r="G7875" s="1">
        <v>43054</v>
      </c>
      <c r="H7875">
        <v>0</v>
      </c>
      <c r="I7875" t="str">
        <f>IF(COUNTIF(Products!$A$2:$A$8,C7875)=0,C7875,"")</f>
        <v/>
      </c>
      <c r="J7875">
        <f>IF(OR(E7875="Prospecting",E7875="Engaging"),VLOOKUP(C7875,Products!$A$2:$C$8,3,FALSE),0)</f>
        <v>0</v>
      </c>
    </row>
    <row r="7876" spans="1:10" x14ac:dyDescent="0.25">
      <c r="A7876" t="s">
        <v>8043</v>
      </c>
      <c r="B7876" t="s">
        <v>146</v>
      </c>
      <c r="C7876" t="s">
        <v>123</v>
      </c>
      <c r="D7876" t="s">
        <v>64</v>
      </c>
      <c r="E7876" t="s">
        <v>159</v>
      </c>
      <c r="F7876" s="1">
        <v>43039</v>
      </c>
      <c r="G7876" s="1">
        <v>43049</v>
      </c>
      <c r="H7876">
        <v>0</v>
      </c>
      <c r="I7876" t="str">
        <f>IF(COUNTIF(Products!$A$2:$A$8,C7876)=0,C7876,"")</f>
        <v/>
      </c>
      <c r="J7876">
        <f>IF(OR(E7876="Prospecting",E7876="Engaging"),VLOOKUP(C7876,Products!$A$2:$C$8,3,FALSE),0)</f>
        <v>0</v>
      </c>
    </row>
    <row r="7877" spans="1:10" x14ac:dyDescent="0.25">
      <c r="A7877" t="s">
        <v>8044</v>
      </c>
      <c r="B7877" t="s">
        <v>222</v>
      </c>
      <c r="C7877" t="s">
        <v>125</v>
      </c>
      <c r="D7877" t="s">
        <v>27</v>
      </c>
      <c r="E7877" t="s">
        <v>138</v>
      </c>
      <c r="F7877" s="1">
        <v>43039</v>
      </c>
      <c r="G7877" s="1">
        <v>43046</v>
      </c>
      <c r="H7877">
        <v>4172</v>
      </c>
      <c r="I7877" t="str">
        <f>IF(COUNTIF(Products!$A$2:$A$8,C7877)=0,C7877,"")</f>
        <v/>
      </c>
      <c r="J7877">
        <f>IF(OR(E7877="Prospecting",E7877="Engaging"),VLOOKUP(C7877,Products!$A$2:$C$8,3,FALSE),0)</f>
        <v>0</v>
      </c>
    </row>
    <row r="7878" spans="1:10" x14ac:dyDescent="0.25">
      <c r="A7878" t="s">
        <v>8045</v>
      </c>
      <c r="B7878" t="s">
        <v>207</v>
      </c>
      <c r="C7878" t="s">
        <v>122</v>
      </c>
      <c r="D7878" t="s">
        <v>105</v>
      </c>
      <c r="E7878" t="s">
        <v>138</v>
      </c>
      <c r="F7878" s="1">
        <v>43039</v>
      </c>
      <c r="G7878" s="1">
        <v>43053</v>
      </c>
      <c r="H7878">
        <v>4529</v>
      </c>
      <c r="I7878" t="str">
        <f>IF(COUNTIF(Products!$A$2:$A$8,C7878)=0,C7878,"")</f>
        <v/>
      </c>
      <c r="J7878">
        <f>IF(OR(E7878="Prospecting",E7878="Engaging"),VLOOKUP(C7878,Products!$A$2:$C$8,3,FALSE),0)</f>
        <v>0</v>
      </c>
    </row>
    <row r="7879" spans="1:10" x14ac:dyDescent="0.25">
      <c r="A7879" t="s">
        <v>8046</v>
      </c>
      <c r="B7879" t="s">
        <v>207</v>
      </c>
      <c r="C7879" t="s">
        <v>125</v>
      </c>
      <c r="D7879" t="s">
        <v>69</v>
      </c>
      <c r="E7879" t="s">
        <v>138</v>
      </c>
      <c r="F7879" s="1">
        <v>43039</v>
      </c>
      <c r="G7879" s="1">
        <v>43079</v>
      </c>
      <c r="H7879">
        <v>2695</v>
      </c>
      <c r="I7879" t="str">
        <f>IF(COUNTIF(Products!$A$2:$A$8,C7879)=0,C7879,"")</f>
        <v/>
      </c>
      <c r="J7879">
        <f>IF(OR(E7879="Prospecting",E7879="Engaging"),VLOOKUP(C7879,Products!$A$2:$C$8,3,FALSE),0)</f>
        <v>0</v>
      </c>
    </row>
    <row r="7880" spans="1:10" x14ac:dyDescent="0.25">
      <c r="A7880" t="s">
        <v>8047</v>
      </c>
      <c r="B7880" t="s">
        <v>140</v>
      </c>
      <c r="C7880" t="s">
        <v>122</v>
      </c>
      <c r="D7880" t="s">
        <v>22</v>
      </c>
      <c r="E7880" t="s">
        <v>159</v>
      </c>
      <c r="F7880" s="1">
        <v>43039</v>
      </c>
      <c r="G7880" s="1">
        <v>43091</v>
      </c>
      <c r="H7880">
        <v>0</v>
      </c>
      <c r="I7880" t="str">
        <f>IF(COUNTIF(Products!$A$2:$A$8,C7880)=0,C7880,"")</f>
        <v/>
      </c>
      <c r="J7880">
        <f>IF(OR(E7880="Prospecting",E7880="Engaging"),VLOOKUP(C7880,Products!$A$2:$C$8,3,FALSE),0)</f>
        <v>0</v>
      </c>
    </row>
    <row r="7881" spans="1:10" x14ac:dyDescent="0.25">
      <c r="A7881" t="s">
        <v>8048</v>
      </c>
      <c r="B7881" t="s">
        <v>140</v>
      </c>
      <c r="C7881" t="s">
        <v>122</v>
      </c>
      <c r="D7881" t="s">
        <v>28</v>
      </c>
      <c r="E7881" t="s">
        <v>159</v>
      </c>
      <c r="F7881" s="1">
        <v>43039</v>
      </c>
      <c r="G7881" s="1">
        <v>43049</v>
      </c>
      <c r="H7881">
        <v>0</v>
      </c>
      <c r="I7881" t="str">
        <f>IF(COUNTIF(Products!$A$2:$A$8,C7881)=0,C7881,"")</f>
        <v/>
      </c>
      <c r="J7881">
        <f>IF(OR(E7881="Prospecting",E7881="Engaging"),VLOOKUP(C7881,Products!$A$2:$C$8,3,FALSE),0)</f>
        <v>0</v>
      </c>
    </row>
    <row r="7882" spans="1:10" x14ac:dyDescent="0.25">
      <c r="A7882" t="s">
        <v>8049</v>
      </c>
      <c r="B7882" t="s">
        <v>224</v>
      </c>
      <c r="C7882" t="s">
        <v>120</v>
      </c>
      <c r="D7882" t="s">
        <v>48</v>
      </c>
      <c r="E7882" t="s">
        <v>138</v>
      </c>
      <c r="F7882" s="1">
        <v>43039</v>
      </c>
      <c r="G7882" s="1">
        <v>43048</v>
      </c>
      <c r="H7882">
        <v>486</v>
      </c>
      <c r="I7882" t="str">
        <f>IF(COUNTIF(Products!$A$2:$A$8,C7882)=0,C7882,"")</f>
        <v/>
      </c>
      <c r="J7882">
        <f>IF(OR(E7882="Prospecting",E7882="Engaging"),VLOOKUP(C7882,Products!$A$2:$C$8,3,FALSE),0)</f>
        <v>0</v>
      </c>
    </row>
    <row r="7883" spans="1:10" x14ac:dyDescent="0.25">
      <c r="A7883" t="s">
        <v>8050</v>
      </c>
      <c r="B7883" t="s">
        <v>224</v>
      </c>
      <c r="C7883" t="s">
        <v>120</v>
      </c>
      <c r="D7883" t="s">
        <v>84</v>
      </c>
      <c r="E7883" t="s">
        <v>138</v>
      </c>
      <c r="F7883" s="1">
        <v>43039</v>
      </c>
      <c r="G7883" s="1">
        <v>43047</v>
      </c>
      <c r="H7883">
        <v>450</v>
      </c>
      <c r="I7883" t="str">
        <f>IF(COUNTIF(Products!$A$2:$A$8,C7883)=0,C7883,"")</f>
        <v/>
      </c>
      <c r="J7883">
        <f>IF(OR(E7883="Prospecting",E7883="Engaging"),VLOOKUP(C7883,Products!$A$2:$C$8,3,FALSE),0)</f>
        <v>0</v>
      </c>
    </row>
    <row r="7884" spans="1:10" x14ac:dyDescent="0.25">
      <c r="A7884" t="s">
        <v>8051</v>
      </c>
      <c r="B7884" t="s">
        <v>173</v>
      </c>
      <c r="C7884" t="s">
        <v>123</v>
      </c>
      <c r="E7884" t="s">
        <v>155</v>
      </c>
      <c r="F7884" s="1">
        <v>43039</v>
      </c>
      <c r="I7884" t="str">
        <f>IF(COUNTIF(Products!$A$2:$A$8,C7884)=0,C7884,"")</f>
        <v/>
      </c>
      <c r="J7884">
        <f>IF(OR(E7884="Prospecting",E7884="Engaging"),VLOOKUP(C7884,Products!$A$2:$C$8,3,FALSE),0)</f>
        <v>55</v>
      </c>
    </row>
    <row r="7885" spans="1:10" x14ac:dyDescent="0.25">
      <c r="A7885" t="s">
        <v>8052</v>
      </c>
      <c r="B7885" t="s">
        <v>173</v>
      </c>
      <c r="C7885" t="s">
        <v>123</v>
      </c>
      <c r="D7885" t="s">
        <v>44</v>
      </c>
      <c r="E7885" t="s">
        <v>159</v>
      </c>
      <c r="F7885" s="1">
        <v>43039</v>
      </c>
      <c r="G7885" s="1">
        <v>43048</v>
      </c>
      <c r="H7885">
        <v>0</v>
      </c>
      <c r="I7885" t="str">
        <f>IF(COUNTIF(Products!$A$2:$A$8,C7885)=0,C7885,"")</f>
        <v/>
      </c>
      <c r="J7885">
        <f>IF(OR(E7885="Prospecting",E7885="Engaging"),VLOOKUP(C7885,Products!$A$2:$C$8,3,FALSE),0)</f>
        <v>0</v>
      </c>
    </row>
    <row r="7886" spans="1:10" x14ac:dyDescent="0.25">
      <c r="A7886" t="s">
        <v>8053</v>
      </c>
      <c r="B7886" t="s">
        <v>198</v>
      </c>
      <c r="C7886" t="s">
        <v>126</v>
      </c>
      <c r="D7886" t="s">
        <v>80</v>
      </c>
      <c r="E7886" t="s">
        <v>138</v>
      </c>
      <c r="F7886" s="1">
        <v>43039</v>
      </c>
      <c r="G7886" s="1">
        <v>43047</v>
      </c>
      <c r="H7886">
        <v>6818</v>
      </c>
      <c r="I7886" t="str">
        <f>IF(COUNTIF(Products!$A$2:$A$8,C7886)=0,C7886,"")</f>
        <v/>
      </c>
      <c r="J7886">
        <f>IF(OR(E7886="Prospecting",E7886="Engaging"),VLOOKUP(C7886,Products!$A$2:$C$8,3,FALSE),0)</f>
        <v>0</v>
      </c>
    </row>
    <row r="7887" spans="1:10" x14ac:dyDescent="0.25">
      <c r="A7887" t="s">
        <v>8054</v>
      </c>
      <c r="B7887" t="s">
        <v>158</v>
      </c>
      <c r="C7887" t="s">
        <v>125</v>
      </c>
      <c r="D7887" t="s">
        <v>27</v>
      </c>
      <c r="E7887" t="s">
        <v>138</v>
      </c>
      <c r="F7887" s="1">
        <v>43039</v>
      </c>
      <c r="G7887" s="1">
        <v>43090</v>
      </c>
      <c r="H7887">
        <v>3298</v>
      </c>
      <c r="I7887" t="str">
        <f>IF(COUNTIF(Products!$A$2:$A$8,C7887)=0,C7887,"")</f>
        <v/>
      </c>
      <c r="J7887">
        <f>IF(OR(E7887="Prospecting",E7887="Engaging"),VLOOKUP(C7887,Products!$A$2:$C$8,3,FALSE),0)</f>
        <v>0</v>
      </c>
    </row>
    <row r="7888" spans="1:10" x14ac:dyDescent="0.25">
      <c r="A7888" t="s">
        <v>8055</v>
      </c>
      <c r="B7888" t="s">
        <v>154</v>
      </c>
      <c r="C7888" t="s">
        <v>122</v>
      </c>
      <c r="E7888" t="s">
        <v>155</v>
      </c>
      <c r="F7888" s="1">
        <v>43039</v>
      </c>
      <c r="I7888" t="str">
        <f>IF(COUNTIF(Products!$A$2:$A$8,C7888)=0,C7888,"")</f>
        <v/>
      </c>
      <c r="J7888">
        <f>IF(OR(E7888="Prospecting",E7888="Engaging"),VLOOKUP(C7888,Products!$A$2:$C$8,3,FALSE),0)</f>
        <v>4821</v>
      </c>
    </row>
    <row r="7889" spans="1:10" x14ac:dyDescent="0.25">
      <c r="A7889" t="s">
        <v>8056</v>
      </c>
      <c r="B7889" t="s">
        <v>180</v>
      </c>
      <c r="C7889" t="s">
        <v>126</v>
      </c>
      <c r="D7889" t="s">
        <v>56</v>
      </c>
      <c r="E7889" t="s">
        <v>138</v>
      </c>
      <c r="F7889" s="1">
        <v>43039</v>
      </c>
      <c r="G7889" s="1">
        <v>43048</v>
      </c>
      <c r="H7889">
        <v>5512</v>
      </c>
      <c r="I7889" t="str">
        <f>IF(COUNTIF(Products!$A$2:$A$8,C7889)=0,C7889,"")</f>
        <v/>
      </c>
      <c r="J7889">
        <f>IF(OR(E7889="Prospecting",E7889="Engaging"),VLOOKUP(C7889,Products!$A$2:$C$8,3,FALSE),0)</f>
        <v>0</v>
      </c>
    </row>
    <row r="7890" spans="1:10" x14ac:dyDescent="0.25">
      <c r="A7890" t="s">
        <v>8057</v>
      </c>
      <c r="B7890" t="s">
        <v>180</v>
      </c>
      <c r="C7890" t="s">
        <v>126</v>
      </c>
      <c r="D7890" t="s">
        <v>67</v>
      </c>
      <c r="E7890" t="s">
        <v>138</v>
      </c>
      <c r="F7890" s="1">
        <v>43039</v>
      </c>
      <c r="G7890" s="1">
        <v>43046</v>
      </c>
      <c r="H7890">
        <v>4742</v>
      </c>
      <c r="I7890" t="str">
        <f>IF(COUNTIF(Products!$A$2:$A$8,C7890)=0,C7890,"")</f>
        <v/>
      </c>
      <c r="J7890">
        <f>IF(OR(E7890="Prospecting",E7890="Engaging"),VLOOKUP(C7890,Products!$A$2:$C$8,3,FALSE),0)</f>
        <v>0</v>
      </c>
    </row>
    <row r="7891" spans="1:10" x14ac:dyDescent="0.25">
      <c r="A7891" t="s">
        <v>8058</v>
      </c>
      <c r="B7891" t="s">
        <v>191</v>
      </c>
      <c r="C7891" t="s">
        <v>120</v>
      </c>
      <c r="D7891" t="s">
        <v>109</v>
      </c>
      <c r="E7891" t="s">
        <v>138</v>
      </c>
      <c r="F7891" s="1">
        <v>43039</v>
      </c>
      <c r="G7891" s="1">
        <v>43041</v>
      </c>
      <c r="H7891">
        <v>653</v>
      </c>
      <c r="I7891" t="str">
        <f>IF(COUNTIF(Products!$A$2:$A$8,C7891)=0,C7891,"")</f>
        <v/>
      </c>
      <c r="J7891">
        <f>IF(OR(E7891="Prospecting",E7891="Engaging"),VLOOKUP(C7891,Products!$A$2:$C$8,3,FALSE),0)</f>
        <v>0</v>
      </c>
    </row>
    <row r="7892" spans="1:10" x14ac:dyDescent="0.25">
      <c r="A7892" t="s">
        <v>8059</v>
      </c>
      <c r="B7892" t="s">
        <v>217</v>
      </c>
      <c r="C7892" t="s">
        <v>127</v>
      </c>
      <c r="D7892" t="s">
        <v>28</v>
      </c>
      <c r="E7892" t="s">
        <v>159</v>
      </c>
      <c r="F7892" s="1">
        <v>43039</v>
      </c>
      <c r="G7892" s="1">
        <v>43049</v>
      </c>
      <c r="H7892">
        <v>0</v>
      </c>
      <c r="I7892" t="str">
        <f>IF(COUNTIF(Products!$A$2:$A$8,C7892)=0,C7892,"")</f>
        <v/>
      </c>
      <c r="J7892">
        <f>IF(OR(E7892="Prospecting",E7892="Engaging"),VLOOKUP(C7892,Products!$A$2:$C$8,3,FALSE),0)</f>
        <v>0</v>
      </c>
    </row>
    <row r="7893" spans="1:10" x14ac:dyDescent="0.25">
      <c r="A7893" t="s">
        <v>8060</v>
      </c>
      <c r="B7893" t="s">
        <v>150</v>
      </c>
      <c r="C7893" t="s">
        <v>125</v>
      </c>
      <c r="D7893" t="s">
        <v>29</v>
      </c>
      <c r="E7893" t="s">
        <v>138</v>
      </c>
      <c r="F7893" s="1">
        <v>43039</v>
      </c>
      <c r="G7893" s="1">
        <v>43050</v>
      </c>
      <c r="H7893">
        <v>4058</v>
      </c>
      <c r="I7893" t="str">
        <f>IF(COUNTIF(Products!$A$2:$A$8,C7893)=0,C7893,"")</f>
        <v/>
      </c>
      <c r="J7893">
        <f>IF(OR(E7893="Prospecting",E7893="Engaging"),VLOOKUP(C7893,Products!$A$2:$C$8,3,FALSE),0)</f>
        <v>0</v>
      </c>
    </row>
    <row r="7894" spans="1:10" x14ac:dyDescent="0.25">
      <c r="A7894" t="s">
        <v>8061</v>
      </c>
      <c r="B7894" t="s">
        <v>193</v>
      </c>
      <c r="C7894" t="s">
        <v>120</v>
      </c>
      <c r="D7894" t="s">
        <v>27</v>
      </c>
      <c r="E7894" t="s">
        <v>138</v>
      </c>
      <c r="F7894" s="1">
        <v>43039</v>
      </c>
      <c r="G7894" s="1">
        <v>43040</v>
      </c>
      <c r="H7894">
        <v>553</v>
      </c>
      <c r="I7894" t="str">
        <f>IF(COUNTIF(Products!$A$2:$A$8,C7894)=0,C7894,"")</f>
        <v/>
      </c>
      <c r="J7894">
        <f>IF(OR(E7894="Prospecting",E7894="Engaging"),VLOOKUP(C7894,Products!$A$2:$C$8,3,FALSE),0)</f>
        <v>0</v>
      </c>
    </row>
    <row r="7895" spans="1:10" x14ac:dyDescent="0.25">
      <c r="A7895" t="s">
        <v>8062</v>
      </c>
      <c r="B7895" t="s">
        <v>187</v>
      </c>
      <c r="C7895" t="s">
        <v>126</v>
      </c>
      <c r="D7895" t="s">
        <v>108</v>
      </c>
      <c r="E7895" t="s">
        <v>159</v>
      </c>
      <c r="F7895" s="1">
        <v>43039</v>
      </c>
      <c r="G7895" s="1">
        <v>43046</v>
      </c>
      <c r="H7895">
        <v>0</v>
      </c>
      <c r="I7895" t="str">
        <f>IF(COUNTIF(Products!$A$2:$A$8,C7895)=0,C7895,"")</f>
        <v/>
      </c>
      <c r="J7895">
        <f>IF(OR(E7895="Prospecting",E7895="Engaging"),VLOOKUP(C7895,Products!$A$2:$C$8,3,FALSE),0)</f>
        <v>0</v>
      </c>
    </row>
    <row r="7896" spans="1:10" x14ac:dyDescent="0.25">
      <c r="A7896" t="s">
        <v>8063</v>
      </c>
      <c r="B7896" t="s">
        <v>148</v>
      </c>
      <c r="C7896" t="s">
        <v>123</v>
      </c>
      <c r="D7896" t="s">
        <v>67</v>
      </c>
      <c r="E7896" t="s">
        <v>159</v>
      </c>
      <c r="F7896" s="1">
        <v>43039</v>
      </c>
      <c r="G7896" s="1">
        <v>43042</v>
      </c>
      <c r="H7896">
        <v>0</v>
      </c>
      <c r="I7896" t="str">
        <f>IF(COUNTIF(Products!$A$2:$A$8,C7896)=0,C7896,"")</f>
        <v/>
      </c>
      <c r="J7896">
        <f>IF(OR(E7896="Prospecting",E7896="Engaging"),VLOOKUP(C7896,Products!$A$2:$C$8,3,FALSE),0)</f>
        <v>0</v>
      </c>
    </row>
    <row r="7897" spans="1:10" x14ac:dyDescent="0.25">
      <c r="A7897" t="s">
        <v>8064</v>
      </c>
      <c r="B7897" t="s">
        <v>196</v>
      </c>
      <c r="C7897" t="s">
        <v>126</v>
      </c>
      <c r="E7897" t="s">
        <v>155</v>
      </c>
      <c r="F7897" s="1">
        <v>43039</v>
      </c>
      <c r="I7897" t="str">
        <f>IF(COUNTIF(Products!$A$2:$A$8,C7897)=0,C7897,"")</f>
        <v/>
      </c>
      <c r="J7897">
        <f>IF(OR(E7897="Prospecting",E7897="Engaging"),VLOOKUP(C7897,Products!$A$2:$C$8,3,FALSE),0)</f>
        <v>5482</v>
      </c>
    </row>
    <row r="7898" spans="1:10" x14ac:dyDescent="0.25">
      <c r="A7898" t="s">
        <v>8065</v>
      </c>
      <c r="B7898" t="s">
        <v>207</v>
      </c>
      <c r="C7898" t="s">
        <v>127</v>
      </c>
      <c r="D7898" t="s">
        <v>67</v>
      </c>
      <c r="E7898" t="s">
        <v>159</v>
      </c>
      <c r="F7898" s="1">
        <v>43040</v>
      </c>
      <c r="G7898" s="1">
        <v>43052</v>
      </c>
      <c r="H7898">
        <v>0</v>
      </c>
      <c r="I7898" t="str">
        <f>IF(COUNTIF(Products!$A$2:$A$8,C7898)=0,C7898,"")</f>
        <v/>
      </c>
      <c r="J7898">
        <f>IF(OR(E7898="Prospecting",E7898="Engaging"),VLOOKUP(C7898,Products!$A$2:$C$8,3,FALSE),0)</f>
        <v>0</v>
      </c>
    </row>
    <row r="7899" spans="1:10" x14ac:dyDescent="0.25">
      <c r="A7899" t="s">
        <v>8066</v>
      </c>
      <c r="B7899" t="s">
        <v>264</v>
      </c>
      <c r="C7899" t="s">
        <v>126</v>
      </c>
      <c r="D7899" t="s">
        <v>53</v>
      </c>
      <c r="E7899" t="s">
        <v>159</v>
      </c>
      <c r="F7899" s="1">
        <v>43040</v>
      </c>
      <c r="G7899" s="1">
        <v>43054</v>
      </c>
      <c r="H7899">
        <v>0</v>
      </c>
      <c r="I7899" t="str">
        <f>IF(COUNTIF(Products!$A$2:$A$8,C7899)=0,C7899,"")</f>
        <v/>
      </c>
      <c r="J7899">
        <f>IF(OR(E7899="Prospecting",E7899="Engaging"),VLOOKUP(C7899,Products!$A$2:$C$8,3,FALSE),0)</f>
        <v>0</v>
      </c>
    </row>
    <row r="7900" spans="1:10" x14ac:dyDescent="0.25">
      <c r="A7900" t="s">
        <v>8067</v>
      </c>
      <c r="B7900" t="s">
        <v>264</v>
      </c>
      <c r="C7900" t="s">
        <v>126</v>
      </c>
      <c r="D7900" t="s">
        <v>64</v>
      </c>
      <c r="E7900" t="s">
        <v>138</v>
      </c>
      <c r="F7900" s="1">
        <v>43040</v>
      </c>
      <c r="G7900" s="1">
        <v>43091</v>
      </c>
      <c r="H7900">
        <v>5504</v>
      </c>
      <c r="I7900" t="str">
        <f>IF(COUNTIF(Products!$A$2:$A$8,C7900)=0,C7900,"")</f>
        <v/>
      </c>
      <c r="J7900">
        <f>IF(OR(E7900="Prospecting",E7900="Engaging"),VLOOKUP(C7900,Products!$A$2:$C$8,3,FALSE),0)</f>
        <v>0</v>
      </c>
    </row>
    <row r="7901" spans="1:10" x14ac:dyDescent="0.25">
      <c r="A7901" t="s">
        <v>8068</v>
      </c>
      <c r="B7901" t="s">
        <v>158</v>
      </c>
      <c r="C7901" t="s">
        <v>123</v>
      </c>
      <c r="D7901" t="s">
        <v>12</v>
      </c>
      <c r="E7901" t="s">
        <v>138</v>
      </c>
      <c r="F7901" s="1">
        <v>43040</v>
      </c>
      <c r="G7901" s="1">
        <v>43044</v>
      </c>
      <c r="H7901">
        <v>53</v>
      </c>
      <c r="I7901" t="str">
        <f>IF(COUNTIF(Products!$A$2:$A$8,C7901)=0,C7901,"")</f>
        <v/>
      </c>
      <c r="J7901">
        <f>IF(OR(E7901="Prospecting",E7901="Engaging"),VLOOKUP(C7901,Products!$A$2:$C$8,3,FALSE),0)</f>
        <v>0</v>
      </c>
    </row>
    <row r="7902" spans="1:10" x14ac:dyDescent="0.25">
      <c r="A7902" t="s">
        <v>8069</v>
      </c>
      <c r="B7902" t="s">
        <v>303</v>
      </c>
      <c r="C7902" t="s">
        <v>120</v>
      </c>
      <c r="D7902" t="s">
        <v>104</v>
      </c>
      <c r="E7902" t="s">
        <v>159</v>
      </c>
      <c r="F7902" s="1">
        <v>43040</v>
      </c>
      <c r="G7902" s="1">
        <v>43056</v>
      </c>
      <c r="H7902">
        <v>0</v>
      </c>
      <c r="I7902" t="str">
        <f>IF(COUNTIF(Products!$A$2:$A$8,C7902)=0,C7902,"")</f>
        <v/>
      </c>
      <c r="J7902">
        <f>IF(OR(E7902="Prospecting",E7902="Engaging"),VLOOKUP(C7902,Products!$A$2:$C$8,3,FALSE),0)</f>
        <v>0</v>
      </c>
    </row>
    <row r="7903" spans="1:10" x14ac:dyDescent="0.25">
      <c r="A7903" t="s">
        <v>8070</v>
      </c>
      <c r="B7903" t="s">
        <v>180</v>
      </c>
      <c r="C7903" t="s">
        <v>125</v>
      </c>
      <c r="D7903" t="s">
        <v>38</v>
      </c>
      <c r="E7903" t="s">
        <v>138</v>
      </c>
      <c r="F7903" s="1">
        <v>43040</v>
      </c>
      <c r="G7903" s="1">
        <v>43045</v>
      </c>
      <c r="H7903">
        <v>3064</v>
      </c>
      <c r="I7903" t="str">
        <f>IF(COUNTIF(Products!$A$2:$A$8,C7903)=0,C7903,"")</f>
        <v/>
      </c>
      <c r="J7903">
        <f>IF(OR(E7903="Prospecting",E7903="Engaging"),VLOOKUP(C7903,Products!$A$2:$C$8,3,FALSE),0)</f>
        <v>0</v>
      </c>
    </row>
    <row r="7904" spans="1:10" x14ac:dyDescent="0.25">
      <c r="A7904" t="s">
        <v>8071</v>
      </c>
      <c r="B7904" t="s">
        <v>162</v>
      </c>
      <c r="C7904" t="s">
        <v>125</v>
      </c>
      <c r="D7904" t="s">
        <v>87</v>
      </c>
      <c r="E7904" t="s">
        <v>138</v>
      </c>
      <c r="F7904" s="1">
        <v>43040</v>
      </c>
      <c r="G7904" s="1">
        <v>43053</v>
      </c>
      <c r="H7904">
        <v>2866</v>
      </c>
      <c r="I7904" t="str">
        <f>IF(COUNTIF(Products!$A$2:$A$8,C7904)=0,C7904,"")</f>
        <v/>
      </c>
      <c r="J7904">
        <f>IF(OR(E7904="Prospecting",E7904="Engaging"),VLOOKUP(C7904,Products!$A$2:$C$8,3,FALSE),0)</f>
        <v>0</v>
      </c>
    </row>
    <row r="7905" spans="1:10" x14ac:dyDescent="0.25">
      <c r="A7905" t="s">
        <v>8072</v>
      </c>
      <c r="B7905" t="s">
        <v>148</v>
      </c>
      <c r="C7905" t="s">
        <v>120</v>
      </c>
      <c r="D7905" t="s">
        <v>56</v>
      </c>
      <c r="E7905" t="s">
        <v>159</v>
      </c>
      <c r="F7905" s="1">
        <v>43040</v>
      </c>
      <c r="G7905" s="1">
        <v>43045</v>
      </c>
      <c r="H7905">
        <v>0</v>
      </c>
      <c r="I7905" t="str">
        <f>IF(COUNTIF(Products!$A$2:$A$8,C7905)=0,C7905,"")</f>
        <v/>
      </c>
      <c r="J7905">
        <f>IF(OR(E7905="Prospecting",E7905="Engaging"),VLOOKUP(C7905,Products!$A$2:$C$8,3,FALSE),0)</f>
        <v>0</v>
      </c>
    </row>
    <row r="7906" spans="1:10" x14ac:dyDescent="0.25">
      <c r="A7906" t="s">
        <v>8073</v>
      </c>
      <c r="B7906" t="s">
        <v>148</v>
      </c>
      <c r="C7906" t="s">
        <v>126</v>
      </c>
      <c r="D7906" t="s">
        <v>107</v>
      </c>
      <c r="E7906" t="s">
        <v>159</v>
      </c>
      <c r="F7906" s="1">
        <v>43040</v>
      </c>
      <c r="G7906" s="1">
        <v>43049</v>
      </c>
      <c r="H7906">
        <v>0</v>
      </c>
      <c r="I7906" t="str">
        <f>IF(COUNTIF(Products!$A$2:$A$8,C7906)=0,C7906,"")</f>
        <v/>
      </c>
      <c r="J7906">
        <f>IF(OR(E7906="Prospecting",E7906="Engaging"),VLOOKUP(C7906,Products!$A$2:$C$8,3,FALSE),0)</f>
        <v>0</v>
      </c>
    </row>
    <row r="7907" spans="1:10" x14ac:dyDescent="0.25">
      <c r="A7907" t="s">
        <v>8074</v>
      </c>
      <c r="B7907" t="s">
        <v>148</v>
      </c>
      <c r="C7907" t="s">
        <v>127</v>
      </c>
      <c r="D7907" t="s">
        <v>72</v>
      </c>
      <c r="E7907" t="s">
        <v>138</v>
      </c>
      <c r="F7907" s="1">
        <v>43040</v>
      </c>
      <c r="G7907" s="1">
        <v>43049</v>
      </c>
      <c r="H7907">
        <v>960</v>
      </c>
      <c r="I7907" t="str">
        <f>IF(COUNTIF(Products!$A$2:$A$8,C7907)=0,C7907,"")</f>
        <v/>
      </c>
      <c r="J7907">
        <f>IF(OR(E7907="Prospecting",E7907="Engaging"),VLOOKUP(C7907,Products!$A$2:$C$8,3,FALSE),0)</f>
        <v>0</v>
      </c>
    </row>
    <row r="7908" spans="1:10" x14ac:dyDescent="0.25">
      <c r="A7908" t="s">
        <v>8075</v>
      </c>
      <c r="B7908" t="s">
        <v>148</v>
      </c>
      <c r="C7908" t="s">
        <v>123</v>
      </c>
      <c r="D7908" t="s">
        <v>75</v>
      </c>
      <c r="E7908" t="s">
        <v>138</v>
      </c>
      <c r="F7908" s="1">
        <v>43040</v>
      </c>
      <c r="G7908" s="1">
        <v>43041</v>
      </c>
      <c r="H7908">
        <v>55</v>
      </c>
      <c r="I7908" t="str">
        <f>IF(COUNTIF(Products!$A$2:$A$8,C7908)=0,C7908,"")</f>
        <v/>
      </c>
      <c r="J7908">
        <f>IF(OR(E7908="Prospecting",E7908="Engaging"),VLOOKUP(C7908,Products!$A$2:$C$8,3,FALSE),0)</f>
        <v>0</v>
      </c>
    </row>
    <row r="7909" spans="1:10" x14ac:dyDescent="0.25">
      <c r="A7909" t="s">
        <v>8076</v>
      </c>
      <c r="B7909" t="s">
        <v>177</v>
      </c>
      <c r="C7909" t="s">
        <v>123</v>
      </c>
      <c r="E7909" t="s">
        <v>155</v>
      </c>
      <c r="F7909" s="1">
        <v>43040</v>
      </c>
      <c r="I7909" t="str">
        <f>IF(COUNTIF(Products!$A$2:$A$8,C7909)=0,C7909,"")</f>
        <v/>
      </c>
      <c r="J7909">
        <f>IF(OR(E7909="Prospecting",E7909="Engaging"),VLOOKUP(C7909,Products!$A$2:$C$8,3,FALSE),0)</f>
        <v>55</v>
      </c>
    </row>
    <row r="7910" spans="1:10" x14ac:dyDescent="0.25">
      <c r="A7910" t="s">
        <v>8077</v>
      </c>
      <c r="B7910" t="s">
        <v>222</v>
      </c>
      <c r="C7910" t="s">
        <v>122</v>
      </c>
      <c r="D7910" t="s">
        <v>35</v>
      </c>
      <c r="E7910" t="s">
        <v>138</v>
      </c>
      <c r="F7910" s="1">
        <v>43041</v>
      </c>
      <c r="G7910" s="1">
        <v>43046</v>
      </c>
      <c r="H7910">
        <v>4155</v>
      </c>
      <c r="I7910" t="str">
        <f>IF(COUNTIF(Products!$A$2:$A$8,C7910)=0,C7910,"")</f>
        <v/>
      </c>
      <c r="J7910">
        <f>IF(OR(E7910="Prospecting",E7910="Engaging"),VLOOKUP(C7910,Products!$A$2:$C$8,3,FALSE),0)</f>
        <v>0</v>
      </c>
    </row>
    <row r="7911" spans="1:10" x14ac:dyDescent="0.25">
      <c r="A7911" t="s">
        <v>8078</v>
      </c>
      <c r="B7911" t="s">
        <v>239</v>
      </c>
      <c r="C7911" t="s">
        <v>123</v>
      </c>
      <c r="E7911" t="s">
        <v>155</v>
      </c>
      <c r="F7911" s="1">
        <v>43041</v>
      </c>
      <c r="I7911" t="str">
        <f>IF(COUNTIF(Products!$A$2:$A$8,C7911)=0,C7911,"")</f>
        <v/>
      </c>
      <c r="J7911">
        <f>IF(OR(E7911="Prospecting",E7911="Engaging"),VLOOKUP(C7911,Products!$A$2:$C$8,3,FALSE),0)</f>
        <v>55</v>
      </c>
    </row>
    <row r="7912" spans="1:10" x14ac:dyDescent="0.25">
      <c r="A7912" t="s">
        <v>8079</v>
      </c>
      <c r="B7912" t="s">
        <v>171</v>
      </c>
      <c r="C7912" t="s">
        <v>127</v>
      </c>
      <c r="D7912" t="s">
        <v>27</v>
      </c>
      <c r="E7912" t="s">
        <v>159</v>
      </c>
      <c r="F7912" s="1">
        <v>43041</v>
      </c>
      <c r="G7912" s="1">
        <v>43044</v>
      </c>
      <c r="H7912">
        <v>0</v>
      </c>
      <c r="I7912" t="str">
        <f>IF(COUNTIF(Products!$A$2:$A$8,C7912)=0,C7912,"")</f>
        <v/>
      </c>
      <c r="J7912">
        <f>IF(OR(E7912="Prospecting",E7912="Engaging"),VLOOKUP(C7912,Products!$A$2:$C$8,3,FALSE),0)</f>
        <v>0</v>
      </c>
    </row>
    <row r="7913" spans="1:10" x14ac:dyDescent="0.25">
      <c r="A7913" t="s">
        <v>8080</v>
      </c>
      <c r="B7913" t="s">
        <v>224</v>
      </c>
      <c r="C7913" t="s">
        <v>120</v>
      </c>
      <c r="D7913" t="s">
        <v>20</v>
      </c>
      <c r="E7913" t="s">
        <v>138</v>
      </c>
      <c r="F7913" s="1">
        <v>43041</v>
      </c>
      <c r="G7913" s="1">
        <v>43067</v>
      </c>
      <c r="H7913">
        <v>532</v>
      </c>
      <c r="I7913" t="str">
        <f>IF(COUNTIF(Products!$A$2:$A$8,C7913)=0,C7913,"")</f>
        <v/>
      </c>
      <c r="J7913">
        <f>IF(OR(E7913="Prospecting",E7913="Engaging"),VLOOKUP(C7913,Products!$A$2:$C$8,3,FALSE),0)</f>
        <v>0</v>
      </c>
    </row>
    <row r="7914" spans="1:10" x14ac:dyDescent="0.25">
      <c r="A7914" t="s">
        <v>8081</v>
      </c>
      <c r="B7914" t="s">
        <v>303</v>
      </c>
      <c r="C7914" t="s">
        <v>120</v>
      </c>
      <c r="D7914" t="s">
        <v>22</v>
      </c>
      <c r="E7914" t="s">
        <v>138</v>
      </c>
      <c r="F7914" s="1">
        <v>43041</v>
      </c>
      <c r="G7914" s="1">
        <v>43042</v>
      </c>
      <c r="H7914">
        <v>479</v>
      </c>
      <c r="I7914" t="str">
        <f>IF(COUNTIF(Products!$A$2:$A$8,C7914)=0,C7914,"")</f>
        <v/>
      </c>
      <c r="J7914">
        <f>IF(OR(E7914="Prospecting",E7914="Engaging"),VLOOKUP(C7914,Products!$A$2:$C$8,3,FALSE),0)</f>
        <v>0</v>
      </c>
    </row>
    <row r="7915" spans="1:10" x14ac:dyDescent="0.25">
      <c r="A7915" t="s">
        <v>8082</v>
      </c>
      <c r="B7915" t="s">
        <v>180</v>
      </c>
      <c r="C7915" t="s">
        <v>120</v>
      </c>
      <c r="D7915" t="s">
        <v>107</v>
      </c>
      <c r="E7915" t="s">
        <v>159</v>
      </c>
      <c r="F7915" s="1">
        <v>43041</v>
      </c>
      <c r="G7915" s="1">
        <v>43046</v>
      </c>
      <c r="H7915">
        <v>0</v>
      </c>
      <c r="I7915" t="str">
        <f>IF(COUNTIF(Products!$A$2:$A$8,C7915)=0,C7915,"")</f>
        <v/>
      </c>
      <c r="J7915">
        <f>IF(OR(E7915="Prospecting",E7915="Engaging"),VLOOKUP(C7915,Products!$A$2:$C$8,3,FALSE),0)</f>
        <v>0</v>
      </c>
    </row>
    <row r="7916" spans="1:10" x14ac:dyDescent="0.25">
      <c r="A7916" t="s">
        <v>8083</v>
      </c>
      <c r="B7916" t="s">
        <v>150</v>
      </c>
      <c r="C7916" t="s">
        <v>122</v>
      </c>
      <c r="E7916" t="s">
        <v>155</v>
      </c>
      <c r="F7916" s="1">
        <v>43041</v>
      </c>
      <c r="I7916" t="str">
        <f>IF(COUNTIF(Products!$A$2:$A$8,C7916)=0,C7916,"")</f>
        <v/>
      </c>
      <c r="J7916">
        <f>IF(OR(E7916="Prospecting",E7916="Engaging"),VLOOKUP(C7916,Products!$A$2:$C$8,3,FALSE),0)</f>
        <v>4821</v>
      </c>
    </row>
    <row r="7917" spans="1:10" x14ac:dyDescent="0.25">
      <c r="A7917" t="s">
        <v>8084</v>
      </c>
      <c r="B7917" t="s">
        <v>150</v>
      </c>
      <c r="C7917" t="s">
        <v>122</v>
      </c>
      <c r="D7917" t="s">
        <v>107</v>
      </c>
      <c r="E7917" t="s">
        <v>138</v>
      </c>
      <c r="F7917" s="1">
        <v>43041</v>
      </c>
      <c r="G7917" s="1">
        <v>43068</v>
      </c>
      <c r="H7917">
        <v>4521</v>
      </c>
      <c r="I7917" t="str">
        <f>IF(COUNTIF(Products!$A$2:$A$8,C7917)=0,C7917,"")</f>
        <v/>
      </c>
      <c r="J7917">
        <f>IF(OR(E7917="Prospecting",E7917="Engaging"),VLOOKUP(C7917,Products!$A$2:$C$8,3,FALSE),0)</f>
        <v>0</v>
      </c>
    </row>
    <row r="7918" spans="1:10" x14ac:dyDescent="0.25">
      <c r="A7918" t="s">
        <v>8085</v>
      </c>
      <c r="B7918" t="s">
        <v>193</v>
      </c>
      <c r="C7918" t="s">
        <v>120</v>
      </c>
      <c r="D7918" t="s">
        <v>48</v>
      </c>
      <c r="E7918" t="s">
        <v>138</v>
      </c>
      <c r="F7918" s="1">
        <v>43041</v>
      </c>
      <c r="G7918" s="1">
        <v>43055</v>
      </c>
      <c r="H7918">
        <v>585</v>
      </c>
      <c r="I7918" t="str">
        <f>IF(COUNTIF(Products!$A$2:$A$8,C7918)=0,C7918,"")</f>
        <v/>
      </c>
      <c r="J7918">
        <f>IF(OR(E7918="Prospecting",E7918="Engaging"),VLOOKUP(C7918,Products!$A$2:$C$8,3,FALSE),0)</f>
        <v>0</v>
      </c>
    </row>
    <row r="7919" spans="1:10" x14ac:dyDescent="0.25">
      <c r="A7919" t="s">
        <v>8086</v>
      </c>
      <c r="B7919" t="s">
        <v>148</v>
      </c>
      <c r="C7919" t="s">
        <v>120</v>
      </c>
      <c r="D7919" t="s">
        <v>100</v>
      </c>
      <c r="E7919" t="s">
        <v>159</v>
      </c>
      <c r="F7919" s="1">
        <v>43041</v>
      </c>
      <c r="G7919" s="1">
        <v>43046</v>
      </c>
      <c r="H7919">
        <v>0</v>
      </c>
      <c r="I7919" t="str">
        <f>IF(COUNTIF(Products!$A$2:$A$8,C7919)=0,C7919,"")</f>
        <v/>
      </c>
      <c r="J7919">
        <f>IF(OR(E7919="Prospecting",E7919="Engaging"),VLOOKUP(C7919,Products!$A$2:$C$8,3,FALSE),0)</f>
        <v>0</v>
      </c>
    </row>
    <row r="7920" spans="1:10" x14ac:dyDescent="0.25">
      <c r="A7920" t="s">
        <v>8087</v>
      </c>
      <c r="B7920" t="s">
        <v>148</v>
      </c>
      <c r="C7920" t="s">
        <v>120</v>
      </c>
      <c r="D7920" t="s">
        <v>41</v>
      </c>
      <c r="E7920" t="s">
        <v>138</v>
      </c>
      <c r="F7920" s="1">
        <v>43041</v>
      </c>
      <c r="G7920" s="1">
        <v>43045</v>
      </c>
      <c r="H7920">
        <v>430</v>
      </c>
      <c r="I7920" t="str">
        <f>IF(COUNTIF(Products!$A$2:$A$8,C7920)=0,C7920,"")</f>
        <v/>
      </c>
      <c r="J7920">
        <f>IF(OR(E7920="Prospecting",E7920="Engaging"),VLOOKUP(C7920,Products!$A$2:$C$8,3,FALSE),0)</f>
        <v>0</v>
      </c>
    </row>
    <row r="7921" spans="1:10" x14ac:dyDescent="0.25">
      <c r="A7921" t="s">
        <v>8088</v>
      </c>
      <c r="B7921" t="s">
        <v>140</v>
      </c>
      <c r="C7921" t="s">
        <v>122</v>
      </c>
      <c r="D7921" t="s">
        <v>26</v>
      </c>
      <c r="E7921" t="s">
        <v>159</v>
      </c>
      <c r="F7921" s="1">
        <v>43042</v>
      </c>
      <c r="G7921" s="1">
        <v>43048</v>
      </c>
      <c r="H7921">
        <v>0</v>
      </c>
      <c r="I7921" t="str">
        <f>IF(COUNTIF(Products!$A$2:$A$8,C7921)=0,C7921,"")</f>
        <v/>
      </c>
      <c r="J7921">
        <f>IF(OR(E7921="Prospecting",E7921="Engaging"),VLOOKUP(C7921,Products!$A$2:$C$8,3,FALSE),0)</f>
        <v>0</v>
      </c>
    </row>
    <row r="7922" spans="1:10" x14ac:dyDescent="0.25">
      <c r="A7922" t="s">
        <v>8089</v>
      </c>
      <c r="B7922" t="s">
        <v>303</v>
      </c>
      <c r="C7922" t="s">
        <v>120</v>
      </c>
      <c r="D7922" t="s">
        <v>51</v>
      </c>
      <c r="E7922" t="s">
        <v>138</v>
      </c>
      <c r="F7922" s="1">
        <v>43042</v>
      </c>
      <c r="G7922" s="1">
        <v>43071</v>
      </c>
      <c r="H7922">
        <v>577</v>
      </c>
      <c r="I7922" t="str">
        <f>IF(COUNTIF(Products!$A$2:$A$8,C7922)=0,C7922,"")</f>
        <v/>
      </c>
      <c r="J7922">
        <f>IF(OR(E7922="Prospecting",E7922="Engaging"),VLOOKUP(C7922,Products!$A$2:$C$8,3,FALSE),0)</f>
        <v>0</v>
      </c>
    </row>
    <row r="7923" spans="1:10" x14ac:dyDescent="0.25">
      <c r="A7923" t="s">
        <v>8090</v>
      </c>
      <c r="B7923" t="s">
        <v>180</v>
      </c>
      <c r="C7923" t="s">
        <v>120</v>
      </c>
      <c r="E7923" t="s">
        <v>155</v>
      </c>
      <c r="F7923" s="1">
        <v>43042</v>
      </c>
      <c r="I7923" t="str">
        <f>IF(COUNTIF(Products!$A$2:$A$8,C7923)=0,C7923,"")</f>
        <v/>
      </c>
      <c r="J7923">
        <f>IF(OR(E7923="Prospecting",E7923="Engaging"),VLOOKUP(C7923,Products!$A$2:$C$8,3,FALSE),0)</f>
        <v>550</v>
      </c>
    </row>
    <row r="7924" spans="1:10" x14ac:dyDescent="0.25">
      <c r="A7924" t="s">
        <v>8091</v>
      </c>
      <c r="B7924" t="s">
        <v>150</v>
      </c>
      <c r="C7924" t="s">
        <v>127</v>
      </c>
      <c r="D7924" t="s">
        <v>114</v>
      </c>
      <c r="E7924" t="s">
        <v>155</v>
      </c>
      <c r="F7924" s="1">
        <v>43042</v>
      </c>
      <c r="I7924" t="str">
        <f>IF(COUNTIF(Products!$A$2:$A$8,C7924)=0,C7924,"")</f>
        <v/>
      </c>
      <c r="J7924">
        <f>IF(OR(E7924="Prospecting",E7924="Engaging"),VLOOKUP(C7924,Products!$A$2:$C$8,3,FALSE),0)</f>
        <v>1096</v>
      </c>
    </row>
    <row r="7925" spans="1:10" x14ac:dyDescent="0.25">
      <c r="A7925" t="s">
        <v>8092</v>
      </c>
      <c r="B7925" t="s">
        <v>205</v>
      </c>
      <c r="C7925" t="s">
        <v>122</v>
      </c>
      <c r="D7925" t="s">
        <v>104</v>
      </c>
      <c r="E7925" t="s">
        <v>138</v>
      </c>
      <c r="F7925" s="1">
        <v>43042</v>
      </c>
      <c r="G7925" s="1">
        <v>43087</v>
      </c>
      <c r="H7925">
        <v>4591</v>
      </c>
      <c r="I7925" t="str">
        <f>IF(COUNTIF(Products!$A$2:$A$8,C7925)=0,C7925,"")</f>
        <v/>
      </c>
      <c r="J7925">
        <f>IF(OR(E7925="Prospecting",E7925="Engaging"),VLOOKUP(C7925,Products!$A$2:$C$8,3,FALSE),0)</f>
        <v>0</v>
      </c>
    </row>
    <row r="7926" spans="1:10" x14ac:dyDescent="0.25">
      <c r="A7926" t="s">
        <v>8093</v>
      </c>
      <c r="B7926" t="s">
        <v>162</v>
      </c>
      <c r="C7926" t="s">
        <v>120</v>
      </c>
      <c r="D7926" t="s">
        <v>59</v>
      </c>
      <c r="E7926" t="s">
        <v>138</v>
      </c>
      <c r="F7926" s="1">
        <v>43042</v>
      </c>
      <c r="G7926" s="1">
        <v>43057</v>
      </c>
      <c r="H7926">
        <v>662</v>
      </c>
      <c r="I7926" t="str">
        <f>IF(COUNTIF(Products!$A$2:$A$8,C7926)=0,C7926,"")</f>
        <v/>
      </c>
      <c r="J7926">
        <f>IF(OR(E7926="Prospecting",E7926="Engaging"),VLOOKUP(C7926,Products!$A$2:$C$8,3,FALSE),0)</f>
        <v>0</v>
      </c>
    </row>
    <row r="7927" spans="1:10" x14ac:dyDescent="0.25">
      <c r="A7927" t="s">
        <v>8094</v>
      </c>
      <c r="B7927" t="s">
        <v>162</v>
      </c>
      <c r="C7927" t="s">
        <v>126</v>
      </c>
      <c r="D7927" t="s">
        <v>83</v>
      </c>
      <c r="E7927" t="s">
        <v>138</v>
      </c>
      <c r="F7927" s="1">
        <v>43042</v>
      </c>
      <c r="G7927" s="1">
        <v>43100</v>
      </c>
      <c r="H7927">
        <v>5091</v>
      </c>
      <c r="I7927" t="str">
        <f>IF(COUNTIF(Products!$A$2:$A$8,C7927)=0,C7927,"")</f>
        <v/>
      </c>
      <c r="J7927">
        <f>IF(OR(E7927="Prospecting",E7927="Engaging"),VLOOKUP(C7927,Products!$A$2:$C$8,3,FALSE),0)</f>
        <v>0</v>
      </c>
    </row>
    <row r="7928" spans="1:10" x14ac:dyDescent="0.25">
      <c r="A7928" t="s">
        <v>8095</v>
      </c>
      <c r="B7928" t="s">
        <v>222</v>
      </c>
      <c r="C7928" t="s">
        <v>126</v>
      </c>
      <c r="D7928" t="s">
        <v>84</v>
      </c>
      <c r="E7928" t="s">
        <v>138</v>
      </c>
      <c r="F7928" s="1">
        <v>43043</v>
      </c>
      <c r="G7928" s="1">
        <v>43077</v>
      </c>
      <c r="H7928">
        <v>5737</v>
      </c>
      <c r="I7928" t="str">
        <f>IF(COUNTIF(Products!$A$2:$A$8,C7928)=0,C7928,"")</f>
        <v/>
      </c>
      <c r="J7928">
        <f>IF(OR(E7928="Prospecting",E7928="Engaging"),VLOOKUP(C7928,Products!$A$2:$C$8,3,FALSE),0)</f>
        <v>0</v>
      </c>
    </row>
    <row r="7929" spans="1:10" x14ac:dyDescent="0.25">
      <c r="A7929" t="s">
        <v>8096</v>
      </c>
      <c r="B7929" t="s">
        <v>207</v>
      </c>
      <c r="C7929" t="s">
        <v>122</v>
      </c>
      <c r="D7929" t="s">
        <v>32</v>
      </c>
      <c r="E7929" t="s">
        <v>155</v>
      </c>
      <c r="F7929" s="1">
        <v>43043</v>
      </c>
      <c r="I7929" t="str">
        <f>IF(COUNTIF(Products!$A$2:$A$8,C7929)=0,C7929,"")</f>
        <v/>
      </c>
      <c r="J7929">
        <f>IF(OR(E7929="Prospecting",E7929="Engaging"),VLOOKUP(C7929,Products!$A$2:$C$8,3,FALSE),0)</f>
        <v>4821</v>
      </c>
    </row>
    <row r="7930" spans="1:10" x14ac:dyDescent="0.25">
      <c r="A7930" t="s">
        <v>8097</v>
      </c>
      <c r="B7930" t="s">
        <v>207</v>
      </c>
      <c r="C7930" t="s">
        <v>120</v>
      </c>
      <c r="D7930" t="s">
        <v>35</v>
      </c>
      <c r="E7930" t="s">
        <v>138</v>
      </c>
      <c r="F7930" s="1">
        <v>43043</v>
      </c>
      <c r="G7930" s="1">
        <v>43045</v>
      </c>
      <c r="H7930">
        <v>583</v>
      </c>
      <c r="I7930" t="str">
        <f>IF(COUNTIF(Products!$A$2:$A$8,C7930)=0,C7930,"")</f>
        <v/>
      </c>
      <c r="J7930">
        <f>IF(OR(E7930="Prospecting",E7930="Engaging"),VLOOKUP(C7930,Products!$A$2:$C$8,3,FALSE),0)</f>
        <v>0</v>
      </c>
    </row>
    <row r="7931" spans="1:10" x14ac:dyDescent="0.25">
      <c r="A7931" t="s">
        <v>8098</v>
      </c>
      <c r="B7931" t="s">
        <v>140</v>
      </c>
      <c r="C7931" t="s">
        <v>122</v>
      </c>
      <c r="D7931" t="s">
        <v>61</v>
      </c>
      <c r="E7931" t="s">
        <v>159</v>
      </c>
      <c r="F7931" s="1">
        <v>43043</v>
      </c>
      <c r="G7931" s="1">
        <v>43047</v>
      </c>
      <c r="H7931">
        <v>0</v>
      </c>
      <c r="I7931" t="str">
        <f>IF(COUNTIF(Products!$A$2:$A$8,C7931)=0,C7931,"")</f>
        <v/>
      </c>
      <c r="J7931">
        <f>IF(OR(E7931="Prospecting",E7931="Engaging"),VLOOKUP(C7931,Products!$A$2:$C$8,3,FALSE),0)</f>
        <v>0</v>
      </c>
    </row>
    <row r="7932" spans="1:10" x14ac:dyDescent="0.25">
      <c r="A7932" t="s">
        <v>8099</v>
      </c>
      <c r="B7932" t="s">
        <v>154</v>
      </c>
      <c r="C7932" t="s">
        <v>126</v>
      </c>
      <c r="D7932" t="s">
        <v>100</v>
      </c>
      <c r="E7932" t="s">
        <v>138</v>
      </c>
      <c r="F7932" s="1">
        <v>43043</v>
      </c>
      <c r="G7932" s="1">
        <v>43049</v>
      </c>
      <c r="H7932">
        <v>5031</v>
      </c>
      <c r="I7932" t="str">
        <f>IF(COUNTIF(Products!$A$2:$A$8,C7932)=0,C7932,"")</f>
        <v/>
      </c>
      <c r="J7932">
        <f>IF(OR(E7932="Prospecting",E7932="Engaging"),VLOOKUP(C7932,Products!$A$2:$C$8,3,FALSE),0)</f>
        <v>0</v>
      </c>
    </row>
    <row r="7933" spans="1:10" x14ac:dyDescent="0.25">
      <c r="A7933" t="s">
        <v>8100</v>
      </c>
      <c r="B7933" t="s">
        <v>191</v>
      </c>
      <c r="C7933" t="s">
        <v>122</v>
      </c>
      <c r="D7933" t="s">
        <v>112</v>
      </c>
      <c r="E7933" t="s">
        <v>155</v>
      </c>
      <c r="F7933" s="1">
        <v>43043</v>
      </c>
      <c r="I7933" t="str">
        <f>IF(COUNTIF(Products!$A$2:$A$8,C7933)=0,C7933,"")</f>
        <v/>
      </c>
      <c r="J7933">
        <f>IF(OR(E7933="Prospecting",E7933="Engaging"),VLOOKUP(C7933,Products!$A$2:$C$8,3,FALSE),0)</f>
        <v>4821</v>
      </c>
    </row>
    <row r="7934" spans="1:10" x14ac:dyDescent="0.25">
      <c r="A7934" t="s">
        <v>8101</v>
      </c>
      <c r="B7934" t="s">
        <v>150</v>
      </c>
      <c r="C7934" t="s">
        <v>122</v>
      </c>
      <c r="E7934" t="s">
        <v>155</v>
      </c>
      <c r="F7934" s="1">
        <v>43043</v>
      </c>
      <c r="I7934" t="str">
        <f>IF(COUNTIF(Products!$A$2:$A$8,C7934)=0,C7934,"")</f>
        <v/>
      </c>
      <c r="J7934">
        <f>IF(OR(E7934="Prospecting",E7934="Engaging"),VLOOKUP(C7934,Products!$A$2:$C$8,3,FALSE),0)</f>
        <v>4821</v>
      </c>
    </row>
    <row r="7935" spans="1:10" x14ac:dyDescent="0.25">
      <c r="A7935" t="s">
        <v>8102</v>
      </c>
      <c r="B7935" t="s">
        <v>205</v>
      </c>
      <c r="C7935" t="s">
        <v>122</v>
      </c>
      <c r="D7935" t="s">
        <v>85</v>
      </c>
      <c r="E7935" t="s">
        <v>159</v>
      </c>
      <c r="F7935" s="1">
        <v>43043</v>
      </c>
      <c r="G7935" s="1">
        <v>43044</v>
      </c>
      <c r="H7935">
        <v>0</v>
      </c>
      <c r="I7935" t="str">
        <f>IF(COUNTIF(Products!$A$2:$A$8,C7935)=0,C7935,"")</f>
        <v/>
      </c>
      <c r="J7935">
        <f>IF(OR(E7935="Prospecting",E7935="Engaging"),VLOOKUP(C7935,Products!$A$2:$C$8,3,FALSE),0)</f>
        <v>0</v>
      </c>
    </row>
    <row r="7936" spans="1:10" x14ac:dyDescent="0.25">
      <c r="A7936" t="s">
        <v>8103</v>
      </c>
      <c r="B7936" t="s">
        <v>162</v>
      </c>
      <c r="C7936" t="s">
        <v>126</v>
      </c>
      <c r="E7936" t="s">
        <v>155</v>
      </c>
      <c r="F7936" s="1">
        <v>43043</v>
      </c>
      <c r="I7936" t="str">
        <f>IF(COUNTIF(Products!$A$2:$A$8,C7936)=0,C7936,"")</f>
        <v/>
      </c>
      <c r="J7936">
        <f>IF(OR(E7936="Prospecting",E7936="Engaging"),VLOOKUP(C7936,Products!$A$2:$C$8,3,FALSE),0)</f>
        <v>5482</v>
      </c>
    </row>
    <row r="7937" spans="1:10" x14ac:dyDescent="0.25">
      <c r="A7937" t="s">
        <v>8104</v>
      </c>
      <c r="B7937" t="s">
        <v>193</v>
      </c>
      <c r="C7937" t="s">
        <v>122</v>
      </c>
      <c r="D7937" t="s">
        <v>84</v>
      </c>
      <c r="E7937" t="s">
        <v>138</v>
      </c>
      <c r="F7937" s="1">
        <v>43043</v>
      </c>
      <c r="G7937" s="1">
        <v>43060</v>
      </c>
      <c r="H7937">
        <v>4237</v>
      </c>
      <c r="I7937" t="str">
        <f>IF(COUNTIF(Products!$A$2:$A$8,C7937)=0,C7937,"")</f>
        <v/>
      </c>
      <c r="J7937">
        <f>IF(OR(E7937="Prospecting",E7937="Engaging"),VLOOKUP(C7937,Products!$A$2:$C$8,3,FALSE),0)</f>
        <v>0</v>
      </c>
    </row>
    <row r="7938" spans="1:10" x14ac:dyDescent="0.25">
      <c r="A7938" t="s">
        <v>8105</v>
      </c>
      <c r="B7938" t="s">
        <v>187</v>
      </c>
      <c r="C7938" t="s">
        <v>126</v>
      </c>
      <c r="D7938" t="s">
        <v>69</v>
      </c>
      <c r="E7938" t="s">
        <v>159</v>
      </c>
      <c r="F7938" s="1">
        <v>43043</v>
      </c>
      <c r="G7938" s="1">
        <v>43053</v>
      </c>
      <c r="H7938">
        <v>0</v>
      </c>
      <c r="I7938" t="str">
        <f>IF(COUNTIF(Products!$A$2:$A$8,C7938)=0,C7938,"")</f>
        <v/>
      </c>
      <c r="J7938">
        <f>IF(OR(E7938="Prospecting",E7938="Engaging"),VLOOKUP(C7938,Products!$A$2:$C$8,3,FALSE),0)</f>
        <v>0</v>
      </c>
    </row>
    <row r="7939" spans="1:10" x14ac:dyDescent="0.25">
      <c r="A7939" t="s">
        <v>8106</v>
      </c>
      <c r="B7939" t="s">
        <v>144</v>
      </c>
      <c r="C7939" t="s">
        <v>120</v>
      </c>
      <c r="E7939" t="s">
        <v>155</v>
      </c>
      <c r="F7939" s="1">
        <v>43043</v>
      </c>
      <c r="I7939" t="str">
        <f>IF(COUNTIF(Products!$A$2:$A$8,C7939)=0,C7939,"")</f>
        <v/>
      </c>
      <c r="J7939">
        <f>IF(OR(E7939="Prospecting",E7939="Engaging"),VLOOKUP(C7939,Products!$A$2:$C$8,3,FALSE),0)</f>
        <v>550</v>
      </c>
    </row>
    <row r="7940" spans="1:10" x14ac:dyDescent="0.25">
      <c r="A7940" t="s">
        <v>8107</v>
      </c>
      <c r="B7940" t="s">
        <v>144</v>
      </c>
      <c r="C7940" t="s">
        <v>120</v>
      </c>
      <c r="D7940" t="s">
        <v>38</v>
      </c>
      <c r="E7940" t="s">
        <v>138</v>
      </c>
      <c r="F7940" s="1">
        <v>43043</v>
      </c>
      <c r="G7940" s="1">
        <v>43081</v>
      </c>
      <c r="H7940">
        <v>481</v>
      </c>
      <c r="I7940" t="str">
        <f>IF(COUNTIF(Products!$A$2:$A$8,C7940)=0,C7940,"")</f>
        <v/>
      </c>
      <c r="J7940">
        <f>IF(OR(E7940="Prospecting",E7940="Engaging"),VLOOKUP(C7940,Products!$A$2:$C$8,3,FALSE),0)</f>
        <v>0</v>
      </c>
    </row>
    <row r="7941" spans="1:10" x14ac:dyDescent="0.25">
      <c r="A7941" t="s">
        <v>8108</v>
      </c>
      <c r="B7941" t="s">
        <v>146</v>
      </c>
      <c r="C7941" t="s">
        <v>120</v>
      </c>
      <c r="D7941" t="s">
        <v>12</v>
      </c>
      <c r="E7941" t="s">
        <v>138</v>
      </c>
      <c r="F7941" s="1">
        <v>43044</v>
      </c>
      <c r="G7941" s="1">
        <v>43048</v>
      </c>
      <c r="H7941">
        <v>480</v>
      </c>
      <c r="I7941" t="str">
        <f>IF(COUNTIF(Products!$A$2:$A$8,C7941)=0,C7941,"")</f>
        <v/>
      </c>
      <c r="J7941">
        <f>IF(OR(E7941="Prospecting",E7941="Engaging"),VLOOKUP(C7941,Products!$A$2:$C$8,3,FALSE),0)</f>
        <v>0</v>
      </c>
    </row>
    <row r="7942" spans="1:10" x14ac:dyDescent="0.25">
      <c r="A7942" t="s">
        <v>8109</v>
      </c>
      <c r="B7942" t="s">
        <v>207</v>
      </c>
      <c r="C7942" t="s">
        <v>123</v>
      </c>
      <c r="E7942" t="s">
        <v>155</v>
      </c>
      <c r="F7942" s="1">
        <v>43044</v>
      </c>
      <c r="I7942" t="str">
        <f>IF(COUNTIF(Products!$A$2:$A$8,C7942)=0,C7942,"")</f>
        <v/>
      </c>
      <c r="J7942">
        <f>IF(OR(E7942="Prospecting",E7942="Engaging"),VLOOKUP(C7942,Products!$A$2:$C$8,3,FALSE),0)</f>
        <v>55</v>
      </c>
    </row>
    <row r="7943" spans="1:10" x14ac:dyDescent="0.25">
      <c r="A7943" t="s">
        <v>8110</v>
      </c>
      <c r="B7943" t="s">
        <v>239</v>
      </c>
      <c r="C7943" t="s">
        <v>125</v>
      </c>
      <c r="E7943" t="s">
        <v>155</v>
      </c>
      <c r="F7943" s="1">
        <v>43044</v>
      </c>
      <c r="I7943" t="str">
        <f>IF(COUNTIF(Products!$A$2:$A$8,C7943)=0,C7943,"")</f>
        <v/>
      </c>
      <c r="J7943">
        <f>IF(OR(E7943="Prospecting",E7943="Engaging"),VLOOKUP(C7943,Products!$A$2:$C$8,3,FALSE),0)</f>
        <v>3393</v>
      </c>
    </row>
    <row r="7944" spans="1:10" x14ac:dyDescent="0.25">
      <c r="A7944" t="s">
        <v>8111</v>
      </c>
      <c r="B7944" t="s">
        <v>171</v>
      </c>
      <c r="C7944" t="s">
        <v>120</v>
      </c>
      <c r="D7944" t="s">
        <v>65</v>
      </c>
      <c r="E7944" t="s">
        <v>155</v>
      </c>
      <c r="F7944" s="1">
        <v>43044</v>
      </c>
      <c r="I7944" t="str">
        <f>IF(COUNTIF(Products!$A$2:$A$8,C7944)=0,C7944,"")</f>
        <v/>
      </c>
      <c r="J7944">
        <f>IF(OR(E7944="Prospecting",E7944="Engaging"),VLOOKUP(C7944,Products!$A$2:$C$8,3,FALSE),0)</f>
        <v>550</v>
      </c>
    </row>
    <row r="7945" spans="1:10" x14ac:dyDescent="0.25">
      <c r="A7945" t="s">
        <v>8112</v>
      </c>
      <c r="B7945" t="s">
        <v>173</v>
      </c>
      <c r="C7945" t="s">
        <v>123</v>
      </c>
      <c r="D7945" t="s">
        <v>75</v>
      </c>
      <c r="E7945" t="s">
        <v>138</v>
      </c>
      <c r="F7945" s="1">
        <v>43044</v>
      </c>
      <c r="G7945" s="1">
        <v>43055</v>
      </c>
      <c r="H7945">
        <v>51</v>
      </c>
      <c r="I7945" t="str">
        <f>IF(COUNTIF(Products!$A$2:$A$8,C7945)=0,C7945,"")</f>
        <v/>
      </c>
      <c r="J7945">
        <f>IF(OR(E7945="Prospecting",E7945="Engaging"),VLOOKUP(C7945,Products!$A$2:$C$8,3,FALSE),0)</f>
        <v>0</v>
      </c>
    </row>
    <row r="7946" spans="1:10" x14ac:dyDescent="0.25">
      <c r="A7946" t="s">
        <v>8113</v>
      </c>
      <c r="B7946" t="s">
        <v>158</v>
      </c>
      <c r="C7946" t="s">
        <v>120</v>
      </c>
      <c r="D7946" t="s">
        <v>22</v>
      </c>
      <c r="E7946" t="s">
        <v>159</v>
      </c>
      <c r="F7946" s="1">
        <v>43044</v>
      </c>
      <c r="G7946" s="1">
        <v>43055</v>
      </c>
      <c r="H7946">
        <v>0</v>
      </c>
      <c r="I7946" t="str">
        <f>IF(COUNTIF(Products!$A$2:$A$8,C7946)=0,C7946,"")</f>
        <v/>
      </c>
      <c r="J7946">
        <f>IF(OR(E7946="Prospecting",E7946="Engaging"),VLOOKUP(C7946,Products!$A$2:$C$8,3,FALSE),0)</f>
        <v>0</v>
      </c>
    </row>
    <row r="7947" spans="1:10" x14ac:dyDescent="0.25">
      <c r="A7947" t="s">
        <v>8114</v>
      </c>
      <c r="B7947" t="s">
        <v>158</v>
      </c>
      <c r="C7947" t="s">
        <v>123</v>
      </c>
      <c r="D7947" t="s">
        <v>55</v>
      </c>
      <c r="E7947" t="s">
        <v>138</v>
      </c>
      <c r="F7947" s="1">
        <v>43044</v>
      </c>
      <c r="G7947" s="1">
        <v>43100</v>
      </c>
      <c r="H7947">
        <v>52</v>
      </c>
      <c r="I7947" t="str">
        <f>IF(COUNTIF(Products!$A$2:$A$8,C7947)=0,C7947,"")</f>
        <v/>
      </c>
      <c r="J7947">
        <f>IF(OR(E7947="Prospecting",E7947="Engaging"),VLOOKUP(C7947,Products!$A$2:$C$8,3,FALSE),0)</f>
        <v>0</v>
      </c>
    </row>
    <row r="7948" spans="1:10" x14ac:dyDescent="0.25">
      <c r="A7948" t="s">
        <v>8115</v>
      </c>
      <c r="B7948" t="s">
        <v>154</v>
      </c>
      <c r="C7948" t="s">
        <v>126</v>
      </c>
      <c r="E7948" t="s">
        <v>155</v>
      </c>
      <c r="F7948" s="1">
        <v>43044</v>
      </c>
      <c r="I7948" t="str">
        <f>IF(COUNTIF(Products!$A$2:$A$8,C7948)=0,C7948,"")</f>
        <v/>
      </c>
      <c r="J7948">
        <f>IF(OR(E7948="Prospecting",E7948="Engaging"),VLOOKUP(C7948,Products!$A$2:$C$8,3,FALSE),0)</f>
        <v>5482</v>
      </c>
    </row>
    <row r="7949" spans="1:10" x14ac:dyDescent="0.25">
      <c r="A7949" t="s">
        <v>8116</v>
      </c>
      <c r="B7949" t="s">
        <v>154</v>
      </c>
      <c r="C7949" t="s">
        <v>127</v>
      </c>
      <c r="D7949" t="s">
        <v>100</v>
      </c>
      <c r="E7949" t="s">
        <v>138</v>
      </c>
      <c r="F7949" s="1">
        <v>43044</v>
      </c>
      <c r="G7949" s="1">
        <v>43061</v>
      </c>
      <c r="H7949">
        <v>1218</v>
      </c>
      <c r="I7949" t="str">
        <f>IF(COUNTIF(Products!$A$2:$A$8,C7949)=0,C7949,"")</f>
        <v/>
      </c>
      <c r="J7949">
        <f>IF(OR(E7949="Prospecting",E7949="Engaging"),VLOOKUP(C7949,Products!$A$2:$C$8,3,FALSE),0)</f>
        <v>0</v>
      </c>
    </row>
    <row r="7950" spans="1:10" x14ac:dyDescent="0.25">
      <c r="A7950" t="s">
        <v>8117</v>
      </c>
      <c r="B7950" t="s">
        <v>191</v>
      </c>
      <c r="C7950" t="s">
        <v>126</v>
      </c>
      <c r="D7950" t="s">
        <v>83</v>
      </c>
      <c r="E7950" t="s">
        <v>138</v>
      </c>
      <c r="F7950" s="1">
        <v>43044</v>
      </c>
      <c r="G7950" s="1">
        <v>43051</v>
      </c>
      <c r="H7950">
        <v>5681</v>
      </c>
      <c r="I7950" t="str">
        <f>IF(COUNTIF(Products!$A$2:$A$8,C7950)=0,C7950,"")</f>
        <v/>
      </c>
      <c r="J7950">
        <f>IF(OR(E7950="Prospecting",E7950="Engaging"),VLOOKUP(C7950,Products!$A$2:$C$8,3,FALSE),0)</f>
        <v>0</v>
      </c>
    </row>
    <row r="7951" spans="1:10" x14ac:dyDescent="0.25">
      <c r="A7951" t="s">
        <v>8118</v>
      </c>
      <c r="B7951" t="s">
        <v>205</v>
      </c>
      <c r="C7951" t="s">
        <v>125</v>
      </c>
      <c r="D7951" t="s">
        <v>36</v>
      </c>
      <c r="E7951" t="s">
        <v>159</v>
      </c>
      <c r="F7951" s="1">
        <v>43044</v>
      </c>
      <c r="G7951" s="1">
        <v>43056</v>
      </c>
      <c r="H7951">
        <v>0</v>
      </c>
      <c r="I7951" t="str">
        <f>IF(COUNTIF(Products!$A$2:$A$8,C7951)=0,C7951,"")</f>
        <v/>
      </c>
      <c r="J7951">
        <f>IF(OR(E7951="Prospecting",E7951="Engaging"),VLOOKUP(C7951,Products!$A$2:$C$8,3,FALSE),0)</f>
        <v>0</v>
      </c>
    </row>
    <row r="7952" spans="1:10" x14ac:dyDescent="0.25">
      <c r="A7952" t="s">
        <v>8119</v>
      </c>
      <c r="B7952" t="s">
        <v>193</v>
      </c>
      <c r="C7952" t="s">
        <v>123</v>
      </c>
      <c r="D7952" t="s">
        <v>25</v>
      </c>
      <c r="E7952" t="s">
        <v>159</v>
      </c>
      <c r="F7952" s="1">
        <v>43044</v>
      </c>
      <c r="G7952" s="1">
        <v>43056</v>
      </c>
      <c r="H7952">
        <v>0</v>
      </c>
      <c r="I7952" t="str">
        <f>IF(COUNTIF(Products!$A$2:$A$8,C7952)=0,C7952,"")</f>
        <v/>
      </c>
      <c r="J7952">
        <f>IF(OR(E7952="Prospecting",E7952="Engaging"),VLOOKUP(C7952,Products!$A$2:$C$8,3,FALSE),0)</f>
        <v>0</v>
      </c>
    </row>
    <row r="7953" spans="1:10" x14ac:dyDescent="0.25">
      <c r="A7953" t="s">
        <v>8120</v>
      </c>
      <c r="B7953" t="s">
        <v>193</v>
      </c>
      <c r="C7953" t="s">
        <v>126</v>
      </c>
      <c r="D7953" t="s">
        <v>69</v>
      </c>
      <c r="E7953" t="s">
        <v>138</v>
      </c>
      <c r="F7953" s="1">
        <v>43044</v>
      </c>
      <c r="G7953" s="1">
        <v>43046</v>
      </c>
      <c r="H7953">
        <v>6767</v>
      </c>
      <c r="I7953" t="str">
        <f>IF(COUNTIF(Products!$A$2:$A$8,C7953)=0,C7953,"")</f>
        <v/>
      </c>
      <c r="J7953">
        <f>IF(OR(E7953="Prospecting",E7953="Engaging"),VLOOKUP(C7953,Products!$A$2:$C$8,3,FALSE),0)</f>
        <v>0</v>
      </c>
    </row>
    <row r="7954" spans="1:10" x14ac:dyDescent="0.25">
      <c r="A7954" t="s">
        <v>8121</v>
      </c>
      <c r="B7954" t="s">
        <v>187</v>
      </c>
      <c r="C7954" t="s">
        <v>122</v>
      </c>
      <c r="E7954" t="s">
        <v>155</v>
      </c>
      <c r="F7954" s="1">
        <v>43044</v>
      </c>
      <c r="I7954" t="str">
        <f>IF(COUNTIF(Products!$A$2:$A$8,C7954)=0,C7954,"")</f>
        <v/>
      </c>
      <c r="J7954">
        <f>IF(OR(E7954="Prospecting",E7954="Engaging"),VLOOKUP(C7954,Products!$A$2:$C$8,3,FALSE),0)</f>
        <v>4821</v>
      </c>
    </row>
    <row r="7955" spans="1:10" x14ac:dyDescent="0.25">
      <c r="A7955" t="s">
        <v>8122</v>
      </c>
      <c r="B7955" t="s">
        <v>169</v>
      </c>
      <c r="C7955" t="s">
        <v>123</v>
      </c>
      <c r="D7955" t="s">
        <v>22</v>
      </c>
      <c r="E7955" t="s">
        <v>138</v>
      </c>
      <c r="F7955" s="1">
        <v>43044</v>
      </c>
      <c r="G7955" s="1">
        <v>43050</v>
      </c>
      <c r="H7955">
        <v>61</v>
      </c>
      <c r="I7955" t="str">
        <f>IF(COUNTIF(Products!$A$2:$A$8,C7955)=0,C7955,"")</f>
        <v/>
      </c>
      <c r="J7955">
        <f>IF(OR(E7955="Prospecting",E7955="Engaging"),VLOOKUP(C7955,Products!$A$2:$C$8,3,FALSE),0)</f>
        <v>0</v>
      </c>
    </row>
    <row r="7956" spans="1:10" x14ac:dyDescent="0.25">
      <c r="A7956" t="s">
        <v>8123</v>
      </c>
      <c r="B7956" t="s">
        <v>177</v>
      </c>
      <c r="C7956" t="s">
        <v>123</v>
      </c>
      <c r="D7956" t="s">
        <v>81</v>
      </c>
      <c r="E7956" t="s">
        <v>159</v>
      </c>
      <c r="F7956" s="1">
        <v>43044</v>
      </c>
      <c r="G7956" s="1">
        <v>43060</v>
      </c>
      <c r="H7956">
        <v>0</v>
      </c>
      <c r="I7956" t="str">
        <f>IF(COUNTIF(Products!$A$2:$A$8,C7956)=0,C7956,"")</f>
        <v/>
      </c>
      <c r="J7956">
        <f>IF(OR(E7956="Prospecting",E7956="Engaging"),VLOOKUP(C7956,Products!$A$2:$C$8,3,FALSE),0)</f>
        <v>0</v>
      </c>
    </row>
    <row r="7957" spans="1:10" x14ac:dyDescent="0.25">
      <c r="A7957" t="s">
        <v>8124</v>
      </c>
      <c r="B7957" t="s">
        <v>144</v>
      </c>
      <c r="C7957" t="s">
        <v>123</v>
      </c>
      <c r="D7957" t="s">
        <v>90</v>
      </c>
      <c r="E7957" t="s">
        <v>138</v>
      </c>
      <c r="F7957" s="1">
        <v>43044</v>
      </c>
      <c r="G7957" s="1">
        <v>43056</v>
      </c>
      <c r="H7957">
        <v>62</v>
      </c>
      <c r="I7957" t="str">
        <f>IF(COUNTIF(Products!$A$2:$A$8,C7957)=0,C7957,"")</f>
        <v/>
      </c>
      <c r="J7957">
        <f>IF(OR(E7957="Prospecting",E7957="Engaging"),VLOOKUP(C7957,Products!$A$2:$C$8,3,FALSE),0)</f>
        <v>0</v>
      </c>
    </row>
    <row r="7958" spans="1:10" x14ac:dyDescent="0.25">
      <c r="A7958" t="s">
        <v>8125</v>
      </c>
      <c r="B7958" t="s">
        <v>222</v>
      </c>
      <c r="C7958" t="s">
        <v>126</v>
      </c>
      <c r="D7958" t="s">
        <v>19</v>
      </c>
      <c r="E7958" t="s">
        <v>155</v>
      </c>
      <c r="F7958" s="1">
        <v>43045</v>
      </c>
      <c r="I7958" t="str">
        <f>IF(COUNTIF(Products!$A$2:$A$8,C7958)=0,C7958,"")</f>
        <v/>
      </c>
      <c r="J7958">
        <f>IF(OR(E7958="Prospecting",E7958="Engaging"),VLOOKUP(C7958,Products!$A$2:$C$8,3,FALSE),0)</f>
        <v>5482</v>
      </c>
    </row>
    <row r="7959" spans="1:10" x14ac:dyDescent="0.25">
      <c r="A7959" t="s">
        <v>8126</v>
      </c>
      <c r="B7959" t="s">
        <v>140</v>
      </c>
      <c r="C7959" t="s">
        <v>122</v>
      </c>
      <c r="D7959" t="s">
        <v>12</v>
      </c>
      <c r="E7959" t="s">
        <v>159</v>
      </c>
      <c r="F7959" s="1">
        <v>43045</v>
      </c>
      <c r="G7959" s="1">
        <v>43046</v>
      </c>
      <c r="H7959">
        <v>0</v>
      </c>
      <c r="I7959" t="str">
        <f>IF(COUNTIF(Products!$A$2:$A$8,C7959)=0,C7959,"")</f>
        <v/>
      </c>
      <c r="J7959">
        <f>IF(OR(E7959="Prospecting",E7959="Engaging"),VLOOKUP(C7959,Products!$A$2:$C$8,3,FALSE),0)</f>
        <v>0</v>
      </c>
    </row>
    <row r="7960" spans="1:10" x14ac:dyDescent="0.25">
      <c r="A7960" t="s">
        <v>8127</v>
      </c>
      <c r="B7960" t="s">
        <v>173</v>
      </c>
      <c r="C7960" t="s">
        <v>127</v>
      </c>
      <c r="D7960" t="s">
        <v>39</v>
      </c>
      <c r="E7960" t="s">
        <v>159</v>
      </c>
      <c r="F7960" s="1">
        <v>43045</v>
      </c>
      <c r="G7960" s="1">
        <v>43046</v>
      </c>
      <c r="H7960">
        <v>0</v>
      </c>
      <c r="I7960" t="str">
        <f>IF(COUNTIF(Products!$A$2:$A$8,C7960)=0,C7960,"")</f>
        <v/>
      </c>
      <c r="J7960">
        <f>IF(OR(E7960="Prospecting",E7960="Engaging"),VLOOKUP(C7960,Products!$A$2:$C$8,3,FALSE),0)</f>
        <v>0</v>
      </c>
    </row>
    <row r="7961" spans="1:10" x14ac:dyDescent="0.25">
      <c r="A7961" t="s">
        <v>8128</v>
      </c>
      <c r="B7961" t="s">
        <v>158</v>
      </c>
      <c r="C7961" t="s">
        <v>123</v>
      </c>
      <c r="D7961" t="s">
        <v>70</v>
      </c>
      <c r="E7961" t="s">
        <v>138</v>
      </c>
      <c r="F7961" s="1">
        <v>43045</v>
      </c>
      <c r="G7961" s="1">
        <v>43088</v>
      </c>
      <c r="H7961">
        <v>48</v>
      </c>
      <c r="I7961" t="str">
        <f>IF(COUNTIF(Products!$A$2:$A$8,C7961)=0,C7961,"")</f>
        <v/>
      </c>
      <c r="J7961">
        <f>IF(OR(E7961="Prospecting",E7961="Engaging"),VLOOKUP(C7961,Products!$A$2:$C$8,3,FALSE),0)</f>
        <v>0</v>
      </c>
    </row>
    <row r="7962" spans="1:10" x14ac:dyDescent="0.25">
      <c r="A7962" t="s">
        <v>8129</v>
      </c>
      <c r="B7962" t="s">
        <v>191</v>
      </c>
      <c r="C7962" t="s">
        <v>120</v>
      </c>
      <c r="D7962" t="s">
        <v>47</v>
      </c>
      <c r="E7962" t="s">
        <v>155</v>
      </c>
      <c r="F7962" s="1">
        <v>43045</v>
      </c>
      <c r="I7962" t="str">
        <f>IF(COUNTIF(Products!$A$2:$A$8,C7962)=0,C7962,"")</f>
        <v/>
      </c>
      <c r="J7962">
        <f>IF(OR(E7962="Prospecting",E7962="Engaging"),VLOOKUP(C7962,Products!$A$2:$C$8,3,FALSE),0)</f>
        <v>550</v>
      </c>
    </row>
    <row r="7963" spans="1:10" x14ac:dyDescent="0.25">
      <c r="A7963" t="s">
        <v>8130</v>
      </c>
      <c r="B7963" t="s">
        <v>152</v>
      </c>
      <c r="C7963" t="s">
        <v>122</v>
      </c>
      <c r="D7963" t="s">
        <v>46</v>
      </c>
      <c r="E7963" t="s">
        <v>159</v>
      </c>
      <c r="F7963" s="1">
        <v>43045</v>
      </c>
      <c r="G7963" s="1">
        <v>43052</v>
      </c>
      <c r="H7963">
        <v>0</v>
      </c>
      <c r="I7963" t="str">
        <f>IF(COUNTIF(Products!$A$2:$A$8,C7963)=0,C7963,"")</f>
        <v/>
      </c>
      <c r="J7963">
        <f>IF(OR(E7963="Prospecting",E7963="Engaging"),VLOOKUP(C7963,Products!$A$2:$C$8,3,FALSE),0)</f>
        <v>0</v>
      </c>
    </row>
    <row r="7964" spans="1:10" x14ac:dyDescent="0.25">
      <c r="A7964" t="s">
        <v>8131</v>
      </c>
      <c r="B7964" t="s">
        <v>177</v>
      </c>
      <c r="C7964" t="s">
        <v>123</v>
      </c>
      <c r="E7964" t="s">
        <v>155</v>
      </c>
      <c r="F7964" s="1">
        <v>43045</v>
      </c>
      <c r="I7964" t="str">
        <f>IF(COUNTIF(Products!$A$2:$A$8,C7964)=0,C7964,"")</f>
        <v/>
      </c>
      <c r="J7964">
        <f>IF(OR(E7964="Prospecting",E7964="Engaging"),VLOOKUP(C7964,Products!$A$2:$C$8,3,FALSE),0)</f>
        <v>55</v>
      </c>
    </row>
    <row r="7965" spans="1:10" x14ac:dyDescent="0.25">
      <c r="A7965" t="s">
        <v>8132</v>
      </c>
      <c r="B7965" t="s">
        <v>264</v>
      </c>
      <c r="C7965" t="s">
        <v>127</v>
      </c>
      <c r="D7965" t="s">
        <v>94</v>
      </c>
      <c r="E7965" t="s">
        <v>138</v>
      </c>
      <c r="F7965" s="1">
        <v>43046</v>
      </c>
      <c r="G7965" s="1">
        <v>43057</v>
      </c>
      <c r="H7965">
        <v>1059</v>
      </c>
      <c r="I7965" t="str">
        <f>IF(COUNTIF(Products!$A$2:$A$8,C7965)=0,C7965,"")</f>
        <v/>
      </c>
      <c r="J7965">
        <f>IF(OR(E7965="Prospecting",E7965="Engaging"),VLOOKUP(C7965,Products!$A$2:$C$8,3,FALSE),0)</f>
        <v>0</v>
      </c>
    </row>
    <row r="7966" spans="1:10" x14ac:dyDescent="0.25">
      <c r="A7966" t="s">
        <v>8133</v>
      </c>
      <c r="B7966" t="s">
        <v>239</v>
      </c>
      <c r="C7966" t="s">
        <v>122</v>
      </c>
      <c r="E7966" t="s">
        <v>155</v>
      </c>
      <c r="F7966" s="1">
        <v>43046</v>
      </c>
      <c r="I7966" t="str">
        <f>IF(COUNTIF(Products!$A$2:$A$8,C7966)=0,C7966,"")</f>
        <v/>
      </c>
      <c r="J7966">
        <f>IF(OR(E7966="Prospecting",E7966="Engaging"),VLOOKUP(C7966,Products!$A$2:$C$8,3,FALSE),0)</f>
        <v>4821</v>
      </c>
    </row>
    <row r="7967" spans="1:10" x14ac:dyDescent="0.25">
      <c r="A7967" t="s">
        <v>8134</v>
      </c>
      <c r="B7967" t="s">
        <v>140</v>
      </c>
      <c r="C7967" t="s">
        <v>122</v>
      </c>
      <c r="D7967" t="s">
        <v>70</v>
      </c>
      <c r="E7967" t="s">
        <v>138</v>
      </c>
      <c r="F7967" s="1">
        <v>43046</v>
      </c>
      <c r="G7967" s="1">
        <v>43089</v>
      </c>
      <c r="H7967">
        <v>5031</v>
      </c>
      <c r="I7967" t="str">
        <f>IF(COUNTIF(Products!$A$2:$A$8,C7967)=0,C7967,"")</f>
        <v/>
      </c>
      <c r="J7967">
        <f>IF(OR(E7967="Prospecting",E7967="Engaging"),VLOOKUP(C7967,Products!$A$2:$C$8,3,FALSE),0)</f>
        <v>0</v>
      </c>
    </row>
    <row r="7968" spans="1:10" x14ac:dyDescent="0.25">
      <c r="A7968" t="s">
        <v>8135</v>
      </c>
      <c r="B7968" t="s">
        <v>217</v>
      </c>
      <c r="C7968" t="s">
        <v>120</v>
      </c>
      <c r="D7968" t="s">
        <v>30</v>
      </c>
      <c r="E7968" t="s">
        <v>138</v>
      </c>
      <c r="F7968" s="1">
        <v>43046</v>
      </c>
      <c r="G7968" s="1">
        <v>43091</v>
      </c>
      <c r="H7968">
        <v>557</v>
      </c>
      <c r="I7968" t="str">
        <f>IF(COUNTIF(Products!$A$2:$A$8,C7968)=0,C7968,"")</f>
        <v/>
      </c>
      <c r="J7968">
        <f>IF(OR(E7968="Prospecting",E7968="Engaging"),VLOOKUP(C7968,Products!$A$2:$C$8,3,FALSE),0)</f>
        <v>0</v>
      </c>
    </row>
    <row r="7969" spans="1:10" x14ac:dyDescent="0.25">
      <c r="A7969" t="s">
        <v>8136</v>
      </c>
      <c r="B7969" t="s">
        <v>187</v>
      </c>
      <c r="C7969" t="s">
        <v>125</v>
      </c>
      <c r="D7969" t="s">
        <v>19</v>
      </c>
      <c r="E7969" t="s">
        <v>138</v>
      </c>
      <c r="F7969" s="1">
        <v>43046</v>
      </c>
      <c r="G7969" s="1">
        <v>43053</v>
      </c>
      <c r="H7969">
        <v>3426</v>
      </c>
      <c r="I7969" t="str">
        <f>IF(COUNTIF(Products!$A$2:$A$8,C7969)=0,C7969,"")</f>
        <v/>
      </c>
      <c r="J7969">
        <f>IF(OR(E7969="Prospecting",E7969="Engaging"),VLOOKUP(C7969,Products!$A$2:$C$8,3,FALSE),0)</f>
        <v>0</v>
      </c>
    </row>
    <row r="7970" spans="1:10" x14ac:dyDescent="0.25">
      <c r="A7970" t="s">
        <v>8137</v>
      </c>
      <c r="B7970" t="s">
        <v>264</v>
      </c>
      <c r="C7970" t="s">
        <v>125</v>
      </c>
      <c r="D7970" t="s">
        <v>46</v>
      </c>
      <c r="E7970" t="s">
        <v>138</v>
      </c>
      <c r="F7970" s="1">
        <v>43047</v>
      </c>
      <c r="G7970" s="1">
        <v>43065</v>
      </c>
      <c r="H7970">
        <v>2968</v>
      </c>
      <c r="I7970" t="str">
        <f>IF(COUNTIF(Products!$A$2:$A$8,C7970)=0,C7970,"")</f>
        <v/>
      </c>
      <c r="J7970">
        <f>IF(OR(E7970="Prospecting",E7970="Engaging"),VLOOKUP(C7970,Products!$A$2:$C$8,3,FALSE),0)</f>
        <v>0</v>
      </c>
    </row>
    <row r="7971" spans="1:10" x14ac:dyDescent="0.25">
      <c r="A7971" t="s">
        <v>8138</v>
      </c>
      <c r="B7971" t="s">
        <v>158</v>
      </c>
      <c r="C7971" t="s">
        <v>127</v>
      </c>
      <c r="D7971" t="s">
        <v>51</v>
      </c>
      <c r="E7971" t="s">
        <v>138</v>
      </c>
      <c r="F7971" s="1">
        <v>43047</v>
      </c>
      <c r="G7971" s="1">
        <v>43058</v>
      </c>
      <c r="H7971">
        <v>1071</v>
      </c>
      <c r="I7971" t="str">
        <f>IF(COUNTIF(Products!$A$2:$A$8,C7971)=0,C7971,"")</f>
        <v/>
      </c>
      <c r="J7971">
        <f>IF(OR(E7971="Prospecting",E7971="Engaging"),VLOOKUP(C7971,Products!$A$2:$C$8,3,FALSE),0)</f>
        <v>0</v>
      </c>
    </row>
    <row r="7972" spans="1:10" x14ac:dyDescent="0.25">
      <c r="A7972" t="s">
        <v>8139</v>
      </c>
      <c r="B7972" t="s">
        <v>303</v>
      </c>
      <c r="C7972" t="s">
        <v>122</v>
      </c>
      <c r="D7972" t="s">
        <v>104</v>
      </c>
      <c r="E7972" t="s">
        <v>159</v>
      </c>
      <c r="F7972" s="1">
        <v>43047</v>
      </c>
      <c r="G7972" s="1">
        <v>43055</v>
      </c>
      <c r="H7972">
        <v>0</v>
      </c>
      <c r="I7972" t="str">
        <f>IF(COUNTIF(Products!$A$2:$A$8,C7972)=0,C7972,"")</f>
        <v/>
      </c>
      <c r="J7972">
        <f>IF(OR(E7972="Prospecting",E7972="Engaging"),VLOOKUP(C7972,Products!$A$2:$C$8,3,FALSE),0)</f>
        <v>0</v>
      </c>
    </row>
    <row r="7973" spans="1:10" x14ac:dyDescent="0.25">
      <c r="A7973" t="s">
        <v>8140</v>
      </c>
      <c r="B7973" t="s">
        <v>180</v>
      </c>
      <c r="C7973" t="s">
        <v>126</v>
      </c>
      <c r="D7973" t="s">
        <v>100</v>
      </c>
      <c r="E7973" t="s">
        <v>159</v>
      </c>
      <c r="F7973" s="1">
        <v>43047</v>
      </c>
      <c r="G7973" s="1">
        <v>43065</v>
      </c>
      <c r="H7973">
        <v>0</v>
      </c>
      <c r="I7973" t="str">
        <f>IF(COUNTIF(Products!$A$2:$A$8,C7973)=0,C7973,"")</f>
        <v/>
      </c>
      <c r="J7973">
        <f>IF(OR(E7973="Prospecting",E7973="Engaging"),VLOOKUP(C7973,Products!$A$2:$C$8,3,FALSE),0)</f>
        <v>0</v>
      </c>
    </row>
    <row r="7974" spans="1:10" x14ac:dyDescent="0.25">
      <c r="A7974" t="s">
        <v>8141</v>
      </c>
      <c r="B7974" t="s">
        <v>180</v>
      </c>
      <c r="C7974" t="s">
        <v>127</v>
      </c>
      <c r="D7974" t="s">
        <v>83</v>
      </c>
      <c r="E7974" t="s">
        <v>138</v>
      </c>
      <c r="F7974" s="1">
        <v>43047</v>
      </c>
      <c r="G7974" s="1">
        <v>43073</v>
      </c>
      <c r="H7974">
        <v>1082</v>
      </c>
      <c r="I7974" t="str">
        <f>IF(COUNTIF(Products!$A$2:$A$8,C7974)=0,C7974,"")</f>
        <v/>
      </c>
      <c r="J7974">
        <f>IF(OR(E7974="Prospecting",E7974="Engaging"),VLOOKUP(C7974,Products!$A$2:$C$8,3,FALSE),0)</f>
        <v>0</v>
      </c>
    </row>
    <row r="7975" spans="1:10" x14ac:dyDescent="0.25">
      <c r="A7975" t="s">
        <v>8142</v>
      </c>
      <c r="B7975" t="s">
        <v>191</v>
      </c>
      <c r="C7975" t="s">
        <v>127</v>
      </c>
      <c r="D7975" t="s">
        <v>82</v>
      </c>
      <c r="E7975" t="s">
        <v>138</v>
      </c>
      <c r="F7975" s="1">
        <v>43047</v>
      </c>
      <c r="G7975" s="1">
        <v>43050</v>
      </c>
      <c r="H7975">
        <v>1203</v>
      </c>
      <c r="I7975" t="str">
        <f>IF(COUNTIF(Products!$A$2:$A$8,C7975)=0,C7975,"")</f>
        <v/>
      </c>
      <c r="J7975">
        <f>IF(OR(E7975="Prospecting",E7975="Engaging"),VLOOKUP(C7975,Products!$A$2:$C$8,3,FALSE),0)</f>
        <v>0</v>
      </c>
    </row>
    <row r="7976" spans="1:10" x14ac:dyDescent="0.25">
      <c r="A7976" t="s">
        <v>8143</v>
      </c>
      <c r="B7976" t="s">
        <v>217</v>
      </c>
      <c r="C7976" t="s">
        <v>123</v>
      </c>
      <c r="D7976" t="s">
        <v>70</v>
      </c>
      <c r="E7976" t="s">
        <v>159</v>
      </c>
      <c r="F7976" s="1">
        <v>43047</v>
      </c>
      <c r="G7976" s="1">
        <v>43099</v>
      </c>
      <c r="H7976">
        <v>0</v>
      </c>
      <c r="I7976" t="str">
        <f>IF(COUNTIF(Products!$A$2:$A$8,C7976)=0,C7976,"")</f>
        <v/>
      </c>
      <c r="J7976">
        <f>IF(OR(E7976="Prospecting",E7976="Engaging"),VLOOKUP(C7976,Products!$A$2:$C$8,3,FALSE),0)</f>
        <v>0</v>
      </c>
    </row>
    <row r="7977" spans="1:10" x14ac:dyDescent="0.25">
      <c r="A7977" t="s">
        <v>8144</v>
      </c>
      <c r="B7977" t="s">
        <v>205</v>
      </c>
      <c r="C7977" t="s">
        <v>127</v>
      </c>
      <c r="D7977" t="s">
        <v>77</v>
      </c>
      <c r="E7977" t="s">
        <v>138</v>
      </c>
      <c r="F7977" s="1">
        <v>43047</v>
      </c>
      <c r="G7977" s="1">
        <v>43056</v>
      </c>
      <c r="H7977">
        <v>985</v>
      </c>
      <c r="I7977" t="str">
        <f>IF(COUNTIF(Products!$A$2:$A$8,C7977)=0,C7977,"")</f>
        <v/>
      </c>
      <c r="J7977">
        <f>IF(OR(E7977="Prospecting",E7977="Engaging"),VLOOKUP(C7977,Products!$A$2:$C$8,3,FALSE),0)</f>
        <v>0</v>
      </c>
    </row>
    <row r="7978" spans="1:10" x14ac:dyDescent="0.25">
      <c r="A7978" t="s">
        <v>8145</v>
      </c>
      <c r="B7978" t="s">
        <v>152</v>
      </c>
      <c r="C7978" t="s">
        <v>127</v>
      </c>
      <c r="D7978" t="s">
        <v>91</v>
      </c>
      <c r="E7978" t="s">
        <v>138</v>
      </c>
      <c r="F7978" s="1">
        <v>43047</v>
      </c>
      <c r="G7978" s="1">
        <v>43059</v>
      </c>
      <c r="H7978">
        <v>1133</v>
      </c>
      <c r="I7978" t="str">
        <f>IF(COUNTIF(Products!$A$2:$A$8,C7978)=0,C7978,"")</f>
        <v/>
      </c>
      <c r="J7978">
        <f>IF(OR(E7978="Prospecting",E7978="Engaging"),VLOOKUP(C7978,Products!$A$2:$C$8,3,FALSE),0)</f>
        <v>0</v>
      </c>
    </row>
    <row r="7979" spans="1:10" x14ac:dyDescent="0.25">
      <c r="A7979" t="s">
        <v>8146</v>
      </c>
      <c r="B7979" t="s">
        <v>177</v>
      </c>
      <c r="C7979" t="s">
        <v>123</v>
      </c>
      <c r="D7979" t="s">
        <v>20</v>
      </c>
      <c r="E7979" t="s">
        <v>138</v>
      </c>
      <c r="F7979" s="1">
        <v>43047</v>
      </c>
      <c r="G7979" s="1">
        <v>43096</v>
      </c>
      <c r="H7979">
        <v>56</v>
      </c>
      <c r="I7979" t="str">
        <f>IF(COUNTIF(Products!$A$2:$A$8,C7979)=0,C7979,"")</f>
        <v/>
      </c>
      <c r="J7979">
        <f>IF(OR(E7979="Prospecting",E7979="Engaging"),VLOOKUP(C7979,Products!$A$2:$C$8,3,FALSE),0)</f>
        <v>0</v>
      </c>
    </row>
    <row r="7980" spans="1:10" x14ac:dyDescent="0.25">
      <c r="A7980" t="s">
        <v>8147</v>
      </c>
      <c r="B7980" t="s">
        <v>196</v>
      </c>
      <c r="C7980" t="s">
        <v>127</v>
      </c>
      <c r="E7980" t="s">
        <v>155</v>
      </c>
      <c r="F7980" s="1">
        <v>43047</v>
      </c>
      <c r="I7980" t="str">
        <f>IF(COUNTIF(Products!$A$2:$A$8,C7980)=0,C7980,"")</f>
        <v/>
      </c>
      <c r="J7980">
        <f>IF(OR(E7980="Prospecting",E7980="Engaging"),VLOOKUP(C7980,Products!$A$2:$C$8,3,FALSE),0)</f>
        <v>1096</v>
      </c>
    </row>
    <row r="7981" spans="1:10" x14ac:dyDescent="0.25">
      <c r="A7981" t="s">
        <v>8148</v>
      </c>
      <c r="B7981" t="s">
        <v>222</v>
      </c>
      <c r="C7981" t="s">
        <v>120</v>
      </c>
      <c r="E7981" t="s">
        <v>155</v>
      </c>
      <c r="F7981" s="1">
        <v>43048</v>
      </c>
      <c r="I7981" t="str">
        <f>IF(COUNTIF(Products!$A$2:$A$8,C7981)=0,C7981,"")</f>
        <v/>
      </c>
      <c r="J7981">
        <f>IF(OR(E7981="Prospecting",E7981="Engaging"),VLOOKUP(C7981,Products!$A$2:$C$8,3,FALSE),0)</f>
        <v>550</v>
      </c>
    </row>
    <row r="7982" spans="1:10" x14ac:dyDescent="0.25">
      <c r="A7982" t="s">
        <v>8149</v>
      </c>
      <c r="B7982" t="s">
        <v>224</v>
      </c>
      <c r="C7982" t="s">
        <v>120</v>
      </c>
      <c r="D7982" t="s">
        <v>112</v>
      </c>
      <c r="E7982" t="s">
        <v>159</v>
      </c>
      <c r="F7982" s="1">
        <v>43048</v>
      </c>
      <c r="G7982" s="1">
        <v>43052</v>
      </c>
      <c r="H7982">
        <v>0</v>
      </c>
      <c r="I7982" t="str">
        <f>IF(COUNTIF(Products!$A$2:$A$8,C7982)=0,C7982,"")</f>
        <v/>
      </c>
      <c r="J7982">
        <f>IF(OR(E7982="Prospecting",E7982="Engaging"),VLOOKUP(C7982,Products!$A$2:$C$8,3,FALSE),0)</f>
        <v>0</v>
      </c>
    </row>
    <row r="7983" spans="1:10" x14ac:dyDescent="0.25">
      <c r="A7983" t="s">
        <v>8150</v>
      </c>
      <c r="B7983" t="s">
        <v>198</v>
      </c>
      <c r="C7983" t="s">
        <v>126</v>
      </c>
      <c r="D7983" t="s">
        <v>98</v>
      </c>
      <c r="E7983" t="s">
        <v>138</v>
      </c>
      <c r="F7983" s="1">
        <v>43048</v>
      </c>
      <c r="G7983" s="1">
        <v>43066</v>
      </c>
      <c r="H7983">
        <v>4884</v>
      </c>
      <c r="I7983" t="str">
        <f>IF(COUNTIF(Products!$A$2:$A$8,C7983)=0,C7983,"")</f>
        <v/>
      </c>
      <c r="J7983">
        <f>IF(OR(E7983="Prospecting",E7983="Engaging"),VLOOKUP(C7983,Products!$A$2:$C$8,3,FALSE),0)</f>
        <v>0</v>
      </c>
    </row>
    <row r="7984" spans="1:10" x14ac:dyDescent="0.25">
      <c r="A7984" t="s">
        <v>8151</v>
      </c>
      <c r="B7984" t="s">
        <v>154</v>
      </c>
      <c r="C7984" t="s">
        <v>120</v>
      </c>
      <c r="D7984" t="s">
        <v>67</v>
      </c>
      <c r="E7984" t="s">
        <v>138</v>
      </c>
      <c r="F7984" s="1">
        <v>43048</v>
      </c>
      <c r="G7984" s="1">
        <v>43061</v>
      </c>
      <c r="H7984">
        <v>443</v>
      </c>
      <c r="I7984" t="str">
        <f>IF(COUNTIF(Products!$A$2:$A$8,C7984)=0,C7984,"")</f>
        <v/>
      </c>
      <c r="J7984">
        <f>IF(OR(E7984="Prospecting",E7984="Engaging"),VLOOKUP(C7984,Products!$A$2:$C$8,3,FALSE),0)</f>
        <v>0</v>
      </c>
    </row>
    <row r="7985" spans="1:10" x14ac:dyDescent="0.25">
      <c r="A7985" t="s">
        <v>8152</v>
      </c>
      <c r="B7985" t="s">
        <v>180</v>
      </c>
      <c r="C7985" t="s">
        <v>120</v>
      </c>
      <c r="D7985" t="s">
        <v>56</v>
      </c>
      <c r="E7985" t="s">
        <v>138</v>
      </c>
      <c r="F7985" s="1">
        <v>43048</v>
      </c>
      <c r="G7985" s="1">
        <v>43062</v>
      </c>
      <c r="H7985">
        <v>562</v>
      </c>
      <c r="I7985" t="str">
        <f>IF(COUNTIF(Products!$A$2:$A$8,C7985)=0,C7985,"")</f>
        <v/>
      </c>
      <c r="J7985">
        <f>IF(OR(E7985="Prospecting",E7985="Engaging"),VLOOKUP(C7985,Products!$A$2:$C$8,3,FALSE),0)</f>
        <v>0</v>
      </c>
    </row>
    <row r="7986" spans="1:10" x14ac:dyDescent="0.25">
      <c r="A7986" t="s">
        <v>8153</v>
      </c>
      <c r="B7986" t="s">
        <v>180</v>
      </c>
      <c r="C7986" t="s">
        <v>120</v>
      </c>
      <c r="D7986" t="s">
        <v>59</v>
      </c>
      <c r="E7986" t="s">
        <v>138</v>
      </c>
      <c r="F7986" s="1">
        <v>43048</v>
      </c>
      <c r="G7986" s="1">
        <v>43060</v>
      </c>
      <c r="H7986">
        <v>437</v>
      </c>
      <c r="I7986" t="str">
        <f>IF(COUNTIF(Products!$A$2:$A$8,C7986)=0,C7986,"")</f>
        <v/>
      </c>
      <c r="J7986">
        <f>IF(OR(E7986="Prospecting",E7986="Engaging"),VLOOKUP(C7986,Products!$A$2:$C$8,3,FALSE),0)</f>
        <v>0</v>
      </c>
    </row>
    <row r="7987" spans="1:10" x14ac:dyDescent="0.25">
      <c r="A7987" t="s">
        <v>8154</v>
      </c>
      <c r="B7987" t="s">
        <v>191</v>
      </c>
      <c r="C7987" t="s">
        <v>125</v>
      </c>
      <c r="D7987" t="s">
        <v>87</v>
      </c>
      <c r="E7987" t="s">
        <v>159</v>
      </c>
      <c r="F7987" s="1">
        <v>43048</v>
      </c>
      <c r="G7987" s="1">
        <v>43062</v>
      </c>
      <c r="H7987">
        <v>0</v>
      </c>
      <c r="I7987" t="str">
        <f>IF(COUNTIF(Products!$A$2:$A$8,C7987)=0,C7987,"")</f>
        <v/>
      </c>
      <c r="J7987">
        <f>IF(OR(E7987="Prospecting",E7987="Engaging"),VLOOKUP(C7987,Products!$A$2:$C$8,3,FALSE),0)</f>
        <v>0</v>
      </c>
    </row>
    <row r="7988" spans="1:10" x14ac:dyDescent="0.25">
      <c r="A7988" t="s">
        <v>8155</v>
      </c>
      <c r="B7988" t="s">
        <v>191</v>
      </c>
      <c r="C7988" t="s">
        <v>120</v>
      </c>
      <c r="D7988" t="s">
        <v>67</v>
      </c>
      <c r="E7988" t="s">
        <v>138</v>
      </c>
      <c r="F7988" s="1">
        <v>43048</v>
      </c>
      <c r="G7988" s="1">
        <v>43053</v>
      </c>
      <c r="H7988">
        <v>606</v>
      </c>
      <c r="I7988" t="str">
        <f>IF(COUNTIF(Products!$A$2:$A$8,C7988)=0,C7988,"")</f>
        <v/>
      </c>
      <c r="J7988">
        <f>IF(OR(E7988="Prospecting",E7988="Engaging"),VLOOKUP(C7988,Products!$A$2:$C$8,3,FALSE),0)</f>
        <v>0</v>
      </c>
    </row>
    <row r="7989" spans="1:10" x14ac:dyDescent="0.25">
      <c r="A7989" t="s">
        <v>8156</v>
      </c>
      <c r="B7989" t="s">
        <v>150</v>
      </c>
      <c r="C7989" t="s">
        <v>123</v>
      </c>
      <c r="D7989" t="s">
        <v>41</v>
      </c>
      <c r="E7989" t="s">
        <v>138</v>
      </c>
      <c r="F7989" s="1">
        <v>43048</v>
      </c>
      <c r="G7989" s="1">
        <v>43079</v>
      </c>
      <c r="H7989">
        <v>56</v>
      </c>
      <c r="I7989" t="str">
        <f>IF(COUNTIF(Products!$A$2:$A$8,C7989)=0,C7989,"")</f>
        <v/>
      </c>
      <c r="J7989">
        <f>IF(OR(E7989="Prospecting",E7989="Engaging"),VLOOKUP(C7989,Products!$A$2:$C$8,3,FALSE),0)</f>
        <v>0</v>
      </c>
    </row>
    <row r="7990" spans="1:10" x14ac:dyDescent="0.25">
      <c r="A7990" t="s">
        <v>8157</v>
      </c>
      <c r="B7990" t="s">
        <v>162</v>
      </c>
      <c r="C7990" t="s">
        <v>125</v>
      </c>
      <c r="D7990" t="s">
        <v>100</v>
      </c>
      <c r="E7990" t="s">
        <v>159</v>
      </c>
      <c r="F7990" s="1">
        <v>43048</v>
      </c>
      <c r="G7990" s="1">
        <v>43066</v>
      </c>
      <c r="H7990">
        <v>0</v>
      </c>
      <c r="I7990" t="str">
        <f>IF(COUNTIF(Products!$A$2:$A$8,C7990)=0,C7990,"")</f>
        <v/>
      </c>
      <c r="J7990">
        <f>IF(OR(E7990="Prospecting",E7990="Engaging"),VLOOKUP(C7990,Products!$A$2:$C$8,3,FALSE),0)</f>
        <v>0</v>
      </c>
    </row>
    <row r="7991" spans="1:10" x14ac:dyDescent="0.25">
      <c r="A7991" t="s">
        <v>8158</v>
      </c>
      <c r="B7991" t="s">
        <v>137</v>
      </c>
      <c r="C7991" t="s">
        <v>123</v>
      </c>
      <c r="D7991" t="s">
        <v>77</v>
      </c>
      <c r="E7991" t="s">
        <v>138</v>
      </c>
      <c r="F7991" s="1">
        <v>43048</v>
      </c>
      <c r="G7991" s="1">
        <v>43060</v>
      </c>
      <c r="H7991">
        <v>54</v>
      </c>
      <c r="I7991" t="str">
        <f>IF(COUNTIF(Products!$A$2:$A$8,C7991)=0,C7991,"")</f>
        <v/>
      </c>
      <c r="J7991">
        <f>IF(OR(E7991="Prospecting",E7991="Engaging"),VLOOKUP(C7991,Products!$A$2:$C$8,3,FALSE),0)</f>
        <v>0</v>
      </c>
    </row>
    <row r="7992" spans="1:10" x14ac:dyDescent="0.25">
      <c r="A7992" t="s">
        <v>8159</v>
      </c>
      <c r="B7992" t="s">
        <v>148</v>
      </c>
      <c r="C7992" t="s">
        <v>122</v>
      </c>
      <c r="E7992" t="s">
        <v>155</v>
      </c>
      <c r="F7992" s="1">
        <v>43048</v>
      </c>
      <c r="I7992" t="str">
        <f>IF(COUNTIF(Products!$A$2:$A$8,C7992)=0,C7992,"")</f>
        <v/>
      </c>
      <c r="J7992">
        <f>IF(OR(E7992="Prospecting",E7992="Engaging"),VLOOKUP(C7992,Products!$A$2:$C$8,3,FALSE),0)</f>
        <v>4821</v>
      </c>
    </row>
    <row r="7993" spans="1:10" x14ac:dyDescent="0.25">
      <c r="A7993" t="s">
        <v>8160</v>
      </c>
      <c r="B7993" t="s">
        <v>196</v>
      </c>
      <c r="C7993" t="s">
        <v>122</v>
      </c>
      <c r="D7993" t="s">
        <v>7</v>
      </c>
      <c r="E7993" t="s">
        <v>159</v>
      </c>
      <c r="F7993" s="1">
        <v>43048</v>
      </c>
      <c r="G7993" s="1">
        <v>43062</v>
      </c>
      <c r="H7993">
        <v>0</v>
      </c>
      <c r="I7993" t="str">
        <f>IF(COUNTIF(Products!$A$2:$A$8,C7993)=0,C7993,"")</f>
        <v/>
      </c>
      <c r="J7993">
        <f>IF(OR(E7993="Prospecting",E7993="Engaging"),VLOOKUP(C7993,Products!$A$2:$C$8,3,FALSE),0)</f>
        <v>0</v>
      </c>
    </row>
    <row r="7994" spans="1:10" x14ac:dyDescent="0.25">
      <c r="A7994" t="s">
        <v>8161</v>
      </c>
      <c r="B7994" t="s">
        <v>239</v>
      </c>
      <c r="C7994" t="s">
        <v>120</v>
      </c>
      <c r="D7994" t="s">
        <v>7</v>
      </c>
      <c r="E7994" t="s">
        <v>138</v>
      </c>
      <c r="F7994" s="1">
        <v>43049</v>
      </c>
      <c r="G7994" s="1">
        <v>43057</v>
      </c>
      <c r="H7994">
        <v>577</v>
      </c>
      <c r="I7994" t="str">
        <f>IF(COUNTIF(Products!$A$2:$A$8,C7994)=0,C7994,"")</f>
        <v/>
      </c>
      <c r="J7994">
        <f>IF(OR(E7994="Prospecting",E7994="Engaging"),VLOOKUP(C7994,Products!$A$2:$C$8,3,FALSE),0)</f>
        <v>0</v>
      </c>
    </row>
    <row r="7995" spans="1:10" x14ac:dyDescent="0.25">
      <c r="A7995" t="s">
        <v>8162</v>
      </c>
      <c r="B7995" t="s">
        <v>171</v>
      </c>
      <c r="C7995" t="s">
        <v>127</v>
      </c>
      <c r="D7995" t="s">
        <v>25</v>
      </c>
      <c r="E7995" t="s">
        <v>159</v>
      </c>
      <c r="F7995" s="1">
        <v>43049</v>
      </c>
      <c r="G7995" s="1">
        <v>43055</v>
      </c>
      <c r="H7995">
        <v>0</v>
      </c>
      <c r="I7995" t="str">
        <f>IF(COUNTIF(Products!$A$2:$A$8,C7995)=0,C7995,"")</f>
        <v/>
      </c>
      <c r="J7995">
        <f>IF(OR(E7995="Prospecting",E7995="Engaging"),VLOOKUP(C7995,Products!$A$2:$C$8,3,FALSE),0)</f>
        <v>0</v>
      </c>
    </row>
    <row r="7996" spans="1:10" x14ac:dyDescent="0.25">
      <c r="A7996" t="s">
        <v>8163</v>
      </c>
      <c r="B7996" t="s">
        <v>140</v>
      </c>
      <c r="C7996" t="s">
        <v>122</v>
      </c>
      <c r="D7996" t="s">
        <v>88</v>
      </c>
      <c r="E7996" t="s">
        <v>138</v>
      </c>
      <c r="F7996" s="1">
        <v>43049</v>
      </c>
      <c r="G7996" s="1">
        <v>43059</v>
      </c>
      <c r="H7996">
        <v>4480</v>
      </c>
      <c r="I7996" t="str">
        <f>IF(COUNTIF(Products!$A$2:$A$8,C7996)=0,C7996,"")</f>
        <v/>
      </c>
      <c r="J7996">
        <f>IF(OR(E7996="Prospecting",E7996="Engaging"),VLOOKUP(C7996,Products!$A$2:$C$8,3,FALSE),0)</f>
        <v>0</v>
      </c>
    </row>
    <row r="7997" spans="1:10" x14ac:dyDescent="0.25">
      <c r="A7997" t="s">
        <v>8164</v>
      </c>
      <c r="B7997" t="s">
        <v>191</v>
      </c>
      <c r="C7997" t="s">
        <v>126</v>
      </c>
      <c r="D7997" t="s">
        <v>72</v>
      </c>
      <c r="E7997" t="s">
        <v>138</v>
      </c>
      <c r="F7997" s="1">
        <v>43049</v>
      </c>
      <c r="G7997" s="1">
        <v>43091</v>
      </c>
      <c r="H7997">
        <v>6299</v>
      </c>
      <c r="I7997" t="str">
        <f>IF(COUNTIF(Products!$A$2:$A$8,C7997)=0,C7997,"")</f>
        <v/>
      </c>
      <c r="J7997">
        <f>IF(OR(E7997="Prospecting",E7997="Engaging"),VLOOKUP(C7997,Products!$A$2:$C$8,3,FALSE),0)</f>
        <v>0</v>
      </c>
    </row>
    <row r="7998" spans="1:10" x14ac:dyDescent="0.25">
      <c r="A7998" t="s">
        <v>8165</v>
      </c>
      <c r="B7998" t="s">
        <v>191</v>
      </c>
      <c r="C7998" t="s">
        <v>122</v>
      </c>
      <c r="D7998" t="s">
        <v>27</v>
      </c>
      <c r="E7998" t="s">
        <v>138</v>
      </c>
      <c r="F7998" s="1">
        <v>43049</v>
      </c>
      <c r="G7998" s="1">
        <v>43070</v>
      </c>
      <c r="H7998">
        <v>4673</v>
      </c>
      <c r="I7998" t="str">
        <f>IF(COUNTIF(Products!$A$2:$A$8,C7998)=0,C7998,"")</f>
        <v/>
      </c>
      <c r="J7998">
        <f>IF(OR(E7998="Prospecting",E7998="Engaging"),VLOOKUP(C7998,Products!$A$2:$C$8,3,FALSE),0)</f>
        <v>0</v>
      </c>
    </row>
    <row r="7999" spans="1:10" x14ac:dyDescent="0.25">
      <c r="A7999" t="s">
        <v>8166</v>
      </c>
      <c r="B7999" t="s">
        <v>150</v>
      </c>
      <c r="C7999" t="s">
        <v>128</v>
      </c>
      <c r="D7999" t="s">
        <v>107</v>
      </c>
      <c r="E7999" t="s">
        <v>159</v>
      </c>
      <c r="F7999" s="1">
        <v>43049</v>
      </c>
      <c r="G7999" s="1">
        <v>43065</v>
      </c>
      <c r="H7999">
        <v>0</v>
      </c>
      <c r="I7999" t="str">
        <f>IF(COUNTIF(Products!$A$2:$A$8,C7999)=0,C7999,"")</f>
        <v/>
      </c>
      <c r="J7999">
        <f>IF(OR(E7999="Prospecting",E7999="Engaging"),VLOOKUP(C7999,Products!$A$2:$C$8,3,FALSE),0)</f>
        <v>0</v>
      </c>
    </row>
    <row r="8000" spans="1:10" x14ac:dyDescent="0.25">
      <c r="A8000" t="s">
        <v>8167</v>
      </c>
      <c r="B8000" t="s">
        <v>193</v>
      </c>
      <c r="C8000" t="s">
        <v>126</v>
      </c>
      <c r="D8000" t="s">
        <v>111</v>
      </c>
      <c r="E8000" t="s">
        <v>138</v>
      </c>
      <c r="F8000" s="1">
        <v>43049</v>
      </c>
      <c r="G8000" s="1">
        <v>43098</v>
      </c>
      <c r="H8000">
        <v>4659</v>
      </c>
      <c r="I8000" t="str">
        <f>IF(COUNTIF(Products!$A$2:$A$8,C8000)=0,C8000,"")</f>
        <v/>
      </c>
      <c r="J8000">
        <f>IF(OR(E8000="Prospecting",E8000="Engaging"),VLOOKUP(C8000,Products!$A$2:$C$8,3,FALSE),0)</f>
        <v>0</v>
      </c>
    </row>
    <row r="8001" spans="1:10" x14ac:dyDescent="0.25">
      <c r="A8001" t="s">
        <v>8168</v>
      </c>
      <c r="B8001" t="s">
        <v>166</v>
      </c>
      <c r="C8001" t="s">
        <v>123</v>
      </c>
      <c r="E8001" t="s">
        <v>155</v>
      </c>
      <c r="F8001" s="1">
        <v>43049</v>
      </c>
      <c r="I8001" t="str">
        <f>IF(COUNTIF(Products!$A$2:$A$8,C8001)=0,C8001,"")</f>
        <v/>
      </c>
      <c r="J8001">
        <f>IF(OR(E8001="Prospecting",E8001="Engaging"),VLOOKUP(C8001,Products!$A$2:$C$8,3,FALSE),0)</f>
        <v>55</v>
      </c>
    </row>
    <row r="8002" spans="1:10" x14ac:dyDescent="0.25">
      <c r="A8002" t="s">
        <v>8169</v>
      </c>
      <c r="B8002" t="s">
        <v>239</v>
      </c>
      <c r="C8002" t="s">
        <v>127</v>
      </c>
      <c r="D8002" t="s">
        <v>68</v>
      </c>
      <c r="E8002" t="s">
        <v>138</v>
      </c>
      <c r="F8002" s="1">
        <v>43050</v>
      </c>
      <c r="G8002" s="1">
        <v>43059</v>
      </c>
      <c r="H8002">
        <v>1180</v>
      </c>
      <c r="I8002" t="str">
        <f>IF(COUNTIF(Products!$A$2:$A$8,C8002)=0,C8002,"")</f>
        <v/>
      </c>
      <c r="J8002">
        <f>IF(OR(E8002="Prospecting",E8002="Engaging"),VLOOKUP(C8002,Products!$A$2:$C$8,3,FALSE),0)</f>
        <v>0</v>
      </c>
    </row>
    <row r="8003" spans="1:10" x14ac:dyDescent="0.25">
      <c r="A8003" t="s">
        <v>8170</v>
      </c>
      <c r="B8003" t="s">
        <v>140</v>
      </c>
      <c r="C8003" t="s">
        <v>126</v>
      </c>
      <c r="D8003" t="s">
        <v>12</v>
      </c>
      <c r="E8003" t="s">
        <v>159</v>
      </c>
      <c r="F8003" s="1">
        <v>43050</v>
      </c>
      <c r="G8003" s="1">
        <v>43053</v>
      </c>
      <c r="H8003">
        <v>0</v>
      </c>
      <c r="I8003" t="str">
        <f>IF(COUNTIF(Products!$A$2:$A$8,C8003)=0,C8003,"")</f>
        <v/>
      </c>
      <c r="J8003">
        <f>IF(OR(E8003="Prospecting",E8003="Engaging"),VLOOKUP(C8003,Products!$A$2:$C$8,3,FALSE),0)</f>
        <v>0</v>
      </c>
    </row>
    <row r="8004" spans="1:10" x14ac:dyDescent="0.25">
      <c r="A8004" t="s">
        <v>8171</v>
      </c>
      <c r="B8004" t="s">
        <v>224</v>
      </c>
      <c r="C8004" t="s">
        <v>127</v>
      </c>
      <c r="D8004" t="s">
        <v>81</v>
      </c>
      <c r="E8004" t="s">
        <v>159</v>
      </c>
      <c r="F8004" s="1">
        <v>43050</v>
      </c>
      <c r="G8004" s="1">
        <v>43057</v>
      </c>
      <c r="H8004">
        <v>0</v>
      </c>
      <c r="I8004" t="str">
        <f>IF(COUNTIF(Products!$A$2:$A$8,C8004)=0,C8004,"")</f>
        <v/>
      </c>
      <c r="J8004">
        <f>IF(OR(E8004="Prospecting",E8004="Engaging"),VLOOKUP(C8004,Products!$A$2:$C$8,3,FALSE),0)</f>
        <v>0</v>
      </c>
    </row>
    <row r="8005" spans="1:10" x14ac:dyDescent="0.25">
      <c r="A8005" t="s">
        <v>8172</v>
      </c>
      <c r="B8005" t="s">
        <v>303</v>
      </c>
      <c r="C8005" t="s">
        <v>123</v>
      </c>
      <c r="D8005" t="s">
        <v>104</v>
      </c>
      <c r="E8005" t="s">
        <v>138</v>
      </c>
      <c r="F8005" s="1">
        <v>43050</v>
      </c>
      <c r="G8005" s="1">
        <v>43073</v>
      </c>
      <c r="H8005">
        <v>57</v>
      </c>
      <c r="I8005" t="str">
        <f>IF(COUNTIF(Products!$A$2:$A$8,C8005)=0,C8005,"")</f>
        <v/>
      </c>
      <c r="J8005">
        <f>IF(OR(E8005="Prospecting",E8005="Engaging"),VLOOKUP(C8005,Products!$A$2:$C$8,3,FALSE),0)</f>
        <v>0</v>
      </c>
    </row>
    <row r="8006" spans="1:10" x14ac:dyDescent="0.25">
      <c r="A8006" t="s">
        <v>8173</v>
      </c>
      <c r="B8006" t="s">
        <v>205</v>
      </c>
      <c r="C8006" t="s">
        <v>126</v>
      </c>
      <c r="D8006" t="s">
        <v>103</v>
      </c>
      <c r="E8006" t="s">
        <v>159</v>
      </c>
      <c r="F8006" s="1">
        <v>43050</v>
      </c>
      <c r="G8006" s="1">
        <v>43061</v>
      </c>
      <c r="H8006">
        <v>0</v>
      </c>
      <c r="I8006" t="str">
        <f>IF(COUNTIF(Products!$A$2:$A$8,C8006)=0,C8006,"")</f>
        <v/>
      </c>
      <c r="J8006">
        <f>IF(OR(E8006="Prospecting",E8006="Engaging"),VLOOKUP(C8006,Products!$A$2:$C$8,3,FALSE),0)</f>
        <v>0</v>
      </c>
    </row>
    <row r="8007" spans="1:10" x14ac:dyDescent="0.25">
      <c r="A8007" t="s">
        <v>8174</v>
      </c>
      <c r="B8007" t="s">
        <v>152</v>
      </c>
      <c r="C8007" t="s">
        <v>127</v>
      </c>
      <c r="D8007" t="s">
        <v>51</v>
      </c>
      <c r="E8007" t="s">
        <v>159</v>
      </c>
      <c r="F8007" s="1">
        <v>43050</v>
      </c>
      <c r="G8007" s="1">
        <v>43061</v>
      </c>
      <c r="H8007">
        <v>0</v>
      </c>
      <c r="I8007" t="str">
        <f>IF(COUNTIF(Products!$A$2:$A$8,C8007)=0,C8007,"")</f>
        <v/>
      </c>
      <c r="J8007">
        <f>IF(OR(E8007="Prospecting",E8007="Engaging"),VLOOKUP(C8007,Products!$A$2:$C$8,3,FALSE),0)</f>
        <v>0</v>
      </c>
    </row>
    <row r="8008" spans="1:10" x14ac:dyDescent="0.25">
      <c r="A8008" t="s">
        <v>8175</v>
      </c>
      <c r="B8008" t="s">
        <v>169</v>
      </c>
      <c r="C8008" t="s">
        <v>123</v>
      </c>
      <c r="D8008" t="s">
        <v>26</v>
      </c>
      <c r="E8008" t="s">
        <v>138</v>
      </c>
      <c r="F8008" s="1">
        <v>43050</v>
      </c>
      <c r="G8008" s="1">
        <v>43089</v>
      </c>
      <c r="H8008">
        <v>48</v>
      </c>
      <c r="I8008" t="str">
        <f>IF(COUNTIF(Products!$A$2:$A$8,C8008)=0,C8008,"")</f>
        <v/>
      </c>
      <c r="J8008">
        <f>IF(OR(E8008="Prospecting",E8008="Engaging"),VLOOKUP(C8008,Products!$A$2:$C$8,3,FALSE),0)</f>
        <v>0</v>
      </c>
    </row>
    <row r="8009" spans="1:10" x14ac:dyDescent="0.25">
      <c r="A8009" t="s">
        <v>8176</v>
      </c>
      <c r="B8009" t="s">
        <v>177</v>
      </c>
      <c r="C8009" t="s">
        <v>123</v>
      </c>
      <c r="D8009" t="s">
        <v>16</v>
      </c>
      <c r="E8009" t="s">
        <v>138</v>
      </c>
      <c r="F8009" s="1">
        <v>43050</v>
      </c>
      <c r="G8009" s="1">
        <v>43052</v>
      </c>
      <c r="H8009">
        <v>51</v>
      </c>
      <c r="I8009" t="str">
        <f>IF(COUNTIF(Products!$A$2:$A$8,C8009)=0,C8009,"")</f>
        <v/>
      </c>
      <c r="J8009">
        <f>IF(OR(E8009="Prospecting",E8009="Engaging"),VLOOKUP(C8009,Products!$A$2:$C$8,3,FALSE),0)</f>
        <v>0</v>
      </c>
    </row>
    <row r="8010" spans="1:10" x14ac:dyDescent="0.25">
      <c r="A8010" t="s">
        <v>8177</v>
      </c>
      <c r="B8010" t="s">
        <v>146</v>
      </c>
      <c r="C8010" t="s">
        <v>123</v>
      </c>
      <c r="D8010" t="s">
        <v>32</v>
      </c>
      <c r="E8010" t="s">
        <v>159</v>
      </c>
      <c r="F8010" s="1">
        <v>43051</v>
      </c>
      <c r="G8010" s="1">
        <v>43064</v>
      </c>
      <c r="H8010">
        <v>0</v>
      </c>
      <c r="I8010" t="str">
        <f>IF(COUNTIF(Products!$A$2:$A$8,C8010)=0,C8010,"")</f>
        <v/>
      </c>
      <c r="J8010">
        <f>IF(OR(E8010="Prospecting",E8010="Engaging"),VLOOKUP(C8010,Products!$A$2:$C$8,3,FALSE),0)</f>
        <v>0</v>
      </c>
    </row>
    <row r="8011" spans="1:10" x14ac:dyDescent="0.25">
      <c r="A8011" t="s">
        <v>8178</v>
      </c>
      <c r="B8011" t="s">
        <v>239</v>
      </c>
      <c r="C8011" t="s">
        <v>127</v>
      </c>
      <c r="D8011" t="s">
        <v>105</v>
      </c>
      <c r="E8011" t="s">
        <v>138</v>
      </c>
      <c r="F8011" s="1">
        <v>43051</v>
      </c>
      <c r="G8011" s="1">
        <v>43052</v>
      </c>
      <c r="H8011">
        <v>1138</v>
      </c>
      <c r="I8011" t="str">
        <f>IF(COUNTIF(Products!$A$2:$A$8,C8011)=0,C8011,"")</f>
        <v/>
      </c>
      <c r="J8011">
        <f>IF(OR(E8011="Prospecting",E8011="Engaging"),VLOOKUP(C8011,Products!$A$2:$C$8,3,FALSE),0)</f>
        <v>0</v>
      </c>
    </row>
    <row r="8012" spans="1:10" x14ac:dyDescent="0.25">
      <c r="A8012" t="s">
        <v>8179</v>
      </c>
      <c r="B8012" t="s">
        <v>140</v>
      </c>
      <c r="C8012" t="s">
        <v>123</v>
      </c>
      <c r="D8012" t="s">
        <v>96</v>
      </c>
      <c r="E8012" t="s">
        <v>138</v>
      </c>
      <c r="F8012" s="1">
        <v>43051</v>
      </c>
      <c r="G8012" s="1">
        <v>43090</v>
      </c>
      <c r="H8012">
        <v>49</v>
      </c>
      <c r="I8012" t="str">
        <f>IF(COUNTIF(Products!$A$2:$A$8,C8012)=0,C8012,"")</f>
        <v/>
      </c>
      <c r="J8012">
        <f>IF(OR(E8012="Prospecting",E8012="Engaging"),VLOOKUP(C8012,Products!$A$2:$C$8,3,FALSE),0)</f>
        <v>0</v>
      </c>
    </row>
    <row r="8013" spans="1:10" x14ac:dyDescent="0.25">
      <c r="A8013" t="s">
        <v>8180</v>
      </c>
      <c r="B8013" t="s">
        <v>198</v>
      </c>
      <c r="C8013" t="s">
        <v>125</v>
      </c>
      <c r="D8013" t="s">
        <v>98</v>
      </c>
      <c r="E8013" t="s">
        <v>159</v>
      </c>
      <c r="F8013" s="1">
        <v>43051</v>
      </c>
      <c r="G8013" s="1">
        <v>43060</v>
      </c>
      <c r="H8013">
        <v>0</v>
      </c>
      <c r="I8013" t="str">
        <f>IF(COUNTIF(Products!$A$2:$A$8,C8013)=0,C8013,"")</f>
        <v/>
      </c>
      <c r="J8013">
        <f>IF(OR(E8013="Prospecting",E8013="Engaging"),VLOOKUP(C8013,Products!$A$2:$C$8,3,FALSE),0)</f>
        <v>0</v>
      </c>
    </row>
    <row r="8014" spans="1:10" x14ac:dyDescent="0.25">
      <c r="A8014" t="s">
        <v>8181</v>
      </c>
      <c r="B8014" t="s">
        <v>158</v>
      </c>
      <c r="C8014" t="s">
        <v>120</v>
      </c>
      <c r="D8014" t="s">
        <v>51</v>
      </c>
      <c r="E8014" t="s">
        <v>138</v>
      </c>
      <c r="F8014" s="1">
        <v>43051</v>
      </c>
      <c r="G8014" s="1">
        <v>43097</v>
      </c>
      <c r="H8014">
        <v>650</v>
      </c>
      <c r="I8014" t="str">
        <f>IF(COUNTIF(Products!$A$2:$A$8,C8014)=0,C8014,"")</f>
        <v/>
      </c>
      <c r="J8014">
        <f>IF(OR(E8014="Prospecting",E8014="Engaging"),VLOOKUP(C8014,Products!$A$2:$C$8,3,FALSE),0)</f>
        <v>0</v>
      </c>
    </row>
    <row r="8015" spans="1:10" x14ac:dyDescent="0.25">
      <c r="A8015" t="s">
        <v>8182</v>
      </c>
      <c r="B8015" t="s">
        <v>191</v>
      </c>
      <c r="C8015" t="s">
        <v>120</v>
      </c>
      <c r="D8015" t="s">
        <v>72</v>
      </c>
      <c r="E8015" t="s">
        <v>138</v>
      </c>
      <c r="F8015" s="1">
        <v>43051</v>
      </c>
      <c r="G8015" s="1">
        <v>43098</v>
      </c>
      <c r="H8015">
        <v>470</v>
      </c>
      <c r="I8015" t="str">
        <f>IF(COUNTIF(Products!$A$2:$A$8,C8015)=0,C8015,"")</f>
        <v/>
      </c>
      <c r="J8015">
        <f>IF(OR(E8015="Prospecting",E8015="Engaging"),VLOOKUP(C8015,Products!$A$2:$C$8,3,FALSE),0)</f>
        <v>0</v>
      </c>
    </row>
    <row r="8016" spans="1:10" x14ac:dyDescent="0.25">
      <c r="A8016" t="s">
        <v>8183</v>
      </c>
      <c r="B8016" t="s">
        <v>217</v>
      </c>
      <c r="C8016" t="s">
        <v>120</v>
      </c>
      <c r="D8016" t="s">
        <v>64</v>
      </c>
      <c r="E8016" t="s">
        <v>138</v>
      </c>
      <c r="F8016" s="1">
        <v>43051</v>
      </c>
      <c r="G8016" s="1">
        <v>43100</v>
      </c>
      <c r="H8016">
        <v>567</v>
      </c>
      <c r="I8016" t="str">
        <f>IF(COUNTIF(Products!$A$2:$A$8,C8016)=0,C8016,"")</f>
        <v/>
      </c>
      <c r="J8016">
        <f>IF(OR(E8016="Prospecting",E8016="Engaging"),VLOOKUP(C8016,Products!$A$2:$C$8,3,FALSE),0)</f>
        <v>0</v>
      </c>
    </row>
    <row r="8017" spans="1:10" x14ac:dyDescent="0.25">
      <c r="A8017" t="s">
        <v>8184</v>
      </c>
      <c r="B8017" t="s">
        <v>150</v>
      </c>
      <c r="C8017" t="s">
        <v>125</v>
      </c>
      <c r="D8017" t="s">
        <v>78</v>
      </c>
      <c r="E8017" t="s">
        <v>138</v>
      </c>
      <c r="F8017" s="1">
        <v>43051</v>
      </c>
      <c r="G8017" s="1">
        <v>43094</v>
      </c>
      <c r="H8017">
        <v>3836</v>
      </c>
      <c r="I8017" t="str">
        <f>IF(COUNTIF(Products!$A$2:$A$8,C8017)=0,C8017,"")</f>
        <v/>
      </c>
      <c r="J8017">
        <f>IF(OR(E8017="Prospecting",E8017="Engaging"),VLOOKUP(C8017,Products!$A$2:$C$8,3,FALSE),0)</f>
        <v>0</v>
      </c>
    </row>
    <row r="8018" spans="1:10" x14ac:dyDescent="0.25">
      <c r="A8018" t="s">
        <v>8185</v>
      </c>
      <c r="B8018" t="s">
        <v>205</v>
      </c>
      <c r="C8018" t="s">
        <v>126</v>
      </c>
      <c r="D8018" t="s">
        <v>85</v>
      </c>
      <c r="E8018" t="s">
        <v>138</v>
      </c>
      <c r="F8018" s="1">
        <v>43051</v>
      </c>
      <c r="G8018" s="1">
        <v>43053</v>
      </c>
      <c r="H8018">
        <v>5916</v>
      </c>
      <c r="I8018" t="str">
        <f>IF(COUNTIF(Products!$A$2:$A$8,C8018)=0,C8018,"")</f>
        <v/>
      </c>
      <c r="J8018">
        <f>IF(OR(E8018="Prospecting",E8018="Engaging"),VLOOKUP(C8018,Products!$A$2:$C$8,3,FALSE),0)</f>
        <v>0</v>
      </c>
    </row>
    <row r="8019" spans="1:10" x14ac:dyDescent="0.25">
      <c r="A8019" t="s">
        <v>8186</v>
      </c>
      <c r="B8019" t="s">
        <v>162</v>
      </c>
      <c r="C8019" t="s">
        <v>127</v>
      </c>
      <c r="D8019" t="s">
        <v>23</v>
      </c>
      <c r="E8019" t="s">
        <v>138</v>
      </c>
      <c r="F8019" s="1">
        <v>43051</v>
      </c>
      <c r="G8019" s="1">
        <v>43061</v>
      </c>
      <c r="H8019">
        <v>938</v>
      </c>
      <c r="I8019" t="str">
        <f>IF(COUNTIF(Products!$A$2:$A$8,C8019)=0,C8019,"")</f>
        <v/>
      </c>
      <c r="J8019">
        <f>IF(OR(E8019="Prospecting",E8019="Engaging"),VLOOKUP(C8019,Products!$A$2:$C$8,3,FALSE),0)</f>
        <v>0</v>
      </c>
    </row>
    <row r="8020" spans="1:10" x14ac:dyDescent="0.25">
      <c r="A8020" t="s">
        <v>8187</v>
      </c>
      <c r="B8020" t="s">
        <v>162</v>
      </c>
      <c r="C8020" t="s">
        <v>127</v>
      </c>
      <c r="D8020" t="s">
        <v>67</v>
      </c>
      <c r="E8020" t="s">
        <v>138</v>
      </c>
      <c r="F8020" s="1">
        <v>43051</v>
      </c>
      <c r="G8020" s="1">
        <v>43054</v>
      </c>
      <c r="H8020">
        <v>1124</v>
      </c>
      <c r="I8020" t="str">
        <f>IF(COUNTIF(Products!$A$2:$A$8,C8020)=0,C8020,"")</f>
        <v/>
      </c>
      <c r="J8020">
        <f>IF(OR(E8020="Prospecting",E8020="Engaging"),VLOOKUP(C8020,Products!$A$2:$C$8,3,FALSE),0)</f>
        <v>0</v>
      </c>
    </row>
    <row r="8021" spans="1:10" x14ac:dyDescent="0.25">
      <c r="A8021" t="s">
        <v>8188</v>
      </c>
      <c r="B8021" t="s">
        <v>169</v>
      </c>
      <c r="C8021" t="s">
        <v>123</v>
      </c>
      <c r="D8021" t="s">
        <v>55</v>
      </c>
      <c r="E8021" t="s">
        <v>138</v>
      </c>
      <c r="F8021" s="1">
        <v>43051</v>
      </c>
      <c r="G8021" s="1">
        <v>43070</v>
      </c>
      <c r="H8021">
        <v>61</v>
      </c>
      <c r="I8021" t="str">
        <f>IF(COUNTIF(Products!$A$2:$A$8,C8021)=0,C8021,"")</f>
        <v/>
      </c>
      <c r="J8021">
        <f>IF(OR(E8021="Prospecting",E8021="Engaging"),VLOOKUP(C8021,Products!$A$2:$C$8,3,FALSE),0)</f>
        <v>0</v>
      </c>
    </row>
    <row r="8022" spans="1:10" x14ac:dyDescent="0.25">
      <c r="A8022" t="s">
        <v>8189</v>
      </c>
      <c r="B8022" t="s">
        <v>148</v>
      </c>
      <c r="C8022" t="s">
        <v>123</v>
      </c>
      <c r="D8022" t="s">
        <v>39</v>
      </c>
      <c r="E8022" t="s">
        <v>159</v>
      </c>
      <c r="F8022" s="1">
        <v>43051</v>
      </c>
      <c r="G8022" s="1">
        <v>43093</v>
      </c>
      <c r="H8022">
        <v>0</v>
      </c>
      <c r="I8022" t="str">
        <f>IF(COUNTIF(Products!$A$2:$A$8,C8022)=0,C8022,"")</f>
        <v/>
      </c>
      <c r="J8022">
        <f>IF(OR(E8022="Prospecting",E8022="Engaging"),VLOOKUP(C8022,Products!$A$2:$C$8,3,FALSE),0)</f>
        <v>0</v>
      </c>
    </row>
    <row r="8023" spans="1:10" x14ac:dyDescent="0.25">
      <c r="A8023" t="s">
        <v>8190</v>
      </c>
      <c r="B8023" t="s">
        <v>196</v>
      </c>
      <c r="C8023" t="s">
        <v>125</v>
      </c>
      <c r="D8023" t="s">
        <v>73</v>
      </c>
      <c r="E8023" t="s">
        <v>138</v>
      </c>
      <c r="F8023" s="1">
        <v>43051</v>
      </c>
      <c r="G8023" s="1">
        <v>43058</v>
      </c>
      <c r="H8023">
        <v>4011</v>
      </c>
      <c r="I8023" t="str">
        <f>IF(COUNTIF(Products!$A$2:$A$8,C8023)=0,C8023,"")</f>
        <v/>
      </c>
      <c r="J8023">
        <f>IF(OR(E8023="Prospecting",E8023="Engaging"),VLOOKUP(C8023,Products!$A$2:$C$8,3,FALSE),0)</f>
        <v>0</v>
      </c>
    </row>
    <row r="8024" spans="1:10" x14ac:dyDescent="0.25">
      <c r="A8024" t="s">
        <v>8191</v>
      </c>
      <c r="B8024" t="s">
        <v>144</v>
      </c>
      <c r="C8024" t="s">
        <v>127</v>
      </c>
      <c r="D8024" t="s">
        <v>60</v>
      </c>
      <c r="E8024" t="s">
        <v>159</v>
      </c>
      <c r="F8024" s="1">
        <v>43051</v>
      </c>
      <c r="G8024" s="1">
        <v>43054</v>
      </c>
      <c r="H8024">
        <v>0</v>
      </c>
      <c r="I8024" t="str">
        <f>IF(COUNTIF(Products!$A$2:$A$8,C8024)=0,C8024,"")</f>
        <v/>
      </c>
      <c r="J8024">
        <f>IF(OR(E8024="Prospecting",E8024="Engaging"),VLOOKUP(C8024,Products!$A$2:$C$8,3,FALSE),0)</f>
        <v>0</v>
      </c>
    </row>
    <row r="8025" spans="1:10" x14ac:dyDescent="0.25">
      <c r="A8025" t="s">
        <v>8192</v>
      </c>
      <c r="B8025" t="s">
        <v>144</v>
      </c>
      <c r="C8025" t="s">
        <v>122</v>
      </c>
      <c r="D8025" t="s">
        <v>83</v>
      </c>
      <c r="E8025" t="s">
        <v>138</v>
      </c>
      <c r="F8025" s="1">
        <v>43051</v>
      </c>
      <c r="G8025" s="1">
        <v>43056</v>
      </c>
      <c r="H8025">
        <v>5144</v>
      </c>
      <c r="I8025" t="str">
        <f>IF(COUNTIF(Products!$A$2:$A$8,C8025)=0,C8025,"")</f>
        <v/>
      </c>
      <c r="J8025">
        <f>IF(OR(E8025="Prospecting",E8025="Engaging"),VLOOKUP(C8025,Products!$A$2:$C$8,3,FALSE),0)</f>
        <v>0</v>
      </c>
    </row>
    <row r="8026" spans="1:10" x14ac:dyDescent="0.25">
      <c r="A8026" t="s">
        <v>8193</v>
      </c>
      <c r="B8026" t="s">
        <v>222</v>
      </c>
      <c r="C8026" t="s">
        <v>120</v>
      </c>
      <c r="D8026" t="s">
        <v>115</v>
      </c>
      <c r="E8026" t="s">
        <v>138</v>
      </c>
      <c r="F8026" s="1">
        <v>43052</v>
      </c>
      <c r="G8026" s="1">
        <v>43063</v>
      </c>
      <c r="H8026">
        <v>493</v>
      </c>
      <c r="I8026" t="str">
        <f>IF(COUNTIF(Products!$A$2:$A$8,C8026)=0,C8026,"")</f>
        <v/>
      </c>
      <c r="J8026">
        <f>IF(OR(E8026="Prospecting",E8026="Engaging"),VLOOKUP(C8026,Products!$A$2:$C$8,3,FALSE),0)</f>
        <v>0</v>
      </c>
    </row>
    <row r="8027" spans="1:10" x14ac:dyDescent="0.25">
      <c r="A8027" t="s">
        <v>8194</v>
      </c>
      <c r="B8027" t="s">
        <v>207</v>
      </c>
      <c r="C8027" t="s">
        <v>120</v>
      </c>
      <c r="D8027" t="s">
        <v>68</v>
      </c>
      <c r="E8027" t="s">
        <v>159</v>
      </c>
      <c r="F8027" s="1">
        <v>43052</v>
      </c>
      <c r="G8027" s="1">
        <v>43062</v>
      </c>
      <c r="H8027">
        <v>0</v>
      </c>
      <c r="I8027" t="str">
        <f>IF(COUNTIF(Products!$A$2:$A$8,C8027)=0,C8027,"")</f>
        <v/>
      </c>
      <c r="J8027">
        <f>IF(OR(E8027="Prospecting",E8027="Engaging"),VLOOKUP(C8027,Products!$A$2:$C$8,3,FALSE),0)</f>
        <v>0</v>
      </c>
    </row>
    <row r="8028" spans="1:10" x14ac:dyDescent="0.25">
      <c r="A8028" t="s">
        <v>8195</v>
      </c>
      <c r="B8028" t="s">
        <v>171</v>
      </c>
      <c r="C8028" t="s">
        <v>127</v>
      </c>
      <c r="D8028" t="s">
        <v>68</v>
      </c>
      <c r="E8028" t="s">
        <v>138</v>
      </c>
      <c r="F8028" s="1">
        <v>43052</v>
      </c>
      <c r="G8028" s="1">
        <v>43059</v>
      </c>
      <c r="H8028">
        <v>1224</v>
      </c>
      <c r="I8028" t="str">
        <f>IF(COUNTIF(Products!$A$2:$A$8,C8028)=0,C8028,"")</f>
        <v/>
      </c>
      <c r="J8028">
        <f>IF(OR(E8028="Prospecting",E8028="Engaging"),VLOOKUP(C8028,Products!$A$2:$C$8,3,FALSE),0)</f>
        <v>0</v>
      </c>
    </row>
    <row r="8029" spans="1:10" x14ac:dyDescent="0.25">
      <c r="A8029" t="s">
        <v>8196</v>
      </c>
      <c r="B8029" t="s">
        <v>303</v>
      </c>
      <c r="C8029" t="s">
        <v>120</v>
      </c>
      <c r="D8029" t="s">
        <v>64</v>
      </c>
      <c r="E8029" t="s">
        <v>159</v>
      </c>
      <c r="F8029" s="1">
        <v>43052</v>
      </c>
      <c r="G8029" s="1">
        <v>43060</v>
      </c>
      <c r="H8029">
        <v>0</v>
      </c>
      <c r="I8029" t="str">
        <f>IF(COUNTIF(Products!$A$2:$A$8,C8029)=0,C8029,"")</f>
        <v/>
      </c>
      <c r="J8029">
        <f>IF(OR(E8029="Prospecting",E8029="Engaging"),VLOOKUP(C8029,Products!$A$2:$C$8,3,FALSE),0)</f>
        <v>0</v>
      </c>
    </row>
    <row r="8030" spans="1:10" x14ac:dyDescent="0.25">
      <c r="A8030" t="s">
        <v>8197</v>
      </c>
      <c r="B8030" t="s">
        <v>180</v>
      </c>
      <c r="C8030" t="s">
        <v>120</v>
      </c>
      <c r="D8030" t="s">
        <v>69</v>
      </c>
      <c r="E8030" t="s">
        <v>159</v>
      </c>
      <c r="F8030" s="1">
        <v>43052</v>
      </c>
      <c r="G8030" s="1">
        <v>43053</v>
      </c>
      <c r="H8030">
        <v>0</v>
      </c>
      <c r="I8030" t="str">
        <f>IF(COUNTIF(Products!$A$2:$A$8,C8030)=0,C8030,"")</f>
        <v/>
      </c>
      <c r="J8030">
        <f>IF(OR(E8030="Prospecting",E8030="Engaging"),VLOOKUP(C8030,Products!$A$2:$C$8,3,FALSE),0)</f>
        <v>0</v>
      </c>
    </row>
    <row r="8031" spans="1:10" x14ac:dyDescent="0.25">
      <c r="A8031" t="s">
        <v>8198</v>
      </c>
      <c r="B8031" t="s">
        <v>180</v>
      </c>
      <c r="C8031" t="s">
        <v>122</v>
      </c>
      <c r="D8031" t="s">
        <v>61</v>
      </c>
      <c r="E8031" t="s">
        <v>159</v>
      </c>
      <c r="F8031" s="1">
        <v>43052</v>
      </c>
      <c r="G8031" s="1">
        <v>43069</v>
      </c>
      <c r="H8031">
        <v>0</v>
      </c>
      <c r="I8031" t="str">
        <f>IF(COUNTIF(Products!$A$2:$A$8,C8031)=0,C8031,"")</f>
        <v/>
      </c>
      <c r="J8031">
        <f>IF(OR(E8031="Prospecting",E8031="Engaging"),VLOOKUP(C8031,Products!$A$2:$C$8,3,FALSE),0)</f>
        <v>0</v>
      </c>
    </row>
    <row r="8032" spans="1:10" x14ac:dyDescent="0.25">
      <c r="A8032" t="s">
        <v>8199</v>
      </c>
      <c r="B8032" t="s">
        <v>217</v>
      </c>
      <c r="C8032" t="s">
        <v>120</v>
      </c>
      <c r="D8032" t="s">
        <v>96</v>
      </c>
      <c r="E8032" t="s">
        <v>159</v>
      </c>
      <c r="F8032" s="1">
        <v>43052</v>
      </c>
      <c r="G8032" s="1">
        <v>43058</v>
      </c>
      <c r="H8032">
        <v>0</v>
      </c>
      <c r="I8032" t="str">
        <f>IF(COUNTIF(Products!$A$2:$A$8,C8032)=0,C8032,"")</f>
        <v/>
      </c>
      <c r="J8032">
        <f>IF(OR(E8032="Prospecting",E8032="Engaging"),VLOOKUP(C8032,Products!$A$2:$C$8,3,FALSE),0)</f>
        <v>0</v>
      </c>
    </row>
    <row r="8033" spans="1:10" x14ac:dyDescent="0.25">
      <c r="A8033" t="s">
        <v>8200</v>
      </c>
      <c r="B8033" t="s">
        <v>162</v>
      </c>
      <c r="C8033" t="s">
        <v>127</v>
      </c>
      <c r="E8033" t="s">
        <v>155</v>
      </c>
      <c r="F8033" s="1">
        <v>43052</v>
      </c>
      <c r="I8033" t="str">
        <f>IF(COUNTIF(Products!$A$2:$A$8,C8033)=0,C8033,"")</f>
        <v/>
      </c>
      <c r="J8033">
        <f>IF(OR(E8033="Prospecting",E8033="Engaging"),VLOOKUP(C8033,Products!$A$2:$C$8,3,FALSE),0)</f>
        <v>1096</v>
      </c>
    </row>
    <row r="8034" spans="1:10" x14ac:dyDescent="0.25">
      <c r="A8034" t="s">
        <v>8201</v>
      </c>
      <c r="B8034" t="s">
        <v>146</v>
      </c>
      <c r="C8034" t="s">
        <v>126</v>
      </c>
      <c r="D8034" t="s">
        <v>104</v>
      </c>
      <c r="E8034" t="s">
        <v>138</v>
      </c>
      <c r="F8034" s="1">
        <v>43053</v>
      </c>
      <c r="G8034" s="1">
        <v>43054</v>
      </c>
      <c r="H8034">
        <v>5276</v>
      </c>
      <c r="I8034" t="str">
        <f>IF(COUNTIF(Products!$A$2:$A$8,C8034)=0,C8034,"")</f>
        <v/>
      </c>
      <c r="J8034">
        <f>IF(OR(E8034="Prospecting",E8034="Engaging"),VLOOKUP(C8034,Products!$A$2:$C$8,3,FALSE),0)</f>
        <v>0</v>
      </c>
    </row>
    <row r="8035" spans="1:10" x14ac:dyDescent="0.25">
      <c r="A8035" t="s">
        <v>8202</v>
      </c>
      <c r="B8035" t="s">
        <v>171</v>
      </c>
      <c r="C8035" t="s">
        <v>127</v>
      </c>
      <c r="D8035" t="s">
        <v>22</v>
      </c>
      <c r="E8035" t="s">
        <v>155</v>
      </c>
      <c r="F8035" s="1">
        <v>43053</v>
      </c>
      <c r="I8035" t="str">
        <f>IF(COUNTIF(Products!$A$2:$A$8,C8035)=0,C8035,"")</f>
        <v/>
      </c>
      <c r="J8035">
        <f>IF(OR(E8035="Prospecting",E8035="Engaging"),VLOOKUP(C8035,Products!$A$2:$C$8,3,FALSE),0)</f>
        <v>1096</v>
      </c>
    </row>
    <row r="8036" spans="1:10" x14ac:dyDescent="0.25">
      <c r="A8036" t="s">
        <v>8203</v>
      </c>
      <c r="B8036" t="s">
        <v>198</v>
      </c>
      <c r="C8036" t="s">
        <v>126</v>
      </c>
      <c r="D8036" t="s">
        <v>16</v>
      </c>
      <c r="E8036" t="s">
        <v>159</v>
      </c>
      <c r="F8036" s="1">
        <v>43053</v>
      </c>
      <c r="G8036" s="1">
        <v>43067</v>
      </c>
      <c r="H8036">
        <v>0</v>
      </c>
      <c r="I8036" t="str">
        <f>IF(COUNTIF(Products!$A$2:$A$8,C8036)=0,C8036,"")</f>
        <v/>
      </c>
      <c r="J8036">
        <f>IF(OR(E8036="Prospecting",E8036="Engaging"),VLOOKUP(C8036,Products!$A$2:$C$8,3,FALSE),0)</f>
        <v>0</v>
      </c>
    </row>
    <row r="8037" spans="1:10" x14ac:dyDescent="0.25">
      <c r="A8037" t="s">
        <v>8204</v>
      </c>
      <c r="B8037" t="s">
        <v>158</v>
      </c>
      <c r="C8037" t="s">
        <v>127</v>
      </c>
      <c r="D8037" t="s">
        <v>70</v>
      </c>
      <c r="E8037" t="s">
        <v>159</v>
      </c>
      <c r="F8037" s="1">
        <v>43053</v>
      </c>
      <c r="G8037" s="1">
        <v>43059</v>
      </c>
      <c r="H8037">
        <v>0</v>
      </c>
      <c r="I8037" t="str">
        <f>IF(COUNTIF(Products!$A$2:$A$8,C8037)=0,C8037,"")</f>
        <v/>
      </c>
      <c r="J8037">
        <f>IF(OR(E8037="Prospecting",E8037="Engaging"),VLOOKUP(C8037,Products!$A$2:$C$8,3,FALSE),0)</f>
        <v>0</v>
      </c>
    </row>
    <row r="8038" spans="1:10" x14ac:dyDescent="0.25">
      <c r="A8038" t="s">
        <v>8205</v>
      </c>
      <c r="B8038" t="s">
        <v>164</v>
      </c>
      <c r="C8038" t="s">
        <v>125</v>
      </c>
      <c r="D8038" t="s">
        <v>90</v>
      </c>
      <c r="E8038" t="s">
        <v>159</v>
      </c>
      <c r="F8038" s="1">
        <v>43053</v>
      </c>
      <c r="G8038" s="1">
        <v>43062</v>
      </c>
      <c r="H8038">
        <v>0</v>
      </c>
      <c r="I8038" t="str">
        <f>IF(COUNTIF(Products!$A$2:$A$8,C8038)=0,C8038,"")</f>
        <v/>
      </c>
      <c r="J8038">
        <f>IF(OR(E8038="Prospecting",E8038="Engaging"),VLOOKUP(C8038,Products!$A$2:$C$8,3,FALSE),0)</f>
        <v>0</v>
      </c>
    </row>
    <row r="8039" spans="1:10" x14ac:dyDescent="0.25">
      <c r="A8039" t="s">
        <v>8206</v>
      </c>
      <c r="B8039" t="s">
        <v>154</v>
      </c>
      <c r="C8039" t="s">
        <v>120</v>
      </c>
      <c r="D8039" t="s">
        <v>109</v>
      </c>
      <c r="E8039" t="s">
        <v>159</v>
      </c>
      <c r="F8039" s="1">
        <v>43053</v>
      </c>
      <c r="G8039" s="1">
        <v>43055</v>
      </c>
      <c r="H8039">
        <v>0</v>
      </c>
      <c r="I8039" t="str">
        <f>IF(COUNTIF(Products!$A$2:$A$8,C8039)=0,C8039,"")</f>
        <v/>
      </c>
      <c r="J8039">
        <f>IF(OR(E8039="Prospecting",E8039="Engaging"),VLOOKUP(C8039,Products!$A$2:$C$8,3,FALSE),0)</f>
        <v>0</v>
      </c>
    </row>
    <row r="8040" spans="1:10" x14ac:dyDescent="0.25">
      <c r="A8040" t="s">
        <v>8207</v>
      </c>
      <c r="B8040" t="s">
        <v>205</v>
      </c>
      <c r="C8040" t="s">
        <v>127</v>
      </c>
      <c r="D8040" t="s">
        <v>88</v>
      </c>
      <c r="E8040" t="s">
        <v>138</v>
      </c>
      <c r="F8040" s="1">
        <v>43053</v>
      </c>
      <c r="G8040" s="1">
        <v>43062</v>
      </c>
      <c r="H8040">
        <v>947</v>
      </c>
      <c r="I8040" t="str">
        <f>IF(COUNTIF(Products!$A$2:$A$8,C8040)=0,C8040,"")</f>
        <v/>
      </c>
      <c r="J8040">
        <f>IF(OR(E8040="Prospecting",E8040="Engaging"),VLOOKUP(C8040,Products!$A$2:$C$8,3,FALSE),0)</f>
        <v>0</v>
      </c>
    </row>
    <row r="8041" spans="1:10" x14ac:dyDescent="0.25">
      <c r="A8041" t="s">
        <v>8208</v>
      </c>
      <c r="B8041" t="s">
        <v>193</v>
      </c>
      <c r="C8041" t="s">
        <v>126</v>
      </c>
      <c r="D8041" t="s">
        <v>69</v>
      </c>
      <c r="E8041" t="s">
        <v>159</v>
      </c>
      <c r="F8041" s="1">
        <v>43053</v>
      </c>
      <c r="G8041" s="1">
        <v>43062</v>
      </c>
      <c r="H8041">
        <v>0</v>
      </c>
      <c r="I8041" t="str">
        <f>IF(COUNTIF(Products!$A$2:$A$8,C8041)=0,C8041,"")</f>
        <v/>
      </c>
      <c r="J8041">
        <f>IF(OR(E8041="Prospecting",E8041="Engaging"),VLOOKUP(C8041,Products!$A$2:$C$8,3,FALSE),0)</f>
        <v>0</v>
      </c>
    </row>
    <row r="8042" spans="1:10" x14ac:dyDescent="0.25">
      <c r="A8042" t="s">
        <v>8209</v>
      </c>
      <c r="B8042" t="s">
        <v>177</v>
      </c>
      <c r="C8042" t="s">
        <v>125</v>
      </c>
      <c r="D8042" t="s">
        <v>68</v>
      </c>
      <c r="E8042" t="s">
        <v>138</v>
      </c>
      <c r="F8042" s="1">
        <v>43053</v>
      </c>
      <c r="G8042" s="1">
        <v>43068</v>
      </c>
      <c r="H8042">
        <v>3342</v>
      </c>
      <c r="I8042" t="str">
        <f>IF(COUNTIF(Products!$A$2:$A$8,C8042)=0,C8042,"")</f>
        <v/>
      </c>
      <c r="J8042">
        <f>IF(OR(E8042="Prospecting",E8042="Engaging"),VLOOKUP(C8042,Products!$A$2:$C$8,3,FALSE),0)</f>
        <v>0</v>
      </c>
    </row>
    <row r="8043" spans="1:10" x14ac:dyDescent="0.25">
      <c r="A8043" t="s">
        <v>8210</v>
      </c>
      <c r="B8043" t="s">
        <v>222</v>
      </c>
      <c r="C8043" t="s">
        <v>126</v>
      </c>
      <c r="D8043" t="s">
        <v>48</v>
      </c>
      <c r="E8043" t="s">
        <v>138</v>
      </c>
      <c r="F8043" s="1">
        <v>43054</v>
      </c>
      <c r="G8043" s="1">
        <v>43099</v>
      </c>
      <c r="H8043">
        <v>5610</v>
      </c>
      <c r="I8043" t="str">
        <f>IF(COUNTIF(Products!$A$2:$A$8,C8043)=0,C8043,"")</f>
        <v/>
      </c>
      <c r="J8043">
        <f>IF(OR(E8043="Prospecting",E8043="Engaging"),VLOOKUP(C8043,Products!$A$2:$C$8,3,FALSE),0)</f>
        <v>0</v>
      </c>
    </row>
    <row r="8044" spans="1:10" x14ac:dyDescent="0.25">
      <c r="A8044" t="s">
        <v>8211</v>
      </c>
      <c r="B8044" t="s">
        <v>207</v>
      </c>
      <c r="C8044" t="s">
        <v>125</v>
      </c>
      <c r="D8044" t="s">
        <v>27</v>
      </c>
      <c r="E8044" t="s">
        <v>159</v>
      </c>
      <c r="F8044" s="1">
        <v>43054</v>
      </c>
      <c r="G8044" s="1">
        <v>43084</v>
      </c>
      <c r="H8044">
        <v>0</v>
      </c>
      <c r="I8044" t="str">
        <f>IF(COUNTIF(Products!$A$2:$A$8,C8044)=0,C8044,"")</f>
        <v/>
      </c>
      <c r="J8044">
        <f>IF(OR(E8044="Prospecting",E8044="Engaging"),VLOOKUP(C8044,Products!$A$2:$C$8,3,FALSE),0)</f>
        <v>0</v>
      </c>
    </row>
    <row r="8045" spans="1:10" x14ac:dyDescent="0.25">
      <c r="A8045" t="s">
        <v>8212</v>
      </c>
      <c r="B8045" t="s">
        <v>207</v>
      </c>
      <c r="C8045" t="s">
        <v>120</v>
      </c>
      <c r="D8045" t="s">
        <v>35</v>
      </c>
      <c r="E8045" t="s">
        <v>138</v>
      </c>
      <c r="F8045" s="1">
        <v>43054</v>
      </c>
      <c r="G8045" s="1">
        <v>43069</v>
      </c>
      <c r="H8045">
        <v>557</v>
      </c>
      <c r="I8045" t="str">
        <f>IF(COUNTIF(Products!$A$2:$A$8,C8045)=0,C8045,"")</f>
        <v/>
      </c>
      <c r="J8045">
        <f>IF(OR(E8045="Prospecting",E8045="Engaging"),VLOOKUP(C8045,Products!$A$2:$C$8,3,FALSE),0)</f>
        <v>0</v>
      </c>
    </row>
    <row r="8046" spans="1:10" x14ac:dyDescent="0.25">
      <c r="A8046" t="s">
        <v>8213</v>
      </c>
      <c r="B8046" t="s">
        <v>140</v>
      </c>
      <c r="C8046" t="s">
        <v>122</v>
      </c>
      <c r="D8046" t="s">
        <v>77</v>
      </c>
      <c r="E8046" t="s">
        <v>159</v>
      </c>
      <c r="F8046" s="1">
        <v>43054</v>
      </c>
      <c r="G8046" s="1">
        <v>43059</v>
      </c>
      <c r="H8046">
        <v>0</v>
      </c>
      <c r="I8046" t="str">
        <f>IF(COUNTIF(Products!$A$2:$A$8,C8046)=0,C8046,"")</f>
        <v/>
      </c>
      <c r="J8046">
        <f>IF(OR(E8046="Prospecting",E8046="Engaging"),VLOOKUP(C8046,Products!$A$2:$C$8,3,FALSE),0)</f>
        <v>0</v>
      </c>
    </row>
    <row r="8047" spans="1:10" x14ac:dyDescent="0.25">
      <c r="A8047" t="s">
        <v>8214</v>
      </c>
      <c r="B8047" t="s">
        <v>140</v>
      </c>
      <c r="C8047" t="s">
        <v>122</v>
      </c>
      <c r="D8047" t="s">
        <v>30</v>
      </c>
      <c r="E8047" t="s">
        <v>138</v>
      </c>
      <c r="F8047" s="1">
        <v>43054</v>
      </c>
      <c r="G8047" s="1">
        <v>43069</v>
      </c>
      <c r="H8047">
        <v>5600</v>
      </c>
      <c r="I8047" t="str">
        <f>IF(COUNTIF(Products!$A$2:$A$8,C8047)=0,C8047,"")</f>
        <v/>
      </c>
      <c r="J8047">
        <f>IF(OR(E8047="Prospecting",E8047="Engaging"),VLOOKUP(C8047,Products!$A$2:$C$8,3,FALSE),0)</f>
        <v>0</v>
      </c>
    </row>
    <row r="8048" spans="1:10" x14ac:dyDescent="0.25">
      <c r="A8048" t="s">
        <v>8215</v>
      </c>
      <c r="B8048" t="s">
        <v>224</v>
      </c>
      <c r="C8048" t="s">
        <v>122</v>
      </c>
      <c r="D8048" t="s">
        <v>7</v>
      </c>
      <c r="E8048" t="s">
        <v>138</v>
      </c>
      <c r="F8048" s="1">
        <v>43054</v>
      </c>
      <c r="G8048" s="1">
        <v>43096</v>
      </c>
      <c r="H8048">
        <v>4980</v>
      </c>
      <c r="I8048" t="str">
        <f>IF(COUNTIF(Products!$A$2:$A$8,C8048)=0,C8048,"")</f>
        <v/>
      </c>
      <c r="J8048">
        <f>IF(OR(E8048="Prospecting",E8048="Engaging"),VLOOKUP(C8048,Products!$A$2:$C$8,3,FALSE),0)</f>
        <v>0</v>
      </c>
    </row>
    <row r="8049" spans="1:10" x14ac:dyDescent="0.25">
      <c r="A8049" t="s">
        <v>8216</v>
      </c>
      <c r="B8049" t="s">
        <v>180</v>
      </c>
      <c r="C8049" t="s">
        <v>123</v>
      </c>
      <c r="D8049" t="s">
        <v>90</v>
      </c>
      <c r="E8049" t="s">
        <v>155</v>
      </c>
      <c r="F8049" s="1">
        <v>43054</v>
      </c>
      <c r="I8049" t="str">
        <f>IF(COUNTIF(Products!$A$2:$A$8,C8049)=0,C8049,"")</f>
        <v/>
      </c>
      <c r="J8049">
        <f>IF(OR(E8049="Prospecting",E8049="Engaging"),VLOOKUP(C8049,Products!$A$2:$C$8,3,FALSE),0)</f>
        <v>55</v>
      </c>
    </row>
    <row r="8050" spans="1:10" x14ac:dyDescent="0.25">
      <c r="A8050" t="s">
        <v>8217</v>
      </c>
      <c r="B8050" t="s">
        <v>180</v>
      </c>
      <c r="C8050" t="s">
        <v>122</v>
      </c>
      <c r="D8050" t="s">
        <v>67</v>
      </c>
      <c r="E8050" t="s">
        <v>159</v>
      </c>
      <c r="F8050" s="1">
        <v>43054</v>
      </c>
      <c r="G8050" s="1">
        <v>43061</v>
      </c>
      <c r="H8050">
        <v>0</v>
      </c>
      <c r="I8050" t="str">
        <f>IF(COUNTIF(Products!$A$2:$A$8,C8050)=0,C8050,"")</f>
        <v/>
      </c>
      <c r="J8050">
        <f>IF(OR(E8050="Prospecting",E8050="Engaging"),VLOOKUP(C8050,Products!$A$2:$C$8,3,FALSE),0)</f>
        <v>0</v>
      </c>
    </row>
    <row r="8051" spans="1:10" x14ac:dyDescent="0.25">
      <c r="A8051" t="s">
        <v>8218</v>
      </c>
      <c r="B8051" t="s">
        <v>191</v>
      </c>
      <c r="C8051" t="s">
        <v>120</v>
      </c>
      <c r="D8051" t="s">
        <v>69</v>
      </c>
      <c r="E8051" t="s">
        <v>159</v>
      </c>
      <c r="F8051" s="1">
        <v>43054</v>
      </c>
      <c r="G8051" s="1">
        <v>43067</v>
      </c>
      <c r="H8051">
        <v>0</v>
      </c>
      <c r="I8051" t="str">
        <f>IF(COUNTIF(Products!$A$2:$A$8,C8051)=0,C8051,"")</f>
        <v/>
      </c>
      <c r="J8051">
        <f>IF(OR(E8051="Prospecting",E8051="Engaging"),VLOOKUP(C8051,Products!$A$2:$C$8,3,FALSE),0)</f>
        <v>0</v>
      </c>
    </row>
    <row r="8052" spans="1:10" x14ac:dyDescent="0.25">
      <c r="A8052" t="s">
        <v>8219</v>
      </c>
      <c r="B8052" t="s">
        <v>144</v>
      </c>
      <c r="C8052" t="s">
        <v>120</v>
      </c>
      <c r="D8052" t="s">
        <v>67</v>
      </c>
      <c r="E8052" t="s">
        <v>138</v>
      </c>
      <c r="F8052" s="1">
        <v>43054</v>
      </c>
      <c r="G8052" s="1">
        <v>43064</v>
      </c>
      <c r="H8052">
        <v>530</v>
      </c>
      <c r="I8052" t="str">
        <f>IF(COUNTIF(Products!$A$2:$A$8,C8052)=0,C8052,"")</f>
        <v/>
      </c>
      <c r="J8052">
        <f>IF(OR(E8052="Prospecting",E8052="Engaging"),VLOOKUP(C8052,Products!$A$2:$C$8,3,FALSE),0)</f>
        <v>0</v>
      </c>
    </row>
    <row r="8053" spans="1:10" x14ac:dyDescent="0.25">
      <c r="A8053" t="s">
        <v>8220</v>
      </c>
      <c r="B8053" t="s">
        <v>146</v>
      </c>
      <c r="C8053" t="s">
        <v>125</v>
      </c>
      <c r="D8053" t="s">
        <v>61</v>
      </c>
      <c r="E8053" t="s">
        <v>138</v>
      </c>
      <c r="F8053" s="1">
        <v>43055</v>
      </c>
      <c r="G8053" s="1">
        <v>43100</v>
      </c>
      <c r="H8053">
        <v>3300</v>
      </c>
      <c r="I8053" t="str">
        <f>IF(COUNTIF(Products!$A$2:$A$8,C8053)=0,C8053,"")</f>
        <v/>
      </c>
      <c r="J8053">
        <f>IF(OR(E8053="Prospecting",E8053="Engaging"),VLOOKUP(C8053,Products!$A$2:$C$8,3,FALSE),0)</f>
        <v>0</v>
      </c>
    </row>
    <row r="8054" spans="1:10" x14ac:dyDescent="0.25">
      <c r="A8054" t="s">
        <v>8221</v>
      </c>
      <c r="B8054" t="s">
        <v>222</v>
      </c>
      <c r="C8054" t="s">
        <v>125</v>
      </c>
      <c r="E8054" t="s">
        <v>155</v>
      </c>
      <c r="F8054" s="1">
        <v>43055</v>
      </c>
      <c r="I8054" t="str">
        <f>IF(COUNTIF(Products!$A$2:$A$8,C8054)=0,C8054,"")</f>
        <v/>
      </c>
      <c r="J8054">
        <f>IF(OR(E8054="Prospecting",E8054="Engaging"),VLOOKUP(C8054,Products!$A$2:$C$8,3,FALSE),0)</f>
        <v>3393</v>
      </c>
    </row>
    <row r="8055" spans="1:10" x14ac:dyDescent="0.25">
      <c r="A8055" t="s">
        <v>8222</v>
      </c>
      <c r="B8055" t="s">
        <v>164</v>
      </c>
      <c r="C8055" t="s">
        <v>125</v>
      </c>
      <c r="D8055" t="s">
        <v>69</v>
      </c>
      <c r="E8055" t="s">
        <v>138</v>
      </c>
      <c r="F8055" s="1">
        <v>43055</v>
      </c>
      <c r="G8055" s="1">
        <v>43059</v>
      </c>
      <c r="H8055">
        <v>3664</v>
      </c>
      <c r="I8055" t="str">
        <f>IF(COUNTIF(Products!$A$2:$A$8,C8055)=0,C8055,"")</f>
        <v/>
      </c>
      <c r="J8055">
        <f>IF(OR(E8055="Prospecting",E8055="Engaging"),VLOOKUP(C8055,Products!$A$2:$C$8,3,FALSE),0)</f>
        <v>0</v>
      </c>
    </row>
    <row r="8056" spans="1:10" x14ac:dyDescent="0.25">
      <c r="A8056" t="s">
        <v>8223</v>
      </c>
      <c r="B8056" t="s">
        <v>154</v>
      </c>
      <c r="C8056" t="s">
        <v>126</v>
      </c>
      <c r="D8056" t="s">
        <v>69</v>
      </c>
      <c r="E8056" t="s">
        <v>159</v>
      </c>
      <c r="F8056" s="1">
        <v>43055</v>
      </c>
      <c r="G8056" s="1">
        <v>43059</v>
      </c>
      <c r="H8056">
        <v>0</v>
      </c>
      <c r="I8056" t="str">
        <f>IF(COUNTIF(Products!$A$2:$A$8,C8056)=0,C8056,"")</f>
        <v/>
      </c>
      <c r="J8056">
        <f>IF(OR(E8056="Prospecting",E8056="Engaging"),VLOOKUP(C8056,Products!$A$2:$C$8,3,FALSE),0)</f>
        <v>0</v>
      </c>
    </row>
    <row r="8057" spans="1:10" x14ac:dyDescent="0.25">
      <c r="A8057" t="s">
        <v>8224</v>
      </c>
      <c r="B8057" t="s">
        <v>303</v>
      </c>
      <c r="C8057" t="s">
        <v>120</v>
      </c>
      <c r="D8057" t="s">
        <v>94</v>
      </c>
      <c r="E8057" t="s">
        <v>138</v>
      </c>
      <c r="F8057" s="1">
        <v>43055</v>
      </c>
      <c r="G8057" s="1">
        <v>43061</v>
      </c>
      <c r="H8057">
        <v>575</v>
      </c>
      <c r="I8057" t="str">
        <f>IF(COUNTIF(Products!$A$2:$A$8,C8057)=0,C8057,"")</f>
        <v/>
      </c>
      <c r="J8057">
        <f>IF(OR(E8057="Prospecting",E8057="Engaging"),VLOOKUP(C8057,Products!$A$2:$C$8,3,FALSE),0)</f>
        <v>0</v>
      </c>
    </row>
    <row r="8058" spans="1:10" x14ac:dyDescent="0.25">
      <c r="A8058" t="s">
        <v>8225</v>
      </c>
      <c r="B8058" t="s">
        <v>150</v>
      </c>
      <c r="C8058" t="s">
        <v>123</v>
      </c>
      <c r="D8058" t="s">
        <v>17</v>
      </c>
      <c r="E8058" t="s">
        <v>159</v>
      </c>
      <c r="F8058" s="1">
        <v>43055</v>
      </c>
      <c r="G8058" s="1">
        <v>43062</v>
      </c>
      <c r="H8058">
        <v>0</v>
      </c>
      <c r="I8058" t="str">
        <f>IF(COUNTIF(Products!$A$2:$A$8,C8058)=0,C8058,"")</f>
        <v/>
      </c>
      <c r="J8058">
        <f>IF(OR(E8058="Prospecting",E8058="Engaging"),VLOOKUP(C8058,Products!$A$2:$C$8,3,FALSE),0)</f>
        <v>0</v>
      </c>
    </row>
    <row r="8059" spans="1:10" x14ac:dyDescent="0.25">
      <c r="A8059" t="s">
        <v>8226</v>
      </c>
      <c r="B8059" t="s">
        <v>162</v>
      </c>
      <c r="C8059" t="s">
        <v>127</v>
      </c>
      <c r="E8059" t="s">
        <v>155</v>
      </c>
      <c r="F8059" s="1">
        <v>43055</v>
      </c>
      <c r="I8059" t="str">
        <f>IF(COUNTIF(Products!$A$2:$A$8,C8059)=0,C8059,"")</f>
        <v/>
      </c>
      <c r="J8059">
        <f>IF(OR(E8059="Prospecting",E8059="Engaging"),VLOOKUP(C8059,Products!$A$2:$C$8,3,FALSE),0)</f>
        <v>1096</v>
      </c>
    </row>
    <row r="8060" spans="1:10" x14ac:dyDescent="0.25">
      <c r="A8060" t="s">
        <v>8227</v>
      </c>
      <c r="B8060" t="s">
        <v>162</v>
      </c>
      <c r="C8060" t="s">
        <v>125</v>
      </c>
      <c r="D8060" t="s">
        <v>66</v>
      </c>
      <c r="E8060" t="s">
        <v>138</v>
      </c>
      <c r="F8060" s="1">
        <v>43055</v>
      </c>
      <c r="G8060" s="1">
        <v>43070</v>
      </c>
      <c r="H8060">
        <v>3271</v>
      </c>
      <c r="I8060" t="str">
        <f>IF(COUNTIF(Products!$A$2:$A$8,C8060)=0,C8060,"")</f>
        <v/>
      </c>
      <c r="J8060">
        <f>IF(OR(E8060="Prospecting",E8060="Engaging"),VLOOKUP(C8060,Products!$A$2:$C$8,3,FALSE),0)</f>
        <v>0</v>
      </c>
    </row>
    <row r="8061" spans="1:10" x14ac:dyDescent="0.25">
      <c r="A8061" t="s">
        <v>8228</v>
      </c>
      <c r="B8061" t="s">
        <v>137</v>
      </c>
      <c r="C8061" t="s">
        <v>126</v>
      </c>
      <c r="D8061" t="s">
        <v>14</v>
      </c>
      <c r="E8061" t="s">
        <v>159</v>
      </c>
      <c r="F8061" s="1">
        <v>43055</v>
      </c>
      <c r="G8061" s="1">
        <v>43056</v>
      </c>
      <c r="H8061">
        <v>0</v>
      </c>
      <c r="I8061" t="str">
        <f>IF(COUNTIF(Products!$A$2:$A$8,C8061)=0,C8061,"")</f>
        <v/>
      </c>
      <c r="J8061">
        <f>IF(OR(E8061="Prospecting",E8061="Engaging"),VLOOKUP(C8061,Products!$A$2:$C$8,3,FALSE),0)</f>
        <v>0</v>
      </c>
    </row>
    <row r="8062" spans="1:10" x14ac:dyDescent="0.25">
      <c r="A8062" t="s">
        <v>8229</v>
      </c>
      <c r="B8062" t="s">
        <v>152</v>
      </c>
      <c r="C8062" t="s">
        <v>127</v>
      </c>
      <c r="D8062" t="s">
        <v>22</v>
      </c>
      <c r="E8062" t="s">
        <v>159</v>
      </c>
      <c r="F8062" s="1">
        <v>43055</v>
      </c>
      <c r="G8062" s="1">
        <v>43065</v>
      </c>
      <c r="H8062">
        <v>0</v>
      </c>
      <c r="I8062" t="str">
        <f>IF(COUNTIF(Products!$A$2:$A$8,C8062)=0,C8062,"")</f>
        <v/>
      </c>
      <c r="J8062">
        <f>IF(OR(E8062="Prospecting",E8062="Engaging"),VLOOKUP(C8062,Products!$A$2:$C$8,3,FALSE),0)</f>
        <v>0</v>
      </c>
    </row>
    <row r="8063" spans="1:10" x14ac:dyDescent="0.25">
      <c r="A8063" t="s">
        <v>8230</v>
      </c>
      <c r="B8063" t="s">
        <v>193</v>
      </c>
      <c r="C8063" t="s">
        <v>127</v>
      </c>
      <c r="D8063" t="s">
        <v>73</v>
      </c>
      <c r="E8063" t="s">
        <v>138</v>
      </c>
      <c r="F8063" s="1">
        <v>43055</v>
      </c>
      <c r="G8063" s="1">
        <v>43063</v>
      </c>
      <c r="H8063">
        <v>1035</v>
      </c>
      <c r="I8063" t="str">
        <f>IF(COUNTIF(Products!$A$2:$A$8,C8063)=0,C8063,"")</f>
        <v/>
      </c>
      <c r="J8063">
        <f>IF(OR(E8063="Prospecting",E8063="Engaging"),VLOOKUP(C8063,Products!$A$2:$C$8,3,FALSE),0)</f>
        <v>0</v>
      </c>
    </row>
    <row r="8064" spans="1:10" x14ac:dyDescent="0.25">
      <c r="A8064" t="s">
        <v>8231</v>
      </c>
      <c r="B8064" t="s">
        <v>222</v>
      </c>
      <c r="C8064" t="s">
        <v>123</v>
      </c>
      <c r="D8064" t="s">
        <v>84</v>
      </c>
      <c r="E8064" t="s">
        <v>159</v>
      </c>
      <c r="F8064" s="1">
        <v>43056</v>
      </c>
      <c r="G8064" s="1">
        <v>43073</v>
      </c>
      <c r="H8064">
        <v>0</v>
      </c>
      <c r="I8064" t="str">
        <f>IF(COUNTIF(Products!$A$2:$A$8,C8064)=0,C8064,"")</f>
        <v/>
      </c>
      <c r="J8064">
        <f>IF(OR(E8064="Prospecting",E8064="Engaging"),VLOOKUP(C8064,Products!$A$2:$C$8,3,FALSE),0)</f>
        <v>0</v>
      </c>
    </row>
    <row r="8065" spans="1:10" x14ac:dyDescent="0.25">
      <c r="A8065" t="s">
        <v>8232</v>
      </c>
      <c r="B8065" t="s">
        <v>140</v>
      </c>
      <c r="C8065" t="s">
        <v>126</v>
      </c>
      <c r="D8065" t="s">
        <v>32</v>
      </c>
      <c r="E8065" t="s">
        <v>138</v>
      </c>
      <c r="F8065" s="1">
        <v>43056</v>
      </c>
      <c r="G8065" s="1">
        <v>43063</v>
      </c>
      <c r="H8065">
        <v>4880</v>
      </c>
      <c r="I8065" t="str">
        <f>IF(COUNTIF(Products!$A$2:$A$8,C8065)=0,C8065,"")</f>
        <v/>
      </c>
      <c r="J8065">
        <f>IF(OR(E8065="Prospecting",E8065="Engaging"),VLOOKUP(C8065,Products!$A$2:$C$8,3,FALSE),0)</f>
        <v>0</v>
      </c>
    </row>
    <row r="8066" spans="1:10" x14ac:dyDescent="0.25">
      <c r="A8066" t="s">
        <v>8233</v>
      </c>
      <c r="B8066" t="s">
        <v>224</v>
      </c>
      <c r="C8066" t="s">
        <v>125</v>
      </c>
      <c r="D8066" t="s">
        <v>110</v>
      </c>
      <c r="E8066" t="s">
        <v>138</v>
      </c>
      <c r="F8066" s="1">
        <v>43056</v>
      </c>
      <c r="G8066" s="1">
        <v>43068</v>
      </c>
      <c r="H8066">
        <v>3644</v>
      </c>
      <c r="I8066" t="str">
        <f>IF(COUNTIF(Products!$A$2:$A$8,C8066)=0,C8066,"")</f>
        <v/>
      </c>
      <c r="J8066">
        <f>IF(OR(E8066="Prospecting",E8066="Engaging"),VLOOKUP(C8066,Products!$A$2:$C$8,3,FALSE),0)</f>
        <v>0</v>
      </c>
    </row>
    <row r="8067" spans="1:10" x14ac:dyDescent="0.25">
      <c r="A8067" t="s">
        <v>8234</v>
      </c>
      <c r="B8067" t="s">
        <v>173</v>
      </c>
      <c r="C8067" t="s">
        <v>125</v>
      </c>
      <c r="D8067" t="s">
        <v>83</v>
      </c>
      <c r="E8067" t="s">
        <v>138</v>
      </c>
      <c r="F8067" s="1">
        <v>43056</v>
      </c>
      <c r="G8067" s="1">
        <v>43082</v>
      </c>
      <c r="H8067">
        <v>3538</v>
      </c>
      <c r="I8067" t="str">
        <f>IF(COUNTIF(Products!$A$2:$A$8,C8067)=0,C8067,"")</f>
        <v/>
      </c>
      <c r="J8067">
        <f>IF(OR(E8067="Prospecting",E8067="Engaging"),VLOOKUP(C8067,Products!$A$2:$C$8,3,FALSE),0)</f>
        <v>0</v>
      </c>
    </row>
    <row r="8068" spans="1:10" x14ac:dyDescent="0.25">
      <c r="A8068" t="s">
        <v>8235</v>
      </c>
      <c r="B8068" t="s">
        <v>180</v>
      </c>
      <c r="C8068" t="s">
        <v>127</v>
      </c>
      <c r="D8068" t="s">
        <v>23</v>
      </c>
      <c r="E8068" t="s">
        <v>159</v>
      </c>
      <c r="F8068" s="1">
        <v>43056</v>
      </c>
      <c r="G8068" s="1">
        <v>43066</v>
      </c>
      <c r="H8068">
        <v>0</v>
      </c>
      <c r="I8068" t="str">
        <f>IF(COUNTIF(Products!$A$2:$A$8,C8068)=0,C8068,"")</f>
        <v/>
      </c>
      <c r="J8068">
        <f>IF(OR(E8068="Prospecting",E8068="Engaging"),VLOOKUP(C8068,Products!$A$2:$C$8,3,FALSE),0)</f>
        <v>0</v>
      </c>
    </row>
    <row r="8069" spans="1:10" x14ac:dyDescent="0.25">
      <c r="A8069" t="s">
        <v>8236</v>
      </c>
      <c r="B8069" t="s">
        <v>191</v>
      </c>
      <c r="C8069" t="s">
        <v>120</v>
      </c>
      <c r="D8069" t="s">
        <v>56</v>
      </c>
      <c r="E8069" t="s">
        <v>159</v>
      </c>
      <c r="F8069" s="1">
        <v>43056</v>
      </c>
      <c r="G8069" s="1">
        <v>43066</v>
      </c>
      <c r="H8069">
        <v>0</v>
      </c>
      <c r="I8069" t="str">
        <f>IF(COUNTIF(Products!$A$2:$A$8,C8069)=0,C8069,"")</f>
        <v/>
      </c>
      <c r="J8069">
        <f>IF(OR(E8069="Prospecting",E8069="Engaging"),VLOOKUP(C8069,Products!$A$2:$C$8,3,FALSE),0)</f>
        <v>0</v>
      </c>
    </row>
    <row r="8070" spans="1:10" x14ac:dyDescent="0.25">
      <c r="A8070" t="s">
        <v>8237</v>
      </c>
      <c r="B8070" t="s">
        <v>193</v>
      </c>
      <c r="C8070" t="s">
        <v>122</v>
      </c>
      <c r="D8070" t="s">
        <v>20</v>
      </c>
      <c r="E8070" t="s">
        <v>138</v>
      </c>
      <c r="F8070" s="1">
        <v>43056</v>
      </c>
      <c r="G8070" s="1">
        <v>43075</v>
      </c>
      <c r="H8070">
        <v>4154</v>
      </c>
      <c r="I8070" t="str">
        <f>IF(COUNTIF(Products!$A$2:$A$8,C8070)=0,C8070,"")</f>
        <v/>
      </c>
      <c r="J8070">
        <f>IF(OR(E8070="Prospecting",E8070="Engaging"),VLOOKUP(C8070,Products!$A$2:$C$8,3,FALSE),0)</f>
        <v>0</v>
      </c>
    </row>
    <row r="8071" spans="1:10" x14ac:dyDescent="0.25">
      <c r="A8071" t="s">
        <v>8238</v>
      </c>
      <c r="B8071" t="s">
        <v>187</v>
      </c>
      <c r="C8071" t="s">
        <v>122</v>
      </c>
      <c r="D8071" t="s">
        <v>37</v>
      </c>
      <c r="E8071" t="s">
        <v>138</v>
      </c>
      <c r="F8071" s="1">
        <v>43056</v>
      </c>
      <c r="G8071" s="1">
        <v>43065</v>
      </c>
      <c r="H8071">
        <v>4620</v>
      </c>
      <c r="I8071" t="str">
        <f>IF(COUNTIF(Products!$A$2:$A$8,C8071)=0,C8071,"")</f>
        <v/>
      </c>
      <c r="J8071">
        <f>IF(OR(E8071="Prospecting",E8071="Engaging"),VLOOKUP(C8071,Products!$A$2:$C$8,3,FALSE),0)</f>
        <v>0</v>
      </c>
    </row>
    <row r="8072" spans="1:10" x14ac:dyDescent="0.25">
      <c r="A8072" t="s">
        <v>8239</v>
      </c>
      <c r="B8072" t="s">
        <v>169</v>
      </c>
      <c r="C8072" t="s">
        <v>126</v>
      </c>
      <c r="D8072" t="s">
        <v>33</v>
      </c>
      <c r="E8072" t="s">
        <v>138</v>
      </c>
      <c r="F8072" s="1">
        <v>43056</v>
      </c>
      <c r="G8072" s="1">
        <v>43057</v>
      </c>
      <c r="H8072">
        <v>5653</v>
      </c>
      <c r="I8072" t="str">
        <f>IF(COUNTIF(Products!$A$2:$A$8,C8072)=0,C8072,"")</f>
        <v/>
      </c>
      <c r="J8072">
        <f>IF(OR(E8072="Prospecting",E8072="Engaging"),VLOOKUP(C8072,Products!$A$2:$C$8,3,FALSE),0)</f>
        <v>0</v>
      </c>
    </row>
    <row r="8073" spans="1:10" x14ac:dyDescent="0.25">
      <c r="A8073" t="s">
        <v>8240</v>
      </c>
      <c r="B8073" t="s">
        <v>177</v>
      </c>
      <c r="C8073" t="s">
        <v>123</v>
      </c>
      <c r="D8073" t="s">
        <v>16</v>
      </c>
      <c r="E8073" t="s">
        <v>159</v>
      </c>
      <c r="F8073" s="1">
        <v>43056</v>
      </c>
      <c r="G8073" s="1">
        <v>43064</v>
      </c>
      <c r="H8073">
        <v>0</v>
      </c>
      <c r="I8073" t="str">
        <f>IF(COUNTIF(Products!$A$2:$A$8,C8073)=0,C8073,"")</f>
        <v/>
      </c>
      <c r="J8073">
        <f>IF(OR(E8073="Prospecting",E8073="Engaging"),VLOOKUP(C8073,Products!$A$2:$C$8,3,FALSE),0)</f>
        <v>0</v>
      </c>
    </row>
    <row r="8074" spans="1:10" x14ac:dyDescent="0.25">
      <c r="A8074" t="s">
        <v>8241</v>
      </c>
      <c r="B8074" t="s">
        <v>177</v>
      </c>
      <c r="C8074" t="s">
        <v>123</v>
      </c>
      <c r="D8074" t="s">
        <v>35</v>
      </c>
      <c r="E8074" t="s">
        <v>138</v>
      </c>
      <c r="F8074" s="1">
        <v>43056</v>
      </c>
      <c r="G8074" s="1">
        <v>43065</v>
      </c>
      <c r="H8074">
        <v>65</v>
      </c>
      <c r="I8074" t="str">
        <f>IF(COUNTIF(Products!$A$2:$A$8,C8074)=0,C8074,"")</f>
        <v/>
      </c>
      <c r="J8074">
        <f>IF(OR(E8074="Prospecting",E8074="Engaging"),VLOOKUP(C8074,Products!$A$2:$C$8,3,FALSE),0)</f>
        <v>0</v>
      </c>
    </row>
    <row r="8075" spans="1:10" x14ac:dyDescent="0.25">
      <c r="A8075" t="s">
        <v>8242</v>
      </c>
      <c r="B8075" t="s">
        <v>144</v>
      </c>
      <c r="C8075" t="s">
        <v>120</v>
      </c>
      <c r="D8075" t="s">
        <v>78</v>
      </c>
      <c r="E8075" t="s">
        <v>138</v>
      </c>
      <c r="F8075" s="1">
        <v>43056</v>
      </c>
      <c r="G8075" s="1">
        <v>43074</v>
      </c>
      <c r="H8075">
        <v>497</v>
      </c>
      <c r="I8075" t="str">
        <f>IF(COUNTIF(Products!$A$2:$A$8,C8075)=0,C8075,"")</f>
        <v/>
      </c>
      <c r="J8075">
        <f>IF(OR(E8075="Prospecting",E8075="Engaging"),VLOOKUP(C8075,Products!$A$2:$C$8,3,FALSE),0)</f>
        <v>0</v>
      </c>
    </row>
    <row r="8076" spans="1:10" x14ac:dyDescent="0.25">
      <c r="A8076" t="s">
        <v>8243</v>
      </c>
      <c r="B8076" t="s">
        <v>222</v>
      </c>
      <c r="C8076" t="s">
        <v>122</v>
      </c>
      <c r="D8076" t="s">
        <v>98</v>
      </c>
      <c r="E8076" t="s">
        <v>138</v>
      </c>
      <c r="F8076" s="1">
        <v>43057</v>
      </c>
      <c r="G8076" s="1">
        <v>43076</v>
      </c>
      <c r="H8076">
        <v>4645</v>
      </c>
      <c r="I8076" t="str">
        <f>IF(COUNTIF(Products!$A$2:$A$8,C8076)=0,C8076,"")</f>
        <v/>
      </c>
      <c r="J8076">
        <f>IF(OR(E8076="Prospecting",E8076="Engaging"),VLOOKUP(C8076,Products!$A$2:$C$8,3,FALSE),0)</f>
        <v>0</v>
      </c>
    </row>
    <row r="8077" spans="1:10" x14ac:dyDescent="0.25">
      <c r="A8077" t="s">
        <v>8244</v>
      </c>
      <c r="B8077" t="s">
        <v>207</v>
      </c>
      <c r="C8077" t="s">
        <v>122</v>
      </c>
      <c r="D8077" t="s">
        <v>25</v>
      </c>
      <c r="E8077" t="s">
        <v>138</v>
      </c>
      <c r="F8077" s="1">
        <v>43057</v>
      </c>
      <c r="G8077" s="1">
        <v>43060</v>
      </c>
      <c r="H8077">
        <v>4243</v>
      </c>
      <c r="I8077" t="str">
        <f>IF(COUNTIF(Products!$A$2:$A$8,C8077)=0,C8077,"")</f>
        <v/>
      </c>
      <c r="J8077">
        <f>IF(OR(E8077="Prospecting",E8077="Engaging"),VLOOKUP(C8077,Products!$A$2:$C$8,3,FALSE),0)</f>
        <v>0</v>
      </c>
    </row>
    <row r="8078" spans="1:10" x14ac:dyDescent="0.25">
      <c r="A8078" t="s">
        <v>8245</v>
      </c>
      <c r="B8078" t="s">
        <v>171</v>
      </c>
      <c r="C8078" t="s">
        <v>127</v>
      </c>
      <c r="D8078" t="s">
        <v>81</v>
      </c>
      <c r="E8078" t="s">
        <v>159</v>
      </c>
      <c r="F8078" s="1">
        <v>43057</v>
      </c>
      <c r="G8078" s="1">
        <v>43075</v>
      </c>
      <c r="H8078">
        <v>0</v>
      </c>
      <c r="I8078" t="str">
        <f>IF(COUNTIF(Products!$A$2:$A$8,C8078)=0,C8078,"")</f>
        <v/>
      </c>
      <c r="J8078">
        <f>IF(OR(E8078="Prospecting",E8078="Engaging"),VLOOKUP(C8078,Products!$A$2:$C$8,3,FALSE),0)</f>
        <v>0</v>
      </c>
    </row>
    <row r="8079" spans="1:10" x14ac:dyDescent="0.25">
      <c r="A8079" t="s">
        <v>8246</v>
      </c>
      <c r="B8079" t="s">
        <v>140</v>
      </c>
      <c r="C8079" t="s">
        <v>122</v>
      </c>
      <c r="D8079" t="s">
        <v>22</v>
      </c>
      <c r="E8079" t="s">
        <v>138</v>
      </c>
      <c r="F8079" s="1">
        <v>43057</v>
      </c>
      <c r="G8079" s="1">
        <v>43068</v>
      </c>
      <c r="H8079">
        <v>4617</v>
      </c>
      <c r="I8079" t="str">
        <f>IF(COUNTIF(Products!$A$2:$A$8,C8079)=0,C8079,"")</f>
        <v/>
      </c>
      <c r="J8079">
        <f>IF(OR(E8079="Prospecting",E8079="Engaging"),VLOOKUP(C8079,Products!$A$2:$C$8,3,FALSE),0)</f>
        <v>0</v>
      </c>
    </row>
    <row r="8080" spans="1:10" x14ac:dyDescent="0.25">
      <c r="A8080" t="s">
        <v>8247</v>
      </c>
      <c r="B8080" t="s">
        <v>173</v>
      </c>
      <c r="C8080" t="s">
        <v>128</v>
      </c>
      <c r="D8080" t="s">
        <v>107</v>
      </c>
      <c r="E8080" t="s">
        <v>138</v>
      </c>
      <c r="F8080" s="1">
        <v>43057</v>
      </c>
      <c r="G8080" s="1">
        <v>43073</v>
      </c>
      <c r="H8080">
        <v>29220</v>
      </c>
      <c r="I8080" t="str">
        <f>IF(COUNTIF(Products!$A$2:$A$8,C8080)=0,C8080,"")</f>
        <v/>
      </c>
      <c r="J8080">
        <f>IF(OR(E8080="Prospecting",E8080="Engaging"),VLOOKUP(C8080,Products!$A$2:$C$8,3,FALSE),0)</f>
        <v>0</v>
      </c>
    </row>
    <row r="8081" spans="1:10" x14ac:dyDescent="0.25">
      <c r="A8081" t="s">
        <v>8248</v>
      </c>
      <c r="B8081" t="s">
        <v>303</v>
      </c>
      <c r="C8081" t="s">
        <v>127</v>
      </c>
      <c r="D8081" t="s">
        <v>46</v>
      </c>
      <c r="E8081" t="s">
        <v>159</v>
      </c>
      <c r="F8081" s="1">
        <v>43057</v>
      </c>
      <c r="G8081" s="1">
        <v>43069</v>
      </c>
      <c r="H8081">
        <v>0</v>
      </c>
      <c r="I8081" t="str">
        <f>IF(COUNTIF(Products!$A$2:$A$8,C8081)=0,C8081,"")</f>
        <v/>
      </c>
      <c r="J8081">
        <f>IF(OR(E8081="Prospecting",E8081="Engaging"),VLOOKUP(C8081,Products!$A$2:$C$8,3,FALSE),0)</f>
        <v>0</v>
      </c>
    </row>
    <row r="8082" spans="1:10" x14ac:dyDescent="0.25">
      <c r="A8082" t="s">
        <v>8249</v>
      </c>
      <c r="B8082" t="s">
        <v>180</v>
      </c>
      <c r="C8082" t="s">
        <v>120</v>
      </c>
      <c r="D8082" t="s">
        <v>69</v>
      </c>
      <c r="E8082" t="s">
        <v>138</v>
      </c>
      <c r="F8082" s="1">
        <v>43057</v>
      </c>
      <c r="G8082" s="1">
        <v>43073</v>
      </c>
      <c r="H8082">
        <v>643</v>
      </c>
      <c r="I8082" t="str">
        <f>IF(COUNTIF(Products!$A$2:$A$8,C8082)=0,C8082,"")</f>
        <v/>
      </c>
      <c r="J8082">
        <f>IF(OR(E8082="Prospecting",E8082="Engaging"),VLOOKUP(C8082,Products!$A$2:$C$8,3,FALSE),0)</f>
        <v>0</v>
      </c>
    </row>
    <row r="8083" spans="1:10" x14ac:dyDescent="0.25">
      <c r="A8083" t="s">
        <v>8250</v>
      </c>
      <c r="B8083" t="s">
        <v>191</v>
      </c>
      <c r="C8083" t="s">
        <v>120</v>
      </c>
      <c r="D8083" t="s">
        <v>90</v>
      </c>
      <c r="E8083" t="s">
        <v>159</v>
      </c>
      <c r="F8083" s="1">
        <v>43057</v>
      </c>
      <c r="G8083" s="1">
        <v>43060</v>
      </c>
      <c r="H8083">
        <v>0</v>
      </c>
      <c r="I8083" t="str">
        <f>IF(COUNTIF(Products!$A$2:$A$8,C8083)=0,C8083,"")</f>
        <v/>
      </c>
      <c r="J8083">
        <f>IF(OR(E8083="Prospecting",E8083="Engaging"),VLOOKUP(C8083,Products!$A$2:$C$8,3,FALSE),0)</f>
        <v>0</v>
      </c>
    </row>
    <row r="8084" spans="1:10" x14ac:dyDescent="0.25">
      <c r="A8084" t="s">
        <v>8251</v>
      </c>
      <c r="B8084" t="s">
        <v>162</v>
      </c>
      <c r="C8084" t="s">
        <v>126</v>
      </c>
      <c r="D8084" t="s">
        <v>17</v>
      </c>
      <c r="E8084" t="s">
        <v>159</v>
      </c>
      <c r="F8084" s="1">
        <v>43057</v>
      </c>
      <c r="G8084" s="1">
        <v>43074</v>
      </c>
      <c r="H8084">
        <v>0</v>
      </c>
      <c r="I8084" t="str">
        <f>IF(COUNTIF(Products!$A$2:$A$8,C8084)=0,C8084,"")</f>
        <v/>
      </c>
      <c r="J8084">
        <f>IF(OR(E8084="Prospecting",E8084="Engaging"),VLOOKUP(C8084,Products!$A$2:$C$8,3,FALSE),0)</f>
        <v>0</v>
      </c>
    </row>
    <row r="8085" spans="1:10" x14ac:dyDescent="0.25">
      <c r="A8085" t="s">
        <v>8252</v>
      </c>
      <c r="B8085" t="s">
        <v>137</v>
      </c>
      <c r="C8085" t="s">
        <v>123</v>
      </c>
      <c r="D8085" t="s">
        <v>46</v>
      </c>
      <c r="E8085" t="s">
        <v>159</v>
      </c>
      <c r="F8085" s="1">
        <v>43057</v>
      </c>
      <c r="G8085" s="1">
        <v>43067</v>
      </c>
      <c r="H8085">
        <v>0</v>
      </c>
      <c r="I8085" t="str">
        <f>IF(COUNTIF(Products!$A$2:$A$8,C8085)=0,C8085,"")</f>
        <v/>
      </c>
      <c r="J8085">
        <f>IF(OR(E8085="Prospecting",E8085="Engaging"),VLOOKUP(C8085,Products!$A$2:$C$8,3,FALSE),0)</f>
        <v>0</v>
      </c>
    </row>
    <row r="8086" spans="1:10" x14ac:dyDescent="0.25">
      <c r="A8086" t="s">
        <v>8253</v>
      </c>
      <c r="B8086" t="s">
        <v>222</v>
      </c>
      <c r="C8086" t="s">
        <v>127</v>
      </c>
      <c r="D8086" t="s">
        <v>73</v>
      </c>
      <c r="E8086" t="s">
        <v>138</v>
      </c>
      <c r="F8086" s="1">
        <v>43058</v>
      </c>
      <c r="G8086" s="1">
        <v>43059</v>
      </c>
      <c r="H8086">
        <v>886</v>
      </c>
      <c r="I8086" t="str">
        <f>IF(COUNTIF(Products!$A$2:$A$8,C8086)=0,C8086,"")</f>
        <v/>
      </c>
      <c r="J8086">
        <f>IF(OR(E8086="Prospecting",E8086="Engaging"),VLOOKUP(C8086,Products!$A$2:$C$8,3,FALSE),0)</f>
        <v>0</v>
      </c>
    </row>
    <row r="8087" spans="1:10" x14ac:dyDescent="0.25">
      <c r="A8087" t="s">
        <v>8254</v>
      </c>
      <c r="B8087" t="s">
        <v>264</v>
      </c>
      <c r="C8087" t="s">
        <v>125</v>
      </c>
      <c r="D8087" t="s">
        <v>85</v>
      </c>
      <c r="E8087" t="s">
        <v>138</v>
      </c>
      <c r="F8087" s="1">
        <v>43058</v>
      </c>
      <c r="G8087" s="1">
        <v>43067</v>
      </c>
      <c r="H8087">
        <v>3206</v>
      </c>
      <c r="I8087" t="str">
        <f>IF(COUNTIF(Products!$A$2:$A$8,C8087)=0,C8087,"")</f>
        <v/>
      </c>
      <c r="J8087">
        <f>IF(OR(E8087="Prospecting",E8087="Engaging"),VLOOKUP(C8087,Products!$A$2:$C$8,3,FALSE),0)</f>
        <v>0</v>
      </c>
    </row>
    <row r="8088" spans="1:10" x14ac:dyDescent="0.25">
      <c r="A8088" t="s">
        <v>8255</v>
      </c>
      <c r="B8088" t="s">
        <v>171</v>
      </c>
      <c r="C8088" t="s">
        <v>120</v>
      </c>
      <c r="D8088" t="s">
        <v>50</v>
      </c>
      <c r="E8088" t="s">
        <v>138</v>
      </c>
      <c r="F8088" s="1">
        <v>43058</v>
      </c>
      <c r="G8088" s="1">
        <v>43059</v>
      </c>
      <c r="H8088">
        <v>678</v>
      </c>
      <c r="I8088" t="str">
        <f>IF(COUNTIF(Products!$A$2:$A$8,C8088)=0,C8088,"")</f>
        <v/>
      </c>
      <c r="J8088">
        <f>IF(OR(E8088="Prospecting",E8088="Engaging"),VLOOKUP(C8088,Products!$A$2:$C$8,3,FALSE),0)</f>
        <v>0</v>
      </c>
    </row>
    <row r="8089" spans="1:10" x14ac:dyDescent="0.25">
      <c r="A8089" t="s">
        <v>8256</v>
      </c>
      <c r="B8089" t="s">
        <v>140</v>
      </c>
      <c r="C8089" t="s">
        <v>120</v>
      </c>
      <c r="D8089" t="s">
        <v>46</v>
      </c>
      <c r="E8089" t="s">
        <v>138</v>
      </c>
      <c r="F8089" s="1">
        <v>43058</v>
      </c>
      <c r="G8089" s="1">
        <v>43059</v>
      </c>
      <c r="H8089">
        <v>549</v>
      </c>
      <c r="I8089" t="str">
        <f>IF(COUNTIF(Products!$A$2:$A$8,C8089)=0,C8089,"")</f>
        <v/>
      </c>
      <c r="J8089">
        <f>IF(OR(E8089="Prospecting",E8089="Engaging"),VLOOKUP(C8089,Products!$A$2:$C$8,3,FALSE),0)</f>
        <v>0</v>
      </c>
    </row>
    <row r="8090" spans="1:10" x14ac:dyDescent="0.25">
      <c r="A8090" t="s">
        <v>8257</v>
      </c>
      <c r="B8090" t="s">
        <v>224</v>
      </c>
      <c r="C8090" t="s">
        <v>126</v>
      </c>
      <c r="D8090" t="s">
        <v>67</v>
      </c>
      <c r="E8090" t="s">
        <v>138</v>
      </c>
      <c r="F8090" s="1">
        <v>43058</v>
      </c>
      <c r="G8090" s="1">
        <v>43067</v>
      </c>
      <c r="H8090">
        <v>6540</v>
      </c>
      <c r="I8090" t="str">
        <f>IF(COUNTIF(Products!$A$2:$A$8,C8090)=0,C8090,"")</f>
        <v/>
      </c>
      <c r="J8090">
        <f>IF(OR(E8090="Prospecting",E8090="Engaging"),VLOOKUP(C8090,Products!$A$2:$C$8,3,FALSE),0)</f>
        <v>0</v>
      </c>
    </row>
    <row r="8091" spans="1:10" x14ac:dyDescent="0.25">
      <c r="A8091" t="s">
        <v>8258</v>
      </c>
      <c r="B8091" t="s">
        <v>303</v>
      </c>
      <c r="C8091" t="s">
        <v>120</v>
      </c>
      <c r="D8091" t="s">
        <v>103</v>
      </c>
      <c r="E8091" t="s">
        <v>159</v>
      </c>
      <c r="F8091" s="1">
        <v>43058</v>
      </c>
      <c r="G8091" s="1">
        <v>43060</v>
      </c>
      <c r="H8091">
        <v>0</v>
      </c>
      <c r="I8091" t="str">
        <f>IF(COUNTIF(Products!$A$2:$A$8,C8091)=0,C8091,"")</f>
        <v/>
      </c>
      <c r="J8091">
        <f>IF(OR(E8091="Prospecting",E8091="Engaging"),VLOOKUP(C8091,Products!$A$2:$C$8,3,FALSE),0)</f>
        <v>0</v>
      </c>
    </row>
    <row r="8092" spans="1:10" x14ac:dyDescent="0.25">
      <c r="A8092" t="s">
        <v>8259</v>
      </c>
      <c r="B8092" t="s">
        <v>162</v>
      </c>
      <c r="C8092" t="s">
        <v>125</v>
      </c>
      <c r="D8092" t="s">
        <v>72</v>
      </c>
      <c r="E8092" t="s">
        <v>159</v>
      </c>
      <c r="F8092" s="1">
        <v>43058</v>
      </c>
      <c r="G8092" s="1">
        <v>43073</v>
      </c>
      <c r="H8092">
        <v>0</v>
      </c>
      <c r="I8092" t="str">
        <f>IF(COUNTIF(Products!$A$2:$A$8,C8092)=0,C8092,"")</f>
        <v/>
      </c>
      <c r="J8092">
        <f>IF(OR(E8092="Prospecting",E8092="Engaging"),VLOOKUP(C8092,Products!$A$2:$C$8,3,FALSE),0)</f>
        <v>0</v>
      </c>
    </row>
    <row r="8093" spans="1:10" x14ac:dyDescent="0.25">
      <c r="A8093" t="s">
        <v>8260</v>
      </c>
      <c r="B8093" t="s">
        <v>152</v>
      </c>
      <c r="C8093" t="s">
        <v>120</v>
      </c>
      <c r="D8093" t="s">
        <v>64</v>
      </c>
      <c r="E8093" t="s">
        <v>138</v>
      </c>
      <c r="F8093" s="1">
        <v>43058</v>
      </c>
      <c r="G8093" s="1">
        <v>43067</v>
      </c>
      <c r="H8093">
        <v>662</v>
      </c>
      <c r="I8093" t="str">
        <f>IF(COUNTIF(Products!$A$2:$A$8,C8093)=0,C8093,"")</f>
        <v/>
      </c>
      <c r="J8093">
        <f>IF(OR(E8093="Prospecting",E8093="Engaging"),VLOOKUP(C8093,Products!$A$2:$C$8,3,FALSE),0)</f>
        <v>0</v>
      </c>
    </row>
    <row r="8094" spans="1:10" x14ac:dyDescent="0.25">
      <c r="A8094" t="s">
        <v>8261</v>
      </c>
      <c r="B8094" t="s">
        <v>148</v>
      </c>
      <c r="C8094" t="s">
        <v>122</v>
      </c>
      <c r="D8094" t="s">
        <v>44</v>
      </c>
      <c r="E8094" t="s">
        <v>138</v>
      </c>
      <c r="F8094" s="1">
        <v>43058</v>
      </c>
      <c r="G8094" s="1">
        <v>43063</v>
      </c>
      <c r="H8094">
        <v>4540</v>
      </c>
      <c r="I8094" t="str">
        <f>IF(COUNTIF(Products!$A$2:$A$8,C8094)=0,C8094,"")</f>
        <v/>
      </c>
      <c r="J8094">
        <f>IF(OR(E8094="Prospecting",E8094="Engaging"),VLOOKUP(C8094,Products!$A$2:$C$8,3,FALSE),0)</f>
        <v>0</v>
      </c>
    </row>
    <row r="8095" spans="1:10" x14ac:dyDescent="0.25">
      <c r="A8095" t="s">
        <v>8262</v>
      </c>
      <c r="B8095" t="s">
        <v>146</v>
      </c>
      <c r="C8095" t="s">
        <v>123</v>
      </c>
      <c r="D8095" t="s">
        <v>89</v>
      </c>
      <c r="E8095" t="s">
        <v>138</v>
      </c>
      <c r="F8095" s="1">
        <v>43059</v>
      </c>
      <c r="G8095" s="1">
        <v>43068</v>
      </c>
      <c r="H8095">
        <v>52</v>
      </c>
      <c r="I8095" t="str">
        <f>IF(COUNTIF(Products!$A$2:$A$8,C8095)=0,C8095,"")</f>
        <v/>
      </c>
      <c r="J8095">
        <f>IF(OR(E8095="Prospecting",E8095="Engaging"),VLOOKUP(C8095,Products!$A$2:$C$8,3,FALSE),0)</f>
        <v>0</v>
      </c>
    </row>
    <row r="8096" spans="1:10" x14ac:dyDescent="0.25">
      <c r="A8096" t="s">
        <v>8263</v>
      </c>
      <c r="B8096" t="s">
        <v>207</v>
      </c>
      <c r="C8096" t="s">
        <v>127</v>
      </c>
      <c r="E8096" t="s">
        <v>155</v>
      </c>
      <c r="F8096" s="1">
        <v>43059</v>
      </c>
      <c r="I8096" t="str">
        <f>IF(COUNTIF(Products!$A$2:$A$8,C8096)=0,C8096,"")</f>
        <v/>
      </c>
      <c r="J8096">
        <f>IF(OR(E8096="Prospecting",E8096="Engaging"),VLOOKUP(C8096,Products!$A$2:$C$8,3,FALSE),0)</f>
        <v>1096</v>
      </c>
    </row>
    <row r="8097" spans="1:10" x14ac:dyDescent="0.25">
      <c r="A8097" t="s">
        <v>8264</v>
      </c>
      <c r="B8097" t="s">
        <v>239</v>
      </c>
      <c r="C8097" t="s">
        <v>122</v>
      </c>
      <c r="D8097" t="s">
        <v>110</v>
      </c>
      <c r="E8097" t="s">
        <v>159</v>
      </c>
      <c r="F8097" s="1">
        <v>43059</v>
      </c>
      <c r="G8097" s="1">
        <v>43066</v>
      </c>
      <c r="H8097">
        <v>0</v>
      </c>
      <c r="I8097" t="str">
        <f>IF(COUNTIF(Products!$A$2:$A$8,C8097)=0,C8097,"")</f>
        <v/>
      </c>
      <c r="J8097">
        <f>IF(OR(E8097="Prospecting",E8097="Engaging"),VLOOKUP(C8097,Products!$A$2:$C$8,3,FALSE),0)</f>
        <v>0</v>
      </c>
    </row>
    <row r="8098" spans="1:10" x14ac:dyDescent="0.25">
      <c r="A8098" t="s">
        <v>8265</v>
      </c>
      <c r="B8098" t="s">
        <v>180</v>
      </c>
      <c r="C8098" t="s">
        <v>120</v>
      </c>
      <c r="D8098" t="s">
        <v>56</v>
      </c>
      <c r="E8098" t="s">
        <v>138</v>
      </c>
      <c r="F8098" s="1">
        <v>43059</v>
      </c>
      <c r="G8098" s="1">
        <v>43077</v>
      </c>
      <c r="H8098">
        <v>504</v>
      </c>
      <c r="I8098" t="str">
        <f>IF(COUNTIF(Products!$A$2:$A$8,C8098)=0,C8098,"")</f>
        <v/>
      </c>
      <c r="J8098">
        <f>IF(OR(E8098="Prospecting",E8098="Engaging"),VLOOKUP(C8098,Products!$A$2:$C$8,3,FALSE),0)</f>
        <v>0</v>
      </c>
    </row>
    <row r="8099" spans="1:10" x14ac:dyDescent="0.25">
      <c r="A8099" t="s">
        <v>8266</v>
      </c>
      <c r="B8099" t="s">
        <v>191</v>
      </c>
      <c r="C8099" t="s">
        <v>120</v>
      </c>
      <c r="D8099" t="s">
        <v>67</v>
      </c>
      <c r="E8099" t="s">
        <v>138</v>
      </c>
      <c r="F8099" s="1">
        <v>43059</v>
      </c>
      <c r="G8099" s="1">
        <v>43073</v>
      </c>
      <c r="H8099">
        <v>589</v>
      </c>
      <c r="I8099" t="str">
        <f>IF(COUNTIF(Products!$A$2:$A$8,C8099)=0,C8099,"")</f>
        <v/>
      </c>
      <c r="J8099">
        <f>IF(OR(E8099="Prospecting",E8099="Engaging"),VLOOKUP(C8099,Products!$A$2:$C$8,3,FALSE),0)</f>
        <v>0</v>
      </c>
    </row>
    <row r="8100" spans="1:10" x14ac:dyDescent="0.25">
      <c r="A8100" t="s">
        <v>8267</v>
      </c>
      <c r="B8100" t="s">
        <v>137</v>
      </c>
      <c r="C8100" t="s">
        <v>126</v>
      </c>
      <c r="D8100" t="s">
        <v>94</v>
      </c>
      <c r="E8100" t="s">
        <v>138</v>
      </c>
      <c r="F8100" s="1">
        <v>43059</v>
      </c>
      <c r="G8100" s="1">
        <v>43078</v>
      </c>
      <c r="H8100">
        <v>5756</v>
      </c>
      <c r="I8100" t="str">
        <f>IF(COUNTIF(Products!$A$2:$A$8,C8100)=0,C8100,"")</f>
        <v/>
      </c>
      <c r="J8100">
        <f>IF(OR(E8100="Prospecting",E8100="Engaging"),VLOOKUP(C8100,Products!$A$2:$C$8,3,FALSE),0)</f>
        <v>0</v>
      </c>
    </row>
    <row r="8101" spans="1:10" x14ac:dyDescent="0.25">
      <c r="A8101" t="s">
        <v>8268</v>
      </c>
      <c r="B8101" t="s">
        <v>137</v>
      </c>
      <c r="C8101" t="s">
        <v>125</v>
      </c>
      <c r="D8101" t="s">
        <v>96</v>
      </c>
      <c r="E8101" t="s">
        <v>138</v>
      </c>
      <c r="F8101" s="1">
        <v>43059</v>
      </c>
      <c r="G8101" s="1">
        <v>43062</v>
      </c>
      <c r="H8101">
        <v>3161</v>
      </c>
      <c r="I8101" t="str">
        <f>IF(COUNTIF(Products!$A$2:$A$8,C8101)=0,C8101,"")</f>
        <v/>
      </c>
      <c r="J8101">
        <f>IF(OR(E8101="Prospecting",E8101="Engaging"),VLOOKUP(C8101,Products!$A$2:$C$8,3,FALSE),0)</f>
        <v>0</v>
      </c>
    </row>
    <row r="8102" spans="1:10" x14ac:dyDescent="0.25">
      <c r="A8102" t="s">
        <v>8269</v>
      </c>
      <c r="B8102" t="s">
        <v>177</v>
      </c>
      <c r="C8102" t="s">
        <v>123</v>
      </c>
      <c r="E8102" t="s">
        <v>155</v>
      </c>
      <c r="F8102" s="1">
        <v>43059</v>
      </c>
      <c r="I8102" t="str">
        <f>IF(COUNTIF(Products!$A$2:$A$8,C8102)=0,C8102,"")</f>
        <v/>
      </c>
      <c r="J8102">
        <f>IF(OR(E8102="Prospecting",E8102="Engaging"),VLOOKUP(C8102,Products!$A$2:$C$8,3,FALSE),0)</f>
        <v>55</v>
      </c>
    </row>
    <row r="8103" spans="1:10" x14ac:dyDescent="0.25">
      <c r="A8103" t="s">
        <v>8270</v>
      </c>
      <c r="B8103" t="s">
        <v>196</v>
      </c>
      <c r="C8103" t="s">
        <v>126</v>
      </c>
      <c r="D8103" t="s">
        <v>105</v>
      </c>
      <c r="E8103" t="s">
        <v>138</v>
      </c>
      <c r="F8103" s="1">
        <v>43059</v>
      </c>
      <c r="G8103" s="1">
        <v>43077</v>
      </c>
      <c r="H8103">
        <v>5209</v>
      </c>
      <c r="I8103" t="str">
        <f>IF(COUNTIF(Products!$A$2:$A$8,C8103)=0,C8103,"")</f>
        <v/>
      </c>
      <c r="J8103">
        <f>IF(OR(E8103="Prospecting",E8103="Engaging"),VLOOKUP(C8103,Products!$A$2:$C$8,3,FALSE),0)</f>
        <v>0</v>
      </c>
    </row>
    <row r="8104" spans="1:10" x14ac:dyDescent="0.25">
      <c r="A8104" t="s">
        <v>8271</v>
      </c>
      <c r="B8104" t="s">
        <v>207</v>
      </c>
      <c r="C8104" t="s">
        <v>125</v>
      </c>
      <c r="D8104" t="s">
        <v>67</v>
      </c>
      <c r="E8104" t="s">
        <v>159</v>
      </c>
      <c r="F8104" s="1">
        <v>43060</v>
      </c>
      <c r="G8104" s="1">
        <v>43064</v>
      </c>
      <c r="H8104">
        <v>0</v>
      </c>
      <c r="I8104" t="str">
        <f>IF(COUNTIF(Products!$A$2:$A$8,C8104)=0,C8104,"")</f>
        <v/>
      </c>
      <c r="J8104">
        <f>IF(OR(E8104="Prospecting",E8104="Engaging"),VLOOKUP(C8104,Products!$A$2:$C$8,3,FALSE),0)</f>
        <v>0</v>
      </c>
    </row>
    <row r="8105" spans="1:10" x14ac:dyDescent="0.25">
      <c r="A8105" t="s">
        <v>8272</v>
      </c>
      <c r="B8105" t="s">
        <v>264</v>
      </c>
      <c r="C8105" t="s">
        <v>123</v>
      </c>
      <c r="D8105" t="s">
        <v>30</v>
      </c>
      <c r="E8105" t="s">
        <v>138</v>
      </c>
      <c r="F8105" s="1">
        <v>43060</v>
      </c>
      <c r="G8105" s="1">
        <v>43077</v>
      </c>
      <c r="H8105">
        <v>58</v>
      </c>
      <c r="I8105" t="str">
        <f>IF(COUNTIF(Products!$A$2:$A$8,C8105)=0,C8105,"")</f>
        <v/>
      </c>
      <c r="J8105">
        <f>IF(OR(E8105="Prospecting",E8105="Engaging"),VLOOKUP(C8105,Products!$A$2:$C$8,3,FALSE),0)</f>
        <v>0</v>
      </c>
    </row>
    <row r="8106" spans="1:10" x14ac:dyDescent="0.25">
      <c r="A8106" t="s">
        <v>8273</v>
      </c>
      <c r="B8106" t="s">
        <v>239</v>
      </c>
      <c r="C8106" t="s">
        <v>123</v>
      </c>
      <c r="D8106" t="s">
        <v>25</v>
      </c>
      <c r="E8106" t="s">
        <v>138</v>
      </c>
      <c r="F8106" s="1">
        <v>43060</v>
      </c>
      <c r="G8106" s="1">
        <v>43090</v>
      </c>
      <c r="H8106">
        <v>57</v>
      </c>
      <c r="I8106" t="str">
        <f>IF(COUNTIF(Products!$A$2:$A$8,C8106)=0,C8106,"")</f>
        <v/>
      </c>
      <c r="J8106">
        <f>IF(OR(E8106="Prospecting",E8106="Engaging"),VLOOKUP(C8106,Products!$A$2:$C$8,3,FALSE),0)</f>
        <v>0</v>
      </c>
    </row>
    <row r="8107" spans="1:10" x14ac:dyDescent="0.25">
      <c r="A8107" t="s">
        <v>8274</v>
      </c>
      <c r="B8107" t="s">
        <v>224</v>
      </c>
      <c r="C8107" t="s">
        <v>122</v>
      </c>
      <c r="D8107" t="s">
        <v>20</v>
      </c>
      <c r="E8107" t="s">
        <v>138</v>
      </c>
      <c r="F8107" s="1">
        <v>43060</v>
      </c>
      <c r="G8107" s="1">
        <v>43079</v>
      </c>
      <c r="H8107">
        <v>5466</v>
      </c>
      <c r="I8107" t="str">
        <f>IF(COUNTIF(Products!$A$2:$A$8,C8107)=0,C8107,"")</f>
        <v/>
      </c>
      <c r="J8107">
        <f>IF(OR(E8107="Prospecting",E8107="Engaging"),VLOOKUP(C8107,Products!$A$2:$C$8,3,FALSE),0)</f>
        <v>0</v>
      </c>
    </row>
    <row r="8108" spans="1:10" x14ac:dyDescent="0.25">
      <c r="A8108" t="s">
        <v>8275</v>
      </c>
      <c r="B8108" t="s">
        <v>158</v>
      </c>
      <c r="C8108" t="s">
        <v>126</v>
      </c>
      <c r="D8108" t="s">
        <v>33</v>
      </c>
      <c r="E8108" t="s">
        <v>159</v>
      </c>
      <c r="F8108" s="1">
        <v>43060</v>
      </c>
      <c r="G8108" s="1">
        <v>43063</v>
      </c>
      <c r="H8108">
        <v>0</v>
      </c>
      <c r="I8108" t="str">
        <f>IF(COUNTIF(Products!$A$2:$A$8,C8108)=0,C8108,"")</f>
        <v/>
      </c>
      <c r="J8108">
        <f>IF(OR(E8108="Prospecting",E8108="Engaging"),VLOOKUP(C8108,Products!$A$2:$C$8,3,FALSE),0)</f>
        <v>0</v>
      </c>
    </row>
    <row r="8109" spans="1:10" x14ac:dyDescent="0.25">
      <c r="A8109" t="s">
        <v>8276</v>
      </c>
      <c r="B8109" t="s">
        <v>154</v>
      </c>
      <c r="C8109" t="s">
        <v>126</v>
      </c>
      <c r="D8109" t="s">
        <v>72</v>
      </c>
      <c r="E8109" t="s">
        <v>138</v>
      </c>
      <c r="F8109" s="1">
        <v>43060</v>
      </c>
      <c r="G8109" s="1">
        <v>43064</v>
      </c>
      <c r="H8109">
        <v>6932</v>
      </c>
      <c r="I8109" t="str">
        <f>IF(COUNTIF(Products!$A$2:$A$8,C8109)=0,C8109,"")</f>
        <v/>
      </c>
      <c r="J8109">
        <f>IF(OR(E8109="Prospecting",E8109="Engaging"),VLOOKUP(C8109,Products!$A$2:$C$8,3,FALSE),0)</f>
        <v>0</v>
      </c>
    </row>
    <row r="8110" spans="1:10" x14ac:dyDescent="0.25">
      <c r="A8110" t="s">
        <v>8277</v>
      </c>
      <c r="B8110" t="s">
        <v>191</v>
      </c>
      <c r="C8110" t="s">
        <v>120</v>
      </c>
      <c r="D8110" t="s">
        <v>78</v>
      </c>
      <c r="E8110" t="s">
        <v>138</v>
      </c>
      <c r="F8110" s="1">
        <v>43060</v>
      </c>
      <c r="G8110" s="1">
        <v>43091</v>
      </c>
      <c r="H8110">
        <v>597</v>
      </c>
      <c r="I8110" t="str">
        <f>IF(COUNTIF(Products!$A$2:$A$8,C8110)=0,C8110,"")</f>
        <v/>
      </c>
      <c r="J8110">
        <f>IF(OR(E8110="Prospecting",E8110="Engaging"),VLOOKUP(C8110,Products!$A$2:$C$8,3,FALSE),0)</f>
        <v>0</v>
      </c>
    </row>
    <row r="8111" spans="1:10" x14ac:dyDescent="0.25">
      <c r="A8111" t="s">
        <v>8278</v>
      </c>
      <c r="B8111" t="s">
        <v>150</v>
      </c>
      <c r="C8111" t="s">
        <v>125</v>
      </c>
      <c r="D8111" t="s">
        <v>57</v>
      </c>
      <c r="E8111" t="s">
        <v>159</v>
      </c>
      <c r="F8111" s="1">
        <v>43060</v>
      </c>
      <c r="G8111" s="1">
        <v>43066</v>
      </c>
      <c r="H8111">
        <v>0</v>
      </c>
      <c r="I8111" t="str">
        <f>IF(COUNTIF(Products!$A$2:$A$8,C8111)=0,C8111,"")</f>
        <v/>
      </c>
      <c r="J8111">
        <f>IF(OR(E8111="Prospecting",E8111="Engaging"),VLOOKUP(C8111,Products!$A$2:$C$8,3,FALSE),0)</f>
        <v>0</v>
      </c>
    </row>
    <row r="8112" spans="1:10" x14ac:dyDescent="0.25">
      <c r="A8112" t="s">
        <v>8279</v>
      </c>
      <c r="B8112" t="s">
        <v>162</v>
      </c>
      <c r="C8112" t="s">
        <v>120</v>
      </c>
      <c r="D8112" t="s">
        <v>23</v>
      </c>
      <c r="E8112" t="s">
        <v>138</v>
      </c>
      <c r="F8112" s="1">
        <v>43060</v>
      </c>
      <c r="G8112" s="1">
        <v>43098</v>
      </c>
      <c r="H8112">
        <v>619</v>
      </c>
      <c r="I8112" t="str">
        <f>IF(COUNTIF(Products!$A$2:$A$8,C8112)=0,C8112,"")</f>
        <v/>
      </c>
      <c r="J8112">
        <f>IF(OR(E8112="Prospecting",E8112="Engaging"),VLOOKUP(C8112,Products!$A$2:$C$8,3,FALSE),0)</f>
        <v>0</v>
      </c>
    </row>
    <row r="8113" spans="1:10" x14ac:dyDescent="0.25">
      <c r="A8113" t="s">
        <v>8280</v>
      </c>
      <c r="B8113" t="s">
        <v>148</v>
      </c>
      <c r="C8113" t="s">
        <v>125</v>
      </c>
      <c r="D8113" t="s">
        <v>39</v>
      </c>
      <c r="E8113" t="s">
        <v>138</v>
      </c>
      <c r="F8113" s="1">
        <v>43060</v>
      </c>
      <c r="G8113" s="1">
        <v>43070</v>
      </c>
      <c r="H8113">
        <v>2590</v>
      </c>
      <c r="I8113" t="str">
        <f>IF(COUNTIF(Products!$A$2:$A$8,C8113)=0,C8113,"")</f>
        <v/>
      </c>
      <c r="J8113">
        <f>IF(OR(E8113="Prospecting",E8113="Engaging"),VLOOKUP(C8113,Products!$A$2:$C$8,3,FALSE),0)</f>
        <v>0</v>
      </c>
    </row>
    <row r="8114" spans="1:10" x14ac:dyDescent="0.25">
      <c r="A8114" t="s">
        <v>8281</v>
      </c>
      <c r="B8114" t="s">
        <v>196</v>
      </c>
      <c r="C8114" t="s">
        <v>122</v>
      </c>
      <c r="D8114" t="s">
        <v>98</v>
      </c>
      <c r="E8114" t="s">
        <v>159</v>
      </c>
      <c r="F8114" s="1">
        <v>43060</v>
      </c>
      <c r="G8114" s="1">
        <v>43065</v>
      </c>
      <c r="H8114">
        <v>0</v>
      </c>
      <c r="I8114" t="str">
        <f>IF(COUNTIF(Products!$A$2:$A$8,C8114)=0,C8114,"")</f>
        <v/>
      </c>
      <c r="J8114">
        <f>IF(OR(E8114="Prospecting",E8114="Engaging"),VLOOKUP(C8114,Products!$A$2:$C$8,3,FALSE),0)</f>
        <v>0</v>
      </c>
    </row>
    <row r="8115" spans="1:10" x14ac:dyDescent="0.25">
      <c r="A8115" t="s">
        <v>8282</v>
      </c>
      <c r="B8115" t="s">
        <v>207</v>
      </c>
      <c r="C8115" t="s">
        <v>120</v>
      </c>
      <c r="D8115" t="s">
        <v>110</v>
      </c>
      <c r="E8115" t="s">
        <v>138</v>
      </c>
      <c r="F8115" s="1">
        <v>43061</v>
      </c>
      <c r="G8115" s="1">
        <v>43076</v>
      </c>
      <c r="H8115">
        <v>609</v>
      </c>
      <c r="I8115" t="str">
        <f>IF(COUNTIF(Products!$A$2:$A$8,C8115)=0,C8115,"")</f>
        <v/>
      </c>
      <c r="J8115">
        <f>IF(OR(E8115="Prospecting",E8115="Engaging"),VLOOKUP(C8115,Products!$A$2:$C$8,3,FALSE),0)</f>
        <v>0</v>
      </c>
    </row>
    <row r="8116" spans="1:10" x14ac:dyDescent="0.25">
      <c r="A8116" t="s">
        <v>8283</v>
      </c>
      <c r="B8116" t="s">
        <v>239</v>
      </c>
      <c r="C8116" t="s">
        <v>122</v>
      </c>
      <c r="D8116" t="s">
        <v>69</v>
      </c>
      <c r="E8116" t="s">
        <v>138</v>
      </c>
      <c r="F8116" s="1">
        <v>43061</v>
      </c>
      <c r="G8116" s="1">
        <v>43075</v>
      </c>
      <c r="H8116">
        <v>4492</v>
      </c>
      <c r="I8116" t="str">
        <f>IF(COUNTIF(Products!$A$2:$A$8,C8116)=0,C8116,"")</f>
        <v/>
      </c>
      <c r="J8116">
        <f>IF(OR(E8116="Prospecting",E8116="Engaging"),VLOOKUP(C8116,Products!$A$2:$C$8,3,FALSE),0)</f>
        <v>0</v>
      </c>
    </row>
    <row r="8117" spans="1:10" x14ac:dyDescent="0.25">
      <c r="A8117" t="s">
        <v>8284</v>
      </c>
      <c r="B8117" t="s">
        <v>162</v>
      </c>
      <c r="C8117" t="s">
        <v>127</v>
      </c>
      <c r="D8117" t="s">
        <v>87</v>
      </c>
      <c r="E8117" t="s">
        <v>159</v>
      </c>
      <c r="F8117" s="1">
        <v>43061</v>
      </c>
      <c r="G8117" s="1">
        <v>43066</v>
      </c>
      <c r="H8117">
        <v>0</v>
      </c>
      <c r="I8117" t="str">
        <f>IF(COUNTIF(Products!$A$2:$A$8,C8117)=0,C8117,"")</f>
        <v/>
      </c>
      <c r="J8117">
        <f>IF(OR(E8117="Prospecting",E8117="Engaging"),VLOOKUP(C8117,Products!$A$2:$C$8,3,FALSE),0)</f>
        <v>0</v>
      </c>
    </row>
    <row r="8118" spans="1:10" x14ac:dyDescent="0.25">
      <c r="A8118" t="s">
        <v>8285</v>
      </c>
      <c r="B8118" t="s">
        <v>193</v>
      </c>
      <c r="C8118" t="s">
        <v>122</v>
      </c>
      <c r="D8118" t="s">
        <v>110</v>
      </c>
      <c r="E8118" t="s">
        <v>159</v>
      </c>
      <c r="F8118" s="1">
        <v>43061</v>
      </c>
      <c r="G8118" s="1">
        <v>43075</v>
      </c>
      <c r="H8118">
        <v>0</v>
      </c>
      <c r="I8118" t="str">
        <f>IF(COUNTIF(Products!$A$2:$A$8,C8118)=0,C8118,"")</f>
        <v/>
      </c>
      <c r="J8118">
        <f>IF(OR(E8118="Prospecting",E8118="Engaging"),VLOOKUP(C8118,Products!$A$2:$C$8,3,FALSE),0)</f>
        <v>0</v>
      </c>
    </row>
    <row r="8119" spans="1:10" x14ac:dyDescent="0.25">
      <c r="A8119" t="s">
        <v>8286</v>
      </c>
      <c r="B8119" t="s">
        <v>177</v>
      </c>
      <c r="C8119" t="s">
        <v>123</v>
      </c>
      <c r="D8119" t="s">
        <v>67</v>
      </c>
      <c r="E8119" t="s">
        <v>138</v>
      </c>
      <c r="F8119" s="1">
        <v>43061</v>
      </c>
      <c r="G8119" s="1">
        <v>43074</v>
      </c>
      <c r="H8119">
        <v>47</v>
      </c>
      <c r="I8119" t="str">
        <f>IF(COUNTIF(Products!$A$2:$A$8,C8119)=0,C8119,"")</f>
        <v/>
      </c>
      <c r="J8119">
        <f>IF(OR(E8119="Prospecting",E8119="Engaging"),VLOOKUP(C8119,Products!$A$2:$C$8,3,FALSE),0)</f>
        <v>0</v>
      </c>
    </row>
    <row r="8120" spans="1:10" x14ac:dyDescent="0.25">
      <c r="A8120" t="s">
        <v>8287</v>
      </c>
      <c r="B8120" t="s">
        <v>144</v>
      </c>
      <c r="C8120" t="s">
        <v>120</v>
      </c>
      <c r="D8120" t="s">
        <v>56</v>
      </c>
      <c r="E8120" t="s">
        <v>155</v>
      </c>
      <c r="F8120" s="1">
        <v>43061</v>
      </c>
      <c r="I8120" t="str">
        <f>IF(COUNTIF(Products!$A$2:$A$8,C8120)=0,C8120,"")</f>
        <v/>
      </c>
      <c r="J8120">
        <f>IF(OR(E8120="Prospecting",E8120="Engaging"),VLOOKUP(C8120,Products!$A$2:$C$8,3,FALSE),0)</f>
        <v>550</v>
      </c>
    </row>
    <row r="8121" spans="1:10" x14ac:dyDescent="0.25">
      <c r="A8121" t="s">
        <v>8288</v>
      </c>
      <c r="B8121" t="s">
        <v>239</v>
      </c>
      <c r="C8121" t="s">
        <v>120</v>
      </c>
      <c r="D8121" t="s">
        <v>35</v>
      </c>
      <c r="E8121" t="s">
        <v>159</v>
      </c>
      <c r="F8121" s="1">
        <v>43062</v>
      </c>
      <c r="G8121" s="1">
        <v>43071</v>
      </c>
      <c r="H8121">
        <v>0</v>
      </c>
      <c r="I8121" t="str">
        <f>IF(COUNTIF(Products!$A$2:$A$8,C8121)=0,C8121,"")</f>
        <v/>
      </c>
      <c r="J8121">
        <f>IF(OR(E8121="Prospecting",E8121="Engaging"),VLOOKUP(C8121,Products!$A$2:$C$8,3,FALSE),0)</f>
        <v>0</v>
      </c>
    </row>
    <row r="8122" spans="1:10" x14ac:dyDescent="0.25">
      <c r="A8122" t="s">
        <v>8289</v>
      </c>
      <c r="B8122" t="s">
        <v>191</v>
      </c>
      <c r="C8122" t="s">
        <v>127</v>
      </c>
      <c r="D8122" t="s">
        <v>77</v>
      </c>
      <c r="E8122" t="s">
        <v>155</v>
      </c>
      <c r="F8122" s="1">
        <v>43062</v>
      </c>
      <c r="I8122" t="str">
        <f>IF(COUNTIF(Products!$A$2:$A$8,C8122)=0,C8122,"")</f>
        <v/>
      </c>
      <c r="J8122">
        <f>IF(OR(E8122="Prospecting",E8122="Engaging"),VLOOKUP(C8122,Products!$A$2:$C$8,3,FALSE),0)</f>
        <v>1096</v>
      </c>
    </row>
    <row r="8123" spans="1:10" x14ac:dyDescent="0.25">
      <c r="A8123" t="s">
        <v>8290</v>
      </c>
      <c r="B8123" t="s">
        <v>191</v>
      </c>
      <c r="C8123" t="s">
        <v>120</v>
      </c>
      <c r="D8123" t="s">
        <v>41</v>
      </c>
      <c r="E8123" t="s">
        <v>138</v>
      </c>
      <c r="F8123" s="1">
        <v>43062</v>
      </c>
      <c r="G8123" s="1">
        <v>43077</v>
      </c>
      <c r="H8123">
        <v>484</v>
      </c>
      <c r="I8123" t="str">
        <f>IF(COUNTIF(Products!$A$2:$A$8,C8123)=0,C8123,"")</f>
        <v/>
      </c>
      <c r="J8123">
        <f>IF(OR(E8123="Prospecting",E8123="Engaging"),VLOOKUP(C8123,Products!$A$2:$C$8,3,FALSE),0)</f>
        <v>0</v>
      </c>
    </row>
    <row r="8124" spans="1:10" x14ac:dyDescent="0.25">
      <c r="A8124" t="s">
        <v>8291</v>
      </c>
      <c r="B8124" t="s">
        <v>205</v>
      </c>
      <c r="C8124" t="s">
        <v>125</v>
      </c>
      <c r="D8124" t="s">
        <v>88</v>
      </c>
      <c r="E8124" t="s">
        <v>159</v>
      </c>
      <c r="F8124" s="1">
        <v>43062</v>
      </c>
      <c r="G8124" s="1">
        <v>43064</v>
      </c>
      <c r="H8124">
        <v>0</v>
      </c>
      <c r="I8124" t="str">
        <f>IF(COUNTIF(Products!$A$2:$A$8,C8124)=0,C8124,"")</f>
        <v/>
      </c>
      <c r="J8124">
        <f>IF(OR(E8124="Prospecting",E8124="Engaging"),VLOOKUP(C8124,Products!$A$2:$C$8,3,FALSE),0)</f>
        <v>0</v>
      </c>
    </row>
    <row r="8125" spans="1:10" x14ac:dyDescent="0.25">
      <c r="A8125" t="s">
        <v>8292</v>
      </c>
      <c r="B8125" t="s">
        <v>152</v>
      </c>
      <c r="C8125" t="s">
        <v>123</v>
      </c>
      <c r="D8125" t="s">
        <v>103</v>
      </c>
      <c r="E8125" t="s">
        <v>159</v>
      </c>
      <c r="F8125" s="1">
        <v>43062</v>
      </c>
      <c r="G8125" s="1">
        <v>43067</v>
      </c>
      <c r="H8125">
        <v>0</v>
      </c>
      <c r="I8125" t="str">
        <f>IF(COUNTIF(Products!$A$2:$A$8,C8125)=0,C8125,"")</f>
        <v/>
      </c>
      <c r="J8125">
        <f>IF(OR(E8125="Prospecting",E8125="Engaging"),VLOOKUP(C8125,Products!$A$2:$C$8,3,FALSE),0)</f>
        <v>0</v>
      </c>
    </row>
    <row r="8126" spans="1:10" x14ac:dyDescent="0.25">
      <c r="A8126" t="s">
        <v>8293</v>
      </c>
      <c r="B8126" t="s">
        <v>166</v>
      </c>
      <c r="C8126" t="s">
        <v>123</v>
      </c>
      <c r="D8126" t="s">
        <v>29</v>
      </c>
      <c r="E8126" t="s">
        <v>138</v>
      </c>
      <c r="F8126" s="1">
        <v>43062</v>
      </c>
      <c r="G8126" s="1">
        <v>43076</v>
      </c>
      <c r="H8126">
        <v>49</v>
      </c>
      <c r="I8126" t="str">
        <f>IF(COUNTIF(Products!$A$2:$A$8,C8126)=0,C8126,"")</f>
        <v/>
      </c>
      <c r="J8126">
        <f>IF(OR(E8126="Prospecting",E8126="Engaging"),VLOOKUP(C8126,Products!$A$2:$C$8,3,FALSE),0)</f>
        <v>0</v>
      </c>
    </row>
    <row r="8127" spans="1:10" x14ac:dyDescent="0.25">
      <c r="A8127" t="s">
        <v>8294</v>
      </c>
      <c r="B8127" t="s">
        <v>148</v>
      </c>
      <c r="C8127" t="s">
        <v>123</v>
      </c>
      <c r="E8127" t="s">
        <v>155</v>
      </c>
      <c r="F8127" s="1">
        <v>43062</v>
      </c>
      <c r="I8127" t="str">
        <f>IF(COUNTIF(Products!$A$2:$A$8,C8127)=0,C8127,"")</f>
        <v/>
      </c>
      <c r="J8127">
        <f>IF(OR(E8127="Prospecting",E8127="Engaging"),VLOOKUP(C8127,Products!$A$2:$C$8,3,FALSE),0)</f>
        <v>55</v>
      </c>
    </row>
    <row r="8128" spans="1:10" x14ac:dyDescent="0.25">
      <c r="A8128" t="s">
        <v>8295</v>
      </c>
      <c r="B8128" t="s">
        <v>177</v>
      </c>
      <c r="C8128" t="s">
        <v>123</v>
      </c>
      <c r="D8128" t="s">
        <v>67</v>
      </c>
      <c r="E8128" t="s">
        <v>155</v>
      </c>
      <c r="F8128" s="1">
        <v>43062</v>
      </c>
      <c r="I8128" t="str">
        <f>IF(COUNTIF(Products!$A$2:$A$8,C8128)=0,C8128,"")</f>
        <v/>
      </c>
      <c r="J8128">
        <f>IF(OR(E8128="Prospecting",E8128="Engaging"),VLOOKUP(C8128,Products!$A$2:$C$8,3,FALSE),0)</f>
        <v>55</v>
      </c>
    </row>
    <row r="8129" spans="1:10" x14ac:dyDescent="0.25">
      <c r="A8129" t="s">
        <v>8296</v>
      </c>
      <c r="B8129" t="s">
        <v>207</v>
      </c>
      <c r="C8129" t="s">
        <v>127</v>
      </c>
      <c r="D8129" t="s">
        <v>48</v>
      </c>
      <c r="E8129" t="s">
        <v>138</v>
      </c>
      <c r="F8129" s="1">
        <v>43063</v>
      </c>
      <c r="G8129" s="1">
        <v>43074</v>
      </c>
      <c r="H8129">
        <v>927</v>
      </c>
      <c r="I8129" t="str">
        <f>IF(COUNTIF(Products!$A$2:$A$8,C8129)=0,C8129,"")</f>
        <v/>
      </c>
      <c r="J8129">
        <f>IF(OR(E8129="Prospecting",E8129="Engaging"),VLOOKUP(C8129,Products!$A$2:$C$8,3,FALSE),0)</f>
        <v>0</v>
      </c>
    </row>
    <row r="8130" spans="1:10" x14ac:dyDescent="0.25">
      <c r="A8130" t="s">
        <v>8297</v>
      </c>
      <c r="B8130" t="s">
        <v>171</v>
      </c>
      <c r="C8130" t="s">
        <v>122</v>
      </c>
      <c r="D8130" t="s">
        <v>7</v>
      </c>
      <c r="E8130" t="s">
        <v>138</v>
      </c>
      <c r="F8130" s="1">
        <v>43063</v>
      </c>
      <c r="G8130" s="1">
        <v>43078</v>
      </c>
      <c r="H8130">
        <v>4445</v>
      </c>
      <c r="I8130" t="str">
        <f>IF(COUNTIF(Products!$A$2:$A$8,C8130)=0,C8130,"")</f>
        <v/>
      </c>
      <c r="J8130">
        <f>IF(OR(E8130="Prospecting",E8130="Engaging"),VLOOKUP(C8130,Products!$A$2:$C$8,3,FALSE),0)</f>
        <v>0</v>
      </c>
    </row>
    <row r="8131" spans="1:10" x14ac:dyDescent="0.25">
      <c r="A8131" t="s">
        <v>8298</v>
      </c>
      <c r="B8131" t="s">
        <v>140</v>
      </c>
      <c r="C8131" t="s">
        <v>122</v>
      </c>
      <c r="D8131" t="s">
        <v>26</v>
      </c>
      <c r="E8131" t="s">
        <v>138</v>
      </c>
      <c r="F8131" s="1">
        <v>43063</v>
      </c>
      <c r="G8131" s="1">
        <v>43073</v>
      </c>
      <c r="H8131">
        <v>5110</v>
      </c>
      <c r="I8131" t="str">
        <f>IF(COUNTIF(Products!$A$2:$A$8,C8131)=0,C8131,"")</f>
        <v/>
      </c>
      <c r="J8131">
        <f>IF(OR(E8131="Prospecting",E8131="Engaging"),VLOOKUP(C8131,Products!$A$2:$C$8,3,FALSE),0)</f>
        <v>0</v>
      </c>
    </row>
    <row r="8132" spans="1:10" x14ac:dyDescent="0.25">
      <c r="A8132" t="s">
        <v>8299</v>
      </c>
      <c r="B8132" t="s">
        <v>173</v>
      </c>
      <c r="C8132" t="s">
        <v>123</v>
      </c>
      <c r="D8132" t="s">
        <v>17</v>
      </c>
      <c r="E8132" t="s">
        <v>138</v>
      </c>
      <c r="F8132" s="1">
        <v>43063</v>
      </c>
      <c r="G8132" s="1">
        <v>43087</v>
      </c>
      <c r="H8132">
        <v>62</v>
      </c>
      <c r="I8132" t="str">
        <f>IF(COUNTIF(Products!$A$2:$A$8,C8132)=0,C8132,"")</f>
        <v/>
      </c>
      <c r="J8132">
        <f>IF(OR(E8132="Prospecting",E8132="Engaging"),VLOOKUP(C8132,Products!$A$2:$C$8,3,FALSE),0)</f>
        <v>0</v>
      </c>
    </row>
    <row r="8133" spans="1:10" x14ac:dyDescent="0.25">
      <c r="A8133" t="s">
        <v>8300</v>
      </c>
      <c r="B8133" t="s">
        <v>154</v>
      </c>
      <c r="C8133" t="s">
        <v>127</v>
      </c>
      <c r="D8133" t="s">
        <v>69</v>
      </c>
      <c r="E8133" t="s">
        <v>138</v>
      </c>
      <c r="F8133" s="1">
        <v>43063</v>
      </c>
      <c r="G8133" s="1">
        <v>43080</v>
      </c>
      <c r="H8133">
        <v>1049</v>
      </c>
      <c r="I8133" t="str">
        <f>IF(COUNTIF(Products!$A$2:$A$8,C8133)=0,C8133,"")</f>
        <v/>
      </c>
      <c r="J8133">
        <f>IF(OR(E8133="Prospecting",E8133="Engaging"),VLOOKUP(C8133,Products!$A$2:$C$8,3,FALSE),0)</f>
        <v>0</v>
      </c>
    </row>
    <row r="8134" spans="1:10" x14ac:dyDescent="0.25">
      <c r="A8134" t="s">
        <v>8301</v>
      </c>
      <c r="B8134" t="s">
        <v>180</v>
      </c>
      <c r="C8134" t="s">
        <v>127</v>
      </c>
      <c r="D8134" t="s">
        <v>71</v>
      </c>
      <c r="E8134" t="s">
        <v>138</v>
      </c>
      <c r="F8134" s="1">
        <v>43063</v>
      </c>
      <c r="G8134" s="1">
        <v>43074</v>
      </c>
      <c r="H8134">
        <v>885</v>
      </c>
      <c r="I8134" t="str">
        <f>IF(COUNTIF(Products!$A$2:$A$8,C8134)=0,C8134,"")</f>
        <v/>
      </c>
      <c r="J8134">
        <f>IF(OR(E8134="Prospecting",E8134="Engaging"),VLOOKUP(C8134,Products!$A$2:$C$8,3,FALSE),0)</f>
        <v>0</v>
      </c>
    </row>
    <row r="8135" spans="1:10" x14ac:dyDescent="0.25">
      <c r="A8135" t="s">
        <v>8302</v>
      </c>
      <c r="B8135" t="s">
        <v>191</v>
      </c>
      <c r="C8135" t="s">
        <v>122</v>
      </c>
      <c r="D8135" t="s">
        <v>78</v>
      </c>
      <c r="E8135" t="s">
        <v>155</v>
      </c>
      <c r="F8135" s="1">
        <v>43063</v>
      </c>
      <c r="I8135" t="str">
        <f>IF(COUNTIF(Products!$A$2:$A$8,C8135)=0,C8135,"")</f>
        <v/>
      </c>
      <c r="J8135">
        <f>IF(OR(E8135="Prospecting",E8135="Engaging"),VLOOKUP(C8135,Products!$A$2:$C$8,3,FALSE),0)</f>
        <v>4821</v>
      </c>
    </row>
    <row r="8136" spans="1:10" x14ac:dyDescent="0.25">
      <c r="A8136" t="s">
        <v>8303</v>
      </c>
      <c r="B8136" t="s">
        <v>150</v>
      </c>
      <c r="C8136" t="s">
        <v>125</v>
      </c>
      <c r="D8136" t="s">
        <v>47</v>
      </c>
      <c r="E8136" t="s">
        <v>159</v>
      </c>
      <c r="F8136" s="1">
        <v>43063</v>
      </c>
      <c r="G8136" s="1">
        <v>43068</v>
      </c>
      <c r="H8136">
        <v>0</v>
      </c>
      <c r="I8136" t="str">
        <f>IF(COUNTIF(Products!$A$2:$A$8,C8136)=0,C8136,"")</f>
        <v/>
      </c>
      <c r="J8136">
        <f>IF(OR(E8136="Prospecting",E8136="Engaging"),VLOOKUP(C8136,Products!$A$2:$C$8,3,FALSE),0)</f>
        <v>0</v>
      </c>
    </row>
    <row r="8137" spans="1:10" x14ac:dyDescent="0.25">
      <c r="A8137" t="s">
        <v>8304</v>
      </c>
      <c r="B8137" t="s">
        <v>177</v>
      </c>
      <c r="C8137" t="s">
        <v>125</v>
      </c>
      <c r="D8137" t="s">
        <v>50</v>
      </c>
      <c r="E8137" t="s">
        <v>138</v>
      </c>
      <c r="F8137" s="1">
        <v>43063</v>
      </c>
      <c r="G8137" s="1">
        <v>43074</v>
      </c>
      <c r="H8137">
        <v>3612</v>
      </c>
      <c r="I8137" t="str">
        <f>IF(COUNTIF(Products!$A$2:$A$8,C8137)=0,C8137,"")</f>
        <v/>
      </c>
      <c r="J8137">
        <f>IF(OR(E8137="Prospecting",E8137="Engaging"),VLOOKUP(C8137,Products!$A$2:$C$8,3,FALSE),0)</f>
        <v>0</v>
      </c>
    </row>
    <row r="8138" spans="1:10" x14ac:dyDescent="0.25">
      <c r="A8138" t="s">
        <v>8305</v>
      </c>
      <c r="B8138" t="s">
        <v>196</v>
      </c>
      <c r="C8138" t="s">
        <v>122</v>
      </c>
      <c r="D8138" t="s">
        <v>112</v>
      </c>
      <c r="E8138" t="s">
        <v>138</v>
      </c>
      <c r="F8138" s="1">
        <v>43063</v>
      </c>
      <c r="G8138" s="1">
        <v>43068</v>
      </c>
      <c r="H8138">
        <v>5106</v>
      </c>
      <c r="I8138" t="str">
        <f>IF(COUNTIF(Products!$A$2:$A$8,C8138)=0,C8138,"")</f>
        <v/>
      </c>
      <c r="J8138">
        <f>IF(OR(E8138="Prospecting",E8138="Engaging"),VLOOKUP(C8138,Products!$A$2:$C$8,3,FALSE),0)</f>
        <v>0</v>
      </c>
    </row>
    <row r="8139" spans="1:10" x14ac:dyDescent="0.25">
      <c r="A8139" t="s">
        <v>8306</v>
      </c>
      <c r="B8139" t="s">
        <v>146</v>
      </c>
      <c r="C8139" t="s">
        <v>125</v>
      </c>
      <c r="D8139" t="s">
        <v>51</v>
      </c>
      <c r="E8139" t="s">
        <v>138</v>
      </c>
      <c r="F8139" s="1">
        <v>43064</v>
      </c>
      <c r="G8139" s="1">
        <v>43097</v>
      </c>
      <c r="H8139">
        <v>2477</v>
      </c>
      <c r="I8139" t="str">
        <f>IF(COUNTIF(Products!$A$2:$A$8,C8139)=0,C8139,"")</f>
        <v/>
      </c>
      <c r="J8139">
        <f>IF(OR(E8139="Prospecting",E8139="Engaging"),VLOOKUP(C8139,Products!$A$2:$C$8,3,FALSE),0)</f>
        <v>0</v>
      </c>
    </row>
    <row r="8140" spans="1:10" x14ac:dyDescent="0.25">
      <c r="A8140" t="s">
        <v>8307</v>
      </c>
      <c r="B8140" t="s">
        <v>207</v>
      </c>
      <c r="C8140" t="s">
        <v>123</v>
      </c>
      <c r="D8140" t="s">
        <v>35</v>
      </c>
      <c r="E8140" t="s">
        <v>159</v>
      </c>
      <c r="F8140" s="1">
        <v>43064</v>
      </c>
      <c r="G8140" s="1">
        <v>43079</v>
      </c>
      <c r="H8140">
        <v>0</v>
      </c>
      <c r="I8140" t="str">
        <f>IF(COUNTIF(Products!$A$2:$A$8,C8140)=0,C8140,"")</f>
        <v/>
      </c>
      <c r="J8140">
        <f>IF(OR(E8140="Prospecting",E8140="Engaging"),VLOOKUP(C8140,Products!$A$2:$C$8,3,FALSE),0)</f>
        <v>0</v>
      </c>
    </row>
    <row r="8141" spans="1:10" x14ac:dyDescent="0.25">
      <c r="A8141" t="s">
        <v>8308</v>
      </c>
      <c r="B8141" t="s">
        <v>140</v>
      </c>
      <c r="C8141" t="s">
        <v>120</v>
      </c>
      <c r="D8141" t="s">
        <v>77</v>
      </c>
      <c r="E8141" t="s">
        <v>138</v>
      </c>
      <c r="F8141" s="1">
        <v>43064</v>
      </c>
      <c r="G8141" s="1">
        <v>43080</v>
      </c>
      <c r="H8141">
        <v>537</v>
      </c>
      <c r="I8141" t="str">
        <f>IF(COUNTIF(Products!$A$2:$A$8,C8141)=0,C8141,"")</f>
        <v/>
      </c>
      <c r="J8141">
        <f>IF(OR(E8141="Prospecting",E8141="Engaging"),VLOOKUP(C8141,Products!$A$2:$C$8,3,FALSE),0)</f>
        <v>0</v>
      </c>
    </row>
    <row r="8142" spans="1:10" x14ac:dyDescent="0.25">
      <c r="A8142" t="s">
        <v>8309</v>
      </c>
      <c r="B8142" t="s">
        <v>154</v>
      </c>
      <c r="C8142" t="s">
        <v>126</v>
      </c>
      <c r="D8142" t="s">
        <v>60</v>
      </c>
      <c r="E8142" t="s">
        <v>138</v>
      </c>
      <c r="F8142" s="1">
        <v>43064</v>
      </c>
      <c r="G8142" s="1">
        <v>43079</v>
      </c>
      <c r="H8142">
        <v>5547</v>
      </c>
      <c r="I8142" t="str">
        <f>IF(COUNTIF(Products!$A$2:$A$8,C8142)=0,C8142,"")</f>
        <v/>
      </c>
      <c r="J8142">
        <f>IF(OR(E8142="Prospecting",E8142="Engaging"),VLOOKUP(C8142,Products!$A$2:$C$8,3,FALSE),0)</f>
        <v>0</v>
      </c>
    </row>
    <row r="8143" spans="1:10" x14ac:dyDescent="0.25">
      <c r="A8143" t="s">
        <v>8310</v>
      </c>
      <c r="B8143" t="s">
        <v>137</v>
      </c>
      <c r="C8143" t="s">
        <v>127</v>
      </c>
      <c r="D8143" t="s">
        <v>70</v>
      </c>
      <c r="E8143" t="s">
        <v>138</v>
      </c>
      <c r="F8143" s="1">
        <v>43064</v>
      </c>
      <c r="G8143" s="1">
        <v>43068</v>
      </c>
      <c r="H8143">
        <v>1001</v>
      </c>
      <c r="I8143" t="str">
        <f>IF(COUNTIF(Products!$A$2:$A$8,C8143)=0,C8143,"")</f>
        <v/>
      </c>
      <c r="J8143">
        <f>IF(OR(E8143="Prospecting",E8143="Engaging"),VLOOKUP(C8143,Products!$A$2:$C$8,3,FALSE),0)</f>
        <v>0</v>
      </c>
    </row>
    <row r="8144" spans="1:10" x14ac:dyDescent="0.25">
      <c r="A8144" t="s">
        <v>8311</v>
      </c>
      <c r="B8144" t="s">
        <v>148</v>
      </c>
      <c r="C8144" t="s">
        <v>126</v>
      </c>
      <c r="D8144" t="s">
        <v>67</v>
      </c>
      <c r="E8144" t="s">
        <v>159</v>
      </c>
      <c r="F8144" s="1">
        <v>43064</v>
      </c>
      <c r="G8144" s="1">
        <v>43074</v>
      </c>
      <c r="H8144">
        <v>0</v>
      </c>
      <c r="I8144" t="str">
        <f>IF(COUNTIF(Products!$A$2:$A$8,C8144)=0,C8144,"")</f>
        <v/>
      </c>
      <c r="J8144">
        <f>IF(OR(E8144="Prospecting",E8144="Engaging"),VLOOKUP(C8144,Products!$A$2:$C$8,3,FALSE),0)</f>
        <v>0</v>
      </c>
    </row>
    <row r="8145" spans="1:10" x14ac:dyDescent="0.25">
      <c r="A8145" t="s">
        <v>8312</v>
      </c>
      <c r="B8145" t="s">
        <v>177</v>
      </c>
      <c r="C8145" t="s">
        <v>127</v>
      </c>
      <c r="D8145" t="s">
        <v>110</v>
      </c>
      <c r="E8145" t="s">
        <v>159</v>
      </c>
      <c r="F8145" s="1">
        <v>43064</v>
      </c>
      <c r="G8145" s="1">
        <v>43068</v>
      </c>
      <c r="H8145">
        <v>0</v>
      </c>
      <c r="I8145" t="str">
        <f>IF(COUNTIF(Products!$A$2:$A$8,C8145)=0,C8145,"")</f>
        <v/>
      </c>
      <c r="J8145">
        <f>IF(OR(E8145="Prospecting",E8145="Engaging"),VLOOKUP(C8145,Products!$A$2:$C$8,3,FALSE),0)</f>
        <v>0</v>
      </c>
    </row>
    <row r="8146" spans="1:10" x14ac:dyDescent="0.25">
      <c r="A8146" t="s">
        <v>8313</v>
      </c>
      <c r="B8146" t="s">
        <v>196</v>
      </c>
      <c r="C8146" t="s">
        <v>122</v>
      </c>
      <c r="D8146" t="s">
        <v>105</v>
      </c>
      <c r="E8146" t="s">
        <v>138</v>
      </c>
      <c r="F8146" s="1">
        <v>43064</v>
      </c>
      <c r="G8146" s="1">
        <v>43068</v>
      </c>
      <c r="H8146">
        <v>5077</v>
      </c>
      <c r="I8146" t="str">
        <f>IF(COUNTIF(Products!$A$2:$A$8,C8146)=0,C8146,"")</f>
        <v/>
      </c>
      <c r="J8146">
        <f>IF(OR(E8146="Prospecting",E8146="Engaging"),VLOOKUP(C8146,Products!$A$2:$C$8,3,FALSE),0)</f>
        <v>0</v>
      </c>
    </row>
    <row r="8147" spans="1:10" x14ac:dyDescent="0.25">
      <c r="A8147" t="s">
        <v>8314</v>
      </c>
      <c r="B8147" t="s">
        <v>146</v>
      </c>
      <c r="C8147" t="s">
        <v>125</v>
      </c>
      <c r="D8147" t="s">
        <v>30</v>
      </c>
      <c r="E8147" t="s">
        <v>138</v>
      </c>
      <c r="F8147" s="1">
        <v>43065</v>
      </c>
      <c r="G8147" s="1">
        <v>43076</v>
      </c>
      <c r="H8147">
        <v>3844</v>
      </c>
      <c r="I8147" t="str">
        <f>IF(COUNTIF(Products!$A$2:$A$8,C8147)=0,C8147,"")</f>
        <v/>
      </c>
      <c r="J8147">
        <f>IF(OR(E8147="Prospecting",E8147="Engaging"),VLOOKUP(C8147,Products!$A$2:$C$8,3,FALSE),0)</f>
        <v>0</v>
      </c>
    </row>
    <row r="8148" spans="1:10" x14ac:dyDescent="0.25">
      <c r="A8148" t="s">
        <v>8315</v>
      </c>
      <c r="B8148" t="s">
        <v>239</v>
      </c>
      <c r="C8148" t="s">
        <v>126</v>
      </c>
      <c r="D8148" t="s">
        <v>98</v>
      </c>
      <c r="E8148" t="s">
        <v>159</v>
      </c>
      <c r="F8148" s="1">
        <v>43065</v>
      </c>
      <c r="G8148" s="1">
        <v>43079</v>
      </c>
      <c r="H8148">
        <v>0</v>
      </c>
      <c r="I8148" t="str">
        <f>IF(COUNTIF(Products!$A$2:$A$8,C8148)=0,C8148,"")</f>
        <v/>
      </c>
      <c r="J8148">
        <f>IF(OR(E8148="Prospecting",E8148="Engaging"),VLOOKUP(C8148,Products!$A$2:$C$8,3,FALSE),0)</f>
        <v>0</v>
      </c>
    </row>
    <row r="8149" spans="1:10" x14ac:dyDescent="0.25">
      <c r="A8149" t="s">
        <v>8316</v>
      </c>
      <c r="B8149" t="s">
        <v>239</v>
      </c>
      <c r="C8149" t="s">
        <v>127</v>
      </c>
      <c r="D8149" t="s">
        <v>81</v>
      </c>
      <c r="E8149" t="s">
        <v>138</v>
      </c>
      <c r="F8149" s="1">
        <v>43065</v>
      </c>
      <c r="G8149" s="1">
        <v>43083</v>
      </c>
      <c r="H8149">
        <v>1204</v>
      </c>
      <c r="I8149" t="str">
        <f>IF(COUNTIF(Products!$A$2:$A$8,C8149)=0,C8149,"")</f>
        <v/>
      </c>
      <c r="J8149">
        <f>IF(OR(E8149="Prospecting",E8149="Engaging"),VLOOKUP(C8149,Products!$A$2:$C$8,3,FALSE),0)</f>
        <v>0</v>
      </c>
    </row>
    <row r="8150" spans="1:10" x14ac:dyDescent="0.25">
      <c r="A8150" t="s">
        <v>8317</v>
      </c>
      <c r="B8150" t="s">
        <v>140</v>
      </c>
      <c r="C8150" t="s">
        <v>125</v>
      </c>
      <c r="D8150" t="s">
        <v>64</v>
      </c>
      <c r="E8150" t="s">
        <v>159</v>
      </c>
      <c r="F8150" s="1">
        <v>43065</v>
      </c>
      <c r="G8150" s="1">
        <v>43080</v>
      </c>
      <c r="H8150">
        <v>0</v>
      </c>
      <c r="I8150" t="str">
        <f>IF(COUNTIF(Products!$A$2:$A$8,C8150)=0,C8150,"")</f>
        <v/>
      </c>
      <c r="J8150">
        <f>IF(OR(E8150="Prospecting",E8150="Engaging"),VLOOKUP(C8150,Products!$A$2:$C$8,3,FALSE),0)</f>
        <v>0</v>
      </c>
    </row>
    <row r="8151" spans="1:10" x14ac:dyDescent="0.25">
      <c r="A8151" t="s">
        <v>8318</v>
      </c>
      <c r="B8151" t="s">
        <v>158</v>
      </c>
      <c r="C8151" t="s">
        <v>120</v>
      </c>
      <c r="D8151" t="s">
        <v>94</v>
      </c>
      <c r="E8151" t="s">
        <v>138</v>
      </c>
      <c r="F8151" s="1">
        <v>43065</v>
      </c>
      <c r="G8151" s="1">
        <v>43076</v>
      </c>
      <c r="H8151">
        <v>562</v>
      </c>
      <c r="I8151" t="str">
        <f>IF(COUNTIF(Products!$A$2:$A$8,C8151)=0,C8151,"")</f>
        <v/>
      </c>
      <c r="J8151">
        <f>IF(OR(E8151="Prospecting",E8151="Engaging"),VLOOKUP(C8151,Products!$A$2:$C$8,3,FALSE),0)</f>
        <v>0</v>
      </c>
    </row>
    <row r="8152" spans="1:10" x14ac:dyDescent="0.25">
      <c r="A8152" t="s">
        <v>8319</v>
      </c>
      <c r="B8152" t="s">
        <v>180</v>
      </c>
      <c r="C8152" t="s">
        <v>127</v>
      </c>
      <c r="D8152" t="s">
        <v>39</v>
      </c>
      <c r="E8152" t="s">
        <v>159</v>
      </c>
      <c r="F8152" s="1">
        <v>43065</v>
      </c>
      <c r="G8152" s="1">
        <v>43094</v>
      </c>
      <c r="H8152">
        <v>0</v>
      </c>
      <c r="I8152" t="str">
        <f>IF(COUNTIF(Products!$A$2:$A$8,C8152)=0,C8152,"")</f>
        <v/>
      </c>
      <c r="J8152">
        <f>IF(OR(E8152="Prospecting",E8152="Engaging"),VLOOKUP(C8152,Products!$A$2:$C$8,3,FALSE),0)</f>
        <v>0</v>
      </c>
    </row>
    <row r="8153" spans="1:10" x14ac:dyDescent="0.25">
      <c r="A8153" t="s">
        <v>8320</v>
      </c>
      <c r="B8153" t="s">
        <v>180</v>
      </c>
      <c r="C8153" t="s">
        <v>120</v>
      </c>
      <c r="D8153" t="s">
        <v>100</v>
      </c>
      <c r="E8153" t="s">
        <v>138</v>
      </c>
      <c r="F8153" s="1">
        <v>43065</v>
      </c>
      <c r="G8153" s="1">
        <v>43070</v>
      </c>
      <c r="H8153">
        <v>460</v>
      </c>
      <c r="I8153" t="str">
        <f>IF(COUNTIF(Products!$A$2:$A$8,C8153)=0,C8153,"")</f>
        <v/>
      </c>
      <c r="J8153">
        <f>IF(OR(E8153="Prospecting",E8153="Engaging"),VLOOKUP(C8153,Products!$A$2:$C$8,3,FALSE),0)</f>
        <v>0</v>
      </c>
    </row>
    <row r="8154" spans="1:10" x14ac:dyDescent="0.25">
      <c r="A8154" t="s">
        <v>8321</v>
      </c>
      <c r="B8154" t="s">
        <v>169</v>
      </c>
      <c r="C8154" t="s">
        <v>123</v>
      </c>
      <c r="D8154" t="s">
        <v>89</v>
      </c>
      <c r="E8154" t="s">
        <v>138</v>
      </c>
      <c r="F8154" s="1">
        <v>43065</v>
      </c>
      <c r="G8154" s="1">
        <v>43080</v>
      </c>
      <c r="H8154">
        <v>66</v>
      </c>
      <c r="I8154" t="str">
        <f>IF(COUNTIF(Products!$A$2:$A$8,C8154)=0,C8154,"")</f>
        <v/>
      </c>
      <c r="J8154">
        <f>IF(OR(E8154="Prospecting",E8154="Engaging"),VLOOKUP(C8154,Products!$A$2:$C$8,3,FALSE),0)</f>
        <v>0</v>
      </c>
    </row>
    <row r="8155" spans="1:10" x14ac:dyDescent="0.25">
      <c r="A8155" t="s">
        <v>8322</v>
      </c>
      <c r="B8155" t="s">
        <v>169</v>
      </c>
      <c r="C8155" t="s">
        <v>125</v>
      </c>
      <c r="D8155" t="s">
        <v>22</v>
      </c>
      <c r="E8155" t="s">
        <v>138</v>
      </c>
      <c r="F8155" s="1">
        <v>43065</v>
      </c>
      <c r="G8155" s="1">
        <v>43081</v>
      </c>
      <c r="H8155">
        <v>3309</v>
      </c>
      <c r="I8155" t="str">
        <f>IF(COUNTIF(Products!$A$2:$A$8,C8155)=0,C8155,"")</f>
        <v/>
      </c>
      <c r="J8155">
        <f>IF(OR(E8155="Prospecting",E8155="Engaging"),VLOOKUP(C8155,Products!$A$2:$C$8,3,FALSE),0)</f>
        <v>0</v>
      </c>
    </row>
    <row r="8156" spans="1:10" x14ac:dyDescent="0.25">
      <c r="A8156" t="s">
        <v>8323</v>
      </c>
      <c r="B8156" t="s">
        <v>177</v>
      </c>
      <c r="C8156" t="s">
        <v>125</v>
      </c>
      <c r="D8156" t="s">
        <v>25</v>
      </c>
      <c r="E8156" t="s">
        <v>159</v>
      </c>
      <c r="F8156" s="1">
        <v>43065</v>
      </c>
      <c r="G8156" s="1">
        <v>43066</v>
      </c>
      <c r="H8156">
        <v>0</v>
      </c>
      <c r="I8156" t="str">
        <f>IF(COUNTIF(Products!$A$2:$A$8,C8156)=0,C8156,"")</f>
        <v/>
      </c>
      <c r="J8156">
        <f>IF(OR(E8156="Prospecting",E8156="Engaging"),VLOOKUP(C8156,Products!$A$2:$C$8,3,FALSE),0)</f>
        <v>0</v>
      </c>
    </row>
    <row r="8157" spans="1:10" x14ac:dyDescent="0.25">
      <c r="A8157" t="s">
        <v>8324</v>
      </c>
      <c r="B8157" t="s">
        <v>140</v>
      </c>
      <c r="C8157" t="s">
        <v>122</v>
      </c>
      <c r="D8157" t="s">
        <v>51</v>
      </c>
      <c r="E8157" t="s">
        <v>138</v>
      </c>
      <c r="F8157" s="1">
        <v>43066</v>
      </c>
      <c r="G8157" s="1">
        <v>43069</v>
      </c>
      <c r="H8157">
        <v>4888</v>
      </c>
      <c r="I8157" t="str">
        <f>IF(COUNTIF(Products!$A$2:$A$8,C8157)=0,C8157,"")</f>
        <v/>
      </c>
      <c r="J8157">
        <f>IF(OR(E8157="Prospecting",E8157="Engaging"),VLOOKUP(C8157,Products!$A$2:$C$8,3,FALSE),0)</f>
        <v>0</v>
      </c>
    </row>
    <row r="8158" spans="1:10" x14ac:dyDescent="0.25">
      <c r="A8158" t="s">
        <v>8325</v>
      </c>
      <c r="B8158" t="s">
        <v>164</v>
      </c>
      <c r="C8158" t="s">
        <v>127</v>
      </c>
      <c r="D8158" t="s">
        <v>66</v>
      </c>
      <c r="E8158" t="s">
        <v>138</v>
      </c>
      <c r="F8158" s="1">
        <v>43066</v>
      </c>
      <c r="G8158" s="1">
        <v>43081</v>
      </c>
      <c r="H8158">
        <v>1192</v>
      </c>
      <c r="I8158" t="str">
        <f>IF(COUNTIF(Products!$A$2:$A$8,C8158)=0,C8158,"")</f>
        <v/>
      </c>
      <c r="J8158">
        <f>IF(OR(E8158="Prospecting",E8158="Engaging"),VLOOKUP(C8158,Products!$A$2:$C$8,3,FALSE),0)</f>
        <v>0</v>
      </c>
    </row>
    <row r="8159" spans="1:10" x14ac:dyDescent="0.25">
      <c r="A8159" t="s">
        <v>8326</v>
      </c>
      <c r="B8159" t="s">
        <v>193</v>
      </c>
      <c r="C8159" t="s">
        <v>125</v>
      </c>
      <c r="D8159" t="s">
        <v>19</v>
      </c>
      <c r="E8159" t="s">
        <v>159</v>
      </c>
      <c r="F8159" s="1">
        <v>43066</v>
      </c>
      <c r="G8159" s="1">
        <v>43081</v>
      </c>
      <c r="H8159">
        <v>0</v>
      </c>
      <c r="I8159" t="str">
        <f>IF(COUNTIF(Products!$A$2:$A$8,C8159)=0,C8159,"")</f>
        <v/>
      </c>
      <c r="J8159">
        <f>IF(OR(E8159="Prospecting",E8159="Engaging"),VLOOKUP(C8159,Products!$A$2:$C$8,3,FALSE),0)</f>
        <v>0</v>
      </c>
    </row>
    <row r="8160" spans="1:10" x14ac:dyDescent="0.25">
      <c r="A8160" t="s">
        <v>8327</v>
      </c>
      <c r="B8160" t="s">
        <v>166</v>
      </c>
      <c r="C8160" t="s">
        <v>123</v>
      </c>
      <c r="E8160" t="s">
        <v>155</v>
      </c>
      <c r="F8160" s="1">
        <v>43066</v>
      </c>
      <c r="I8160" t="str">
        <f>IF(COUNTIF(Products!$A$2:$A$8,C8160)=0,C8160,"")</f>
        <v/>
      </c>
      <c r="J8160">
        <f>IF(OR(E8160="Prospecting",E8160="Engaging"),VLOOKUP(C8160,Products!$A$2:$C$8,3,FALSE),0)</f>
        <v>55</v>
      </c>
    </row>
    <row r="8161" spans="1:10" x14ac:dyDescent="0.25">
      <c r="A8161" t="s">
        <v>8328</v>
      </c>
      <c r="B8161" t="s">
        <v>144</v>
      </c>
      <c r="C8161" t="s">
        <v>120</v>
      </c>
      <c r="D8161" t="s">
        <v>32</v>
      </c>
      <c r="E8161" t="s">
        <v>155</v>
      </c>
      <c r="F8161" s="1">
        <v>43066</v>
      </c>
      <c r="I8161" t="str">
        <f>IF(COUNTIF(Products!$A$2:$A$8,C8161)=0,C8161,"")</f>
        <v/>
      </c>
      <c r="J8161">
        <f>IF(OR(E8161="Prospecting",E8161="Engaging"),VLOOKUP(C8161,Products!$A$2:$C$8,3,FALSE),0)</f>
        <v>550</v>
      </c>
    </row>
    <row r="8162" spans="1:10" x14ac:dyDescent="0.25">
      <c r="A8162" t="s">
        <v>8329</v>
      </c>
      <c r="B8162" t="s">
        <v>224</v>
      </c>
      <c r="C8162" t="s">
        <v>127</v>
      </c>
      <c r="D8162" t="s">
        <v>50</v>
      </c>
      <c r="E8162" t="s">
        <v>138</v>
      </c>
      <c r="F8162" s="1">
        <v>43067</v>
      </c>
      <c r="G8162" s="1">
        <v>43078</v>
      </c>
      <c r="H8162">
        <v>1131</v>
      </c>
      <c r="I8162" t="str">
        <f>IF(COUNTIF(Products!$A$2:$A$8,C8162)=0,C8162,"")</f>
        <v/>
      </c>
      <c r="J8162">
        <f>IF(OR(E8162="Prospecting",E8162="Engaging"),VLOOKUP(C8162,Products!$A$2:$C$8,3,FALSE),0)</f>
        <v>0</v>
      </c>
    </row>
    <row r="8163" spans="1:10" x14ac:dyDescent="0.25">
      <c r="A8163" t="s">
        <v>8330</v>
      </c>
      <c r="B8163" t="s">
        <v>164</v>
      </c>
      <c r="C8163" t="s">
        <v>126</v>
      </c>
      <c r="D8163" t="s">
        <v>56</v>
      </c>
      <c r="E8163" t="s">
        <v>138</v>
      </c>
      <c r="F8163" s="1">
        <v>43067</v>
      </c>
      <c r="G8163" s="1">
        <v>43081</v>
      </c>
      <c r="H8163">
        <v>5702</v>
      </c>
      <c r="I8163" t="str">
        <f>IF(COUNTIF(Products!$A$2:$A$8,C8163)=0,C8163,"")</f>
        <v/>
      </c>
      <c r="J8163">
        <f>IF(OR(E8163="Prospecting",E8163="Engaging"),VLOOKUP(C8163,Products!$A$2:$C$8,3,FALSE),0)</f>
        <v>0</v>
      </c>
    </row>
    <row r="8164" spans="1:10" x14ac:dyDescent="0.25">
      <c r="A8164" t="s">
        <v>8331</v>
      </c>
      <c r="B8164" t="s">
        <v>180</v>
      </c>
      <c r="C8164" t="s">
        <v>120</v>
      </c>
      <c r="D8164" t="s">
        <v>23</v>
      </c>
      <c r="E8164" t="s">
        <v>138</v>
      </c>
      <c r="F8164" s="1">
        <v>43067</v>
      </c>
      <c r="G8164" s="1">
        <v>43082</v>
      </c>
      <c r="H8164">
        <v>563</v>
      </c>
      <c r="I8164" t="str">
        <f>IF(COUNTIF(Products!$A$2:$A$8,C8164)=0,C8164,"")</f>
        <v/>
      </c>
      <c r="J8164">
        <f>IF(OR(E8164="Prospecting",E8164="Engaging"),VLOOKUP(C8164,Products!$A$2:$C$8,3,FALSE),0)</f>
        <v>0</v>
      </c>
    </row>
    <row r="8165" spans="1:10" x14ac:dyDescent="0.25">
      <c r="A8165" t="s">
        <v>8332</v>
      </c>
      <c r="B8165" t="s">
        <v>162</v>
      </c>
      <c r="C8165" t="s">
        <v>126</v>
      </c>
      <c r="D8165" t="s">
        <v>107</v>
      </c>
      <c r="E8165" t="s">
        <v>138</v>
      </c>
      <c r="F8165" s="1">
        <v>43067</v>
      </c>
      <c r="G8165" s="1">
        <v>43080</v>
      </c>
      <c r="H8165">
        <v>5886</v>
      </c>
      <c r="I8165" t="str">
        <f>IF(COUNTIF(Products!$A$2:$A$8,C8165)=0,C8165,"")</f>
        <v/>
      </c>
      <c r="J8165">
        <f>IF(OR(E8165="Prospecting",E8165="Engaging"),VLOOKUP(C8165,Products!$A$2:$C$8,3,FALSE),0)</f>
        <v>0</v>
      </c>
    </row>
    <row r="8166" spans="1:10" x14ac:dyDescent="0.25">
      <c r="A8166" t="s">
        <v>8333</v>
      </c>
      <c r="B8166" t="s">
        <v>152</v>
      </c>
      <c r="C8166" t="s">
        <v>120</v>
      </c>
      <c r="D8166" t="s">
        <v>33</v>
      </c>
      <c r="E8166" t="s">
        <v>159</v>
      </c>
      <c r="F8166" s="1">
        <v>43067</v>
      </c>
      <c r="G8166" s="1">
        <v>43074</v>
      </c>
      <c r="H8166">
        <v>0</v>
      </c>
      <c r="I8166" t="str">
        <f>IF(COUNTIF(Products!$A$2:$A$8,C8166)=0,C8166,"")</f>
        <v/>
      </c>
      <c r="J8166">
        <f>IF(OR(E8166="Prospecting",E8166="Engaging"),VLOOKUP(C8166,Products!$A$2:$C$8,3,FALSE),0)</f>
        <v>0</v>
      </c>
    </row>
    <row r="8167" spans="1:10" x14ac:dyDescent="0.25">
      <c r="A8167" t="s">
        <v>8334</v>
      </c>
      <c r="B8167" t="s">
        <v>148</v>
      </c>
      <c r="C8167" t="s">
        <v>125</v>
      </c>
      <c r="D8167" t="s">
        <v>60</v>
      </c>
      <c r="E8167" t="s">
        <v>159</v>
      </c>
      <c r="F8167" s="1">
        <v>43067</v>
      </c>
      <c r="G8167" s="1">
        <v>43071</v>
      </c>
      <c r="H8167">
        <v>0</v>
      </c>
      <c r="I8167" t="str">
        <f>IF(COUNTIF(Products!$A$2:$A$8,C8167)=0,C8167,"")</f>
        <v/>
      </c>
      <c r="J8167">
        <f>IF(OR(E8167="Prospecting",E8167="Engaging"),VLOOKUP(C8167,Products!$A$2:$C$8,3,FALSE),0)</f>
        <v>0</v>
      </c>
    </row>
    <row r="8168" spans="1:10" x14ac:dyDescent="0.25">
      <c r="A8168" t="s">
        <v>8335</v>
      </c>
      <c r="B8168" t="s">
        <v>144</v>
      </c>
      <c r="C8168" t="s">
        <v>127</v>
      </c>
      <c r="E8168" t="s">
        <v>155</v>
      </c>
      <c r="F8168" s="1">
        <v>43067</v>
      </c>
      <c r="I8168" t="str">
        <f>IF(COUNTIF(Products!$A$2:$A$8,C8168)=0,C8168,"")</f>
        <v/>
      </c>
      <c r="J8168">
        <f>IF(OR(E8168="Prospecting",E8168="Engaging"),VLOOKUP(C8168,Products!$A$2:$C$8,3,FALSE),0)</f>
        <v>1096</v>
      </c>
    </row>
    <row r="8169" spans="1:10" x14ac:dyDescent="0.25">
      <c r="A8169" t="s">
        <v>8336</v>
      </c>
      <c r="B8169" t="s">
        <v>144</v>
      </c>
      <c r="C8169" t="s">
        <v>120</v>
      </c>
      <c r="D8169" t="s">
        <v>87</v>
      </c>
      <c r="E8169" t="s">
        <v>138</v>
      </c>
      <c r="F8169" s="1">
        <v>43067</v>
      </c>
      <c r="G8169" s="1">
        <v>43073</v>
      </c>
      <c r="H8169">
        <v>601</v>
      </c>
      <c r="I8169" t="str">
        <f>IF(COUNTIF(Products!$A$2:$A$8,C8169)=0,C8169,"")</f>
        <v/>
      </c>
      <c r="J8169">
        <f>IF(OR(E8169="Prospecting",E8169="Engaging"),VLOOKUP(C8169,Products!$A$2:$C$8,3,FALSE),0)</f>
        <v>0</v>
      </c>
    </row>
    <row r="8170" spans="1:10" x14ac:dyDescent="0.25">
      <c r="A8170" t="s">
        <v>8337</v>
      </c>
      <c r="B8170" t="s">
        <v>173</v>
      </c>
      <c r="C8170" t="s">
        <v>123</v>
      </c>
      <c r="D8170" t="s">
        <v>41</v>
      </c>
      <c r="E8170" t="s">
        <v>138</v>
      </c>
      <c r="F8170" s="1">
        <v>43068</v>
      </c>
      <c r="G8170" s="1">
        <v>43087</v>
      </c>
      <c r="H8170">
        <v>58</v>
      </c>
      <c r="I8170" t="str">
        <f>IF(COUNTIF(Products!$A$2:$A$8,C8170)=0,C8170,"")</f>
        <v/>
      </c>
      <c r="J8170">
        <f>IF(OR(E8170="Prospecting",E8170="Engaging"),VLOOKUP(C8170,Products!$A$2:$C$8,3,FALSE),0)</f>
        <v>0</v>
      </c>
    </row>
    <row r="8171" spans="1:10" x14ac:dyDescent="0.25">
      <c r="A8171" t="s">
        <v>8338</v>
      </c>
      <c r="B8171" t="s">
        <v>164</v>
      </c>
      <c r="C8171" t="s">
        <v>123</v>
      </c>
      <c r="D8171" t="s">
        <v>17</v>
      </c>
      <c r="E8171" t="s">
        <v>138</v>
      </c>
      <c r="F8171" s="1">
        <v>43068</v>
      </c>
      <c r="G8171" s="1">
        <v>43083</v>
      </c>
      <c r="H8171">
        <v>58</v>
      </c>
      <c r="I8171" t="str">
        <f>IF(COUNTIF(Products!$A$2:$A$8,C8171)=0,C8171,"")</f>
        <v/>
      </c>
      <c r="J8171">
        <f>IF(OR(E8171="Prospecting",E8171="Engaging"),VLOOKUP(C8171,Products!$A$2:$C$8,3,FALSE),0)</f>
        <v>0</v>
      </c>
    </row>
    <row r="8172" spans="1:10" x14ac:dyDescent="0.25">
      <c r="A8172" t="s">
        <v>8339</v>
      </c>
      <c r="B8172" t="s">
        <v>164</v>
      </c>
      <c r="C8172" t="s">
        <v>125</v>
      </c>
      <c r="D8172" t="s">
        <v>44</v>
      </c>
      <c r="E8172" t="s">
        <v>138</v>
      </c>
      <c r="F8172" s="1">
        <v>43068</v>
      </c>
      <c r="G8172" s="1">
        <v>43083</v>
      </c>
      <c r="H8172">
        <v>3285</v>
      </c>
      <c r="I8172" t="str">
        <f>IF(COUNTIF(Products!$A$2:$A$8,C8172)=0,C8172,"")</f>
        <v/>
      </c>
      <c r="J8172">
        <f>IF(OR(E8172="Prospecting",E8172="Engaging"),VLOOKUP(C8172,Products!$A$2:$C$8,3,FALSE),0)</f>
        <v>0</v>
      </c>
    </row>
    <row r="8173" spans="1:10" x14ac:dyDescent="0.25">
      <c r="A8173" t="s">
        <v>8340</v>
      </c>
      <c r="B8173" t="s">
        <v>193</v>
      </c>
      <c r="C8173" t="s">
        <v>125</v>
      </c>
      <c r="D8173" t="s">
        <v>84</v>
      </c>
      <c r="E8173" t="s">
        <v>138</v>
      </c>
      <c r="F8173" s="1">
        <v>43068</v>
      </c>
      <c r="G8173" s="1">
        <v>43077</v>
      </c>
      <c r="H8173">
        <v>3494</v>
      </c>
      <c r="I8173" t="str">
        <f>IF(COUNTIF(Products!$A$2:$A$8,C8173)=0,C8173,"")</f>
        <v/>
      </c>
      <c r="J8173">
        <f>IF(OR(E8173="Prospecting",E8173="Engaging"),VLOOKUP(C8173,Products!$A$2:$C$8,3,FALSE),0)</f>
        <v>0</v>
      </c>
    </row>
    <row r="8174" spans="1:10" x14ac:dyDescent="0.25">
      <c r="A8174" t="s">
        <v>8341</v>
      </c>
      <c r="B8174" t="s">
        <v>239</v>
      </c>
      <c r="C8174" t="s">
        <v>126</v>
      </c>
      <c r="E8174" t="s">
        <v>155</v>
      </c>
      <c r="F8174" s="1">
        <v>43069</v>
      </c>
      <c r="I8174" t="str">
        <f>IF(COUNTIF(Products!$A$2:$A$8,C8174)=0,C8174,"")</f>
        <v/>
      </c>
      <c r="J8174">
        <f>IF(OR(E8174="Prospecting",E8174="Engaging"),VLOOKUP(C8174,Products!$A$2:$C$8,3,FALSE),0)</f>
        <v>5482</v>
      </c>
    </row>
    <row r="8175" spans="1:10" x14ac:dyDescent="0.25">
      <c r="A8175" t="s">
        <v>8342</v>
      </c>
      <c r="B8175" t="s">
        <v>140</v>
      </c>
      <c r="C8175" t="s">
        <v>125</v>
      </c>
      <c r="D8175" t="s">
        <v>42</v>
      </c>
      <c r="E8175" t="s">
        <v>159</v>
      </c>
      <c r="F8175" s="1">
        <v>43069</v>
      </c>
      <c r="G8175" s="1">
        <v>43083</v>
      </c>
      <c r="H8175">
        <v>0</v>
      </c>
      <c r="I8175" t="str">
        <f>IF(COUNTIF(Products!$A$2:$A$8,C8175)=0,C8175,"")</f>
        <v/>
      </c>
      <c r="J8175">
        <f>IF(OR(E8175="Prospecting",E8175="Engaging"),VLOOKUP(C8175,Products!$A$2:$C$8,3,FALSE),0)</f>
        <v>0</v>
      </c>
    </row>
    <row r="8176" spans="1:10" x14ac:dyDescent="0.25">
      <c r="A8176" t="s">
        <v>8343</v>
      </c>
      <c r="B8176" t="s">
        <v>224</v>
      </c>
      <c r="C8176" t="s">
        <v>126</v>
      </c>
      <c r="D8176" t="s">
        <v>63</v>
      </c>
      <c r="E8176" t="s">
        <v>138</v>
      </c>
      <c r="F8176" s="1">
        <v>43069</v>
      </c>
      <c r="G8176" s="1">
        <v>43083</v>
      </c>
      <c r="H8176">
        <v>5204</v>
      </c>
      <c r="I8176" t="str">
        <f>IF(COUNTIF(Products!$A$2:$A$8,C8176)=0,C8176,"")</f>
        <v/>
      </c>
      <c r="J8176">
        <f>IF(OR(E8176="Prospecting",E8176="Engaging"),VLOOKUP(C8176,Products!$A$2:$C$8,3,FALSE),0)</f>
        <v>0</v>
      </c>
    </row>
    <row r="8177" spans="1:10" x14ac:dyDescent="0.25">
      <c r="A8177" t="s">
        <v>8344</v>
      </c>
      <c r="B8177" t="s">
        <v>198</v>
      </c>
      <c r="C8177" t="s">
        <v>120</v>
      </c>
      <c r="D8177" t="s">
        <v>102</v>
      </c>
      <c r="E8177" t="s">
        <v>138</v>
      </c>
      <c r="F8177" s="1">
        <v>43069</v>
      </c>
      <c r="G8177" s="1">
        <v>43084</v>
      </c>
      <c r="H8177">
        <v>579</v>
      </c>
      <c r="I8177" t="str">
        <f>IF(COUNTIF(Products!$A$2:$A$8,C8177)=0,C8177,"")</f>
        <v/>
      </c>
      <c r="J8177">
        <f>IF(OR(E8177="Prospecting",E8177="Engaging"),VLOOKUP(C8177,Products!$A$2:$C$8,3,FALSE),0)</f>
        <v>0</v>
      </c>
    </row>
    <row r="8178" spans="1:10" x14ac:dyDescent="0.25">
      <c r="A8178" t="s">
        <v>8345</v>
      </c>
      <c r="B8178" t="s">
        <v>191</v>
      </c>
      <c r="C8178" t="s">
        <v>127</v>
      </c>
      <c r="D8178" t="s">
        <v>23</v>
      </c>
      <c r="E8178" t="s">
        <v>138</v>
      </c>
      <c r="F8178" s="1">
        <v>43069</v>
      </c>
      <c r="G8178" s="1">
        <v>43083</v>
      </c>
      <c r="H8178">
        <v>1195</v>
      </c>
      <c r="I8178" t="str">
        <f>IF(COUNTIF(Products!$A$2:$A$8,C8178)=0,C8178,"")</f>
        <v/>
      </c>
      <c r="J8178">
        <f>IF(OR(E8178="Prospecting",E8178="Engaging"),VLOOKUP(C8178,Products!$A$2:$C$8,3,FALSE),0)</f>
        <v>0</v>
      </c>
    </row>
    <row r="8179" spans="1:10" x14ac:dyDescent="0.25">
      <c r="A8179" t="s">
        <v>8346</v>
      </c>
      <c r="B8179" t="s">
        <v>217</v>
      </c>
      <c r="C8179" t="s">
        <v>126</v>
      </c>
      <c r="D8179" t="s">
        <v>96</v>
      </c>
      <c r="E8179" t="s">
        <v>138</v>
      </c>
      <c r="F8179" s="1">
        <v>43069</v>
      </c>
      <c r="G8179" s="1">
        <v>43098</v>
      </c>
      <c r="H8179">
        <v>6340</v>
      </c>
      <c r="I8179" t="str">
        <f>IF(COUNTIF(Products!$A$2:$A$8,C8179)=0,C8179,"")</f>
        <v/>
      </c>
      <c r="J8179">
        <f>IF(OR(E8179="Prospecting",E8179="Engaging"),VLOOKUP(C8179,Products!$A$2:$C$8,3,FALSE),0)</f>
        <v>0</v>
      </c>
    </row>
    <row r="8180" spans="1:10" x14ac:dyDescent="0.25">
      <c r="A8180" t="s">
        <v>8347</v>
      </c>
      <c r="B8180" t="s">
        <v>196</v>
      </c>
      <c r="C8180" t="s">
        <v>127</v>
      </c>
      <c r="D8180" t="s">
        <v>111</v>
      </c>
      <c r="E8180" t="s">
        <v>138</v>
      </c>
      <c r="F8180" s="1">
        <v>43069</v>
      </c>
      <c r="G8180" s="1">
        <v>43088</v>
      </c>
      <c r="H8180">
        <v>1179</v>
      </c>
      <c r="I8180" t="str">
        <f>IF(COUNTIF(Products!$A$2:$A$8,C8180)=0,C8180,"")</f>
        <v/>
      </c>
      <c r="J8180">
        <f>IF(OR(E8180="Prospecting",E8180="Engaging"),VLOOKUP(C8180,Products!$A$2:$C$8,3,FALSE),0)</f>
        <v>0</v>
      </c>
    </row>
    <row r="8181" spans="1:10" x14ac:dyDescent="0.25">
      <c r="A8181" t="s">
        <v>8348</v>
      </c>
      <c r="B8181" t="s">
        <v>146</v>
      </c>
      <c r="C8181" t="s">
        <v>127</v>
      </c>
      <c r="D8181" t="s">
        <v>27</v>
      </c>
      <c r="E8181" t="s">
        <v>138</v>
      </c>
      <c r="F8181" s="1">
        <v>43070</v>
      </c>
      <c r="G8181" s="1">
        <v>43091</v>
      </c>
      <c r="H8181">
        <v>1243</v>
      </c>
      <c r="I8181" t="str">
        <f>IF(COUNTIF(Products!$A$2:$A$8,C8181)=0,C8181,"")</f>
        <v/>
      </c>
      <c r="J8181">
        <f>IF(OR(E8181="Prospecting",E8181="Engaging"),VLOOKUP(C8181,Products!$A$2:$C$8,3,FALSE),0)</f>
        <v>0</v>
      </c>
    </row>
    <row r="8182" spans="1:10" x14ac:dyDescent="0.25">
      <c r="A8182" t="s">
        <v>8349</v>
      </c>
      <c r="B8182" t="s">
        <v>173</v>
      </c>
      <c r="C8182" t="s">
        <v>127</v>
      </c>
      <c r="D8182" t="s">
        <v>114</v>
      </c>
      <c r="E8182" t="s">
        <v>138</v>
      </c>
      <c r="F8182" s="1">
        <v>43070</v>
      </c>
      <c r="G8182" s="1">
        <v>43084</v>
      </c>
      <c r="H8182">
        <v>953</v>
      </c>
      <c r="I8182" t="str">
        <f>IF(COUNTIF(Products!$A$2:$A$8,C8182)=0,C8182,"")</f>
        <v/>
      </c>
      <c r="J8182">
        <f>IF(OR(E8182="Prospecting",E8182="Engaging"),VLOOKUP(C8182,Products!$A$2:$C$8,3,FALSE),0)</f>
        <v>0</v>
      </c>
    </row>
    <row r="8183" spans="1:10" x14ac:dyDescent="0.25">
      <c r="A8183" t="s">
        <v>8350</v>
      </c>
      <c r="B8183" t="s">
        <v>180</v>
      </c>
      <c r="C8183" t="s">
        <v>120</v>
      </c>
      <c r="E8183" t="s">
        <v>155</v>
      </c>
      <c r="F8183" s="1">
        <v>43070</v>
      </c>
      <c r="I8183" t="str">
        <f>IF(COUNTIF(Products!$A$2:$A$8,C8183)=0,C8183,"")</f>
        <v/>
      </c>
      <c r="J8183">
        <f>IF(OR(E8183="Prospecting",E8183="Engaging"),VLOOKUP(C8183,Products!$A$2:$C$8,3,FALSE),0)</f>
        <v>550</v>
      </c>
    </row>
    <row r="8184" spans="1:10" x14ac:dyDescent="0.25">
      <c r="A8184" t="s">
        <v>8351</v>
      </c>
      <c r="B8184" t="s">
        <v>137</v>
      </c>
      <c r="C8184" t="s">
        <v>126</v>
      </c>
      <c r="D8184" t="s">
        <v>51</v>
      </c>
      <c r="E8184" t="s">
        <v>138</v>
      </c>
      <c r="F8184" s="1">
        <v>43070</v>
      </c>
      <c r="G8184" s="1">
        <v>43078</v>
      </c>
      <c r="H8184">
        <v>5619</v>
      </c>
      <c r="I8184" t="str">
        <f>IF(COUNTIF(Products!$A$2:$A$8,C8184)=0,C8184,"")</f>
        <v/>
      </c>
      <c r="J8184">
        <f>IF(OR(E8184="Prospecting",E8184="Engaging"),VLOOKUP(C8184,Products!$A$2:$C$8,3,FALSE),0)</f>
        <v>0</v>
      </c>
    </row>
    <row r="8185" spans="1:10" x14ac:dyDescent="0.25">
      <c r="A8185" t="s">
        <v>8352</v>
      </c>
      <c r="B8185" t="s">
        <v>224</v>
      </c>
      <c r="C8185" t="s">
        <v>127</v>
      </c>
      <c r="D8185" t="s">
        <v>10</v>
      </c>
      <c r="E8185" t="s">
        <v>159</v>
      </c>
      <c r="F8185" s="1">
        <v>43071</v>
      </c>
      <c r="G8185" s="1">
        <v>43081</v>
      </c>
      <c r="H8185">
        <v>0</v>
      </c>
      <c r="I8185" t="str">
        <f>IF(COUNTIF(Products!$A$2:$A$8,C8185)=0,C8185,"")</f>
        <v/>
      </c>
      <c r="J8185">
        <f>IF(OR(E8185="Prospecting",E8185="Engaging"),VLOOKUP(C8185,Products!$A$2:$C$8,3,FALSE),0)</f>
        <v>0</v>
      </c>
    </row>
    <row r="8186" spans="1:10" x14ac:dyDescent="0.25">
      <c r="A8186" t="s">
        <v>8353</v>
      </c>
      <c r="B8186" t="s">
        <v>224</v>
      </c>
      <c r="C8186" t="s">
        <v>127</v>
      </c>
      <c r="D8186" t="s">
        <v>37</v>
      </c>
      <c r="E8186" t="s">
        <v>159</v>
      </c>
      <c r="F8186" s="1">
        <v>43071</v>
      </c>
      <c r="G8186" s="1">
        <v>43080</v>
      </c>
      <c r="H8186">
        <v>0</v>
      </c>
      <c r="I8186" t="str">
        <f>IF(COUNTIF(Products!$A$2:$A$8,C8186)=0,C8186,"")</f>
        <v/>
      </c>
      <c r="J8186">
        <f>IF(OR(E8186="Prospecting",E8186="Engaging"),VLOOKUP(C8186,Products!$A$2:$C$8,3,FALSE),0)</f>
        <v>0</v>
      </c>
    </row>
    <row r="8187" spans="1:10" x14ac:dyDescent="0.25">
      <c r="A8187" t="s">
        <v>8354</v>
      </c>
      <c r="B8187" t="s">
        <v>164</v>
      </c>
      <c r="C8187" t="s">
        <v>125</v>
      </c>
      <c r="D8187" t="s">
        <v>82</v>
      </c>
      <c r="E8187" t="s">
        <v>138</v>
      </c>
      <c r="F8187" s="1">
        <v>43071</v>
      </c>
      <c r="G8187" s="1">
        <v>43089</v>
      </c>
      <c r="H8187">
        <v>3547</v>
      </c>
      <c r="I8187" t="str">
        <f>IF(COUNTIF(Products!$A$2:$A$8,C8187)=0,C8187,"")</f>
        <v/>
      </c>
      <c r="J8187">
        <f>IF(OR(E8187="Prospecting",E8187="Engaging"),VLOOKUP(C8187,Products!$A$2:$C$8,3,FALSE),0)</f>
        <v>0</v>
      </c>
    </row>
    <row r="8188" spans="1:10" x14ac:dyDescent="0.25">
      <c r="A8188" t="s">
        <v>8355</v>
      </c>
      <c r="B8188" t="s">
        <v>180</v>
      </c>
      <c r="C8188" t="s">
        <v>122</v>
      </c>
      <c r="D8188" t="s">
        <v>57</v>
      </c>
      <c r="E8188" t="s">
        <v>138</v>
      </c>
      <c r="F8188" s="1">
        <v>43071</v>
      </c>
      <c r="G8188" s="1">
        <v>43084</v>
      </c>
      <c r="H8188">
        <v>4899</v>
      </c>
      <c r="I8188" t="str">
        <f>IF(COUNTIF(Products!$A$2:$A$8,C8188)=0,C8188,"")</f>
        <v/>
      </c>
      <c r="J8188">
        <f>IF(OR(E8188="Prospecting",E8188="Engaging"),VLOOKUP(C8188,Products!$A$2:$C$8,3,FALSE),0)</f>
        <v>0</v>
      </c>
    </row>
    <row r="8189" spans="1:10" x14ac:dyDescent="0.25">
      <c r="A8189" t="s">
        <v>8356</v>
      </c>
      <c r="B8189" t="s">
        <v>191</v>
      </c>
      <c r="C8189" t="s">
        <v>127</v>
      </c>
      <c r="D8189" t="s">
        <v>93</v>
      </c>
      <c r="E8189" t="s">
        <v>138</v>
      </c>
      <c r="F8189" s="1">
        <v>43071</v>
      </c>
      <c r="G8189" s="1">
        <v>43089</v>
      </c>
      <c r="H8189">
        <v>993</v>
      </c>
      <c r="I8189" t="str">
        <f>IF(COUNTIF(Products!$A$2:$A$8,C8189)=0,C8189,"")</f>
        <v/>
      </c>
      <c r="J8189">
        <f>IF(OR(E8189="Prospecting",E8189="Engaging"),VLOOKUP(C8189,Products!$A$2:$C$8,3,FALSE),0)</f>
        <v>0</v>
      </c>
    </row>
    <row r="8190" spans="1:10" x14ac:dyDescent="0.25">
      <c r="A8190" t="s">
        <v>8357</v>
      </c>
      <c r="B8190" t="s">
        <v>154</v>
      </c>
      <c r="C8190" t="s">
        <v>123</v>
      </c>
      <c r="D8190" t="s">
        <v>34</v>
      </c>
      <c r="E8190" t="s">
        <v>138</v>
      </c>
      <c r="F8190" s="1">
        <v>43072</v>
      </c>
      <c r="G8190" s="1">
        <v>43079</v>
      </c>
      <c r="H8190">
        <v>54</v>
      </c>
      <c r="I8190" t="str">
        <f>IF(COUNTIF(Products!$A$2:$A$8,C8190)=0,C8190,"")</f>
        <v/>
      </c>
      <c r="J8190">
        <f>IF(OR(E8190="Prospecting",E8190="Engaging"),VLOOKUP(C8190,Products!$A$2:$C$8,3,FALSE),0)</f>
        <v>0</v>
      </c>
    </row>
    <row r="8191" spans="1:10" x14ac:dyDescent="0.25">
      <c r="A8191" t="s">
        <v>8358</v>
      </c>
      <c r="B8191" t="s">
        <v>303</v>
      </c>
      <c r="C8191" t="s">
        <v>127</v>
      </c>
      <c r="D8191" t="s">
        <v>26</v>
      </c>
      <c r="E8191" t="s">
        <v>159</v>
      </c>
      <c r="F8191" s="1">
        <v>43072</v>
      </c>
      <c r="G8191" s="1">
        <v>43089</v>
      </c>
      <c r="H8191">
        <v>0</v>
      </c>
      <c r="I8191" t="str">
        <f>IF(COUNTIF(Products!$A$2:$A$8,C8191)=0,C8191,"")</f>
        <v/>
      </c>
      <c r="J8191">
        <f>IF(OR(E8191="Prospecting",E8191="Engaging"),VLOOKUP(C8191,Products!$A$2:$C$8,3,FALSE),0)</f>
        <v>0</v>
      </c>
    </row>
    <row r="8192" spans="1:10" x14ac:dyDescent="0.25">
      <c r="A8192" t="s">
        <v>8359</v>
      </c>
      <c r="B8192" t="s">
        <v>187</v>
      </c>
      <c r="C8192" t="s">
        <v>123</v>
      </c>
      <c r="D8192" t="s">
        <v>63</v>
      </c>
      <c r="E8192" t="s">
        <v>138</v>
      </c>
      <c r="F8192" s="1">
        <v>43072</v>
      </c>
      <c r="G8192" s="1">
        <v>43093</v>
      </c>
      <c r="H8192">
        <v>58</v>
      </c>
      <c r="I8192" t="str">
        <f>IF(COUNTIF(Products!$A$2:$A$8,C8192)=0,C8192,"")</f>
        <v/>
      </c>
      <c r="J8192">
        <f>IF(OR(E8192="Prospecting",E8192="Engaging"),VLOOKUP(C8192,Products!$A$2:$C$8,3,FALSE),0)</f>
        <v>0</v>
      </c>
    </row>
    <row r="8193" spans="1:10" x14ac:dyDescent="0.25">
      <c r="A8193" t="s">
        <v>8360</v>
      </c>
      <c r="B8193" t="s">
        <v>146</v>
      </c>
      <c r="C8193" t="s">
        <v>123</v>
      </c>
      <c r="D8193" t="s">
        <v>61</v>
      </c>
      <c r="E8193" t="s">
        <v>138</v>
      </c>
      <c r="F8193" s="1">
        <v>43073</v>
      </c>
      <c r="G8193" s="1">
        <v>43082</v>
      </c>
      <c r="H8193">
        <v>57</v>
      </c>
      <c r="I8193" t="str">
        <f>IF(COUNTIF(Products!$A$2:$A$8,C8193)=0,C8193,"")</f>
        <v/>
      </c>
      <c r="J8193">
        <f>IF(OR(E8193="Prospecting",E8193="Engaging"),VLOOKUP(C8193,Products!$A$2:$C$8,3,FALSE),0)</f>
        <v>0</v>
      </c>
    </row>
    <row r="8194" spans="1:10" x14ac:dyDescent="0.25">
      <c r="A8194" t="s">
        <v>8361</v>
      </c>
      <c r="B8194" t="s">
        <v>158</v>
      </c>
      <c r="C8194" t="s">
        <v>123</v>
      </c>
      <c r="D8194" t="s">
        <v>96</v>
      </c>
      <c r="E8194" t="s">
        <v>159</v>
      </c>
      <c r="F8194" s="1">
        <v>43073</v>
      </c>
      <c r="G8194" s="1">
        <v>43093</v>
      </c>
      <c r="H8194">
        <v>0</v>
      </c>
      <c r="I8194" t="str">
        <f>IF(COUNTIF(Products!$A$2:$A$8,C8194)=0,C8194,"")</f>
        <v/>
      </c>
      <c r="J8194">
        <f>IF(OR(E8194="Prospecting",E8194="Engaging"),VLOOKUP(C8194,Products!$A$2:$C$8,3,FALSE),0)</f>
        <v>0</v>
      </c>
    </row>
    <row r="8195" spans="1:10" x14ac:dyDescent="0.25">
      <c r="A8195" t="s">
        <v>8362</v>
      </c>
      <c r="B8195" t="s">
        <v>158</v>
      </c>
      <c r="C8195" t="s">
        <v>127</v>
      </c>
      <c r="D8195" t="s">
        <v>32</v>
      </c>
      <c r="E8195" t="s">
        <v>138</v>
      </c>
      <c r="F8195" s="1">
        <v>43073</v>
      </c>
      <c r="G8195" s="1">
        <v>43080</v>
      </c>
      <c r="H8195">
        <v>1110</v>
      </c>
      <c r="I8195" t="str">
        <f>IF(COUNTIF(Products!$A$2:$A$8,C8195)=0,C8195,"")</f>
        <v/>
      </c>
      <c r="J8195">
        <f>IF(OR(E8195="Prospecting",E8195="Engaging"),VLOOKUP(C8195,Products!$A$2:$C$8,3,FALSE),0)</f>
        <v>0</v>
      </c>
    </row>
    <row r="8196" spans="1:10" x14ac:dyDescent="0.25">
      <c r="A8196" t="s">
        <v>8363</v>
      </c>
      <c r="B8196" t="s">
        <v>169</v>
      </c>
      <c r="C8196" t="s">
        <v>123</v>
      </c>
      <c r="D8196" t="s">
        <v>89</v>
      </c>
      <c r="E8196" t="s">
        <v>138</v>
      </c>
      <c r="F8196" s="1">
        <v>43073</v>
      </c>
      <c r="G8196" s="1">
        <v>43077</v>
      </c>
      <c r="H8196">
        <v>57</v>
      </c>
      <c r="I8196" t="str">
        <f>IF(COUNTIF(Products!$A$2:$A$8,C8196)=0,C8196,"")</f>
        <v/>
      </c>
      <c r="J8196">
        <f>IF(OR(E8196="Prospecting",E8196="Engaging"),VLOOKUP(C8196,Products!$A$2:$C$8,3,FALSE),0)</f>
        <v>0</v>
      </c>
    </row>
    <row r="8197" spans="1:10" x14ac:dyDescent="0.25">
      <c r="A8197" t="s">
        <v>8364</v>
      </c>
      <c r="B8197" t="s">
        <v>144</v>
      </c>
      <c r="C8197" t="s">
        <v>122</v>
      </c>
      <c r="D8197" t="s">
        <v>44</v>
      </c>
      <c r="E8197" t="s">
        <v>159</v>
      </c>
      <c r="F8197" s="1">
        <v>43073</v>
      </c>
      <c r="G8197" s="1">
        <v>43089</v>
      </c>
      <c r="H8197">
        <v>0</v>
      </c>
      <c r="I8197" t="str">
        <f>IF(COUNTIF(Products!$A$2:$A$8,C8197)=0,C8197,"")</f>
        <v/>
      </c>
      <c r="J8197">
        <f>IF(OR(E8197="Prospecting",E8197="Engaging"),VLOOKUP(C8197,Products!$A$2:$C$8,3,FALSE),0)</f>
        <v>0</v>
      </c>
    </row>
    <row r="8198" spans="1:10" x14ac:dyDescent="0.25">
      <c r="A8198" t="s">
        <v>8365</v>
      </c>
      <c r="B8198" t="s">
        <v>144</v>
      </c>
      <c r="C8198" t="s">
        <v>123</v>
      </c>
      <c r="D8198" t="s">
        <v>75</v>
      </c>
      <c r="E8198" t="s">
        <v>138</v>
      </c>
      <c r="F8198" s="1">
        <v>43073</v>
      </c>
      <c r="G8198" s="1">
        <v>43084</v>
      </c>
      <c r="H8198">
        <v>64</v>
      </c>
      <c r="I8198" t="str">
        <f>IF(COUNTIF(Products!$A$2:$A$8,C8198)=0,C8198,"")</f>
        <v/>
      </c>
      <c r="J8198">
        <f>IF(OR(E8198="Prospecting",E8198="Engaging"),VLOOKUP(C8198,Products!$A$2:$C$8,3,FALSE),0)</f>
        <v>0</v>
      </c>
    </row>
    <row r="8199" spans="1:10" x14ac:dyDescent="0.25">
      <c r="A8199" t="s">
        <v>8366</v>
      </c>
      <c r="B8199" t="s">
        <v>222</v>
      </c>
      <c r="C8199" t="s">
        <v>126</v>
      </c>
      <c r="D8199" t="s">
        <v>115</v>
      </c>
      <c r="E8199" t="s">
        <v>138</v>
      </c>
      <c r="F8199" s="1">
        <v>43074</v>
      </c>
      <c r="G8199" s="1">
        <v>43076</v>
      </c>
      <c r="H8199">
        <v>5172</v>
      </c>
      <c r="I8199" t="str">
        <f>IF(COUNTIF(Products!$A$2:$A$8,C8199)=0,C8199,"")</f>
        <v/>
      </c>
      <c r="J8199">
        <f>IF(OR(E8199="Prospecting",E8199="Engaging"),VLOOKUP(C8199,Products!$A$2:$C$8,3,FALSE),0)</f>
        <v>0</v>
      </c>
    </row>
    <row r="8200" spans="1:10" x14ac:dyDescent="0.25">
      <c r="A8200" t="s">
        <v>8367</v>
      </c>
      <c r="B8200" t="s">
        <v>239</v>
      </c>
      <c r="C8200" t="s">
        <v>127</v>
      </c>
      <c r="D8200" t="s">
        <v>115</v>
      </c>
      <c r="E8200" t="s">
        <v>159</v>
      </c>
      <c r="F8200" s="1">
        <v>43074</v>
      </c>
      <c r="G8200" s="1">
        <v>43096</v>
      </c>
      <c r="H8200">
        <v>0</v>
      </c>
      <c r="I8200" t="str">
        <f>IF(COUNTIF(Products!$A$2:$A$8,C8200)=0,C8200,"")</f>
        <v/>
      </c>
      <c r="J8200">
        <f>IF(OR(E8200="Prospecting",E8200="Engaging"),VLOOKUP(C8200,Products!$A$2:$C$8,3,FALSE),0)</f>
        <v>0</v>
      </c>
    </row>
    <row r="8201" spans="1:10" x14ac:dyDescent="0.25">
      <c r="A8201" t="s">
        <v>8368</v>
      </c>
      <c r="B8201" t="s">
        <v>191</v>
      </c>
      <c r="C8201" t="s">
        <v>120</v>
      </c>
      <c r="D8201" t="s">
        <v>47</v>
      </c>
      <c r="E8201" t="s">
        <v>159</v>
      </c>
      <c r="F8201" s="1">
        <v>43074</v>
      </c>
      <c r="G8201" s="1">
        <v>43094</v>
      </c>
      <c r="H8201">
        <v>0</v>
      </c>
      <c r="I8201" t="str">
        <f>IF(COUNTIF(Products!$A$2:$A$8,C8201)=0,C8201,"")</f>
        <v/>
      </c>
      <c r="J8201">
        <f>IF(OR(E8201="Prospecting",E8201="Engaging"),VLOOKUP(C8201,Products!$A$2:$C$8,3,FALSE),0)</f>
        <v>0</v>
      </c>
    </row>
    <row r="8202" spans="1:10" x14ac:dyDescent="0.25">
      <c r="A8202" t="s">
        <v>8369</v>
      </c>
      <c r="B8202" t="s">
        <v>150</v>
      </c>
      <c r="C8202" t="s">
        <v>123</v>
      </c>
      <c r="D8202" t="s">
        <v>39</v>
      </c>
      <c r="E8202" t="s">
        <v>159</v>
      </c>
      <c r="F8202" s="1">
        <v>43074</v>
      </c>
      <c r="G8202" s="1">
        <v>43088</v>
      </c>
      <c r="H8202">
        <v>0</v>
      </c>
      <c r="I8202" t="str">
        <f>IF(COUNTIF(Products!$A$2:$A$8,C8202)=0,C8202,"")</f>
        <v/>
      </c>
      <c r="J8202">
        <f>IF(OR(E8202="Prospecting",E8202="Engaging"),VLOOKUP(C8202,Products!$A$2:$C$8,3,FALSE),0)</f>
        <v>0</v>
      </c>
    </row>
    <row r="8203" spans="1:10" x14ac:dyDescent="0.25">
      <c r="A8203" t="s">
        <v>8370</v>
      </c>
      <c r="B8203" t="s">
        <v>152</v>
      </c>
      <c r="C8203" t="s">
        <v>126</v>
      </c>
      <c r="D8203" t="s">
        <v>46</v>
      </c>
      <c r="E8203" t="s">
        <v>138</v>
      </c>
      <c r="F8203" s="1">
        <v>43074</v>
      </c>
      <c r="G8203" s="1">
        <v>43088</v>
      </c>
      <c r="H8203">
        <v>6141</v>
      </c>
      <c r="I8203" t="str">
        <f>IF(COUNTIF(Products!$A$2:$A$8,C8203)=0,C8203,"")</f>
        <v/>
      </c>
      <c r="J8203">
        <f>IF(OR(E8203="Prospecting",E8203="Engaging"),VLOOKUP(C8203,Products!$A$2:$C$8,3,FALSE),0)</f>
        <v>0</v>
      </c>
    </row>
    <row r="8204" spans="1:10" x14ac:dyDescent="0.25">
      <c r="A8204" t="s">
        <v>8371</v>
      </c>
      <c r="B8204" t="s">
        <v>177</v>
      </c>
      <c r="C8204" t="s">
        <v>123</v>
      </c>
      <c r="E8204" t="s">
        <v>155</v>
      </c>
      <c r="F8204" s="1">
        <v>43074</v>
      </c>
      <c r="I8204" t="str">
        <f>IF(COUNTIF(Products!$A$2:$A$8,C8204)=0,C8204,"")</f>
        <v/>
      </c>
      <c r="J8204">
        <f>IF(OR(E8204="Prospecting",E8204="Engaging"),VLOOKUP(C8204,Products!$A$2:$C$8,3,FALSE),0)</f>
        <v>55</v>
      </c>
    </row>
    <row r="8205" spans="1:10" x14ac:dyDescent="0.25">
      <c r="A8205" t="s">
        <v>8372</v>
      </c>
      <c r="B8205" t="s">
        <v>146</v>
      </c>
      <c r="C8205" t="s">
        <v>123</v>
      </c>
      <c r="D8205" t="s">
        <v>95</v>
      </c>
      <c r="E8205" t="s">
        <v>138</v>
      </c>
      <c r="F8205" s="1">
        <v>43075</v>
      </c>
      <c r="G8205" s="1">
        <v>43083</v>
      </c>
      <c r="H8205">
        <v>56</v>
      </c>
      <c r="I8205" t="str">
        <f>IF(COUNTIF(Products!$A$2:$A$8,C8205)=0,C8205,"")</f>
        <v/>
      </c>
      <c r="J8205">
        <f>IF(OR(E8205="Prospecting",E8205="Engaging"),VLOOKUP(C8205,Products!$A$2:$C$8,3,FALSE),0)</f>
        <v>0</v>
      </c>
    </row>
    <row r="8206" spans="1:10" x14ac:dyDescent="0.25">
      <c r="A8206" t="s">
        <v>8373</v>
      </c>
      <c r="B8206" t="s">
        <v>264</v>
      </c>
      <c r="C8206" t="s">
        <v>120</v>
      </c>
      <c r="D8206" t="s">
        <v>36</v>
      </c>
      <c r="E8206" t="s">
        <v>138</v>
      </c>
      <c r="F8206" s="1">
        <v>43075</v>
      </c>
      <c r="G8206" s="1">
        <v>43081</v>
      </c>
      <c r="H8206">
        <v>515</v>
      </c>
      <c r="I8206" t="str">
        <f>IF(COUNTIF(Products!$A$2:$A$8,C8206)=0,C8206,"")</f>
        <v/>
      </c>
      <c r="J8206">
        <f>IF(OR(E8206="Prospecting",E8206="Engaging"),VLOOKUP(C8206,Products!$A$2:$C$8,3,FALSE),0)</f>
        <v>0</v>
      </c>
    </row>
    <row r="8207" spans="1:10" x14ac:dyDescent="0.25">
      <c r="A8207" t="s">
        <v>8374</v>
      </c>
      <c r="B8207" t="s">
        <v>224</v>
      </c>
      <c r="C8207" t="s">
        <v>120</v>
      </c>
      <c r="D8207" t="s">
        <v>37</v>
      </c>
      <c r="E8207" t="s">
        <v>138</v>
      </c>
      <c r="F8207" s="1">
        <v>43075</v>
      </c>
      <c r="G8207" s="1">
        <v>43092</v>
      </c>
      <c r="H8207">
        <v>698</v>
      </c>
      <c r="I8207" t="str">
        <f>IF(COUNTIF(Products!$A$2:$A$8,C8207)=0,C8207,"")</f>
        <v/>
      </c>
      <c r="J8207">
        <f>IF(OR(E8207="Prospecting",E8207="Engaging"),VLOOKUP(C8207,Products!$A$2:$C$8,3,FALSE),0)</f>
        <v>0</v>
      </c>
    </row>
    <row r="8208" spans="1:10" x14ac:dyDescent="0.25">
      <c r="A8208" t="s">
        <v>8375</v>
      </c>
      <c r="B8208" t="s">
        <v>224</v>
      </c>
      <c r="C8208" t="s">
        <v>120</v>
      </c>
      <c r="D8208" t="s">
        <v>110</v>
      </c>
      <c r="E8208" t="s">
        <v>138</v>
      </c>
      <c r="F8208" s="1">
        <v>43075</v>
      </c>
      <c r="G8208" s="1">
        <v>43099</v>
      </c>
      <c r="H8208">
        <v>481</v>
      </c>
      <c r="I8208" t="str">
        <f>IF(COUNTIF(Products!$A$2:$A$8,C8208)=0,C8208,"")</f>
        <v/>
      </c>
      <c r="J8208">
        <f>IF(OR(E8208="Prospecting",E8208="Engaging"),VLOOKUP(C8208,Products!$A$2:$C$8,3,FALSE),0)</f>
        <v>0</v>
      </c>
    </row>
    <row r="8209" spans="1:10" x14ac:dyDescent="0.25">
      <c r="A8209" t="s">
        <v>8376</v>
      </c>
      <c r="B8209" t="s">
        <v>191</v>
      </c>
      <c r="C8209" t="s">
        <v>122</v>
      </c>
      <c r="D8209" t="s">
        <v>39</v>
      </c>
      <c r="E8209" t="s">
        <v>159</v>
      </c>
      <c r="F8209" s="1">
        <v>43075</v>
      </c>
      <c r="G8209" s="1">
        <v>43091</v>
      </c>
      <c r="H8209">
        <v>0</v>
      </c>
      <c r="I8209" t="str">
        <f>IF(COUNTIF(Products!$A$2:$A$8,C8209)=0,C8209,"")</f>
        <v/>
      </c>
      <c r="J8209">
        <f>IF(OR(E8209="Prospecting",E8209="Engaging"),VLOOKUP(C8209,Products!$A$2:$C$8,3,FALSE),0)</f>
        <v>0</v>
      </c>
    </row>
    <row r="8210" spans="1:10" x14ac:dyDescent="0.25">
      <c r="A8210" t="s">
        <v>8377</v>
      </c>
      <c r="B8210" t="s">
        <v>169</v>
      </c>
      <c r="C8210" t="s">
        <v>123</v>
      </c>
      <c r="D8210" t="s">
        <v>85</v>
      </c>
      <c r="E8210" t="s">
        <v>138</v>
      </c>
      <c r="F8210" s="1">
        <v>43075</v>
      </c>
      <c r="G8210" s="1">
        <v>43083</v>
      </c>
      <c r="H8210">
        <v>49</v>
      </c>
      <c r="I8210" t="str">
        <f>IF(COUNTIF(Products!$A$2:$A$8,C8210)=0,C8210,"")</f>
        <v/>
      </c>
      <c r="J8210">
        <f>IF(OR(E8210="Prospecting",E8210="Engaging"),VLOOKUP(C8210,Products!$A$2:$C$8,3,FALSE),0)</f>
        <v>0</v>
      </c>
    </row>
    <row r="8211" spans="1:10" x14ac:dyDescent="0.25">
      <c r="A8211" t="s">
        <v>8378</v>
      </c>
      <c r="B8211" t="s">
        <v>191</v>
      </c>
      <c r="C8211" t="s">
        <v>127</v>
      </c>
      <c r="D8211" t="s">
        <v>107</v>
      </c>
      <c r="E8211" t="s">
        <v>138</v>
      </c>
      <c r="F8211" s="1">
        <v>43076</v>
      </c>
      <c r="G8211" s="1">
        <v>43087</v>
      </c>
      <c r="H8211">
        <v>1111</v>
      </c>
      <c r="I8211" t="str">
        <f>IF(COUNTIF(Products!$A$2:$A$8,C8211)=0,C8211,"")</f>
        <v/>
      </c>
      <c r="J8211">
        <f>IF(OR(E8211="Prospecting",E8211="Engaging"),VLOOKUP(C8211,Products!$A$2:$C$8,3,FALSE),0)</f>
        <v>0</v>
      </c>
    </row>
    <row r="8212" spans="1:10" x14ac:dyDescent="0.25">
      <c r="A8212" t="s">
        <v>8379</v>
      </c>
      <c r="B8212" t="s">
        <v>205</v>
      </c>
      <c r="C8212" t="s">
        <v>126</v>
      </c>
      <c r="D8212" t="s">
        <v>103</v>
      </c>
      <c r="E8212" t="s">
        <v>138</v>
      </c>
      <c r="F8212" s="1">
        <v>43076</v>
      </c>
      <c r="G8212" s="1">
        <v>43097</v>
      </c>
      <c r="H8212">
        <v>5862</v>
      </c>
      <c r="I8212" t="str">
        <f>IF(COUNTIF(Products!$A$2:$A$8,C8212)=0,C8212,"")</f>
        <v/>
      </c>
      <c r="J8212">
        <f>IF(OR(E8212="Prospecting",E8212="Engaging"),VLOOKUP(C8212,Products!$A$2:$C$8,3,FALSE),0)</f>
        <v>0</v>
      </c>
    </row>
    <row r="8213" spans="1:10" x14ac:dyDescent="0.25">
      <c r="A8213" t="s">
        <v>8380</v>
      </c>
      <c r="B8213" t="s">
        <v>166</v>
      </c>
      <c r="C8213" t="s">
        <v>123</v>
      </c>
      <c r="D8213" t="s">
        <v>66</v>
      </c>
      <c r="E8213" t="s">
        <v>138</v>
      </c>
      <c r="F8213" s="1">
        <v>43076</v>
      </c>
      <c r="G8213" s="1">
        <v>43085</v>
      </c>
      <c r="H8213">
        <v>54</v>
      </c>
      <c r="I8213" t="str">
        <f>IF(COUNTIF(Products!$A$2:$A$8,C8213)=0,C8213,"")</f>
        <v/>
      </c>
      <c r="J8213">
        <f>IF(OR(E8213="Prospecting",E8213="Engaging"),VLOOKUP(C8213,Products!$A$2:$C$8,3,FALSE),0)</f>
        <v>0</v>
      </c>
    </row>
    <row r="8214" spans="1:10" x14ac:dyDescent="0.25">
      <c r="A8214" t="s">
        <v>8381</v>
      </c>
      <c r="B8214" t="s">
        <v>144</v>
      </c>
      <c r="C8214" t="s">
        <v>127</v>
      </c>
      <c r="E8214" t="s">
        <v>155</v>
      </c>
      <c r="F8214" s="1">
        <v>43076</v>
      </c>
      <c r="I8214" t="str">
        <f>IF(COUNTIF(Products!$A$2:$A$8,C8214)=0,C8214,"")</f>
        <v/>
      </c>
      <c r="J8214">
        <f>IF(OR(E8214="Prospecting",E8214="Engaging"),VLOOKUP(C8214,Products!$A$2:$C$8,3,FALSE),0)</f>
        <v>1096</v>
      </c>
    </row>
    <row r="8215" spans="1:10" x14ac:dyDescent="0.25">
      <c r="A8215" t="s">
        <v>8382</v>
      </c>
      <c r="B8215" t="s">
        <v>146</v>
      </c>
      <c r="C8215" t="s">
        <v>123</v>
      </c>
      <c r="D8215" t="s">
        <v>22</v>
      </c>
      <c r="E8215" t="s">
        <v>138</v>
      </c>
      <c r="F8215" s="1">
        <v>43077</v>
      </c>
      <c r="G8215" s="1">
        <v>43087</v>
      </c>
      <c r="H8215">
        <v>60</v>
      </c>
      <c r="I8215" t="str">
        <f>IF(COUNTIF(Products!$A$2:$A$8,C8215)=0,C8215,"")</f>
        <v/>
      </c>
      <c r="J8215">
        <f>IF(OR(E8215="Prospecting",E8215="Engaging"),VLOOKUP(C8215,Products!$A$2:$C$8,3,FALSE),0)</f>
        <v>0</v>
      </c>
    </row>
    <row r="8216" spans="1:10" x14ac:dyDescent="0.25">
      <c r="A8216" t="s">
        <v>8383</v>
      </c>
      <c r="B8216" t="s">
        <v>224</v>
      </c>
      <c r="C8216" t="s">
        <v>122</v>
      </c>
      <c r="D8216" t="s">
        <v>84</v>
      </c>
      <c r="E8216" t="s">
        <v>159</v>
      </c>
      <c r="F8216" s="1">
        <v>43077</v>
      </c>
      <c r="G8216" s="1">
        <v>43091</v>
      </c>
      <c r="H8216">
        <v>0</v>
      </c>
      <c r="I8216" t="str">
        <f>IF(COUNTIF(Products!$A$2:$A$8,C8216)=0,C8216,"")</f>
        <v/>
      </c>
      <c r="J8216">
        <f>IF(OR(E8216="Prospecting",E8216="Engaging"),VLOOKUP(C8216,Products!$A$2:$C$8,3,FALSE),0)</f>
        <v>0</v>
      </c>
    </row>
    <row r="8217" spans="1:10" x14ac:dyDescent="0.25">
      <c r="A8217" t="s">
        <v>8384</v>
      </c>
      <c r="B8217" t="s">
        <v>191</v>
      </c>
      <c r="C8217" t="s">
        <v>127</v>
      </c>
      <c r="E8217" t="s">
        <v>155</v>
      </c>
      <c r="F8217" s="1">
        <v>43077</v>
      </c>
      <c r="I8217" t="str">
        <f>IF(COUNTIF(Products!$A$2:$A$8,C8217)=0,C8217,"")</f>
        <v/>
      </c>
      <c r="J8217">
        <f>IF(OR(E8217="Prospecting",E8217="Engaging"),VLOOKUP(C8217,Products!$A$2:$C$8,3,FALSE),0)</f>
        <v>1096</v>
      </c>
    </row>
    <row r="8218" spans="1:10" x14ac:dyDescent="0.25">
      <c r="A8218" t="s">
        <v>8385</v>
      </c>
      <c r="B8218" t="s">
        <v>191</v>
      </c>
      <c r="C8218" t="s">
        <v>127</v>
      </c>
      <c r="D8218" t="s">
        <v>47</v>
      </c>
      <c r="E8218" t="s">
        <v>138</v>
      </c>
      <c r="F8218" s="1">
        <v>43077</v>
      </c>
      <c r="G8218" s="1">
        <v>43098</v>
      </c>
      <c r="H8218">
        <v>1168</v>
      </c>
      <c r="I8218" t="str">
        <f>IF(COUNTIF(Products!$A$2:$A$8,C8218)=0,C8218,"")</f>
        <v/>
      </c>
      <c r="J8218">
        <f>IF(OR(E8218="Prospecting",E8218="Engaging"),VLOOKUP(C8218,Products!$A$2:$C$8,3,FALSE),0)</f>
        <v>0</v>
      </c>
    </row>
    <row r="8219" spans="1:10" x14ac:dyDescent="0.25">
      <c r="A8219" t="s">
        <v>8386</v>
      </c>
      <c r="B8219" t="s">
        <v>177</v>
      </c>
      <c r="C8219" t="s">
        <v>123</v>
      </c>
      <c r="D8219" t="s">
        <v>50</v>
      </c>
      <c r="E8219" t="s">
        <v>138</v>
      </c>
      <c r="F8219" s="1">
        <v>43077</v>
      </c>
      <c r="G8219" s="1">
        <v>43087</v>
      </c>
      <c r="H8219">
        <v>48</v>
      </c>
      <c r="I8219" t="str">
        <f>IF(COUNTIF(Products!$A$2:$A$8,C8219)=0,C8219,"")</f>
        <v/>
      </c>
      <c r="J8219">
        <f>IF(OR(E8219="Prospecting",E8219="Engaging"),VLOOKUP(C8219,Products!$A$2:$C$8,3,FALSE),0)</f>
        <v>0</v>
      </c>
    </row>
    <row r="8220" spans="1:10" x14ac:dyDescent="0.25">
      <c r="A8220" t="s">
        <v>8387</v>
      </c>
      <c r="B8220" t="s">
        <v>264</v>
      </c>
      <c r="C8220" t="s">
        <v>127</v>
      </c>
      <c r="D8220" t="s">
        <v>22</v>
      </c>
      <c r="E8220" t="s">
        <v>138</v>
      </c>
      <c r="F8220" s="1">
        <v>43078</v>
      </c>
      <c r="G8220" s="1">
        <v>43093</v>
      </c>
      <c r="H8220">
        <v>986</v>
      </c>
      <c r="I8220" t="str">
        <f>IF(COUNTIF(Products!$A$2:$A$8,C8220)=0,C8220,"")</f>
        <v/>
      </c>
      <c r="J8220">
        <f>IF(OR(E8220="Prospecting",E8220="Engaging"),VLOOKUP(C8220,Products!$A$2:$C$8,3,FALSE),0)</f>
        <v>0</v>
      </c>
    </row>
    <row r="8221" spans="1:10" x14ac:dyDescent="0.25">
      <c r="A8221" t="s">
        <v>8388</v>
      </c>
      <c r="B8221" t="s">
        <v>264</v>
      </c>
      <c r="C8221" t="s">
        <v>125</v>
      </c>
      <c r="D8221" t="s">
        <v>103</v>
      </c>
      <c r="E8221" t="s">
        <v>138</v>
      </c>
      <c r="F8221" s="1">
        <v>43078</v>
      </c>
      <c r="G8221" s="1">
        <v>43085</v>
      </c>
      <c r="H8221">
        <v>3843</v>
      </c>
      <c r="I8221" t="str">
        <f>IF(COUNTIF(Products!$A$2:$A$8,C8221)=0,C8221,"")</f>
        <v/>
      </c>
      <c r="J8221">
        <f>IF(OR(E8221="Prospecting",E8221="Engaging"),VLOOKUP(C8221,Products!$A$2:$C$8,3,FALSE),0)</f>
        <v>0</v>
      </c>
    </row>
    <row r="8222" spans="1:10" x14ac:dyDescent="0.25">
      <c r="A8222" t="s">
        <v>8389</v>
      </c>
      <c r="B8222" t="s">
        <v>239</v>
      </c>
      <c r="C8222" t="s">
        <v>126</v>
      </c>
      <c r="D8222" t="s">
        <v>50</v>
      </c>
      <c r="E8222" t="s">
        <v>138</v>
      </c>
      <c r="F8222" s="1">
        <v>43078</v>
      </c>
      <c r="G8222" s="1">
        <v>43086</v>
      </c>
      <c r="H8222">
        <v>5143</v>
      </c>
      <c r="I8222" t="str">
        <f>IF(COUNTIF(Products!$A$2:$A$8,C8222)=0,C8222,"")</f>
        <v/>
      </c>
      <c r="J8222">
        <f>IF(OR(E8222="Prospecting",E8222="Engaging"),VLOOKUP(C8222,Products!$A$2:$C$8,3,FALSE),0)</f>
        <v>0</v>
      </c>
    </row>
    <row r="8223" spans="1:10" x14ac:dyDescent="0.25">
      <c r="A8223" t="s">
        <v>8390</v>
      </c>
      <c r="B8223" t="s">
        <v>158</v>
      </c>
      <c r="C8223" t="s">
        <v>123</v>
      </c>
      <c r="D8223" t="s">
        <v>26</v>
      </c>
      <c r="E8223" t="s">
        <v>138</v>
      </c>
      <c r="F8223" s="1">
        <v>43078</v>
      </c>
      <c r="G8223" s="1">
        <v>43093</v>
      </c>
      <c r="H8223">
        <v>52</v>
      </c>
      <c r="I8223" t="str">
        <f>IF(COUNTIF(Products!$A$2:$A$8,C8223)=0,C8223,"")</f>
        <v/>
      </c>
      <c r="J8223">
        <f>IF(OR(E8223="Prospecting",E8223="Engaging"),VLOOKUP(C8223,Products!$A$2:$C$8,3,FALSE),0)</f>
        <v>0</v>
      </c>
    </row>
    <row r="8224" spans="1:10" x14ac:dyDescent="0.25">
      <c r="A8224" t="s">
        <v>8391</v>
      </c>
      <c r="B8224" t="s">
        <v>154</v>
      </c>
      <c r="C8224" t="s">
        <v>126</v>
      </c>
      <c r="D8224" t="s">
        <v>90</v>
      </c>
      <c r="E8224" t="s">
        <v>138</v>
      </c>
      <c r="F8224" s="1">
        <v>43078</v>
      </c>
      <c r="G8224" s="1">
        <v>43092</v>
      </c>
      <c r="H8224">
        <v>5576</v>
      </c>
      <c r="I8224" t="str">
        <f>IF(COUNTIF(Products!$A$2:$A$8,C8224)=0,C8224,"")</f>
        <v/>
      </c>
      <c r="J8224">
        <f>IF(OR(E8224="Prospecting",E8224="Engaging"),VLOOKUP(C8224,Products!$A$2:$C$8,3,FALSE),0)</f>
        <v>0</v>
      </c>
    </row>
    <row r="8225" spans="1:10" x14ac:dyDescent="0.25">
      <c r="A8225" t="s">
        <v>8392</v>
      </c>
      <c r="B8225" t="s">
        <v>180</v>
      </c>
      <c r="C8225" t="s">
        <v>123</v>
      </c>
      <c r="D8225" t="s">
        <v>100</v>
      </c>
      <c r="E8225" t="s">
        <v>138</v>
      </c>
      <c r="F8225" s="1">
        <v>43078</v>
      </c>
      <c r="G8225" s="1">
        <v>43087</v>
      </c>
      <c r="H8225">
        <v>59</v>
      </c>
      <c r="I8225" t="str">
        <f>IF(COUNTIF(Products!$A$2:$A$8,C8225)=0,C8225,"")</f>
        <v/>
      </c>
      <c r="J8225">
        <f>IF(OR(E8225="Prospecting",E8225="Engaging"),VLOOKUP(C8225,Products!$A$2:$C$8,3,FALSE),0)</f>
        <v>0</v>
      </c>
    </row>
    <row r="8226" spans="1:10" x14ac:dyDescent="0.25">
      <c r="A8226" t="s">
        <v>8393</v>
      </c>
      <c r="B8226" t="s">
        <v>191</v>
      </c>
      <c r="C8226" t="s">
        <v>122</v>
      </c>
      <c r="D8226" t="s">
        <v>66</v>
      </c>
      <c r="E8226" t="s">
        <v>138</v>
      </c>
      <c r="F8226" s="1">
        <v>43078</v>
      </c>
      <c r="G8226" s="1">
        <v>43096</v>
      </c>
      <c r="H8226">
        <v>4178</v>
      </c>
      <c r="I8226" t="str">
        <f>IF(COUNTIF(Products!$A$2:$A$8,C8226)=0,C8226,"")</f>
        <v/>
      </c>
      <c r="J8226">
        <f>IF(OR(E8226="Prospecting",E8226="Engaging"),VLOOKUP(C8226,Products!$A$2:$C$8,3,FALSE),0)</f>
        <v>0</v>
      </c>
    </row>
    <row r="8227" spans="1:10" x14ac:dyDescent="0.25">
      <c r="A8227" t="s">
        <v>8394</v>
      </c>
      <c r="B8227" t="s">
        <v>150</v>
      </c>
      <c r="C8227" t="s">
        <v>127</v>
      </c>
      <c r="D8227" t="s">
        <v>72</v>
      </c>
      <c r="E8227" t="s">
        <v>138</v>
      </c>
      <c r="F8227" s="1">
        <v>43078</v>
      </c>
      <c r="G8227" s="1">
        <v>43094</v>
      </c>
      <c r="H8227">
        <v>1192</v>
      </c>
      <c r="I8227" t="str">
        <f>IF(COUNTIF(Products!$A$2:$A$8,C8227)=0,C8227,"")</f>
        <v/>
      </c>
      <c r="J8227">
        <f>IF(OR(E8227="Prospecting",E8227="Engaging"),VLOOKUP(C8227,Products!$A$2:$C$8,3,FALSE),0)</f>
        <v>0</v>
      </c>
    </row>
    <row r="8228" spans="1:10" x14ac:dyDescent="0.25">
      <c r="A8228" t="s">
        <v>8395</v>
      </c>
      <c r="B8228" t="s">
        <v>162</v>
      </c>
      <c r="C8228" t="s">
        <v>120</v>
      </c>
      <c r="E8228" t="s">
        <v>155</v>
      </c>
      <c r="F8228" s="1">
        <v>43078</v>
      </c>
      <c r="I8228" t="str">
        <f>IF(COUNTIF(Products!$A$2:$A$8,C8228)=0,C8228,"")</f>
        <v/>
      </c>
      <c r="J8228">
        <f>IF(OR(E8228="Prospecting",E8228="Engaging"),VLOOKUP(C8228,Products!$A$2:$C$8,3,FALSE),0)</f>
        <v>550</v>
      </c>
    </row>
    <row r="8229" spans="1:10" x14ac:dyDescent="0.25">
      <c r="A8229" t="s">
        <v>8396</v>
      </c>
      <c r="B8229" t="s">
        <v>152</v>
      </c>
      <c r="C8229" t="s">
        <v>127</v>
      </c>
      <c r="D8229" t="s">
        <v>28</v>
      </c>
      <c r="E8229" t="s">
        <v>138</v>
      </c>
      <c r="F8229" s="1">
        <v>43078</v>
      </c>
      <c r="G8229" s="1">
        <v>43093</v>
      </c>
      <c r="H8229">
        <v>1047</v>
      </c>
      <c r="I8229" t="str">
        <f>IF(COUNTIF(Products!$A$2:$A$8,C8229)=0,C8229,"")</f>
        <v/>
      </c>
      <c r="J8229">
        <f>IF(OR(E8229="Prospecting",E8229="Engaging"),VLOOKUP(C8229,Products!$A$2:$C$8,3,FALSE),0)</f>
        <v>0</v>
      </c>
    </row>
    <row r="8230" spans="1:10" x14ac:dyDescent="0.25">
      <c r="A8230" t="s">
        <v>8397</v>
      </c>
      <c r="B8230" t="s">
        <v>193</v>
      </c>
      <c r="C8230" t="s">
        <v>126</v>
      </c>
      <c r="D8230" t="s">
        <v>67</v>
      </c>
      <c r="E8230" t="s">
        <v>138</v>
      </c>
      <c r="F8230" s="1">
        <v>43078</v>
      </c>
      <c r="G8230" s="1">
        <v>43086</v>
      </c>
      <c r="H8230">
        <v>6456</v>
      </c>
      <c r="I8230" t="str">
        <f>IF(COUNTIF(Products!$A$2:$A$8,C8230)=0,C8230,"")</f>
        <v/>
      </c>
      <c r="J8230">
        <f>IF(OR(E8230="Prospecting",E8230="Engaging"),VLOOKUP(C8230,Products!$A$2:$C$8,3,FALSE),0)</f>
        <v>0</v>
      </c>
    </row>
    <row r="8231" spans="1:10" x14ac:dyDescent="0.25">
      <c r="A8231" t="s">
        <v>8398</v>
      </c>
      <c r="B8231" t="s">
        <v>187</v>
      </c>
      <c r="C8231" t="s">
        <v>122</v>
      </c>
      <c r="D8231" t="s">
        <v>108</v>
      </c>
      <c r="E8231" t="s">
        <v>159</v>
      </c>
      <c r="F8231" s="1">
        <v>43078</v>
      </c>
      <c r="G8231" s="1">
        <v>43098</v>
      </c>
      <c r="H8231">
        <v>0</v>
      </c>
      <c r="I8231" t="str">
        <f>IF(COUNTIF(Products!$A$2:$A$8,C8231)=0,C8231,"")</f>
        <v/>
      </c>
      <c r="J8231">
        <f>IF(OR(E8231="Prospecting",E8231="Engaging"),VLOOKUP(C8231,Products!$A$2:$C$8,3,FALSE),0)</f>
        <v>0</v>
      </c>
    </row>
    <row r="8232" spans="1:10" x14ac:dyDescent="0.25">
      <c r="A8232" t="s">
        <v>8399</v>
      </c>
      <c r="B8232" t="s">
        <v>146</v>
      </c>
      <c r="C8232" t="s">
        <v>120</v>
      </c>
      <c r="D8232" t="s">
        <v>88</v>
      </c>
      <c r="E8232" t="s">
        <v>159</v>
      </c>
      <c r="F8232" s="1">
        <v>43079</v>
      </c>
      <c r="G8232" s="1">
        <v>43088</v>
      </c>
      <c r="H8232">
        <v>0</v>
      </c>
      <c r="I8232" t="str">
        <f>IF(COUNTIF(Products!$A$2:$A$8,C8232)=0,C8232,"")</f>
        <v/>
      </c>
      <c r="J8232">
        <f>IF(OR(E8232="Prospecting",E8232="Engaging"),VLOOKUP(C8232,Products!$A$2:$C$8,3,FALSE),0)</f>
        <v>0</v>
      </c>
    </row>
    <row r="8233" spans="1:10" x14ac:dyDescent="0.25">
      <c r="A8233" t="s">
        <v>8400</v>
      </c>
      <c r="B8233" t="s">
        <v>140</v>
      </c>
      <c r="C8233" t="s">
        <v>122</v>
      </c>
      <c r="D8233" t="s">
        <v>32</v>
      </c>
      <c r="E8233" t="s">
        <v>138</v>
      </c>
      <c r="F8233" s="1">
        <v>43079</v>
      </c>
      <c r="G8233" s="1">
        <v>43086</v>
      </c>
      <c r="H8233">
        <v>4755</v>
      </c>
      <c r="I8233" t="str">
        <f>IF(COUNTIF(Products!$A$2:$A$8,C8233)=0,C8233,"")</f>
        <v/>
      </c>
      <c r="J8233">
        <f>IF(OR(E8233="Prospecting",E8233="Engaging"),VLOOKUP(C8233,Products!$A$2:$C$8,3,FALSE),0)</f>
        <v>0</v>
      </c>
    </row>
    <row r="8234" spans="1:10" x14ac:dyDescent="0.25">
      <c r="A8234" t="s">
        <v>8401</v>
      </c>
      <c r="B8234" t="s">
        <v>162</v>
      </c>
      <c r="C8234" t="s">
        <v>123</v>
      </c>
      <c r="D8234" t="s">
        <v>109</v>
      </c>
      <c r="E8234" t="s">
        <v>138</v>
      </c>
      <c r="F8234" s="1">
        <v>43079</v>
      </c>
      <c r="G8234" s="1">
        <v>43094</v>
      </c>
      <c r="H8234">
        <v>55</v>
      </c>
      <c r="I8234" t="str">
        <f>IF(COUNTIF(Products!$A$2:$A$8,C8234)=0,C8234,"")</f>
        <v/>
      </c>
      <c r="J8234">
        <f>IF(OR(E8234="Prospecting",E8234="Engaging"),VLOOKUP(C8234,Products!$A$2:$C$8,3,FALSE),0)</f>
        <v>0</v>
      </c>
    </row>
    <row r="8235" spans="1:10" x14ac:dyDescent="0.25">
      <c r="A8235" t="s">
        <v>8402</v>
      </c>
      <c r="B8235" t="s">
        <v>148</v>
      </c>
      <c r="C8235" t="s">
        <v>125</v>
      </c>
      <c r="D8235" t="s">
        <v>39</v>
      </c>
      <c r="E8235" t="s">
        <v>138</v>
      </c>
      <c r="F8235" s="1">
        <v>43079</v>
      </c>
      <c r="G8235" s="1">
        <v>43087</v>
      </c>
      <c r="H8235">
        <v>3078</v>
      </c>
      <c r="I8235" t="str">
        <f>IF(COUNTIF(Products!$A$2:$A$8,C8235)=0,C8235,"")</f>
        <v/>
      </c>
      <c r="J8235">
        <f>IF(OR(E8235="Prospecting",E8235="Engaging"),VLOOKUP(C8235,Products!$A$2:$C$8,3,FALSE),0)</f>
        <v>0</v>
      </c>
    </row>
    <row r="8236" spans="1:10" x14ac:dyDescent="0.25">
      <c r="A8236" t="s">
        <v>8403</v>
      </c>
      <c r="B8236" t="s">
        <v>144</v>
      </c>
      <c r="C8236" t="s">
        <v>126</v>
      </c>
      <c r="D8236" t="s">
        <v>102</v>
      </c>
      <c r="E8236" t="s">
        <v>155</v>
      </c>
      <c r="F8236" s="1">
        <v>43079</v>
      </c>
      <c r="I8236" t="str">
        <f>IF(COUNTIF(Products!$A$2:$A$8,C8236)=0,C8236,"")</f>
        <v/>
      </c>
      <c r="J8236">
        <f>IF(OR(E8236="Prospecting",E8236="Engaging"),VLOOKUP(C8236,Products!$A$2:$C$8,3,FALSE),0)</f>
        <v>5482</v>
      </c>
    </row>
    <row r="8237" spans="1:10" x14ac:dyDescent="0.25">
      <c r="A8237" t="s">
        <v>8404</v>
      </c>
      <c r="B8237" t="s">
        <v>146</v>
      </c>
      <c r="C8237" t="s">
        <v>120</v>
      </c>
      <c r="D8237" t="s">
        <v>26</v>
      </c>
      <c r="E8237" t="s">
        <v>138</v>
      </c>
      <c r="F8237" s="1">
        <v>43080</v>
      </c>
      <c r="G8237" s="1">
        <v>43097</v>
      </c>
      <c r="H8237">
        <v>537</v>
      </c>
      <c r="I8237" t="str">
        <f>IF(COUNTIF(Products!$A$2:$A$8,C8237)=0,C8237,"")</f>
        <v/>
      </c>
      <c r="J8237">
        <f>IF(OR(E8237="Prospecting",E8237="Engaging"),VLOOKUP(C8237,Products!$A$2:$C$8,3,FALSE),0)</f>
        <v>0</v>
      </c>
    </row>
    <row r="8238" spans="1:10" x14ac:dyDescent="0.25">
      <c r="A8238" t="s">
        <v>8405</v>
      </c>
      <c r="B8238" t="s">
        <v>158</v>
      </c>
      <c r="C8238" t="s">
        <v>127</v>
      </c>
      <c r="D8238" t="s">
        <v>61</v>
      </c>
      <c r="E8238" t="s">
        <v>138</v>
      </c>
      <c r="F8238" s="1">
        <v>43080</v>
      </c>
      <c r="G8238" s="1">
        <v>43087</v>
      </c>
      <c r="H8238">
        <v>1220</v>
      </c>
      <c r="I8238" t="str">
        <f>IF(COUNTIF(Products!$A$2:$A$8,C8238)=0,C8238,"")</f>
        <v/>
      </c>
      <c r="J8238">
        <f>IF(OR(E8238="Prospecting",E8238="Engaging"),VLOOKUP(C8238,Products!$A$2:$C$8,3,FALSE),0)</f>
        <v>0</v>
      </c>
    </row>
    <row r="8239" spans="1:10" x14ac:dyDescent="0.25">
      <c r="A8239" t="s">
        <v>8406</v>
      </c>
      <c r="B8239" t="s">
        <v>150</v>
      </c>
      <c r="C8239" t="s">
        <v>123</v>
      </c>
      <c r="D8239" t="s">
        <v>44</v>
      </c>
      <c r="E8239" t="s">
        <v>138</v>
      </c>
      <c r="F8239" s="1">
        <v>43080</v>
      </c>
      <c r="G8239" s="1">
        <v>43090</v>
      </c>
      <c r="H8239">
        <v>53</v>
      </c>
      <c r="I8239" t="str">
        <f>IF(COUNTIF(Products!$A$2:$A$8,C8239)=0,C8239,"")</f>
        <v/>
      </c>
      <c r="J8239">
        <f>IF(OR(E8239="Prospecting",E8239="Engaging"),VLOOKUP(C8239,Products!$A$2:$C$8,3,FALSE),0)</f>
        <v>0</v>
      </c>
    </row>
    <row r="8240" spans="1:10" x14ac:dyDescent="0.25">
      <c r="A8240" t="s">
        <v>8407</v>
      </c>
      <c r="B8240" t="s">
        <v>169</v>
      </c>
      <c r="C8240" t="s">
        <v>123</v>
      </c>
      <c r="D8240" t="s">
        <v>91</v>
      </c>
      <c r="E8240" t="s">
        <v>138</v>
      </c>
      <c r="F8240" s="1">
        <v>43080</v>
      </c>
      <c r="G8240" s="1">
        <v>43087</v>
      </c>
      <c r="H8240">
        <v>60</v>
      </c>
      <c r="I8240" t="str">
        <f>IF(COUNTIF(Products!$A$2:$A$8,C8240)=0,C8240,"")</f>
        <v/>
      </c>
      <c r="J8240">
        <f>IF(OR(E8240="Prospecting",E8240="Engaging"),VLOOKUP(C8240,Products!$A$2:$C$8,3,FALSE),0)</f>
        <v>0</v>
      </c>
    </row>
    <row r="8241" spans="1:10" x14ac:dyDescent="0.25">
      <c r="A8241" t="s">
        <v>8408</v>
      </c>
      <c r="B8241" t="s">
        <v>148</v>
      </c>
      <c r="C8241" t="s">
        <v>120</v>
      </c>
      <c r="D8241" t="s">
        <v>61</v>
      </c>
      <c r="E8241" t="s">
        <v>138</v>
      </c>
      <c r="F8241" s="1">
        <v>43080</v>
      </c>
      <c r="G8241" s="1">
        <v>43098</v>
      </c>
      <c r="H8241">
        <v>494</v>
      </c>
      <c r="I8241" t="str">
        <f>IF(COUNTIF(Products!$A$2:$A$8,C8241)=0,C8241,"")</f>
        <v/>
      </c>
      <c r="J8241">
        <f>IF(OR(E8241="Prospecting",E8241="Engaging"),VLOOKUP(C8241,Products!$A$2:$C$8,3,FALSE),0)</f>
        <v>0</v>
      </c>
    </row>
    <row r="8242" spans="1:10" x14ac:dyDescent="0.25">
      <c r="A8242" t="s">
        <v>8409</v>
      </c>
      <c r="B8242" t="s">
        <v>303</v>
      </c>
      <c r="C8242" t="s">
        <v>120</v>
      </c>
      <c r="D8242" t="s">
        <v>51</v>
      </c>
      <c r="E8242" t="s">
        <v>138</v>
      </c>
      <c r="F8242" s="1">
        <v>43081</v>
      </c>
      <c r="G8242" s="1">
        <v>43087</v>
      </c>
      <c r="H8242">
        <v>480</v>
      </c>
      <c r="I8242" t="str">
        <f>IF(COUNTIF(Products!$A$2:$A$8,C8242)=0,C8242,"")</f>
        <v/>
      </c>
      <c r="J8242">
        <f>IF(OR(E8242="Prospecting",E8242="Engaging"),VLOOKUP(C8242,Products!$A$2:$C$8,3,FALSE),0)</f>
        <v>0</v>
      </c>
    </row>
    <row r="8243" spans="1:10" x14ac:dyDescent="0.25">
      <c r="A8243" t="s">
        <v>8410</v>
      </c>
      <c r="B8243" t="s">
        <v>180</v>
      </c>
      <c r="C8243" t="s">
        <v>120</v>
      </c>
      <c r="D8243" t="s">
        <v>23</v>
      </c>
      <c r="E8243" t="s">
        <v>159</v>
      </c>
      <c r="F8243" s="1">
        <v>43081</v>
      </c>
      <c r="G8243" s="1">
        <v>43098</v>
      </c>
      <c r="H8243">
        <v>0</v>
      </c>
      <c r="I8243" t="str">
        <f>IF(COUNTIF(Products!$A$2:$A$8,C8243)=0,C8243,"")</f>
        <v/>
      </c>
      <c r="J8243">
        <f>IF(OR(E8243="Prospecting",E8243="Engaging"),VLOOKUP(C8243,Products!$A$2:$C$8,3,FALSE),0)</f>
        <v>0</v>
      </c>
    </row>
    <row r="8244" spans="1:10" x14ac:dyDescent="0.25">
      <c r="A8244" t="s">
        <v>8411</v>
      </c>
      <c r="B8244" t="s">
        <v>217</v>
      </c>
      <c r="C8244" t="s">
        <v>120</v>
      </c>
      <c r="D8244" t="s">
        <v>103</v>
      </c>
      <c r="E8244" t="s">
        <v>159</v>
      </c>
      <c r="F8244" s="1">
        <v>43081</v>
      </c>
      <c r="G8244" s="1">
        <v>43084</v>
      </c>
      <c r="H8244">
        <v>0</v>
      </c>
      <c r="I8244" t="str">
        <f>IF(COUNTIF(Products!$A$2:$A$8,C8244)=0,C8244,"")</f>
        <v/>
      </c>
      <c r="J8244">
        <f>IF(OR(E8244="Prospecting",E8244="Engaging"),VLOOKUP(C8244,Products!$A$2:$C$8,3,FALSE),0)</f>
        <v>0</v>
      </c>
    </row>
    <row r="8245" spans="1:10" x14ac:dyDescent="0.25">
      <c r="A8245" t="s">
        <v>8412</v>
      </c>
      <c r="B8245" t="s">
        <v>162</v>
      </c>
      <c r="C8245" t="s">
        <v>127</v>
      </c>
      <c r="D8245" t="s">
        <v>61</v>
      </c>
      <c r="E8245" t="s">
        <v>138</v>
      </c>
      <c r="F8245" s="1">
        <v>43081</v>
      </c>
      <c r="G8245" s="1">
        <v>43095</v>
      </c>
      <c r="H8245">
        <v>1075</v>
      </c>
      <c r="I8245" t="str">
        <f>IF(COUNTIF(Products!$A$2:$A$8,C8245)=0,C8245,"")</f>
        <v/>
      </c>
      <c r="J8245">
        <f>IF(OR(E8245="Prospecting",E8245="Engaging"),VLOOKUP(C8245,Products!$A$2:$C$8,3,FALSE),0)</f>
        <v>0</v>
      </c>
    </row>
    <row r="8246" spans="1:10" x14ac:dyDescent="0.25">
      <c r="A8246" t="s">
        <v>8413</v>
      </c>
      <c r="B8246" t="s">
        <v>193</v>
      </c>
      <c r="C8246" t="s">
        <v>127</v>
      </c>
      <c r="D8246" t="s">
        <v>48</v>
      </c>
      <c r="E8246" t="s">
        <v>159</v>
      </c>
      <c r="F8246" s="1">
        <v>43081</v>
      </c>
      <c r="G8246" s="1">
        <v>43094</v>
      </c>
      <c r="H8246">
        <v>0</v>
      </c>
      <c r="I8246" t="str">
        <f>IF(COUNTIF(Products!$A$2:$A$8,C8246)=0,C8246,"")</f>
        <v/>
      </c>
      <c r="J8246">
        <f>IF(OR(E8246="Prospecting",E8246="Engaging"),VLOOKUP(C8246,Products!$A$2:$C$8,3,FALSE),0)</f>
        <v>0</v>
      </c>
    </row>
    <row r="8247" spans="1:10" x14ac:dyDescent="0.25">
      <c r="A8247" t="s">
        <v>8414</v>
      </c>
      <c r="B8247" t="s">
        <v>207</v>
      </c>
      <c r="C8247" t="s">
        <v>127</v>
      </c>
      <c r="D8247" t="s">
        <v>107</v>
      </c>
      <c r="E8247" t="s">
        <v>155</v>
      </c>
      <c r="F8247" s="1">
        <v>43082</v>
      </c>
      <c r="I8247" t="str">
        <f>IF(COUNTIF(Products!$A$2:$A$8,C8247)=0,C8247,"")</f>
        <v/>
      </c>
      <c r="J8247">
        <f>IF(OR(E8247="Prospecting",E8247="Engaging"),VLOOKUP(C8247,Products!$A$2:$C$8,3,FALSE),0)</f>
        <v>1096</v>
      </c>
    </row>
    <row r="8248" spans="1:10" x14ac:dyDescent="0.25">
      <c r="A8248" t="s">
        <v>8415</v>
      </c>
      <c r="B8248" t="s">
        <v>173</v>
      </c>
      <c r="C8248" t="s">
        <v>127</v>
      </c>
      <c r="E8248" t="s">
        <v>155</v>
      </c>
      <c r="F8248" s="1">
        <v>43082</v>
      </c>
      <c r="I8248" t="str">
        <f>IF(COUNTIF(Products!$A$2:$A$8,C8248)=0,C8248,"")</f>
        <v/>
      </c>
      <c r="J8248">
        <f>IF(OR(E8248="Prospecting",E8248="Engaging"),VLOOKUP(C8248,Products!$A$2:$C$8,3,FALSE),0)</f>
        <v>1096</v>
      </c>
    </row>
    <row r="8249" spans="1:10" x14ac:dyDescent="0.25">
      <c r="A8249" t="s">
        <v>8416</v>
      </c>
      <c r="B8249" t="s">
        <v>303</v>
      </c>
      <c r="C8249" t="s">
        <v>127</v>
      </c>
      <c r="D8249" t="s">
        <v>28</v>
      </c>
      <c r="E8249" t="s">
        <v>138</v>
      </c>
      <c r="F8249" s="1">
        <v>43082</v>
      </c>
      <c r="G8249" s="1">
        <v>43097</v>
      </c>
      <c r="H8249">
        <v>1166</v>
      </c>
      <c r="I8249" t="str">
        <f>IF(COUNTIF(Products!$A$2:$A$8,C8249)=0,C8249,"")</f>
        <v/>
      </c>
      <c r="J8249">
        <f>IF(OR(E8249="Prospecting",E8249="Engaging"),VLOOKUP(C8249,Products!$A$2:$C$8,3,FALSE),0)</f>
        <v>0</v>
      </c>
    </row>
    <row r="8250" spans="1:10" x14ac:dyDescent="0.25">
      <c r="A8250" t="s">
        <v>8417</v>
      </c>
      <c r="B8250" t="s">
        <v>191</v>
      </c>
      <c r="C8250" t="s">
        <v>127</v>
      </c>
      <c r="D8250" t="s">
        <v>60</v>
      </c>
      <c r="E8250" t="s">
        <v>138</v>
      </c>
      <c r="F8250" s="1">
        <v>43082</v>
      </c>
      <c r="G8250" s="1">
        <v>43095</v>
      </c>
      <c r="H8250">
        <v>921</v>
      </c>
      <c r="I8250" t="str">
        <f>IF(COUNTIF(Products!$A$2:$A$8,C8250)=0,C8250,"")</f>
        <v/>
      </c>
      <c r="J8250">
        <f>IF(OR(E8250="Prospecting",E8250="Engaging"),VLOOKUP(C8250,Products!$A$2:$C$8,3,FALSE),0)</f>
        <v>0</v>
      </c>
    </row>
    <row r="8251" spans="1:10" x14ac:dyDescent="0.25">
      <c r="A8251" t="s">
        <v>8418</v>
      </c>
      <c r="B8251" t="s">
        <v>150</v>
      </c>
      <c r="C8251" t="s">
        <v>125</v>
      </c>
      <c r="D8251" t="s">
        <v>72</v>
      </c>
      <c r="E8251" t="s">
        <v>155</v>
      </c>
      <c r="F8251" s="1">
        <v>43082</v>
      </c>
      <c r="I8251" t="str">
        <f>IF(COUNTIF(Products!$A$2:$A$8,C8251)=0,C8251,"")</f>
        <v/>
      </c>
      <c r="J8251">
        <f>IF(OR(E8251="Prospecting",E8251="Engaging"),VLOOKUP(C8251,Products!$A$2:$C$8,3,FALSE),0)</f>
        <v>3393</v>
      </c>
    </row>
    <row r="8252" spans="1:10" x14ac:dyDescent="0.25">
      <c r="A8252" t="s">
        <v>8419</v>
      </c>
      <c r="B8252" t="s">
        <v>150</v>
      </c>
      <c r="C8252" t="s">
        <v>125</v>
      </c>
      <c r="D8252" t="s">
        <v>39</v>
      </c>
      <c r="E8252" t="s">
        <v>138</v>
      </c>
      <c r="F8252" s="1">
        <v>43082</v>
      </c>
      <c r="G8252" s="1">
        <v>43096</v>
      </c>
      <c r="H8252">
        <v>3442</v>
      </c>
      <c r="I8252" t="str">
        <f>IF(COUNTIF(Products!$A$2:$A$8,C8252)=0,C8252,"")</f>
        <v/>
      </c>
      <c r="J8252">
        <f>IF(OR(E8252="Prospecting",E8252="Engaging"),VLOOKUP(C8252,Products!$A$2:$C$8,3,FALSE),0)</f>
        <v>0</v>
      </c>
    </row>
    <row r="8253" spans="1:10" x14ac:dyDescent="0.25">
      <c r="A8253" t="s">
        <v>8420</v>
      </c>
      <c r="B8253" t="s">
        <v>169</v>
      </c>
      <c r="C8253" t="s">
        <v>125</v>
      </c>
      <c r="D8253" t="s">
        <v>116</v>
      </c>
      <c r="E8253" t="s">
        <v>138</v>
      </c>
      <c r="F8253" s="1">
        <v>43082</v>
      </c>
      <c r="G8253" s="1">
        <v>43096</v>
      </c>
      <c r="H8253">
        <v>3735</v>
      </c>
      <c r="I8253" t="str">
        <f>IF(COUNTIF(Products!$A$2:$A$8,C8253)=0,C8253,"")</f>
        <v/>
      </c>
      <c r="J8253">
        <f>IF(OR(E8253="Prospecting",E8253="Engaging"),VLOOKUP(C8253,Products!$A$2:$C$8,3,FALSE),0)</f>
        <v>0</v>
      </c>
    </row>
    <row r="8254" spans="1:10" x14ac:dyDescent="0.25">
      <c r="A8254" t="s">
        <v>8421</v>
      </c>
      <c r="B8254" t="s">
        <v>148</v>
      </c>
      <c r="C8254" t="s">
        <v>123</v>
      </c>
      <c r="D8254" t="s">
        <v>44</v>
      </c>
      <c r="E8254" t="s">
        <v>138</v>
      </c>
      <c r="F8254" s="1">
        <v>43082</v>
      </c>
      <c r="G8254" s="1">
        <v>43086</v>
      </c>
      <c r="H8254">
        <v>50</v>
      </c>
      <c r="I8254" t="str">
        <f>IF(COUNTIF(Products!$A$2:$A$8,C8254)=0,C8254,"")</f>
        <v/>
      </c>
      <c r="J8254">
        <f>IF(OR(E8254="Prospecting",E8254="Engaging"),VLOOKUP(C8254,Products!$A$2:$C$8,3,FALSE),0)</f>
        <v>0</v>
      </c>
    </row>
    <row r="8255" spans="1:10" x14ac:dyDescent="0.25">
      <c r="A8255" t="s">
        <v>8422</v>
      </c>
      <c r="B8255" t="s">
        <v>140</v>
      </c>
      <c r="C8255" t="s">
        <v>122</v>
      </c>
      <c r="D8255" t="s">
        <v>33</v>
      </c>
      <c r="E8255" t="s">
        <v>138</v>
      </c>
      <c r="F8255" s="1">
        <v>43083</v>
      </c>
      <c r="G8255" s="1">
        <v>43088</v>
      </c>
      <c r="H8255">
        <v>5052</v>
      </c>
      <c r="I8255" t="str">
        <f>IF(COUNTIF(Products!$A$2:$A$8,C8255)=0,C8255,"")</f>
        <v/>
      </c>
      <c r="J8255">
        <f>IF(OR(E8255="Prospecting",E8255="Engaging"),VLOOKUP(C8255,Products!$A$2:$C$8,3,FALSE),0)</f>
        <v>0</v>
      </c>
    </row>
    <row r="8256" spans="1:10" x14ac:dyDescent="0.25">
      <c r="A8256" t="s">
        <v>8423</v>
      </c>
      <c r="B8256" t="s">
        <v>191</v>
      </c>
      <c r="C8256" t="s">
        <v>120</v>
      </c>
      <c r="D8256" t="s">
        <v>23</v>
      </c>
      <c r="E8256" t="s">
        <v>159</v>
      </c>
      <c r="F8256" s="1">
        <v>43083</v>
      </c>
      <c r="G8256" s="1">
        <v>43098</v>
      </c>
      <c r="H8256">
        <v>0</v>
      </c>
      <c r="I8256" t="str">
        <f>IF(COUNTIF(Products!$A$2:$A$8,C8256)=0,C8256,"")</f>
        <v/>
      </c>
      <c r="J8256">
        <f>IF(OR(E8256="Prospecting",E8256="Engaging"),VLOOKUP(C8256,Products!$A$2:$C$8,3,FALSE),0)</f>
        <v>0</v>
      </c>
    </row>
    <row r="8257" spans="1:10" x14ac:dyDescent="0.25">
      <c r="A8257" t="s">
        <v>8424</v>
      </c>
      <c r="B8257" t="s">
        <v>191</v>
      </c>
      <c r="C8257" t="s">
        <v>123</v>
      </c>
      <c r="D8257" t="s">
        <v>60</v>
      </c>
      <c r="E8257" t="s">
        <v>138</v>
      </c>
      <c r="F8257" s="1">
        <v>43083</v>
      </c>
      <c r="G8257" s="1">
        <v>43099</v>
      </c>
      <c r="H8257">
        <v>44</v>
      </c>
      <c r="I8257" t="str">
        <f>IF(COUNTIF(Products!$A$2:$A$8,C8257)=0,C8257,"")</f>
        <v/>
      </c>
      <c r="J8257">
        <f>IF(OR(E8257="Prospecting",E8257="Engaging"),VLOOKUP(C8257,Products!$A$2:$C$8,3,FALSE),0)</f>
        <v>0</v>
      </c>
    </row>
    <row r="8258" spans="1:10" x14ac:dyDescent="0.25">
      <c r="A8258" t="s">
        <v>8425</v>
      </c>
      <c r="B8258" t="s">
        <v>148</v>
      </c>
      <c r="C8258" t="s">
        <v>123</v>
      </c>
      <c r="D8258" t="s">
        <v>34</v>
      </c>
      <c r="E8258" t="s">
        <v>159</v>
      </c>
      <c r="F8258" s="1">
        <v>43083</v>
      </c>
      <c r="G8258" s="1">
        <v>43091</v>
      </c>
      <c r="H8258">
        <v>0</v>
      </c>
      <c r="I8258" t="str">
        <f>IF(COUNTIF(Products!$A$2:$A$8,C8258)=0,C8258,"")</f>
        <v/>
      </c>
      <c r="J8258">
        <f>IF(OR(E8258="Prospecting",E8258="Engaging"),VLOOKUP(C8258,Products!$A$2:$C$8,3,FALSE),0)</f>
        <v>0</v>
      </c>
    </row>
    <row r="8259" spans="1:10" x14ac:dyDescent="0.25">
      <c r="A8259" t="s">
        <v>8426</v>
      </c>
      <c r="B8259" t="s">
        <v>177</v>
      </c>
      <c r="C8259" t="s">
        <v>127</v>
      </c>
      <c r="D8259" t="s">
        <v>25</v>
      </c>
      <c r="E8259" t="s">
        <v>138</v>
      </c>
      <c r="F8259" s="1">
        <v>43083</v>
      </c>
      <c r="G8259" s="1">
        <v>43085</v>
      </c>
      <c r="H8259">
        <v>960</v>
      </c>
      <c r="I8259" t="str">
        <f>IF(COUNTIF(Products!$A$2:$A$8,C8259)=0,C8259,"")</f>
        <v/>
      </c>
      <c r="J8259">
        <f>IF(OR(E8259="Prospecting",E8259="Engaging"),VLOOKUP(C8259,Products!$A$2:$C$8,3,FALSE),0)</f>
        <v>0</v>
      </c>
    </row>
    <row r="8260" spans="1:10" x14ac:dyDescent="0.25">
      <c r="A8260" t="s">
        <v>8427</v>
      </c>
      <c r="B8260" t="s">
        <v>222</v>
      </c>
      <c r="C8260" t="s">
        <v>126</v>
      </c>
      <c r="D8260" t="s">
        <v>115</v>
      </c>
      <c r="E8260" t="s">
        <v>138</v>
      </c>
      <c r="F8260" s="1">
        <v>43084</v>
      </c>
      <c r="G8260" s="1">
        <v>43099</v>
      </c>
      <c r="H8260">
        <v>6469</v>
      </c>
      <c r="I8260" t="str">
        <f>IF(COUNTIF(Products!$A$2:$A$8,C8260)=0,C8260,"")</f>
        <v/>
      </c>
      <c r="J8260">
        <f>IF(OR(E8260="Prospecting",E8260="Engaging"),VLOOKUP(C8260,Products!$A$2:$C$8,3,FALSE),0)</f>
        <v>0</v>
      </c>
    </row>
    <row r="8261" spans="1:10" x14ac:dyDescent="0.25">
      <c r="A8261" t="s">
        <v>8428</v>
      </c>
      <c r="B8261" t="s">
        <v>171</v>
      </c>
      <c r="C8261" t="s">
        <v>127</v>
      </c>
      <c r="D8261" t="s">
        <v>14</v>
      </c>
      <c r="E8261" t="s">
        <v>155</v>
      </c>
      <c r="F8261" s="1">
        <v>43084</v>
      </c>
      <c r="I8261" t="str">
        <f>IF(COUNTIF(Products!$A$2:$A$8,C8261)=0,C8261,"")</f>
        <v/>
      </c>
      <c r="J8261">
        <f>IF(OR(E8261="Prospecting",E8261="Engaging"),VLOOKUP(C8261,Products!$A$2:$C$8,3,FALSE),0)</f>
        <v>1096</v>
      </c>
    </row>
    <row r="8262" spans="1:10" x14ac:dyDescent="0.25">
      <c r="A8262" t="s">
        <v>8429</v>
      </c>
      <c r="B8262" t="s">
        <v>162</v>
      </c>
      <c r="C8262" t="s">
        <v>127</v>
      </c>
      <c r="D8262" t="s">
        <v>23</v>
      </c>
      <c r="E8262" t="s">
        <v>138</v>
      </c>
      <c r="F8262" s="1">
        <v>43084</v>
      </c>
      <c r="G8262" s="1">
        <v>43088</v>
      </c>
      <c r="H8262">
        <v>914</v>
      </c>
      <c r="I8262" t="str">
        <f>IF(COUNTIF(Products!$A$2:$A$8,C8262)=0,C8262,"")</f>
        <v/>
      </c>
      <c r="J8262">
        <f>IF(OR(E8262="Prospecting",E8262="Engaging"),VLOOKUP(C8262,Products!$A$2:$C$8,3,FALSE),0)</f>
        <v>0</v>
      </c>
    </row>
    <row r="8263" spans="1:10" x14ac:dyDescent="0.25">
      <c r="A8263" t="s">
        <v>8430</v>
      </c>
      <c r="B8263" t="s">
        <v>169</v>
      </c>
      <c r="C8263" t="s">
        <v>125</v>
      </c>
      <c r="D8263" t="s">
        <v>46</v>
      </c>
      <c r="E8263" t="s">
        <v>159</v>
      </c>
      <c r="F8263" s="1">
        <v>43084</v>
      </c>
      <c r="G8263" s="1">
        <v>43095</v>
      </c>
      <c r="H8263">
        <v>0</v>
      </c>
      <c r="I8263" t="str">
        <f>IF(COUNTIF(Products!$A$2:$A$8,C8263)=0,C8263,"")</f>
        <v/>
      </c>
      <c r="J8263">
        <f>IF(OR(E8263="Prospecting",E8263="Engaging"),VLOOKUP(C8263,Products!$A$2:$C$8,3,FALSE),0)</f>
        <v>0</v>
      </c>
    </row>
    <row r="8264" spans="1:10" x14ac:dyDescent="0.25">
      <c r="A8264" t="s">
        <v>8431</v>
      </c>
      <c r="B8264" t="s">
        <v>144</v>
      </c>
      <c r="C8264" t="s">
        <v>120</v>
      </c>
      <c r="D8264" t="s">
        <v>16</v>
      </c>
      <c r="E8264" t="s">
        <v>155</v>
      </c>
      <c r="F8264" s="1">
        <v>43084</v>
      </c>
      <c r="I8264" t="str">
        <f>IF(COUNTIF(Products!$A$2:$A$8,C8264)=0,C8264,"")</f>
        <v/>
      </c>
      <c r="J8264">
        <f>IF(OR(E8264="Prospecting",E8264="Engaging"),VLOOKUP(C8264,Products!$A$2:$C$8,3,FALSE),0)</f>
        <v>550</v>
      </c>
    </row>
    <row r="8265" spans="1:10" x14ac:dyDescent="0.25">
      <c r="A8265" t="s">
        <v>8432</v>
      </c>
      <c r="B8265" t="s">
        <v>166</v>
      </c>
      <c r="C8265" t="s">
        <v>123</v>
      </c>
      <c r="D8265" t="s">
        <v>78</v>
      </c>
      <c r="E8265" t="s">
        <v>159</v>
      </c>
      <c r="F8265" s="1">
        <v>43085</v>
      </c>
      <c r="G8265" s="1">
        <v>43090</v>
      </c>
      <c r="H8265">
        <v>0</v>
      </c>
      <c r="I8265" t="str">
        <f>IF(COUNTIF(Products!$A$2:$A$8,C8265)=0,C8265,"")</f>
        <v/>
      </c>
      <c r="J8265">
        <f>IF(OR(E8265="Prospecting",E8265="Engaging"),VLOOKUP(C8265,Products!$A$2:$C$8,3,FALSE),0)</f>
        <v>0</v>
      </c>
    </row>
    <row r="8266" spans="1:10" x14ac:dyDescent="0.25">
      <c r="A8266" t="s">
        <v>8433</v>
      </c>
      <c r="B8266" t="s">
        <v>166</v>
      </c>
      <c r="C8266" t="s">
        <v>125</v>
      </c>
      <c r="D8266" t="s">
        <v>66</v>
      </c>
      <c r="E8266" t="s">
        <v>138</v>
      </c>
      <c r="F8266" s="1">
        <v>43085</v>
      </c>
      <c r="G8266" s="1">
        <v>43093</v>
      </c>
      <c r="H8266">
        <v>3379</v>
      </c>
      <c r="I8266" t="str">
        <f>IF(COUNTIF(Products!$A$2:$A$8,C8266)=0,C8266,"")</f>
        <v/>
      </c>
      <c r="J8266">
        <f>IF(OR(E8266="Prospecting",E8266="Engaging"),VLOOKUP(C8266,Products!$A$2:$C$8,3,FALSE),0)</f>
        <v>0</v>
      </c>
    </row>
    <row r="8267" spans="1:10" x14ac:dyDescent="0.25">
      <c r="A8267" t="s">
        <v>8434</v>
      </c>
      <c r="B8267" t="s">
        <v>146</v>
      </c>
      <c r="C8267" t="s">
        <v>125</v>
      </c>
      <c r="D8267" t="s">
        <v>33</v>
      </c>
      <c r="E8267" t="s">
        <v>138</v>
      </c>
      <c r="F8267" s="1">
        <v>43086</v>
      </c>
      <c r="G8267" s="1">
        <v>43095</v>
      </c>
      <c r="H8267">
        <v>3240</v>
      </c>
      <c r="I8267" t="str">
        <f>IF(COUNTIF(Products!$A$2:$A$8,C8267)=0,C8267,"")</f>
        <v/>
      </c>
      <c r="J8267">
        <f>IF(OR(E8267="Prospecting",E8267="Engaging"),VLOOKUP(C8267,Products!$A$2:$C$8,3,FALSE),0)</f>
        <v>0</v>
      </c>
    </row>
    <row r="8268" spans="1:10" x14ac:dyDescent="0.25">
      <c r="A8268" t="s">
        <v>8435</v>
      </c>
      <c r="B8268" t="s">
        <v>154</v>
      </c>
      <c r="C8268" t="s">
        <v>127</v>
      </c>
      <c r="D8268" t="s">
        <v>23</v>
      </c>
      <c r="E8268" t="s">
        <v>138</v>
      </c>
      <c r="F8268" s="1">
        <v>43086</v>
      </c>
      <c r="G8268" s="1">
        <v>43100</v>
      </c>
      <c r="H8268">
        <v>1007</v>
      </c>
      <c r="I8268" t="str">
        <f>IF(COUNTIF(Products!$A$2:$A$8,C8268)=0,C8268,"")</f>
        <v/>
      </c>
      <c r="J8268">
        <f>IF(OR(E8268="Prospecting",E8268="Engaging"),VLOOKUP(C8268,Products!$A$2:$C$8,3,FALSE),0)</f>
        <v>0</v>
      </c>
    </row>
    <row r="8269" spans="1:10" x14ac:dyDescent="0.25">
      <c r="A8269" t="s">
        <v>8436</v>
      </c>
      <c r="B8269" t="s">
        <v>191</v>
      </c>
      <c r="C8269" t="s">
        <v>122</v>
      </c>
      <c r="D8269" t="s">
        <v>28</v>
      </c>
      <c r="E8269" t="s">
        <v>155</v>
      </c>
      <c r="F8269" s="1">
        <v>43086</v>
      </c>
      <c r="I8269" t="str">
        <f>IF(COUNTIF(Products!$A$2:$A$8,C8269)=0,C8269,"")</f>
        <v/>
      </c>
      <c r="J8269">
        <f>IF(OR(E8269="Prospecting",E8269="Engaging"),VLOOKUP(C8269,Products!$A$2:$C$8,3,FALSE),0)</f>
        <v>4821</v>
      </c>
    </row>
    <row r="8270" spans="1:10" x14ac:dyDescent="0.25">
      <c r="A8270" t="s">
        <v>8437</v>
      </c>
      <c r="B8270" t="s">
        <v>150</v>
      </c>
      <c r="C8270" t="s">
        <v>123</v>
      </c>
      <c r="D8270" t="s">
        <v>66</v>
      </c>
      <c r="E8270" t="s">
        <v>138</v>
      </c>
      <c r="F8270" s="1">
        <v>43086</v>
      </c>
      <c r="G8270" s="1">
        <v>43097</v>
      </c>
      <c r="H8270">
        <v>54</v>
      </c>
      <c r="I8270" t="str">
        <f>IF(COUNTIF(Products!$A$2:$A$8,C8270)=0,C8270,"")</f>
        <v/>
      </c>
      <c r="J8270">
        <f>IF(OR(E8270="Prospecting",E8270="Engaging"),VLOOKUP(C8270,Products!$A$2:$C$8,3,FALSE),0)</f>
        <v>0</v>
      </c>
    </row>
    <row r="8271" spans="1:10" x14ac:dyDescent="0.25">
      <c r="A8271" t="s">
        <v>8438</v>
      </c>
      <c r="B8271" t="s">
        <v>166</v>
      </c>
      <c r="C8271" t="s">
        <v>123</v>
      </c>
      <c r="D8271" t="s">
        <v>47</v>
      </c>
      <c r="E8271" t="s">
        <v>138</v>
      </c>
      <c r="F8271" s="1">
        <v>43086</v>
      </c>
      <c r="G8271" s="1">
        <v>43094</v>
      </c>
      <c r="H8271">
        <v>49</v>
      </c>
      <c r="I8271" t="str">
        <f>IF(COUNTIF(Products!$A$2:$A$8,C8271)=0,C8271,"")</f>
        <v/>
      </c>
      <c r="J8271">
        <f>IF(OR(E8271="Prospecting",E8271="Engaging"),VLOOKUP(C8271,Products!$A$2:$C$8,3,FALSE),0)</f>
        <v>0</v>
      </c>
    </row>
    <row r="8272" spans="1:10" x14ac:dyDescent="0.25">
      <c r="A8272" t="s">
        <v>8439</v>
      </c>
      <c r="B8272" t="s">
        <v>148</v>
      </c>
      <c r="C8272" t="s">
        <v>127</v>
      </c>
      <c r="D8272" t="s">
        <v>41</v>
      </c>
      <c r="E8272" t="s">
        <v>159</v>
      </c>
      <c r="F8272" s="1">
        <v>43086</v>
      </c>
      <c r="G8272" s="1">
        <v>43100</v>
      </c>
      <c r="H8272">
        <v>0</v>
      </c>
      <c r="I8272" t="str">
        <f>IF(COUNTIF(Products!$A$2:$A$8,C8272)=0,C8272,"")</f>
        <v/>
      </c>
      <c r="J8272">
        <f>IF(OR(E8272="Prospecting",E8272="Engaging"),VLOOKUP(C8272,Products!$A$2:$C$8,3,FALSE),0)</f>
        <v>0</v>
      </c>
    </row>
    <row r="8273" spans="1:10" x14ac:dyDescent="0.25">
      <c r="A8273" t="s">
        <v>8440</v>
      </c>
      <c r="B8273" t="s">
        <v>177</v>
      </c>
      <c r="C8273" t="s">
        <v>123</v>
      </c>
      <c r="E8273" t="s">
        <v>155</v>
      </c>
      <c r="F8273" s="1">
        <v>43086</v>
      </c>
      <c r="I8273" t="str">
        <f>IF(COUNTIF(Products!$A$2:$A$8,C8273)=0,C8273,"")</f>
        <v/>
      </c>
      <c r="J8273">
        <f>IF(OR(E8273="Prospecting",E8273="Engaging"),VLOOKUP(C8273,Products!$A$2:$C$8,3,FALSE),0)</f>
        <v>55</v>
      </c>
    </row>
    <row r="8274" spans="1:10" x14ac:dyDescent="0.25">
      <c r="A8274" t="s">
        <v>8441</v>
      </c>
      <c r="B8274" t="s">
        <v>177</v>
      </c>
      <c r="C8274" t="s">
        <v>123</v>
      </c>
      <c r="D8274" t="s">
        <v>69</v>
      </c>
      <c r="E8274" t="s">
        <v>138</v>
      </c>
      <c r="F8274" s="1">
        <v>43086</v>
      </c>
      <c r="G8274" s="1">
        <v>43093</v>
      </c>
      <c r="H8274">
        <v>55</v>
      </c>
      <c r="I8274" t="str">
        <f>IF(COUNTIF(Products!$A$2:$A$8,C8274)=0,C8274,"")</f>
        <v/>
      </c>
      <c r="J8274">
        <f>IF(OR(E8274="Prospecting",E8274="Engaging"),VLOOKUP(C8274,Products!$A$2:$C$8,3,FALSE),0)</f>
        <v>0</v>
      </c>
    </row>
    <row r="8275" spans="1:10" x14ac:dyDescent="0.25">
      <c r="A8275" t="s">
        <v>8442</v>
      </c>
      <c r="B8275" t="s">
        <v>144</v>
      </c>
      <c r="C8275" t="s">
        <v>122</v>
      </c>
      <c r="D8275" t="s">
        <v>17</v>
      </c>
      <c r="E8275" t="s">
        <v>138</v>
      </c>
      <c r="F8275" s="1">
        <v>43086</v>
      </c>
      <c r="G8275" s="1">
        <v>43095</v>
      </c>
      <c r="H8275">
        <v>5196</v>
      </c>
      <c r="I8275" t="str">
        <f>IF(COUNTIF(Products!$A$2:$A$8,C8275)=0,C8275,"")</f>
        <v/>
      </c>
      <c r="J8275">
        <f>IF(OR(E8275="Prospecting",E8275="Engaging"),VLOOKUP(C8275,Products!$A$2:$C$8,3,FALSE),0)</f>
        <v>0</v>
      </c>
    </row>
    <row r="8276" spans="1:10" x14ac:dyDescent="0.25">
      <c r="A8276" t="s">
        <v>8443</v>
      </c>
      <c r="B8276" t="s">
        <v>146</v>
      </c>
      <c r="C8276" t="s">
        <v>123</v>
      </c>
      <c r="D8276" t="s">
        <v>89</v>
      </c>
      <c r="E8276" t="s">
        <v>138</v>
      </c>
      <c r="F8276" s="1">
        <v>43087</v>
      </c>
      <c r="G8276" s="1">
        <v>43100</v>
      </c>
      <c r="H8276">
        <v>54</v>
      </c>
      <c r="I8276" t="str">
        <f>IF(COUNTIF(Products!$A$2:$A$8,C8276)=0,C8276,"")</f>
        <v/>
      </c>
      <c r="J8276">
        <f>IF(OR(E8276="Prospecting",E8276="Engaging"),VLOOKUP(C8276,Products!$A$2:$C$8,3,FALSE),0)</f>
        <v>0</v>
      </c>
    </row>
    <row r="8277" spans="1:10" x14ac:dyDescent="0.25">
      <c r="A8277" t="s">
        <v>8444</v>
      </c>
      <c r="B8277" t="s">
        <v>173</v>
      </c>
      <c r="C8277" t="s">
        <v>122</v>
      </c>
      <c r="D8277" t="s">
        <v>34</v>
      </c>
      <c r="E8277" t="s">
        <v>138</v>
      </c>
      <c r="F8277" s="1">
        <v>43087</v>
      </c>
      <c r="G8277" s="1">
        <v>43095</v>
      </c>
      <c r="H8277">
        <v>4953</v>
      </c>
      <c r="I8277" t="str">
        <f>IF(COUNTIF(Products!$A$2:$A$8,C8277)=0,C8277,"")</f>
        <v/>
      </c>
      <c r="J8277">
        <f>IF(OR(E8277="Prospecting",E8277="Engaging"),VLOOKUP(C8277,Products!$A$2:$C$8,3,FALSE),0)</f>
        <v>0</v>
      </c>
    </row>
    <row r="8278" spans="1:10" x14ac:dyDescent="0.25">
      <c r="A8278" t="s">
        <v>8445</v>
      </c>
      <c r="B8278" t="s">
        <v>196</v>
      </c>
      <c r="C8278" t="s">
        <v>125</v>
      </c>
      <c r="D8278" t="s">
        <v>115</v>
      </c>
      <c r="E8278" t="s">
        <v>138</v>
      </c>
      <c r="F8278" s="1">
        <v>43087</v>
      </c>
      <c r="G8278" s="1">
        <v>43093</v>
      </c>
      <c r="H8278">
        <v>3155</v>
      </c>
      <c r="I8278" t="str">
        <f>IF(COUNTIF(Products!$A$2:$A$8,C8278)=0,C8278,"")</f>
        <v/>
      </c>
      <c r="J8278">
        <f>IF(OR(E8278="Prospecting",E8278="Engaging"),VLOOKUP(C8278,Products!$A$2:$C$8,3,FALSE),0)</f>
        <v>0</v>
      </c>
    </row>
    <row r="8279" spans="1:10" x14ac:dyDescent="0.25">
      <c r="A8279" t="s">
        <v>8446</v>
      </c>
      <c r="B8279" t="s">
        <v>222</v>
      </c>
      <c r="C8279" t="s">
        <v>122</v>
      </c>
      <c r="E8279" t="s">
        <v>155</v>
      </c>
      <c r="F8279" s="1">
        <v>43088</v>
      </c>
      <c r="I8279" t="str">
        <f>IF(COUNTIF(Products!$A$2:$A$8,C8279)=0,C8279,"")</f>
        <v/>
      </c>
      <c r="J8279">
        <f>IF(OR(E8279="Prospecting",E8279="Engaging"),VLOOKUP(C8279,Products!$A$2:$C$8,3,FALSE),0)</f>
        <v>4821</v>
      </c>
    </row>
    <row r="8280" spans="1:10" x14ac:dyDescent="0.25">
      <c r="A8280" t="s">
        <v>8447</v>
      </c>
      <c r="B8280" t="s">
        <v>140</v>
      </c>
      <c r="C8280" t="s">
        <v>122</v>
      </c>
      <c r="D8280" t="s">
        <v>14</v>
      </c>
      <c r="E8280" t="s">
        <v>159</v>
      </c>
      <c r="F8280" s="1">
        <v>43088</v>
      </c>
      <c r="G8280" s="1">
        <v>43099</v>
      </c>
      <c r="H8280">
        <v>0</v>
      </c>
      <c r="I8280" t="str">
        <f>IF(COUNTIF(Products!$A$2:$A$8,C8280)=0,C8280,"")</f>
        <v/>
      </c>
      <c r="J8280">
        <f>IF(OR(E8280="Prospecting",E8280="Engaging"),VLOOKUP(C8280,Products!$A$2:$C$8,3,FALSE),0)</f>
        <v>0</v>
      </c>
    </row>
    <row r="8281" spans="1:10" x14ac:dyDescent="0.25">
      <c r="A8281" t="s">
        <v>8448</v>
      </c>
      <c r="B8281" t="s">
        <v>187</v>
      </c>
      <c r="C8281" t="s">
        <v>122</v>
      </c>
      <c r="D8281" t="s">
        <v>84</v>
      </c>
      <c r="E8281" t="s">
        <v>138</v>
      </c>
      <c r="F8281" s="1">
        <v>43088</v>
      </c>
      <c r="G8281" s="1">
        <v>43099</v>
      </c>
      <c r="H8281">
        <v>4566</v>
      </c>
      <c r="I8281" t="str">
        <f>IF(COUNTIF(Products!$A$2:$A$8,C8281)=0,C8281,"")</f>
        <v/>
      </c>
      <c r="J8281">
        <f>IF(OR(E8281="Prospecting",E8281="Engaging"),VLOOKUP(C8281,Products!$A$2:$C$8,3,FALSE),0)</f>
        <v>0</v>
      </c>
    </row>
    <row r="8282" spans="1:10" x14ac:dyDescent="0.25">
      <c r="A8282" t="s">
        <v>8449</v>
      </c>
      <c r="B8282" t="s">
        <v>169</v>
      </c>
      <c r="C8282" t="s">
        <v>123</v>
      </c>
      <c r="D8282" t="s">
        <v>14</v>
      </c>
      <c r="E8282" t="s">
        <v>138</v>
      </c>
      <c r="F8282" s="1">
        <v>43088</v>
      </c>
      <c r="G8282" s="1">
        <v>43097</v>
      </c>
      <c r="H8282">
        <v>58</v>
      </c>
      <c r="I8282" t="str">
        <f>IF(COUNTIF(Products!$A$2:$A$8,C8282)=0,C8282,"")</f>
        <v/>
      </c>
      <c r="J8282">
        <f>IF(OR(E8282="Prospecting",E8282="Engaging"),VLOOKUP(C8282,Products!$A$2:$C$8,3,FALSE),0)</f>
        <v>0</v>
      </c>
    </row>
    <row r="8283" spans="1:10" x14ac:dyDescent="0.25">
      <c r="A8283" t="s">
        <v>8450</v>
      </c>
      <c r="B8283" t="s">
        <v>196</v>
      </c>
      <c r="C8283" t="s">
        <v>122</v>
      </c>
      <c r="D8283" t="s">
        <v>105</v>
      </c>
      <c r="E8283" t="s">
        <v>138</v>
      </c>
      <c r="F8283" s="1">
        <v>43088</v>
      </c>
      <c r="G8283" s="1">
        <v>43097</v>
      </c>
      <c r="H8283">
        <v>4315</v>
      </c>
      <c r="I8283" t="str">
        <f>IF(COUNTIF(Products!$A$2:$A$8,C8283)=0,C8283,"")</f>
        <v/>
      </c>
      <c r="J8283">
        <f>IF(OR(E8283="Prospecting",E8283="Engaging"),VLOOKUP(C8283,Products!$A$2:$C$8,3,FALSE),0)</f>
        <v>0</v>
      </c>
    </row>
    <row r="8284" spans="1:10" x14ac:dyDescent="0.25">
      <c r="A8284" t="s">
        <v>8451</v>
      </c>
      <c r="B8284" t="s">
        <v>224</v>
      </c>
      <c r="C8284" t="s">
        <v>125</v>
      </c>
      <c r="D8284" t="s">
        <v>108</v>
      </c>
      <c r="E8284" t="s">
        <v>159</v>
      </c>
      <c r="F8284" s="1">
        <v>43089</v>
      </c>
      <c r="G8284" s="1">
        <v>43097</v>
      </c>
      <c r="H8284">
        <v>0</v>
      </c>
      <c r="I8284" t="str">
        <f>IF(COUNTIF(Products!$A$2:$A$8,C8284)=0,C8284,"")</f>
        <v/>
      </c>
      <c r="J8284">
        <f>IF(OR(E8284="Prospecting",E8284="Engaging"),VLOOKUP(C8284,Products!$A$2:$C$8,3,FALSE),0)</f>
        <v>0</v>
      </c>
    </row>
    <row r="8285" spans="1:10" x14ac:dyDescent="0.25">
      <c r="A8285" t="s">
        <v>8452</v>
      </c>
      <c r="B8285" t="s">
        <v>164</v>
      </c>
      <c r="C8285" t="s">
        <v>123</v>
      </c>
      <c r="D8285" t="s">
        <v>92</v>
      </c>
      <c r="E8285" t="s">
        <v>155</v>
      </c>
      <c r="F8285" s="1">
        <v>43089</v>
      </c>
      <c r="I8285" t="str">
        <f>IF(COUNTIF(Products!$A$2:$A$8,C8285)=0,C8285,"")</f>
        <v/>
      </c>
      <c r="J8285">
        <f>IF(OR(E8285="Prospecting",E8285="Engaging"),VLOOKUP(C8285,Products!$A$2:$C$8,3,FALSE),0)</f>
        <v>55</v>
      </c>
    </row>
    <row r="8286" spans="1:10" x14ac:dyDescent="0.25">
      <c r="A8286" t="s">
        <v>8453</v>
      </c>
      <c r="B8286" t="s">
        <v>187</v>
      </c>
      <c r="C8286" t="s">
        <v>122</v>
      </c>
      <c r="D8286" t="s">
        <v>106</v>
      </c>
      <c r="E8286" t="s">
        <v>138</v>
      </c>
      <c r="F8286" s="1">
        <v>43089</v>
      </c>
      <c r="G8286" s="1">
        <v>43098</v>
      </c>
      <c r="H8286">
        <v>5574</v>
      </c>
      <c r="I8286" t="str">
        <f>IF(COUNTIF(Products!$A$2:$A$8,C8286)=0,C8286,"")</f>
        <v/>
      </c>
      <c r="J8286">
        <f>IF(OR(E8286="Prospecting",E8286="Engaging"),VLOOKUP(C8286,Products!$A$2:$C$8,3,FALSE),0)</f>
        <v>0</v>
      </c>
    </row>
    <row r="8287" spans="1:10" x14ac:dyDescent="0.25">
      <c r="A8287" t="s">
        <v>8454</v>
      </c>
      <c r="B8287" t="s">
        <v>196</v>
      </c>
      <c r="C8287" t="s">
        <v>127</v>
      </c>
      <c r="E8287" t="s">
        <v>155</v>
      </c>
      <c r="F8287" s="1">
        <v>43089</v>
      </c>
      <c r="I8287" t="str">
        <f>IF(COUNTIF(Products!$A$2:$A$8,C8287)=0,C8287,"")</f>
        <v/>
      </c>
      <c r="J8287">
        <f>IF(OR(E8287="Prospecting",E8287="Engaging"),VLOOKUP(C8287,Products!$A$2:$C$8,3,FALSE),0)</f>
        <v>1096</v>
      </c>
    </row>
    <row r="8288" spans="1:10" x14ac:dyDescent="0.25">
      <c r="A8288" t="s">
        <v>8455</v>
      </c>
      <c r="B8288" t="s">
        <v>207</v>
      </c>
      <c r="C8288" t="s">
        <v>126</v>
      </c>
      <c r="E8288" t="s">
        <v>155</v>
      </c>
      <c r="F8288" s="1">
        <v>43090</v>
      </c>
      <c r="I8288" t="str">
        <f>IF(COUNTIF(Products!$A$2:$A$8,C8288)=0,C8288,"")</f>
        <v/>
      </c>
      <c r="J8288">
        <f>IF(OR(E8288="Prospecting",E8288="Engaging"),VLOOKUP(C8288,Products!$A$2:$C$8,3,FALSE),0)</f>
        <v>5482</v>
      </c>
    </row>
    <row r="8289" spans="1:10" x14ac:dyDescent="0.25">
      <c r="A8289" t="s">
        <v>8456</v>
      </c>
      <c r="B8289" t="s">
        <v>158</v>
      </c>
      <c r="C8289" t="s">
        <v>125</v>
      </c>
      <c r="D8289" t="s">
        <v>51</v>
      </c>
      <c r="E8289" t="s">
        <v>138</v>
      </c>
      <c r="F8289" s="1">
        <v>43090</v>
      </c>
      <c r="G8289" s="1">
        <v>43099</v>
      </c>
      <c r="H8289">
        <v>3494</v>
      </c>
      <c r="I8289" t="str">
        <f>IF(COUNTIF(Products!$A$2:$A$8,C8289)=0,C8289,"")</f>
        <v/>
      </c>
      <c r="J8289">
        <f>IF(OR(E8289="Prospecting",E8289="Engaging"),VLOOKUP(C8289,Products!$A$2:$C$8,3,FALSE),0)</f>
        <v>0</v>
      </c>
    </row>
    <row r="8290" spans="1:10" x14ac:dyDescent="0.25">
      <c r="A8290" t="s">
        <v>8457</v>
      </c>
      <c r="B8290" t="s">
        <v>180</v>
      </c>
      <c r="C8290" t="s">
        <v>123</v>
      </c>
      <c r="D8290" t="s">
        <v>34</v>
      </c>
      <c r="E8290" t="s">
        <v>138</v>
      </c>
      <c r="F8290" s="1">
        <v>43090</v>
      </c>
      <c r="G8290" s="1">
        <v>43097</v>
      </c>
      <c r="H8290">
        <v>50</v>
      </c>
      <c r="I8290" t="str">
        <f>IF(COUNTIF(Products!$A$2:$A$8,C8290)=0,C8290,"")</f>
        <v/>
      </c>
      <c r="J8290">
        <f>IF(OR(E8290="Prospecting",E8290="Engaging"),VLOOKUP(C8290,Products!$A$2:$C$8,3,FALSE),0)</f>
        <v>0</v>
      </c>
    </row>
    <row r="8291" spans="1:10" x14ac:dyDescent="0.25">
      <c r="A8291" t="s">
        <v>8458</v>
      </c>
      <c r="B8291" t="s">
        <v>148</v>
      </c>
      <c r="C8291" t="s">
        <v>123</v>
      </c>
      <c r="D8291" t="s">
        <v>61</v>
      </c>
      <c r="E8291" t="s">
        <v>138</v>
      </c>
      <c r="F8291" s="1">
        <v>43090</v>
      </c>
      <c r="G8291" s="1">
        <v>43097</v>
      </c>
      <c r="H8291">
        <v>61</v>
      </c>
      <c r="I8291" t="str">
        <f>IF(COUNTIF(Products!$A$2:$A$8,C8291)=0,C8291,"")</f>
        <v/>
      </c>
      <c r="J8291">
        <f>IF(OR(E8291="Prospecting",E8291="Engaging"),VLOOKUP(C8291,Products!$A$2:$C$8,3,FALSE),0)</f>
        <v>0</v>
      </c>
    </row>
    <row r="8292" spans="1:10" x14ac:dyDescent="0.25">
      <c r="A8292" t="s">
        <v>8459</v>
      </c>
      <c r="B8292" t="s">
        <v>173</v>
      </c>
      <c r="C8292" t="s">
        <v>123</v>
      </c>
      <c r="E8292" t="s">
        <v>155</v>
      </c>
      <c r="F8292" s="1">
        <v>43091</v>
      </c>
      <c r="I8292" t="str">
        <f>IF(COUNTIF(Products!$A$2:$A$8,C8292)=0,C8292,"")</f>
        <v/>
      </c>
      <c r="J8292">
        <f>IF(OR(E8292="Prospecting",E8292="Engaging"),VLOOKUP(C8292,Products!$A$2:$C$8,3,FALSE),0)</f>
        <v>55</v>
      </c>
    </row>
    <row r="8293" spans="1:10" x14ac:dyDescent="0.25">
      <c r="A8293" t="s">
        <v>8460</v>
      </c>
      <c r="B8293" t="s">
        <v>191</v>
      </c>
      <c r="C8293" t="s">
        <v>123</v>
      </c>
      <c r="D8293" t="s">
        <v>100</v>
      </c>
      <c r="E8293" t="s">
        <v>159</v>
      </c>
      <c r="F8293" s="1">
        <v>43091</v>
      </c>
      <c r="G8293" s="1">
        <v>43100</v>
      </c>
      <c r="H8293">
        <v>0</v>
      </c>
      <c r="I8293" t="str">
        <f>IF(COUNTIF(Products!$A$2:$A$8,C8293)=0,C8293,"")</f>
        <v/>
      </c>
      <c r="J8293">
        <f>IF(OR(E8293="Prospecting",E8293="Engaging"),VLOOKUP(C8293,Products!$A$2:$C$8,3,FALSE),0)</f>
        <v>0</v>
      </c>
    </row>
    <row r="8294" spans="1:10" x14ac:dyDescent="0.25">
      <c r="A8294" t="s">
        <v>8461</v>
      </c>
      <c r="B8294" t="s">
        <v>177</v>
      </c>
      <c r="C8294" t="s">
        <v>125</v>
      </c>
      <c r="D8294" t="s">
        <v>10</v>
      </c>
      <c r="E8294" t="s">
        <v>138</v>
      </c>
      <c r="F8294" s="1">
        <v>43091</v>
      </c>
      <c r="G8294" s="1">
        <v>43097</v>
      </c>
      <c r="H8294">
        <v>3673</v>
      </c>
      <c r="I8294" t="str">
        <f>IF(COUNTIF(Products!$A$2:$A$8,C8294)=0,C8294,"")</f>
        <v/>
      </c>
      <c r="J8294">
        <f>IF(OR(E8294="Prospecting",E8294="Engaging"),VLOOKUP(C8294,Products!$A$2:$C$8,3,FALSE),0)</f>
        <v>0</v>
      </c>
    </row>
    <row r="8295" spans="1:10" x14ac:dyDescent="0.25">
      <c r="A8295" t="s">
        <v>8462</v>
      </c>
      <c r="B8295" t="s">
        <v>207</v>
      </c>
      <c r="C8295" t="s">
        <v>120</v>
      </c>
      <c r="D8295" t="s">
        <v>48</v>
      </c>
      <c r="E8295" t="s">
        <v>138</v>
      </c>
      <c r="F8295" s="1">
        <v>43092</v>
      </c>
      <c r="G8295" s="1">
        <v>43100</v>
      </c>
      <c r="H8295">
        <v>576</v>
      </c>
      <c r="I8295" t="str">
        <f>IF(COUNTIF(Products!$A$2:$A$8,C8295)=0,C8295,"")</f>
        <v/>
      </c>
      <c r="J8295">
        <f>IF(OR(E8295="Prospecting",E8295="Engaging"),VLOOKUP(C8295,Products!$A$2:$C$8,3,FALSE),0)</f>
        <v>0</v>
      </c>
    </row>
    <row r="8296" spans="1:10" x14ac:dyDescent="0.25">
      <c r="A8296" t="s">
        <v>8463</v>
      </c>
      <c r="B8296" t="s">
        <v>154</v>
      </c>
      <c r="C8296" t="s">
        <v>120</v>
      </c>
      <c r="D8296" t="s">
        <v>93</v>
      </c>
      <c r="E8296" t="s">
        <v>138</v>
      </c>
      <c r="F8296" s="1">
        <v>43093</v>
      </c>
      <c r="G8296" s="1">
        <v>43095</v>
      </c>
      <c r="H8296">
        <v>538</v>
      </c>
      <c r="I8296" t="str">
        <f>IF(COUNTIF(Products!$A$2:$A$8,C8296)=0,C8296,"")</f>
        <v/>
      </c>
      <c r="J8296">
        <f>IF(OR(E8296="Prospecting",E8296="Engaging"),VLOOKUP(C8296,Products!$A$2:$C$8,3,FALSE),0)</f>
        <v>0</v>
      </c>
    </row>
    <row r="8297" spans="1:10" x14ac:dyDescent="0.25">
      <c r="A8297" t="s">
        <v>8464</v>
      </c>
      <c r="B8297" t="s">
        <v>217</v>
      </c>
      <c r="C8297" t="s">
        <v>120</v>
      </c>
      <c r="D8297" t="s">
        <v>28</v>
      </c>
      <c r="E8297" t="s">
        <v>138</v>
      </c>
      <c r="F8297" s="1">
        <v>43093</v>
      </c>
      <c r="G8297" s="1">
        <v>43095</v>
      </c>
      <c r="H8297">
        <v>622</v>
      </c>
      <c r="I8297" t="str">
        <f>IF(COUNTIF(Products!$A$2:$A$8,C8297)=0,C8297,"")</f>
        <v/>
      </c>
      <c r="J8297">
        <f>IF(OR(E8297="Prospecting",E8297="Engaging"),VLOOKUP(C8297,Products!$A$2:$C$8,3,FALSE),0)</f>
        <v>0</v>
      </c>
    </row>
    <row r="8298" spans="1:10" x14ac:dyDescent="0.25">
      <c r="A8298" t="s">
        <v>8465</v>
      </c>
      <c r="B8298" t="s">
        <v>177</v>
      </c>
      <c r="C8298" t="s">
        <v>127</v>
      </c>
      <c r="D8298" t="s">
        <v>19</v>
      </c>
      <c r="E8298" t="s">
        <v>138</v>
      </c>
      <c r="F8298" s="1">
        <v>43093</v>
      </c>
      <c r="G8298" s="1">
        <v>43099</v>
      </c>
      <c r="H8298">
        <v>1093</v>
      </c>
      <c r="I8298" t="str">
        <f>IF(COUNTIF(Products!$A$2:$A$8,C8298)=0,C8298,"")</f>
        <v/>
      </c>
      <c r="J8298">
        <f>IF(OR(E8298="Prospecting",E8298="Engaging"),VLOOKUP(C8298,Products!$A$2:$C$8,3,FALSE),0)</f>
        <v>0</v>
      </c>
    </row>
    <row r="8299" spans="1:10" x14ac:dyDescent="0.25">
      <c r="A8299" t="s">
        <v>8466</v>
      </c>
      <c r="B8299" t="s">
        <v>162</v>
      </c>
      <c r="C8299" t="s">
        <v>122</v>
      </c>
      <c r="D8299" t="s">
        <v>61</v>
      </c>
      <c r="E8299" t="s">
        <v>138</v>
      </c>
      <c r="F8299" s="1">
        <v>43095</v>
      </c>
      <c r="G8299" s="1">
        <v>43098</v>
      </c>
      <c r="H8299">
        <v>4433</v>
      </c>
      <c r="I8299" t="str">
        <f>IF(COUNTIF(Products!$A$2:$A$8,C8299)=0,C8299,"")</f>
        <v/>
      </c>
      <c r="J8299">
        <f>IF(OR(E8299="Prospecting",E8299="Engaging"),VLOOKUP(C8299,Products!$A$2:$C$8,3,FALSE),0)</f>
        <v>0</v>
      </c>
    </row>
    <row r="8300" spans="1:10" x14ac:dyDescent="0.25">
      <c r="A8300" t="s">
        <v>8467</v>
      </c>
      <c r="B8300" t="s">
        <v>158</v>
      </c>
      <c r="C8300" t="s">
        <v>127</v>
      </c>
      <c r="D8300" t="s">
        <v>32</v>
      </c>
      <c r="E8300" t="s">
        <v>138</v>
      </c>
      <c r="F8300" s="1">
        <v>43096</v>
      </c>
      <c r="G8300" s="1">
        <v>43099</v>
      </c>
      <c r="H8300">
        <v>1052</v>
      </c>
      <c r="I8300" t="str">
        <f>IF(COUNTIF(Products!$A$2:$A$8,C8300)=0,C8300,"")</f>
        <v/>
      </c>
      <c r="J8300">
        <f>IF(OR(E8300="Prospecting",E8300="Engaging"),VLOOKUP(C8300,Products!$A$2:$C$8,3,FALSE),0)</f>
        <v>0</v>
      </c>
    </row>
    <row r="8301" spans="1:10" x14ac:dyDescent="0.25">
      <c r="A8301" t="s">
        <v>8468</v>
      </c>
      <c r="B8301" t="s">
        <v>158</v>
      </c>
      <c r="C8301" t="s">
        <v>123</v>
      </c>
      <c r="D8301" t="s">
        <v>12</v>
      </c>
      <c r="E8301" t="s">
        <v>138</v>
      </c>
      <c r="F8301" s="1">
        <v>43096</v>
      </c>
      <c r="G8301" s="1">
        <v>43098</v>
      </c>
      <c r="H8301">
        <v>67</v>
      </c>
      <c r="I8301" t="str">
        <f>IF(COUNTIF(Products!$A$2:$A$8,C8301)=0,C8301,"")</f>
        <v/>
      </c>
      <c r="J8301">
        <f>IF(OR(E8301="Prospecting",E8301="Engaging"),VLOOKUP(C8301,Products!$A$2:$C$8,3,FALSE),0)</f>
        <v>0</v>
      </c>
    </row>
    <row r="8302" spans="1:10" x14ac:dyDescent="0.25">
      <c r="A8302" t="s">
        <v>8469</v>
      </c>
      <c r="B8302" t="s">
        <v>146</v>
      </c>
      <c r="C8302" t="s">
        <v>120</v>
      </c>
      <c r="D8302" t="s">
        <v>57</v>
      </c>
      <c r="E8302" t="s">
        <v>8470</v>
      </c>
      <c r="I8302" t="str">
        <f>IF(COUNTIF(Products!$A$2:$A$8,C8302)=0,C8302,"")</f>
        <v/>
      </c>
      <c r="J8302">
        <f>IF(OR(E8302="Prospecting",E8302="Engaging"),VLOOKUP(C8302,Products!$A$2:$C$8,3,FALSE),0)</f>
        <v>550</v>
      </c>
    </row>
    <row r="8303" spans="1:10" x14ac:dyDescent="0.25">
      <c r="A8303" t="s">
        <v>8471</v>
      </c>
      <c r="B8303" t="s">
        <v>146</v>
      </c>
      <c r="C8303" t="s">
        <v>120</v>
      </c>
      <c r="E8303" t="s">
        <v>8470</v>
      </c>
      <c r="I8303" t="str">
        <f>IF(COUNTIF(Products!$A$2:$A$8,C8303)=0,C8303,"")</f>
        <v/>
      </c>
      <c r="J8303">
        <f>IF(OR(E8303="Prospecting",E8303="Engaging"),VLOOKUP(C8303,Products!$A$2:$C$8,3,FALSE),0)</f>
        <v>550</v>
      </c>
    </row>
    <row r="8304" spans="1:10" x14ac:dyDescent="0.25">
      <c r="A8304" t="s">
        <v>8472</v>
      </c>
      <c r="B8304" t="s">
        <v>146</v>
      </c>
      <c r="C8304" t="s">
        <v>120</v>
      </c>
      <c r="E8304" t="s">
        <v>8470</v>
      </c>
      <c r="I8304" t="str">
        <f>IF(COUNTIF(Products!$A$2:$A$8,C8304)=0,C8304,"")</f>
        <v/>
      </c>
      <c r="J8304">
        <f>IF(OR(E8304="Prospecting",E8304="Engaging"),VLOOKUP(C8304,Products!$A$2:$C$8,3,FALSE),0)</f>
        <v>550</v>
      </c>
    </row>
    <row r="8305" spans="1:10" x14ac:dyDescent="0.25">
      <c r="A8305" t="s">
        <v>8473</v>
      </c>
      <c r="B8305" t="s">
        <v>146</v>
      </c>
      <c r="C8305" t="s">
        <v>120</v>
      </c>
      <c r="E8305" t="s">
        <v>8470</v>
      </c>
      <c r="I8305" t="str">
        <f>IF(COUNTIF(Products!$A$2:$A$8,C8305)=0,C8305,"")</f>
        <v/>
      </c>
      <c r="J8305">
        <f>IF(OR(E8305="Prospecting",E8305="Engaging"),VLOOKUP(C8305,Products!$A$2:$C$8,3,FALSE),0)</f>
        <v>550</v>
      </c>
    </row>
    <row r="8306" spans="1:10" x14ac:dyDescent="0.25">
      <c r="A8306" t="s">
        <v>8474</v>
      </c>
      <c r="B8306" t="s">
        <v>146</v>
      </c>
      <c r="C8306" t="s">
        <v>120</v>
      </c>
      <c r="E8306" t="s">
        <v>8470</v>
      </c>
      <c r="I8306" t="str">
        <f>IF(COUNTIF(Products!$A$2:$A$8,C8306)=0,C8306,"")</f>
        <v/>
      </c>
      <c r="J8306">
        <f>IF(OR(E8306="Prospecting",E8306="Engaging"),VLOOKUP(C8306,Products!$A$2:$C$8,3,FALSE),0)</f>
        <v>550</v>
      </c>
    </row>
    <row r="8307" spans="1:10" x14ac:dyDescent="0.25">
      <c r="A8307" t="s">
        <v>8475</v>
      </c>
      <c r="B8307" t="s">
        <v>146</v>
      </c>
      <c r="C8307" t="s">
        <v>120</v>
      </c>
      <c r="E8307" t="s">
        <v>8470</v>
      </c>
      <c r="I8307" t="str">
        <f>IF(COUNTIF(Products!$A$2:$A$8,C8307)=0,C8307,"")</f>
        <v/>
      </c>
      <c r="J8307">
        <f>IF(OR(E8307="Prospecting",E8307="Engaging"),VLOOKUP(C8307,Products!$A$2:$C$8,3,FALSE),0)</f>
        <v>550</v>
      </c>
    </row>
    <row r="8308" spans="1:10" x14ac:dyDescent="0.25">
      <c r="A8308" t="s">
        <v>8476</v>
      </c>
      <c r="B8308" t="s">
        <v>146</v>
      </c>
      <c r="C8308" t="s">
        <v>120</v>
      </c>
      <c r="E8308" t="s">
        <v>8470</v>
      </c>
      <c r="I8308" t="str">
        <f>IF(COUNTIF(Products!$A$2:$A$8,C8308)=0,C8308,"")</f>
        <v/>
      </c>
      <c r="J8308">
        <f>IF(OR(E8308="Prospecting",E8308="Engaging"),VLOOKUP(C8308,Products!$A$2:$C$8,3,FALSE),0)</f>
        <v>550</v>
      </c>
    </row>
    <row r="8309" spans="1:10" x14ac:dyDescent="0.25">
      <c r="A8309" t="s">
        <v>8477</v>
      </c>
      <c r="B8309" t="s">
        <v>146</v>
      </c>
      <c r="C8309" t="s">
        <v>127</v>
      </c>
      <c r="D8309" t="s">
        <v>83</v>
      </c>
      <c r="E8309" t="s">
        <v>8470</v>
      </c>
      <c r="I8309" t="str">
        <f>IF(COUNTIF(Products!$A$2:$A$8,C8309)=0,C8309,"")</f>
        <v/>
      </c>
      <c r="J8309">
        <f>IF(OR(E8309="Prospecting",E8309="Engaging"),VLOOKUP(C8309,Products!$A$2:$C$8,3,FALSE),0)</f>
        <v>1096</v>
      </c>
    </row>
    <row r="8310" spans="1:10" x14ac:dyDescent="0.25">
      <c r="A8310" t="s">
        <v>8478</v>
      </c>
      <c r="B8310" t="s">
        <v>146</v>
      </c>
      <c r="C8310" t="s">
        <v>127</v>
      </c>
      <c r="D8310" t="s">
        <v>116</v>
      </c>
      <c r="E8310" t="s">
        <v>8470</v>
      </c>
      <c r="I8310" t="str">
        <f>IF(COUNTIF(Products!$A$2:$A$8,C8310)=0,C8310,"")</f>
        <v/>
      </c>
      <c r="J8310">
        <f>IF(OR(E8310="Prospecting",E8310="Engaging"),VLOOKUP(C8310,Products!$A$2:$C$8,3,FALSE),0)</f>
        <v>1096</v>
      </c>
    </row>
    <row r="8311" spans="1:10" x14ac:dyDescent="0.25">
      <c r="A8311" t="s">
        <v>8479</v>
      </c>
      <c r="B8311" t="s">
        <v>146</v>
      </c>
      <c r="C8311" t="s">
        <v>127</v>
      </c>
      <c r="E8311" t="s">
        <v>8470</v>
      </c>
      <c r="I8311" t="str">
        <f>IF(COUNTIF(Products!$A$2:$A$8,C8311)=0,C8311,"")</f>
        <v/>
      </c>
      <c r="J8311">
        <f>IF(OR(E8311="Prospecting",E8311="Engaging"),VLOOKUP(C8311,Products!$A$2:$C$8,3,FALSE),0)</f>
        <v>1096</v>
      </c>
    </row>
    <row r="8312" spans="1:10" x14ac:dyDescent="0.25">
      <c r="A8312" t="s">
        <v>8480</v>
      </c>
      <c r="B8312" t="s">
        <v>146</v>
      </c>
      <c r="C8312" t="s">
        <v>127</v>
      </c>
      <c r="E8312" t="s">
        <v>8470</v>
      </c>
      <c r="I8312" t="str">
        <f>IF(COUNTIF(Products!$A$2:$A$8,C8312)=0,C8312,"")</f>
        <v/>
      </c>
      <c r="J8312">
        <f>IF(OR(E8312="Prospecting",E8312="Engaging"),VLOOKUP(C8312,Products!$A$2:$C$8,3,FALSE),0)</f>
        <v>1096</v>
      </c>
    </row>
    <row r="8313" spans="1:10" x14ac:dyDescent="0.25">
      <c r="A8313" t="s">
        <v>8481</v>
      </c>
      <c r="B8313" t="s">
        <v>146</v>
      </c>
      <c r="C8313" t="s">
        <v>126</v>
      </c>
      <c r="D8313" t="s">
        <v>60</v>
      </c>
      <c r="E8313" t="s">
        <v>8470</v>
      </c>
      <c r="I8313" t="str">
        <f>IF(COUNTIF(Products!$A$2:$A$8,C8313)=0,C8313,"")</f>
        <v/>
      </c>
      <c r="J8313">
        <f>IF(OR(E8313="Prospecting",E8313="Engaging"),VLOOKUP(C8313,Products!$A$2:$C$8,3,FALSE),0)</f>
        <v>5482</v>
      </c>
    </row>
    <row r="8314" spans="1:10" x14ac:dyDescent="0.25">
      <c r="A8314" t="s">
        <v>8482</v>
      </c>
      <c r="B8314" t="s">
        <v>146</v>
      </c>
      <c r="C8314" t="s">
        <v>126</v>
      </c>
      <c r="D8314" t="s">
        <v>98</v>
      </c>
      <c r="E8314" t="s">
        <v>8470</v>
      </c>
      <c r="I8314" t="str">
        <f>IF(COUNTIF(Products!$A$2:$A$8,C8314)=0,C8314,"")</f>
        <v/>
      </c>
      <c r="J8314">
        <f>IF(OR(E8314="Prospecting",E8314="Engaging"),VLOOKUP(C8314,Products!$A$2:$C$8,3,FALSE),0)</f>
        <v>5482</v>
      </c>
    </row>
    <row r="8315" spans="1:10" x14ac:dyDescent="0.25">
      <c r="A8315" t="s">
        <v>8483</v>
      </c>
      <c r="B8315" t="s">
        <v>146</v>
      </c>
      <c r="C8315" t="s">
        <v>126</v>
      </c>
      <c r="E8315" t="s">
        <v>8470</v>
      </c>
      <c r="I8315" t="str">
        <f>IF(COUNTIF(Products!$A$2:$A$8,C8315)=0,C8315,"")</f>
        <v/>
      </c>
      <c r="J8315">
        <f>IF(OR(E8315="Prospecting",E8315="Engaging"),VLOOKUP(C8315,Products!$A$2:$C$8,3,FALSE),0)</f>
        <v>5482</v>
      </c>
    </row>
    <row r="8316" spans="1:10" x14ac:dyDescent="0.25">
      <c r="A8316" t="s">
        <v>8484</v>
      </c>
      <c r="B8316" t="s">
        <v>146</v>
      </c>
      <c r="C8316" t="s">
        <v>126</v>
      </c>
      <c r="E8316" t="s">
        <v>8470</v>
      </c>
      <c r="I8316" t="str">
        <f>IF(COUNTIF(Products!$A$2:$A$8,C8316)=0,C8316,"")</f>
        <v/>
      </c>
      <c r="J8316">
        <f>IF(OR(E8316="Prospecting",E8316="Engaging"),VLOOKUP(C8316,Products!$A$2:$C$8,3,FALSE),0)</f>
        <v>5482</v>
      </c>
    </row>
    <row r="8317" spans="1:10" x14ac:dyDescent="0.25">
      <c r="A8317" t="s">
        <v>8485</v>
      </c>
      <c r="B8317" t="s">
        <v>146</v>
      </c>
      <c r="C8317" t="s">
        <v>126</v>
      </c>
      <c r="E8317" t="s">
        <v>8470</v>
      </c>
      <c r="I8317" t="str">
        <f>IF(COUNTIF(Products!$A$2:$A$8,C8317)=0,C8317,"")</f>
        <v/>
      </c>
      <c r="J8317">
        <f>IF(OR(E8317="Prospecting",E8317="Engaging"),VLOOKUP(C8317,Products!$A$2:$C$8,3,FALSE),0)</f>
        <v>5482</v>
      </c>
    </row>
    <row r="8318" spans="1:10" x14ac:dyDescent="0.25">
      <c r="A8318" t="s">
        <v>8486</v>
      </c>
      <c r="B8318" t="s">
        <v>146</v>
      </c>
      <c r="C8318" t="s">
        <v>123</v>
      </c>
      <c r="D8318" t="s">
        <v>28</v>
      </c>
      <c r="E8318" t="s">
        <v>8470</v>
      </c>
      <c r="I8318" t="str">
        <f>IF(COUNTIF(Products!$A$2:$A$8,C8318)=0,C8318,"")</f>
        <v/>
      </c>
      <c r="J8318">
        <f>IF(OR(E8318="Prospecting",E8318="Engaging"),VLOOKUP(C8318,Products!$A$2:$C$8,3,FALSE),0)</f>
        <v>55</v>
      </c>
    </row>
    <row r="8319" spans="1:10" x14ac:dyDescent="0.25">
      <c r="A8319" t="s">
        <v>8487</v>
      </c>
      <c r="B8319" t="s">
        <v>146</v>
      </c>
      <c r="C8319" t="s">
        <v>123</v>
      </c>
      <c r="D8319" t="s">
        <v>36</v>
      </c>
      <c r="E8319" t="s">
        <v>8470</v>
      </c>
      <c r="I8319" t="str">
        <f>IF(COUNTIF(Products!$A$2:$A$8,C8319)=0,C8319,"")</f>
        <v/>
      </c>
      <c r="J8319">
        <f>IF(OR(E8319="Prospecting",E8319="Engaging"),VLOOKUP(C8319,Products!$A$2:$C$8,3,FALSE),0)</f>
        <v>55</v>
      </c>
    </row>
    <row r="8320" spans="1:10" x14ac:dyDescent="0.25">
      <c r="A8320" t="s">
        <v>8488</v>
      </c>
      <c r="B8320" t="s">
        <v>146</v>
      </c>
      <c r="C8320" t="s">
        <v>123</v>
      </c>
      <c r="D8320" t="s">
        <v>42</v>
      </c>
      <c r="E8320" t="s">
        <v>8470</v>
      </c>
      <c r="I8320" t="str">
        <f>IF(COUNTIF(Products!$A$2:$A$8,C8320)=0,C8320,"")</f>
        <v/>
      </c>
      <c r="J8320">
        <f>IF(OR(E8320="Prospecting",E8320="Engaging"),VLOOKUP(C8320,Products!$A$2:$C$8,3,FALSE),0)</f>
        <v>55</v>
      </c>
    </row>
    <row r="8321" spans="1:10" x14ac:dyDescent="0.25">
      <c r="A8321" t="s">
        <v>8489</v>
      </c>
      <c r="B8321" t="s">
        <v>146</v>
      </c>
      <c r="C8321" t="s">
        <v>123</v>
      </c>
      <c r="D8321" t="s">
        <v>48</v>
      </c>
      <c r="E8321" t="s">
        <v>8470</v>
      </c>
      <c r="I8321" t="str">
        <f>IF(COUNTIF(Products!$A$2:$A$8,C8321)=0,C8321,"")</f>
        <v/>
      </c>
      <c r="J8321">
        <f>IF(OR(E8321="Prospecting",E8321="Engaging"),VLOOKUP(C8321,Products!$A$2:$C$8,3,FALSE),0)</f>
        <v>55</v>
      </c>
    </row>
    <row r="8322" spans="1:10" x14ac:dyDescent="0.25">
      <c r="A8322" t="s">
        <v>8490</v>
      </c>
      <c r="B8322" t="s">
        <v>146</v>
      </c>
      <c r="C8322" t="s">
        <v>123</v>
      </c>
      <c r="D8322" t="s">
        <v>57</v>
      </c>
      <c r="E8322" t="s">
        <v>8470</v>
      </c>
      <c r="I8322" t="str">
        <f>IF(COUNTIF(Products!$A$2:$A$8,C8322)=0,C8322,"")</f>
        <v/>
      </c>
      <c r="J8322">
        <f>IF(OR(E8322="Prospecting",E8322="Engaging"),VLOOKUP(C8322,Products!$A$2:$C$8,3,FALSE),0)</f>
        <v>55</v>
      </c>
    </row>
    <row r="8323" spans="1:10" x14ac:dyDescent="0.25">
      <c r="A8323" t="s">
        <v>8491</v>
      </c>
      <c r="B8323" t="s">
        <v>146</v>
      </c>
      <c r="C8323" t="s">
        <v>123</v>
      </c>
      <c r="D8323" t="s">
        <v>66</v>
      </c>
      <c r="E8323" t="s">
        <v>8470</v>
      </c>
      <c r="I8323" t="str">
        <f>IF(COUNTIF(Products!$A$2:$A$8,C8323)=0,C8323,"")</f>
        <v/>
      </c>
      <c r="J8323">
        <f>IF(OR(E8323="Prospecting",E8323="Engaging"),VLOOKUP(C8323,Products!$A$2:$C$8,3,FALSE),0)</f>
        <v>55</v>
      </c>
    </row>
    <row r="8324" spans="1:10" x14ac:dyDescent="0.25">
      <c r="A8324" t="s">
        <v>8492</v>
      </c>
      <c r="B8324" t="s">
        <v>146</v>
      </c>
      <c r="C8324" t="s">
        <v>123</v>
      </c>
      <c r="D8324" t="s">
        <v>71</v>
      </c>
      <c r="E8324" t="s">
        <v>8470</v>
      </c>
      <c r="I8324" t="str">
        <f>IF(COUNTIF(Products!$A$2:$A$8,C8324)=0,C8324,"")</f>
        <v/>
      </c>
      <c r="J8324">
        <f>IF(OR(E8324="Prospecting",E8324="Engaging"),VLOOKUP(C8324,Products!$A$2:$C$8,3,FALSE),0)</f>
        <v>55</v>
      </c>
    </row>
    <row r="8325" spans="1:10" x14ac:dyDescent="0.25">
      <c r="A8325" t="s">
        <v>8493</v>
      </c>
      <c r="B8325" t="s">
        <v>146</v>
      </c>
      <c r="C8325" t="s">
        <v>123</v>
      </c>
      <c r="D8325" t="s">
        <v>75</v>
      </c>
      <c r="E8325" t="s">
        <v>8470</v>
      </c>
      <c r="I8325" t="str">
        <f>IF(COUNTIF(Products!$A$2:$A$8,C8325)=0,C8325,"")</f>
        <v/>
      </c>
      <c r="J8325">
        <f>IF(OR(E8325="Prospecting",E8325="Engaging"),VLOOKUP(C8325,Products!$A$2:$C$8,3,FALSE),0)</f>
        <v>55</v>
      </c>
    </row>
    <row r="8326" spans="1:10" x14ac:dyDescent="0.25">
      <c r="A8326" t="s">
        <v>8494</v>
      </c>
      <c r="B8326" t="s">
        <v>146</v>
      </c>
      <c r="C8326" t="s">
        <v>123</v>
      </c>
      <c r="D8326" t="s">
        <v>84</v>
      </c>
      <c r="E8326" t="s">
        <v>8470</v>
      </c>
      <c r="I8326" t="str">
        <f>IF(COUNTIF(Products!$A$2:$A$8,C8326)=0,C8326,"")</f>
        <v/>
      </c>
      <c r="J8326">
        <f>IF(OR(E8326="Prospecting",E8326="Engaging"),VLOOKUP(C8326,Products!$A$2:$C$8,3,FALSE),0)</f>
        <v>55</v>
      </c>
    </row>
    <row r="8327" spans="1:10" x14ac:dyDescent="0.25">
      <c r="A8327" t="s">
        <v>8495</v>
      </c>
      <c r="B8327" t="s">
        <v>146</v>
      </c>
      <c r="C8327" t="s">
        <v>123</v>
      </c>
      <c r="D8327" t="s">
        <v>84</v>
      </c>
      <c r="E8327" t="s">
        <v>8470</v>
      </c>
      <c r="I8327" t="str">
        <f>IF(COUNTIF(Products!$A$2:$A$8,C8327)=0,C8327,"")</f>
        <v/>
      </c>
      <c r="J8327">
        <f>IF(OR(E8327="Prospecting",E8327="Engaging"),VLOOKUP(C8327,Products!$A$2:$C$8,3,FALSE),0)</f>
        <v>55</v>
      </c>
    </row>
    <row r="8328" spans="1:10" x14ac:dyDescent="0.25">
      <c r="A8328" t="s">
        <v>8496</v>
      </c>
      <c r="B8328" t="s">
        <v>146</v>
      </c>
      <c r="C8328" t="s">
        <v>123</v>
      </c>
      <c r="D8328" t="s">
        <v>90</v>
      </c>
      <c r="E8328" t="s">
        <v>8470</v>
      </c>
      <c r="I8328" t="str">
        <f>IF(COUNTIF(Products!$A$2:$A$8,C8328)=0,C8328,"")</f>
        <v/>
      </c>
      <c r="J8328">
        <f>IF(OR(E8328="Prospecting",E8328="Engaging"),VLOOKUP(C8328,Products!$A$2:$C$8,3,FALSE),0)</f>
        <v>55</v>
      </c>
    </row>
    <row r="8329" spans="1:10" x14ac:dyDescent="0.25">
      <c r="A8329" t="s">
        <v>8497</v>
      </c>
      <c r="B8329" t="s">
        <v>146</v>
      </c>
      <c r="C8329" t="s">
        <v>123</v>
      </c>
      <c r="D8329" t="s">
        <v>41</v>
      </c>
      <c r="E8329" t="s">
        <v>8470</v>
      </c>
      <c r="I8329" t="str">
        <f>IF(COUNTIF(Products!$A$2:$A$8,C8329)=0,C8329,"")</f>
        <v/>
      </c>
      <c r="J8329">
        <f>IF(OR(E8329="Prospecting",E8329="Engaging"),VLOOKUP(C8329,Products!$A$2:$C$8,3,FALSE),0)</f>
        <v>55</v>
      </c>
    </row>
    <row r="8330" spans="1:10" x14ac:dyDescent="0.25">
      <c r="A8330" t="s">
        <v>8498</v>
      </c>
      <c r="B8330" t="s">
        <v>146</v>
      </c>
      <c r="C8330" t="s">
        <v>123</v>
      </c>
      <c r="D8330" t="s">
        <v>106</v>
      </c>
      <c r="E8330" t="s">
        <v>8470</v>
      </c>
      <c r="I8330" t="str">
        <f>IF(COUNTIF(Products!$A$2:$A$8,C8330)=0,C8330,"")</f>
        <v/>
      </c>
      <c r="J8330">
        <f>IF(OR(E8330="Prospecting",E8330="Engaging"),VLOOKUP(C8330,Products!$A$2:$C$8,3,FALSE),0)</f>
        <v>55</v>
      </c>
    </row>
    <row r="8331" spans="1:10" x14ac:dyDescent="0.25">
      <c r="A8331" t="s">
        <v>8499</v>
      </c>
      <c r="B8331" t="s">
        <v>146</v>
      </c>
      <c r="C8331" t="s">
        <v>123</v>
      </c>
      <c r="D8331" t="s">
        <v>114</v>
      </c>
      <c r="E8331" t="s">
        <v>8470</v>
      </c>
      <c r="I8331" t="str">
        <f>IF(COUNTIF(Products!$A$2:$A$8,C8331)=0,C8331,"")</f>
        <v/>
      </c>
      <c r="J8331">
        <f>IF(OR(E8331="Prospecting",E8331="Engaging"),VLOOKUP(C8331,Products!$A$2:$C$8,3,FALSE),0)</f>
        <v>55</v>
      </c>
    </row>
    <row r="8332" spans="1:10" x14ac:dyDescent="0.25">
      <c r="A8332" t="s">
        <v>8500</v>
      </c>
      <c r="B8332" t="s">
        <v>146</v>
      </c>
      <c r="C8332" t="s">
        <v>123</v>
      </c>
      <c r="E8332" t="s">
        <v>8470</v>
      </c>
      <c r="I8332" t="str">
        <f>IF(COUNTIF(Products!$A$2:$A$8,C8332)=0,C8332,"")</f>
        <v/>
      </c>
      <c r="J8332">
        <f>IF(OR(E8332="Prospecting",E8332="Engaging"),VLOOKUP(C8332,Products!$A$2:$C$8,3,FALSE),0)</f>
        <v>55</v>
      </c>
    </row>
    <row r="8333" spans="1:10" x14ac:dyDescent="0.25">
      <c r="A8333" t="s">
        <v>8501</v>
      </c>
      <c r="B8333" t="s">
        <v>146</v>
      </c>
      <c r="C8333" t="s">
        <v>123</v>
      </c>
      <c r="E8333" t="s">
        <v>8470</v>
      </c>
      <c r="I8333" t="str">
        <f>IF(COUNTIF(Products!$A$2:$A$8,C8333)=0,C8333,"")</f>
        <v/>
      </c>
      <c r="J8333">
        <f>IF(OR(E8333="Prospecting",E8333="Engaging"),VLOOKUP(C8333,Products!$A$2:$C$8,3,FALSE),0)</f>
        <v>55</v>
      </c>
    </row>
    <row r="8334" spans="1:10" x14ac:dyDescent="0.25">
      <c r="A8334" t="s">
        <v>8502</v>
      </c>
      <c r="B8334" t="s">
        <v>146</v>
      </c>
      <c r="C8334" t="s">
        <v>123</v>
      </c>
      <c r="E8334" t="s">
        <v>8470</v>
      </c>
      <c r="I8334" t="str">
        <f>IF(COUNTIF(Products!$A$2:$A$8,C8334)=0,C8334,"")</f>
        <v/>
      </c>
      <c r="J8334">
        <f>IF(OR(E8334="Prospecting",E8334="Engaging"),VLOOKUP(C8334,Products!$A$2:$C$8,3,FALSE),0)</f>
        <v>55</v>
      </c>
    </row>
    <row r="8335" spans="1:10" x14ac:dyDescent="0.25">
      <c r="A8335" t="s">
        <v>8503</v>
      </c>
      <c r="B8335" t="s">
        <v>146</v>
      </c>
      <c r="C8335" t="s">
        <v>123</v>
      </c>
      <c r="E8335" t="s">
        <v>8470</v>
      </c>
      <c r="I8335" t="str">
        <f>IF(COUNTIF(Products!$A$2:$A$8,C8335)=0,C8335,"")</f>
        <v/>
      </c>
      <c r="J8335">
        <f>IF(OR(E8335="Prospecting",E8335="Engaging"),VLOOKUP(C8335,Products!$A$2:$C$8,3,FALSE),0)</f>
        <v>55</v>
      </c>
    </row>
    <row r="8336" spans="1:10" x14ac:dyDescent="0.25">
      <c r="A8336" t="s">
        <v>8504</v>
      </c>
      <c r="B8336" t="s">
        <v>146</v>
      </c>
      <c r="C8336" t="s">
        <v>123</v>
      </c>
      <c r="E8336" t="s">
        <v>8470</v>
      </c>
      <c r="I8336" t="str">
        <f>IF(COUNTIF(Products!$A$2:$A$8,C8336)=0,C8336,"")</f>
        <v/>
      </c>
      <c r="J8336">
        <f>IF(OR(E8336="Prospecting",E8336="Engaging"),VLOOKUP(C8336,Products!$A$2:$C$8,3,FALSE),0)</f>
        <v>55</v>
      </c>
    </row>
    <row r="8337" spans="1:10" x14ac:dyDescent="0.25">
      <c r="A8337" t="s">
        <v>8505</v>
      </c>
      <c r="B8337" t="s">
        <v>146</v>
      </c>
      <c r="C8337" t="s">
        <v>123</v>
      </c>
      <c r="E8337" t="s">
        <v>8470</v>
      </c>
      <c r="I8337" t="str">
        <f>IF(COUNTIF(Products!$A$2:$A$8,C8337)=0,C8337,"")</f>
        <v/>
      </c>
      <c r="J8337">
        <f>IF(OR(E8337="Prospecting",E8337="Engaging"),VLOOKUP(C8337,Products!$A$2:$C$8,3,FALSE),0)</f>
        <v>55</v>
      </c>
    </row>
    <row r="8338" spans="1:10" x14ac:dyDescent="0.25">
      <c r="A8338" t="s">
        <v>8506</v>
      </c>
      <c r="B8338" t="s">
        <v>146</v>
      </c>
      <c r="C8338" t="s">
        <v>123</v>
      </c>
      <c r="E8338" t="s">
        <v>8470</v>
      </c>
      <c r="I8338" t="str">
        <f>IF(COUNTIF(Products!$A$2:$A$8,C8338)=0,C8338,"")</f>
        <v/>
      </c>
      <c r="J8338">
        <f>IF(OR(E8338="Prospecting",E8338="Engaging"),VLOOKUP(C8338,Products!$A$2:$C$8,3,FALSE),0)</f>
        <v>55</v>
      </c>
    </row>
    <row r="8339" spans="1:10" x14ac:dyDescent="0.25">
      <c r="A8339" t="s">
        <v>8507</v>
      </c>
      <c r="B8339" t="s">
        <v>146</v>
      </c>
      <c r="C8339" t="s">
        <v>123</v>
      </c>
      <c r="E8339" t="s">
        <v>8470</v>
      </c>
      <c r="I8339" t="str">
        <f>IF(COUNTIF(Products!$A$2:$A$8,C8339)=0,C8339,"")</f>
        <v/>
      </c>
      <c r="J8339">
        <f>IF(OR(E8339="Prospecting",E8339="Engaging"),VLOOKUP(C8339,Products!$A$2:$C$8,3,FALSE),0)</f>
        <v>55</v>
      </c>
    </row>
    <row r="8340" spans="1:10" x14ac:dyDescent="0.25">
      <c r="A8340" t="s">
        <v>8508</v>
      </c>
      <c r="B8340" t="s">
        <v>146</v>
      </c>
      <c r="C8340" t="s">
        <v>123</v>
      </c>
      <c r="E8340" t="s">
        <v>8470</v>
      </c>
      <c r="I8340" t="str">
        <f>IF(COUNTIF(Products!$A$2:$A$8,C8340)=0,C8340,"")</f>
        <v/>
      </c>
      <c r="J8340">
        <f>IF(OR(E8340="Prospecting",E8340="Engaging"),VLOOKUP(C8340,Products!$A$2:$C$8,3,FALSE),0)</f>
        <v>55</v>
      </c>
    </row>
    <row r="8341" spans="1:10" x14ac:dyDescent="0.25">
      <c r="A8341" t="s">
        <v>8509</v>
      </c>
      <c r="B8341" t="s">
        <v>146</v>
      </c>
      <c r="C8341" t="s">
        <v>123</v>
      </c>
      <c r="E8341" t="s">
        <v>8470</v>
      </c>
      <c r="I8341" t="str">
        <f>IF(COUNTIF(Products!$A$2:$A$8,C8341)=0,C8341,"")</f>
        <v/>
      </c>
      <c r="J8341">
        <f>IF(OR(E8341="Prospecting",E8341="Engaging"),VLOOKUP(C8341,Products!$A$2:$C$8,3,FALSE),0)</f>
        <v>55</v>
      </c>
    </row>
    <row r="8342" spans="1:10" x14ac:dyDescent="0.25">
      <c r="A8342" t="s">
        <v>8510</v>
      </c>
      <c r="B8342" t="s">
        <v>146</v>
      </c>
      <c r="C8342" t="s">
        <v>123</v>
      </c>
      <c r="E8342" t="s">
        <v>8470</v>
      </c>
      <c r="I8342" t="str">
        <f>IF(COUNTIF(Products!$A$2:$A$8,C8342)=0,C8342,"")</f>
        <v/>
      </c>
      <c r="J8342">
        <f>IF(OR(E8342="Prospecting",E8342="Engaging"),VLOOKUP(C8342,Products!$A$2:$C$8,3,FALSE),0)</f>
        <v>55</v>
      </c>
    </row>
    <row r="8343" spans="1:10" x14ac:dyDescent="0.25">
      <c r="A8343" t="s">
        <v>8511</v>
      </c>
      <c r="B8343" t="s">
        <v>146</v>
      </c>
      <c r="C8343" t="s">
        <v>123</v>
      </c>
      <c r="E8343" t="s">
        <v>8470</v>
      </c>
      <c r="I8343" t="str">
        <f>IF(COUNTIF(Products!$A$2:$A$8,C8343)=0,C8343,"")</f>
        <v/>
      </c>
      <c r="J8343">
        <f>IF(OR(E8343="Prospecting",E8343="Engaging"),VLOOKUP(C8343,Products!$A$2:$C$8,3,FALSE),0)</f>
        <v>55</v>
      </c>
    </row>
    <row r="8344" spans="1:10" x14ac:dyDescent="0.25">
      <c r="A8344" t="s">
        <v>8512</v>
      </c>
      <c r="B8344" t="s">
        <v>146</v>
      </c>
      <c r="C8344" t="s">
        <v>123</v>
      </c>
      <c r="E8344" t="s">
        <v>8470</v>
      </c>
      <c r="I8344" t="str">
        <f>IF(COUNTIF(Products!$A$2:$A$8,C8344)=0,C8344,"")</f>
        <v/>
      </c>
      <c r="J8344">
        <f>IF(OR(E8344="Prospecting",E8344="Engaging"),VLOOKUP(C8344,Products!$A$2:$C$8,3,FALSE),0)</f>
        <v>55</v>
      </c>
    </row>
    <row r="8345" spans="1:10" x14ac:dyDescent="0.25">
      <c r="A8345" t="s">
        <v>8513</v>
      </c>
      <c r="B8345" t="s">
        <v>146</v>
      </c>
      <c r="C8345" t="s">
        <v>125</v>
      </c>
      <c r="D8345" t="s">
        <v>10</v>
      </c>
      <c r="E8345" t="s">
        <v>8470</v>
      </c>
      <c r="I8345" t="str">
        <f>IF(COUNTIF(Products!$A$2:$A$8,C8345)=0,C8345,"")</f>
        <v/>
      </c>
      <c r="J8345">
        <f>IF(OR(E8345="Prospecting",E8345="Engaging"),VLOOKUP(C8345,Products!$A$2:$C$8,3,FALSE),0)</f>
        <v>3393</v>
      </c>
    </row>
    <row r="8346" spans="1:10" x14ac:dyDescent="0.25">
      <c r="A8346" t="s">
        <v>8514</v>
      </c>
      <c r="B8346" t="s">
        <v>146</v>
      </c>
      <c r="C8346" t="s">
        <v>125</v>
      </c>
      <c r="D8346" t="s">
        <v>16</v>
      </c>
      <c r="E8346" t="s">
        <v>8470</v>
      </c>
      <c r="I8346" t="str">
        <f>IF(COUNTIF(Products!$A$2:$A$8,C8346)=0,C8346,"")</f>
        <v/>
      </c>
      <c r="J8346">
        <f>IF(OR(E8346="Prospecting",E8346="Engaging"),VLOOKUP(C8346,Products!$A$2:$C$8,3,FALSE),0)</f>
        <v>3393</v>
      </c>
    </row>
    <row r="8347" spans="1:10" x14ac:dyDescent="0.25">
      <c r="A8347" t="s">
        <v>8515</v>
      </c>
      <c r="B8347" t="s">
        <v>146</v>
      </c>
      <c r="C8347" t="s">
        <v>125</v>
      </c>
      <c r="D8347" t="s">
        <v>38</v>
      </c>
      <c r="E8347" t="s">
        <v>8470</v>
      </c>
      <c r="I8347" t="str">
        <f>IF(COUNTIF(Products!$A$2:$A$8,C8347)=0,C8347,"")</f>
        <v/>
      </c>
      <c r="J8347">
        <f>IF(OR(E8347="Prospecting",E8347="Engaging"),VLOOKUP(C8347,Products!$A$2:$C$8,3,FALSE),0)</f>
        <v>3393</v>
      </c>
    </row>
    <row r="8348" spans="1:10" x14ac:dyDescent="0.25">
      <c r="A8348" t="s">
        <v>8516</v>
      </c>
      <c r="B8348" t="s">
        <v>146</v>
      </c>
      <c r="C8348" t="s">
        <v>125</v>
      </c>
      <c r="D8348" t="s">
        <v>32</v>
      </c>
      <c r="E8348" t="s">
        <v>8470</v>
      </c>
      <c r="I8348" t="str">
        <f>IF(COUNTIF(Products!$A$2:$A$8,C8348)=0,C8348,"")</f>
        <v/>
      </c>
      <c r="J8348">
        <f>IF(OR(E8348="Prospecting",E8348="Engaging"),VLOOKUP(C8348,Products!$A$2:$C$8,3,FALSE),0)</f>
        <v>3393</v>
      </c>
    </row>
    <row r="8349" spans="1:10" x14ac:dyDescent="0.25">
      <c r="A8349" t="s">
        <v>8517</v>
      </c>
      <c r="B8349" t="s">
        <v>146</v>
      </c>
      <c r="C8349" t="s">
        <v>125</v>
      </c>
      <c r="D8349" t="s">
        <v>96</v>
      </c>
      <c r="E8349" t="s">
        <v>8470</v>
      </c>
      <c r="I8349" t="str">
        <f>IF(COUNTIF(Products!$A$2:$A$8,C8349)=0,C8349,"")</f>
        <v/>
      </c>
      <c r="J8349">
        <f>IF(OR(E8349="Prospecting",E8349="Engaging"),VLOOKUP(C8349,Products!$A$2:$C$8,3,FALSE),0)</f>
        <v>3393</v>
      </c>
    </row>
    <row r="8350" spans="1:10" x14ac:dyDescent="0.25">
      <c r="A8350" t="s">
        <v>8518</v>
      </c>
      <c r="B8350" t="s">
        <v>146</v>
      </c>
      <c r="C8350" t="s">
        <v>125</v>
      </c>
      <c r="E8350" t="s">
        <v>8470</v>
      </c>
      <c r="I8350" t="str">
        <f>IF(COUNTIF(Products!$A$2:$A$8,C8350)=0,C8350,"")</f>
        <v/>
      </c>
      <c r="J8350">
        <f>IF(OR(E8350="Prospecting",E8350="Engaging"),VLOOKUP(C8350,Products!$A$2:$C$8,3,FALSE),0)</f>
        <v>3393</v>
      </c>
    </row>
    <row r="8351" spans="1:10" x14ac:dyDescent="0.25">
      <c r="A8351" t="s">
        <v>8519</v>
      </c>
      <c r="B8351" t="s">
        <v>146</v>
      </c>
      <c r="C8351" t="s">
        <v>125</v>
      </c>
      <c r="E8351" t="s">
        <v>8470</v>
      </c>
      <c r="I8351" t="str">
        <f>IF(COUNTIF(Products!$A$2:$A$8,C8351)=0,C8351,"")</f>
        <v/>
      </c>
      <c r="J8351">
        <f>IF(OR(E8351="Prospecting",E8351="Engaging"),VLOOKUP(C8351,Products!$A$2:$C$8,3,FALSE),0)</f>
        <v>3393</v>
      </c>
    </row>
    <row r="8352" spans="1:10" x14ac:dyDescent="0.25">
      <c r="A8352" t="s">
        <v>8520</v>
      </c>
      <c r="B8352" t="s">
        <v>146</v>
      </c>
      <c r="C8352" t="s">
        <v>125</v>
      </c>
      <c r="E8352" t="s">
        <v>8470</v>
      </c>
      <c r="I8352" t="str">
        <f>IF(COUNTIF(Products!$A$2:$A$8,C8352)=0,C8352,"")</f>
        <v/>
      </c>
      <c r="J8352">
        <f>IF(OR(E8352="Prospecting",E8352="Engaging"),VLOOKUP(C8352,Products!$A$2:$C$8,3,FALSE),0)</f>
        <v>3393</v>
      </c>
    </row>
    <row r="8353" spans="1:10" x14ac:dyDescent="0.25">
      <c r="A8353" t="s">
        <v>8521</v>
      </c>
      <c r="B8353" t="s">
        <v>146</v>
      </c>
      <c r="C8353" t="s">
        <v>125</v>
      </c>
      <c r="E8353" t="s">
        <v>8470</v>
      </c>
      <c r="I8353" t="str">
        <f>IF(COUNTIF(Products!$A$2:$A$8,C8353)=0,C8353,"")</f>
        <v/>
      </c>
      <c r="J8353">
        <f>IF(OR(E8353="Prospecting",E8353="Engaging"),VLOOKUP(C8353,Products!$A$2:$C$8,3,FALSE),0)</f>
        <v>3393</v>
      </c>
    </row>
    <row r="8354" spans="1:10" x14ac:dyDescent="0.25">
      <c r="A8354" t="s">
        <v>8522</v>
      </c>
      <c r="B8354" t="s">
        <v>146</v>
      </c>
      <c r="C8354" t="s">
        <v>125</v>
      </c>
      <c r="E8354" t="s">
        <v>8470</v>
      </c>
      <c r="I8354" t="str">
        <f>IF(COUNTIF(Products!$A$2:$A$8,C8354)=0,C8354,"")</f>
        <v/>
      </c>
      <c r="J8354">
        <f>IF(OR(E8354="Prospecting",E8354="Engaging"),VLOOKUP(C8354,Products!$A$2:$C$8,3,FALSE),0)</f>
        <v>3393</v>
      </c>
    </row>
    <row r="8355" spans="1:10" x14ac:dyDescent="0.25">
      <c r="A8355" t="s">
        <v>8523</v>
      </c>
      <c r="B8355" t="s">
        <v>146</v>
      </c>
      <c r="C8355" t="s">
        <v>125</v>
      </c>
      <c r="E8355" t="s">
        <v>8470</v>
      </c>
      <c r="I8355" t="str">
        <f>IF(COUNTIF(Products!$A$2:$A$8,C8355)=0,C8355,"")</f>
        <v/>
      </c>
      <c r="J8355">
        <f>IF(OR(E8355="Prospecting",E8355="Engaging"),VLOOKUP(C8355,Products!$A$2:$C$8,3,FALSE),0)</f>
        <v>3393</v>
      </c>
    </row>
    <row r="8356" spans="1:10" x14ac:dyDescent="0.25">
      <c r="A8356" t="s">
        <v>8524</v>
      </c>
      <c r="B8356" t="s">
        <v>146</v>
      </c>
      <c r="C8356" t="s">
        <v>125</v>
      </c>
      <c r="E8356" t="s">
        <v>8470</v>
      </c>
      <c r="I8356" t="str">
        <f>IF(COUNTIF(Products!$A$2:$A$8,C8356)=0,C8356,"")</f>
        <v/>
      </c>
      <c r="J8356">
        <f>IF(OR(E8356="Prospecting",E8356="Engaging"),VLOOKUP(C8356,Products!$A$2:$C$8,3,FALSE),0)</f>
        <v>3393</v>
      </c>
    </row>
    <row r="8357" spans="1:10" x14ac:dyDescent="0.25">
      <c r="A8357" t="s">
        <v>8525</v>
      </c>
      <c r="B8357" t="s">
        <v>264</v>
      </c>
      <c r="C8357" t="s">
        <v>120</v>
      </c>
      <c r="D8357" t="s">
        <v>38</v>
      </c>
      <c r="E8357" t="s">
        <v>8470</v>
      </c>
      <c r="I8357" t="str">
        <f>IF(COUNTIF(Products!$A$2:$A$8,C8357)=0,C8357,"")</f>
        <v/>
      </c>
      <c r="J8357">
        <f>IF(OR(E8357="Prospecting",E8357="Engaging"),VLOOKUP(C8357,Products!$A$2:$C$8,3,FALSE),0)</f>
        <v>550</v>
      </c>
    </row>
    <row r="8358" spans="1:10" x14ac:dyDescent="0.25">
      <c r="A8358" t="s">
        <v>8526</v>
      </c>
      <c r="B8358" t="s">
        <v>264</v>
      </c>
      <c r="C8358" t="s">
        <v>120</v>
      </c>
      <c r="E8358" t="s">
        <v>8470</v>
      </c>
      <c r="I8358" t="str">
        <f>IF(COUNTIF(Products!$A$2:$A$8,C8358)=0,C8358,"")</f>
        <v/>
      </c>
      <c r="J8358">
        <f>IF(OR(E8358="Prospecting",E8358="Engaging"),VLOOKUP(C8358,Products!$A$2:$C$8,3,FALSE),0)</f>
        <v>550</v>
      </c>
    </row>
    <row r="8359" spans="1:10" x14ac:dyDescent="0.25">
      <c r="A8359" t="s">
        <v>8527</v>
      </c>
      <c r="B8359" t="s">
        <v>264</v>
      </c>
      <c r="C8359" t="s">
        <v>127</v>
      </c>
      <c r="E8359" t="s">
        <v>8470</v>
      </c>
      <c r="I8359" t="str">
        <f>IF(COUNTIF(Products!$A$2:$A$8,C8359)=0,C8359,"")</f>
        <v/>
      </c>
      <c r="J8359">
        <f>IF(OR(E8359="Prospecting",E8359="Engaging"),VLOOKUP(C8359,Products!$A$2:$C$8,3,FALSE),0)</f>
        <v>1096</v>
      </c>
    </row>
    <row r="8360" spans="1:10" x14ac:dyDescent="0.25">
      <c r="A8360" t="s">
        <v>8528</v>
      </c>
      <c r="B8360" t="s">
        <v>264</v>
      </c>
      <c r="C8360" t="s">
        <v>127</v>
      </c>
      <c r="E8360" t="s">
        <v>8470</v>
      </c>
      <c r="I8360" t="str">
        <f>IF(COUNTIF(Products!$A$2:$A$8,C8360)=0,C8360,"")</f>
        <v/>
      </c>
      <c r="J8360">
        <f>IF(OR(E8360="Prospecting",E8360="Engaging"),VLOOKUP(C8360,Products!$A$2:$C$8,3,FALSE),0)</f>
        <v>1096</v>
      </c>
    </row>
    <row r="8361" spans="1:10" x14ac:dyDescent="0.25">
      <c r="A8361" t="s">
        <v>8529</v>
      </c>
      <c r="B8361" t="s">
        <v>264</v>
      </c>
      <c r="C8361" t="s">
        <v>127</v>
      </c>
      <c r="E8361" t="s">
        <v>8470</v>
      </c>
      <c r="I8361" t="str">
        <f>IF(COUNTIF(Products!$A$2:$A$8,C8361)=0,C8361,"")</f>
        <v/>
      </c>
      <c r="J8361">
        <f>IF(OR(E8361="Prospecting",E8361="Engaging"),VLOOKUP(C8361,Products!$A$2:$C$8,3,FALSE),0)</f>
        <v>1096</v>
      </c>
    </row>
    <row r="8362" spans="1:10" x14ac:dyDescent="0.25">
      <c r="A8362" t="s">
        <v>8530</v>
      </c>
      <c r="B8362" t="s">
        <v>264</v>
      </c>
      <c r="C8362" t="s">
        <v>126</v>
      </c>
      <c r="D8362" t="s">
        <v>100</v>
      </c>
      <c r="E8362" t="s">
        <v>8470</v>
      </c>
      <c r="I8362" t="str">
        <f>IF(COUNTIF(Products!$A$2:$A$8,C8362)=0,C8362,"")</f>
        <v/>
      </c>
      <c r="J8362">
        <f>IF(OR(E8362="Prospecting",E8362="Engaging"),VLOOKUP(C8362,Products!$A$2:$C$8,3,FALSE),0)</f>
        <v>5482</v>
      </c>
    </row>
    <row r="8363" spans="1:10" x14ac:dyDescent="0.25">
      <c r="A8363" t="s">
        <v>8531</v>
      </c>
      <c r="B8363" t="s">
        <v>264</v>
      </c>
      <c r="C8363" t="s">
        <v>126</v>
      </c>
      <c r="E8363" t="s">
        <v>8470</v>
      </c>
      <c r="I8363" t="str">
        <f>IF(COUNTIF(Products!$A$2:$A$8,C8363)=0,C8363,"")</f>
        <v/>
      </c>
      <c r="J8363">
        <f>IF(OR(E8363="Prospecting",E8363="Engaging"),VLOOKUP(C8363,Products!$A$2:$C$8,3,FALSE),0)</f>
        <v>5482</v>
      </c>
    </row>
    <row r="8364" spans="1:10" x14ac:dyDescent="0.25">
      <c r="A8364" t="s">
        <v>8532</v>
      </c>
      <c r="B8364" t="s">
        <v>264</v>
      </c>
      <c r="C8364" t="s">
        <v>126</v>
      </c>
      <c r="E8364" t="s">
        <v>8470</v>
      </c>
      <c r="I8364" t="str">
        <f>IF(COUNTIF(Products!$A$2:$A$8,C8364)=0,C8364,"")</f>
        <v/>
      </c>
      <c r="J8364">
        <f>IF(OR(E8364="Prospecting",E8364="Engaging"),VLOOKUP(C8364,Products!$A$2:$C$8,3,FALSE),0)</f>
        <v>5482</v>
      </c>
    </row>
    <row r="8365" spans="1:10" x14ac:dyDescent="0.25">
      <c r="A8365" t="s">
        <v>8533</v>
      </c>
      <c r="B8365" t="s">
        <v>264</v>
      </c>
      <c r="C8365" t="s">
        <v>126</v>
      </c>
      <c r="E8365" t="s">
        <v>8470</v>
      </c>
      <c r="I8365" t="str">
        <f>IF(COUNTIF(Products!$A$2:$A$8,C8365)=0,C8365,"")</f>
        <v/>
      </c>
      <c r="J8365">
        <f>IF(OR(E8365="Prospecting",E8365="Engaging"),VLOOKUP(C8365,Products!$A$2:$C$8,3,FALSE),0)</f>
        <v>5482</v>
      </c>
    </row>
    <row r="8366" spans="1:10" x14ac:dyDescent="0.25">
      <c r="A8366" t="s">
        <v>8534</v>
      </c>
      <c r="B8366" t="s">
        <v>264</v>
      </c>
      <c r="C8366" t="s">
        <v>123</v>
      </c>
      <c r="D8366" t="s">
        <v>12</v>
      </c>
      <c r="E8366" t="s">
        <v>8470</v>
      </c>
      <c r="I8366" t="str">
        <f>IF(COUNTIF(Products!$A$2:$A$8,C8366)=0,C8366,"")</f>
        <v/>
      </c>
      <c r="J8366">
        <f>IF(OR(E8366="Prospecting",E8366="Engaging"),VLOOKUP(C8366,Products!$A$2:$C$8,3,FALSE),0)</f>
        <v>55</v>
      </c>
    </row>
    <row r="8367" spans="1:10" x14ac:dyDescent="0.25">
      <c r="A8367" t="s">
        <v>8535</v>
      </c>
      <c r="B8367" t="s">
        <v>264</v>
      </c>
      <c r="C8367" t="s">
        <v>123</v>
      </c>
      <c r="D8367" t="s">
        <v>28</v>
      </c>
      <c r="E8367" t="s">
        <v>8470</v>
      </c>
      <c r="I8367" t="str">
        <f>IF(COUNTIF(Products!$A$2:$A$8,C8367)=0,C8367,"")</f>
        <v/>
      </c>
      <c r="J8367">
        <f>IF(OR(E8367="Prospecting",E8367="Engaging"),VLOOKUP(C8367,Products!$A$2:$C$8,3,FALSE),0)</f>
        <v>55</v>
      </c>
    </row>
    <row r="8368" spans="1:10" x14ac:dyDescent="0.25">
      <c r="A8368" t="s">
        <v>8536</v>
      </c>
      <c r="B8368" t="s">
        <v>264</v>
      </c>
      <c r="C8368" t="s">
        <v>123</v>
      </c>
      <c r="D8368" t="s">
        <v>56</v>
      </c>
      <c r="E8368" t="s">
        <v>8470</v>
      </c>
      <c r="I8368" t="str">
        <f>IF(COUNTIF(Products!$A$2:$A$8,C8368)=0,C8368,"")</f>
        <v/>
      </c>
      <c r="J8368">
        <f>IF(OR(E8368="Prospecting",E8368="Engaging"),VLOOKUP(C8368,Products!$A$2:$C$8,3,FALSE),0)</f>
        <v>55</v>
      </c>
    </row>
    <row r="8369" spans="1:10" x14ac:dyDescent="0.25">
      <c r="A8369" t="s">
        <v>8537</v>
      </c>
      <c r="B8369" t="s">
        <v>264</v>
      </c>
      <c r="C8369" t="s">
        <v>123</v>
      </c>
      <c r="D8369" t="s">
        <v>98</v>
      </c>
      <c r="E8369" t="s">
        <v>8470</v>
      </c>
      <c r="I8369" t="str">
        <f>IF(COUNTIF(Products!$A$2:$A$8,C8369)=0,C8369,"")</f>
        <v/>
      </c>
      <c r="J8369">
        <f>IF(OR(E8369="Prospecting",E8369="Engaging"),VLOOKUP(C8369,Products!$A$2:$C$8,3,FALSE),0)</f>
        <v>55</v>
      </c>
    </row>
    <row r="8370" spans="1:10" x14ac:dyDescent="0.25">
      <c r="A8370" t="s">
        <v>8538</v>
      </c>
      <c r="B8370" t="s">
        <v>264</v>
      </c>
      <c r="C8370" t="s">
        <v>123</v>
      </c>
      <c r="E8370" t="s">
        <v>8470</v>
      </c>
      <c r="I8370" t="str">
        <f>IF(COUNTIF(Products!$A$2:$A$8,C8370)=0,C8370,"")</f>
        <v/>
      </c>
      <c r="J8370">
        <f>IF(OR(E8370="Prospecting",E8370="Engaging"),VLOOKUP(C8370,Products!$A$2:$C$8,3,FALSE),0)</f>
        <v>55</v>
      </c>
    </row>
    <row r="8371" spans="1:10" x14ac:dyDescent="0.25">
      <c r="A8371" t="s">
        <v>8539</v>
      </c>
      <c r="B8371" t="s">
        <v>264</v>
      </c>
      <c r="C8371" t="s">
        <v>123</v>
      </c>
      <c r="E8371" t="s">
        <v>8470</v>
      </c>
      <c r="I8371" t="str">
        <f>IF(COUNTIF(Products!$A$2:$A$8,C8371)=0,C8371,"")</f>
        <v/>
      </c>
      <c r="J8371">
        <f>IF(OR(E8371="Prospecting",E8371="Engaging"),VLOOKUP(C8371,Products!$A$2:$C$8,3,FALSE),0)</f>
        <v>55</v>
      </c>
    </row>
    <row r="8372" spans="1:10" x14ac:dyDescent="0.25">
      <c r="A8372" t="s">
        <v>8540</v>
      </c>
      <c r="B8372" t="s">
        <v>264</v>
      </c>
      <c r="C8372" t="s">
        <v>125</v>
      </c>
      <c r="D8372" t="s">
        <v>93</v>
      </c>
      <c r="E8372" t="s">
        <v>8470</v>
      </c>
      <c r="I8372" t="str">
        <f>IF(COUNTIF(Products!$A$2:$A$8,C8372)=0,C8372,"")</f>
        <v/>
      </c>
      <c r="J8372">
        <f>IF(OR(E8372="Prospecting",E8372="Engaging"),VLOOKUP(C8372,Products!$A$2:$C$8,3,FALSE),0)</f>
        <v>3393</v>
      </c>
    </row>
    <row r="8373" spans="1:10" x14ac:dyDescent="0.25">
      <c r="A8373" t="s">
        <v>8541</v>
      </c>
      <c r="B8373" t="s">
        <v>264</v>
      </c>
      <c r="C8373" t="s">
        <v>125</v>
      </c>
      <c r="E8373" t="s">
        <v>8470</v>
      </c>
      <c r="I8373" t="str">
        <f>IF(COUNTIF(Products!$A$2:$A$8,C8373)=0,C8373,"")</f>
        <v/>
      </c>
      <c r="J8373">
        <f>IF(OR(E8373="Prospecting",E8373="Engaging"),VLOOKUP(C8373,Products!$A$2:$C$8,3,FALSE),0)</f>
        <v>3393</v>
      </c>
    </row>
    <row r="8374" spans="1:10" x14ac:dyDescent="0.25">
      <c r="A8374" t="s">
        <v>8542</v>
      </c>
      <c r="B8374" t="s">
        <v>264</v>
      </c>
      <c r="C8374" t="s">
        <v>125</v>
      </c>
      <c r="E8374" t="s">
        <v>8470</v>
      </c>
      <c r="I8374" t="str">
        <f>IF(COUNTIF(Products!$A$2:$A$8,C8374)=0,C8374,"")</f>
        <v/>
      </c>
      <c r="J8374">
        <f>IF(OR(E8374="Prospecting",E8374="Engaging"),VLOOKUP(C8374,Products!$A$2:$C$8,3,FALSE),0)</f>
        <v>3393</v>
      </c>
    </row>
    <row r="8375" spans="1:10" x14ac:dyDescent="0.25">
      <c r="A8375" t="s">
        <v>8543</v>
      </c>
      <c r="B8375" t="s">
        <v>264</v>
      </c>
      <c r="C8375" t="s">
        <v>125</v>
      </c>
      <c r="E8375" t="s">
        <v>8470</v>
      </c>
      <c r="I8375" t="str">
        <f>IF(COUNTIF(Products!$A$2:$A$8,C8375)=0,C8375,"")</f>
        <v/>
      </c>
      <c r="J8375">
        <f>IF(OR(E8375="Prospecting",E8375="Engaging"),VLOOKUP(C8375,Products!$A$2:$C$8,3,FALSE),0)</f>
        <v>3393</v>
      </c>
    </row>
    <row r="8376" spans="1:10" x14ac:dyDescent="0.25">
      <c r="A8376" t="s">
        <v>8544</v>
      </c>
      <c r="B8376" t="s">
        <v>264</v>
      </c>
      <c r="C8376" t="s">
        <v>125</v>
      </c>
      <c r="E8376" t="s">
        <v>8470</v>
      </c>
      <c r="I8376" t="str">
        <f>IF(COUNTIF(Products!$A$2:$A$8,C8376)=0,C8376,"")</f>
        <v/>
      </c>
      <c r="J8376">
        <f>IF(OR(E8376="Prospecting",E8376="Engaging"),VLOOKUP(C8376,Products!$A$2:$C$8,3,FALSE),0)</f>
        <v>3393</v>
      </c>
    </row>
    <row r="8377" spans="1:10" x14ac:dyDescent="0.25">
      <c r="A8377" t="s">
        <v>8545</v>
      </c>
      <c r="B8377" t="s">
        <v>264</v>
      </c>
      <c r="C8377" t="s">
        <v>125</v>
      </c>
      <c r="E8377" t="s">
        <v>8470</v>
      </c>
      <c r="I8377" t="str">
        <f>IF(COUNTIF(Products!$A$2:$A$8,C8377)=0,C8377,"")</f>
        <v/>
      </c>
      <c r="J8377">
        <f>IF(OR(E8377="Prospecting",E8377="Engaging"),VLOOKUP(C8377,Products!$A$2:$C$8,3,FALSE),0)</f>
        <v>3393</v>
      </c>
    </row>
    <row r="8378" spans="1:10" x14ac:dyDescent="0.25">
      <c r="A8378" t="s">
        <v>8546</v>
      </c>
      <c r="B8378" t="s">
        <v>264</v>
      </c>
      <c r="C8378" t="s">
        <v>125</v>
      </c>
      <c r="E8378" t="s">
        <v>8470</v>
      </c>
      <c r="I8378" t="str">
        <f>IF(COUNTIF(Products!$A$2:$A$8,C8378)=0,C8378,"")</f>
        <v/>
      </c>
      <c r="J8378">
        <f>IF(OR(E8378="Prospecting",E8378="Engaging"),VLOOKUP(C8378,Products!$A$2:$C$8,3,FALSE),0)</f>
        <v>3393</v>
      </c>
    </row>
    <row r="8379" spans="1:10" x14ac:dyDescent="0.25">
      <c r="A8379" t="s">
        <v>8547</v>
      </c>
      <c r="B8379" t="s">
        <v>264</v>
      </c>
      <c r="C8379" t="s">
        <v>125</v>
      </c>
      <c r="E8379" t="s">
        <v>8470</v>
      </c>
      <c r="I8379" t="str">
        <f>IF(COUNTIF(Products!$A$2:$A$8,C8379)=0,C8379,"")</f>
        <v/>
      </c>
      <c r="J8379">
        <f>IF(OR(E8379="Prospecting",E8379="Engaging"),VLOOKUP(C8379,Products!$A$2:$C$8,3,FALSE),0)</f>
        <v>3393</v>
      </c>
    </row>
    <row r="8380" spans="1:10" x14ac:dyDescent="0.25">
      <c r="A8380" t="s">
        <v>8548</v>
      </c>
      <c r="B8380" t="s">
        <v>264</v>
      </c>
      <c r="C8380" t="s">
        <v>125</v>
      </c>
      <c r="E8380" t="s">
        <v>8470</v>
      </c>
      <c r="I8380" t="str">
        <f>IF(COUNTIF(Products!$A$2:$A$8,C8380)=0,C8380,"")</f>
        <v/>
      </c>
      <c r="J8380">
        <f>IF(OR(E8380="Prospecting",E8380="Engaging"),VLOOKUP(C8380,Products!$A$2:$C$8,3,FALSE),0)</f>
        <v>3393</v>
      </c>
    </row>
    <row r="8381" spans="1:10" x14ac:dyDescent="0.25">
      <c r="A8381" t="s">
        <v>8549</v>
      </c>
      <c r="B8381" t="s">
        <v>140</v>
      </c>
      <c r="C8381" t="s">
        <v>120</v>
      </c>
      <c r="D8381" t="s">
        <v>35</v>
      </c>
      <c r="E8381" t="s">
        <v>8470</v>
      </c>
      <c r="I8381" t="str">
        <f>IF(COUNTIF(Products!$A$2:$A$8,C8381)=0,C8381,"")</f>
        <v/>
      </c>
      <c r="J8381">
        <f>IF(OR(E8381="Prospecting",E8381="Engaging"),VLOOKUP(C8381,Products!$A$2:$C$8,3,FALSE),0)</f>
        <v>550</v>
      </c>
    </row>
    <row r="8382" spans="1:10" x14ac:dyDescent="0.25">
      <c r="A8382" t="s">
        <v>8550</v>
      </c>
      <c r="B8382" t="s">
        <v>140</v>
      </c>
      <c r="C8382" t="s">
        <v>120</v>
      </c>
      <c r="D8382" t="s">
        <v>68</v>
      </c>
      <c r="E8382" t="s">
        <v>8470</v>
      </c>
      <c r="I8382" t="str">
        <f>IF(COUNTIF(Products!$A$2:$A$8,C8382)=0,C8382,"")</f>
        <v/>
      </c>
      <c r="J8382">
        <f>IF(OR(E8382="Prospecting",E8382="Engaging"),VLOOKUP(C8382,Products!$A$2:$C$8,3,FALSE),0)</f>
        <v>550</v>
      </c>
    </row>
    <row r="8383" spans="1:10" x14ac:dyDescent="0.25">
      <c r="A8383" t="s">
        <v>8551</v>
      </c>
      <c r="B8383" t="s">
        <v>140</v>
      </c>
      <c r="C8383" t="s">
        <v>120</v>
      </c>
      <c r="D8383" t="s">
        <v>70</v>
      </c>
      <c r="E8383" t="s">
        <v>8470</v>
      </c>
      <c r="I8383" t="str">
        <f>IF(COUNTIF(Products!$A$2:$A$8,C8383)=0,C8383,"")</f>
        <v/>
      </c>
      <c r="J8383">
        <f>IF(OR(E8383="Prospecting",E8383="Engaging"),VLOOKUP(C8383,Products!$A$2:$C$8,3,FALSE),0)</f>
        <v>550</v>
      </c>
    </row>
    <row r="8384" spans="1:10" x14ac:dyDescent="0.25">
      <c r="A8384" t="s">
        <v>8552</v>
      </c>
      <c r="B8384" t="s">
        <v>140</v>
      </c>
      <c r="C8384" t="s">
        <v>120</v>
      </c>
      <c r="E8384" t="s">
        <v>8470</v>
      </c>
      <c r="I8384" t="str">
        <f>IF(COUNTIF(Products!$A$2:$A$8,C8384)=0,C8384,"")</f>
        <v/>
      </c>
      <c r="J8384">
        <f>IF(OR(E8384="Prospecting",E8384="Engaging"),VLOOKUP(C8384,Products!$A$2:$C$8,3,FALSE),0)</f>
        <v>550</v>
      </c>
    </row>
    <row r="8385" spans="1:10" x14ac:dyDescent="0.25">
      <c r="A8385" t="s">
        <v>8553</v>
      </c>
      <c r="B8385" t="s">
        <v>140</v>
      </c>
      <c r="C8385" t="s">
        <v>120</v>
      </c>
      <c r="E8385" t="s">
        <v>8470</v>
      </c>
      <c r="I8385" t="str">
        <f>IF(COUNTIF(Products!$A$2:$A$8,C8385)=0,C8385,"")</f>
        <v/>
      </c>
      <c r="J8385">
        <f>IF(OR(E8385="Prospecting",E8385="Engaging"),VLOOKUP(C8385,Products!$A$2:$C$8,3,FALSE),0)</f>
        <v>550</v>
      </c>
    </row>
    <row r="8386" spans="1:10" x14ac:dyDescent="0.25">
      <c r="A8386" t="s">
        <v>8554</v>
      </c>
      <c r="B8386" t="s">
        <v>140</v>
      </c>
      <c r="C8386" t="s">
        <v>120</v>
      </c>
      <c r="E8386" t="s">
        <v>8470</v>
      </c>
      <c r="I8386" t="str">
        <f>IF(COUNTIF(Products!$A$2:$A$8,C8386)=0,C8386,"")</f>
        <v/>
      </c>
      <c r="J8386">
        <f>IF(OR(E8386="Prospecting",E8386="Engaging"),VLOOKUP(C8386,Products!$A$2:$C$8,3,FALSE),0)</f>
        <v>550</v>
      </c>
    </row>
    <row r="8387" spans="1:10" x14ac:dyDescent="0.25">
      <c r="A8387" t="s">
        <v>8555</v>
      </c>
      <c r="B8387" t="s">
        <v>140</v>
      </c>
      <c r="C8387" t="s">
        <v>120</v>
      </c>
      <c r="E8387" t="s">
        <v>8470</v>
      </c>
      <c r="I8387" t="str">
        <f>IF(COUNTIF(Products!$A$2:$A$8,C8387)=0,C8387,"")</f>
        <v/>
      </c>
      <c r="J8387">
        <f>IF(OR(E8387="Prospecting",E8387="Engaging"),VLOOKUP(C8387,Products!$A$2:$C$8,3,FALSE),0)</f>
        <v>550</v>
      </c>
    </row>
    <row r="8388" spans="1:10" x14ac:dyDescent="0.25">
      <c r="A8388" t="s">
        <v>8556</v>
      </c>
      <c r="B8388" t="s">
        <v>140</v>
      </c>
      <c r="C8388" t="s">
        <v>120</v>
      </c>
      <c r="E8388" t="s">
        <v>8470</v>
      </c>
      <c r="I8388" t="str">
        <f>IF(COUNTIF(Products!$A$2:$A$8,C8388)=0,C8388,"")</f>
        <v/>
      </c>
      <c r="J8388">
        <f>IF(OR(E8388="Prospecting",E8388="Engaging"),VLOOKUP(C8388,Products!$A$2:$C$8,3,FALSE),0)</f>
        <v>550</v>
      </c>
    </row>
    <row r="8389" spans="1:10" x14ac:dyDescent="0.25">
      <c r="A8389" t="s">
        <v>8557</v>
      </c>
      <c r="B8389" t="s">
        <v>140</v>
      </c>
      <c r="C8389" t="s">
        <v>120</v>
      </c>
      <c r="E8389" t="s">
        <v>8470</v>
      </c>
      <c r="I8389" t="str">
        <f>IF(COUNTIF(Products!$A$2:$A$8,C8389)=0,C8389,"")</f>
        <v/>
      </c>
      <c r="J8389">
        <f>IF(OR(E8389="Prospecting",E8389="Engaging"),VLOOKUP(C8389,Products!$A$2:$C$8,3,FALSE),0)</f>
        <v>550</v>
      </c>
    </row>
    <row r="8390" spans="1:10" x14ac:dyDescent="0.25">
      <c r="A8390" t="s">
        <v>8558</v>
      </c>
      <c r="B8390" t="s">
        <v>140</v>
      </c>
      <c r="C8390" t="s">
        <v>127</v>
      </c>
      <c r="D8390" t="s">
        <v>7</v>
      </c>
      <c r="E8390" t="s">
        <v>8470</v>
      </c>
      <c r="I8390" t="str">
        <f>IF(COUNTIF(Products!$A$2:$A$8,C8390)=0,C8390,"")</f>
        <v/>
      </c>
      <c r="J8390">
        <f>IF(OR(E8390="Prospecting",E8390="Engaging"),VLOOKUP(C8390,Products!$A$2:$C$8,3,FALSE),0)</f>
        <v>1096</v>
      </c>
    </row>
    <row r="8391" spans="1:10" x14ac:dyDescent="0.25">
      <c r="A8391" t="s">
        <v>8559</v>
      </c>
      <c r="B8391" t="s">
        <v>140</v>
      </c>
      <c r="C8391" t="s">
        <v>127</v>
      </c>
      <c r="D8391" t="s">
        <v>39</v>
      </c>
      <c r="E8391" t="s">
        <v>8470</v>
      </c>
      <c r="I8391" t="str">
        <f>IF(COUNTIF(Products!$A$2:$A$8,C8391)=0,C8391,"")</f>
        <v/>
      </c>
      <c r="J8391">
        <f>IF(OR(E8391="Prospecting",E8391="Engaging"),VLOOKUP(C8391,Products!$A$2:$C$8,3,FALSE),0)</f>
        <v>1096</v>
      </c>
    </row>
    <row r="8392" spans="1:10" x14ac:dyDescent="0.25">
      <c r="A8392" t="s">
        <v>8560</v>
      </c>
      <c r="B8392" t="s">
        <v>140</v>
      </c>
      <c r="C8392" t="s">
        <v>127</v>
      </c>
      <c r="D8392" t="s">
        <v>110</v>
      </c>
      <c r="E8392" t="s">
        <v>8470</v>
      </c>
      <c r="I8392" t="str">
        <f>IF(COUNTIF(Products!$A$2:$A$8,C8392)=0,C8392,"")</f>
        <v/>
      </c>
      <c r="J8392">
        <f>IF(OR(E8392="Prospecting",E8392="Engaging"),VLOOKUP(C8392,Products!$A$2:$C$8,3,FALSE),0)</f>
        <v>1096</v>
      </c>
    </row>
    <row r="8393" spans="1:10" x14ac:dyDescent="0.25">
      <c r="A8393" t="s">
        <v>8561</v>
      </c>
      <c r="B8393" t="s">
        <v>140</v>
      </c>
      <c r="C8393" t="s">
        <v>127</v>
      </c>
      <c r="E8393" t="s">
        <v>8470</v>
      </c>
      <c r="I8393" t="str">
        <f>IF(COUNTIF(Products!$A$2:$A$8,C8393)=0,C8393,"")</f>
        <v/>
      </c>
      <c r="J8393">
        <f>IF(OR(E8393="Prospecting",E8393="Engaging"),VLOOKUP(C8393,Products!$A$2:$C$8,3,FALSE),0)</f>
        <v>1096</v>
      </c>
    </row>
    <row r="8394" spans="1:10" x14ac:dyDescent="0.25">
      <c r="A8394" t="s">
        <v>8562</v>
      </c>
      <c r="B8394" t="s">
        <v>140</v>
      </c>
      <c r="C8394" t="s">
        <v>127</v>
      </c>
      <c r="E8394" t="s">
        <v>8470</v>
      </c>
      <c r="I8394" t="str">
        <f>IF(COUNTIF(Products!$A$2:$A$8,C8394)=0,C8394,"")</f>
        <v/>
      </c>
      <c r="J8394">
        <f>IF(OR(E8394="Prospecting",E8394="Engaging"),VLOOKUP(C8394,Products!$A$2:$C$8,3,FALSE),0)</f>
        <v>1096</v>
      </c>
    </row>
    <row r="8395" spans="1:10" x14ac:dyDescent="0.25">
      <c r="A8395" t="s">
        <v>8563</v>
      </c>
      <c r="B8395" t="s">
        <v>140</v>
      </c>
      <c r="C8395" t="s">
        <v>127</v>
      </c>
      <c r="E8395" t="s">
        <v>8470</v>
      </c>
      <c r="I8395" t="str">
        <f>IF(COUNTIF(Products!$A$2:$A$8,C8395)=0,C8395,"")</f>
        <v/>
      </c>
      <c r="J8395">
        <f>IF(OR(E8395="Prospecting",E8395="Engaging"),VLOOKUP(C8395,Products!$A$2:$C$8,3,FALSE),0)</f>
        <v>1096</v>
      </c>
    </row>
    <row r="8396" spans="1:10" x14ac:dyDescent="0.25">
      <c r="A8396" t="s">
        <v>8564</v>
      </c>
      <c r="B8396" t="s">
        <v>140</v>
      </c>
      <c r="C8396" t="s">
        <v>127</v>
      </c>
      <c r="E8396" t="s">
        <v>8470</v>
      </c>
      <c r="I8396" t="str">
        <f>IF(COUNTIF(Products!$A$2:$A$8,C8396)=0,C8396,"")</f>
        <v/>
      </c>
      <c r="J8396">
        <f>IF(OR(E8396="Prospecting",E8396="Engaging"),VLOOKUP(C8396,Products!$A$2:$C$8,3,FALSE),0)</f>
        <v>1096</v>
      </c>
    </row>
    <row r="8397" spans="1:10" x14ac:dyDescent="0.25">
      <c r="A8397" t="s">
        <v>8565</v>
      </c>
      <c r="B8397" t="s">
        <v>140</v>
      </c>
      <c r="C8397" t="s">
        <v>127</v>
      </c>
      <c r="E8397" t="s">
        <v>8470</v>
      </c>
      <c r="I8397" t="str">
        <f>IF(COUNTIF(Products!$A$2:$A$8,C8397)=0,C8397,"")</f>
        <v/>
      </c>
      <c r="J8397">
        <f>IF(OR(E8397="Prospecting",E8397="Engaging"),VLOOKUP(C8397,Products!$A$2:$C$8,3,FALSE),0)</f>
        <v>1096</v>
      </c>
    </row>
    <row r="8398" spans="1:10" x14ac:dyDescent="0.25">
      <c r="A8398" t="s">
        <v>8566</v>
      </c>
      <c r="B8398" t="s">
        <v>140</v>
      </c>
      <c r="C8398" t="s">
        <v>127</v>
      </c>
      <c r="E8398" t="s">
        <v>8470</v>
      </c>
      <c r="I8398" t="str">
        <f>IF(COUNTIF(Products!$A$2:$A$8,C8398)=0,C8398,"")</f>
        <v/>
      </c>
      <c r="J8398">
        <f>IF(OR(E8398="Prospecting",E8398="Engaging"),VLOOKUP(C8398,Products!$A$2:$C$8,3,FALSE),0)</f>
        <v>1096</v>
      </c>
    </row>
    <row r="8399" spans="1:10" x14ac:dyDescent="0.25">
      <c r="A8399" t="s">
        <v>8567</v>
      </c>
      <c r="B8399" t="s">
        <v>140</v>
      </c>
      <c r="C8399" t="s">
        <v>127</v>
      </c>
      <c r="E8399" t="s">
        <v>8470</v>
      </c>
      <c r="I8399" t="str">
        <f>IF(COUNTIF(Products!$A$2:$A$8,C8399)=0,C8399,"")</f>
        <v/>
      </c>
      <c r="J8399">
        <f>IF(OR(E8399="Prospecting",E8399="Engaging"),VLOOKUP(C8399,Products!$A$2:$C$8,3,FALSE),0)</f>
        <v>1096</v>
      </c>
    </row>
    <row r="8400" spans="1:10" x14ac:dyDescent="0.25">
      <c r="A8400" t="s">
        <v>8568</v>
      </c>
      <c r="B8400" t="s">
        <v>140</v>
      </c>
      <c r="C8400" t="s">
        <v>127</v>
      </c>
      <c r="E8400" t="s">
        <v>8470</v>
      </c>
      <c r="I8400" t="str">
        <f>IF(COUNTIF(Products!$A$2:$A$8,C8400)=0,C8400,"")</f>
        <v/>
      </c>
      <c r="J8400">
        <f>IF(OR(E8400="Prospecting",E8400="Engaging"),VLOOKUP(C8400,Products!$A$2:$C$8,3,FALSE),0)</f>
        <v>1096</v>
      </c>
    </row>
    <row r="8401" spans="1:10" x14ac:dyDescent="0.25">
      <c r="A8401" t="s">
        <v>8569</v>
      </c>
      <c r="B8401" t="s">
        <v>140</v>
      </c>
      <c r="C8401" t="s">
        <v>127</v>
      </c>
      <c r="E8401" t="s">
        <v>8470</v>
      </c>
      <c r="I8401" t="str">
        <f>IF(COUNTIF(Products!$A$2:$A$8,C8401)=0,C8401,"")</f>
        <v/>
      </c>
      <c r="J8401">
        <f>IF(OR(E8401="Prospecting",E8401="Engaging"),VLOOKUP(C8401,Products!$A$2:$C$8,3,FALSE),0)</f>
        <v>1096</v>
      </c>
    </row>
    <row r="8402" spans="1:10" x14ac:dyDescent="0.25">
      <c r="A8402" t="s">
        <v>8570</v>
      </c>
      <c r="B8402" t="s">
        <v>140</v>
      </c>
      <c r="C8402" t="s">
        <v>127</v>
      </c>
      <c r="E8402" t="s">
        <v>8470</v>
      </c>
      <c r="I8402" t="str">
        <f>IF(COUNTIF(Products!$A$2:$A$8,C8402)=0,C8402,"")</f>
        <v/>
      </c>
      <c r="J8402">
        <f>IF(OR(E8402="Prospecting",E8402="Engaging"),VLOOKUP(C8402,Products!$A$2:$C$8,3,FALSE),0)</f>
        <v>1096</v>
      </c>
    </row>
    <row r="8403" spans="1:10" x14ac:dyDescent="0.25">
      <c r="A8403" t="s">
        <v>8571</v>
      </c>
      <c r="B8403" t="s">
        <v>140</v>
      </c>
      <c r="C8403" t="s">
        <v>127</v>
      </c>
      <c r="E8403" t="s">
        <v>8470</v>
      </c>
      <c r="I8403" t="str">
        <f>IF(COUNTIF(Products!$A$2:$A$8,C8403)=0,C8403,"")</f>
        <v/>
      </c>
      <c r="J8403">
        <f>IF(OR(E8403="Prospecting",E8403="Engaging"),VLOOKUP(C8403,Products!$A$2:$C$8,3,FALSE),0)</f>
        <v>1096</v>
      </c>
    </row>
    <row r="8404" spans="1:10" x14ac:dyDescent="0.25">
      <c r="A8404" t="s">
        <v>8572</v>
      </c>
      <c r="B8404" t="s">
        <v>140</v>
      </c>
      <c r="C8404" t="s">
        <v>127</v>
      </c>
      <c r="E8404" t="s">
        <v>8470</v>
      </c>
      <c r="I8404" t="str">
        <f>IF(COUNTIF(Products!$A$2:$A$8,C8404)=0,C8404,"")</f>
        <v/>
      </c>
      <c r="J8404">
        <f>IF(OR(E8404="Prospecting",E8404="Engaging"),VLOOKUP(C8404,Products!$A$2:$C$8,3,FALSE),0)</f>
        <v>1096</v>
      </c>
    </row>
    <row r="8405" spans="1:10" x14ac:dyDescent="0.25">
      <c r="A8405" t="s">
        <v>8573</v>
      </c>
      <c r="B8405" t="s">
        <v>140</v>
      </c>
      <c r="C8405" t="s">
        <v>127</v>
      </c>
      <c r="E8405" t="s">
        <v>8470</v>
      </c>
      <c r="I8405" t="str">
        <f>IF(COUNTIF(Products!$A$2:$A$8,C8405)=0,C8405,"")</f>
        <v/>
      </c>
      <c r="J8405">
        <f>IF(OR(E8405="Prospecting",E8405="Engaging"),VLOOKUP(C8405,Products!$A$2:$C$8,3,FALSE),0)</f>
        <v>1096</v>
      </c>
    </row>
    <row r="8406" spans="1:10" x14ac:dyDescent="0.25">
      <c r="A8406" t="s">
        <v>8574</v>
      </c>
      <c r="B8406" t="s">
        <v>140</v>
      </c>
      <c r="C8406" t="s">
        <v>127</v>
      </c>
      <c r="E8406" t="s">
        <v>8470</v>
      </c>
      <c r="I8406" t="str">
        <f>IF(COUNTIF(Products!$A$2:$A$8,C8406)=0,C8406,"")</f>
        <v/>
      </c>
      <c r="J8406">
        <f>IF(OR(E8406="Prospecting",E8406="Engaging"),VLOOKUP(C8406,Products!$A$2:$C$8,3,FALSE),0)</f>
        <v>1096</v>
      </c>
    </row>
    <row r="8407" spans="1:10" x14ac:dyDescent="0.25">
      <c r="A8407" t="s">
        <v>8575</v>
      </c>
      <c r="B8407" t="s">
        <v>140</v>
      </c>
      <c r="C8407" t="s">
        <v>127</v>
      </c>
      <c r="E8407" t="s">
        <v>8470</v>
      </c>
      <c r="I8407" t="str">
        <f>IF(COUNTIF(Products!$A$2:$A$8,C8407)=0,C8407,"")</f>
        <v/>
      </c>
      <c r="J8407">
        <f>IF(OR(E8407="Prospecting",E8407="Engaging"),VLOOKUP(C8407,Products!$A$2:$C$8,3,FALSE),0)</f>
        <v>1096</v>
      </c>
    </row>
    <row r="8408" spans="1:10" x14ac:dyDescent="0.25">
      <c r="A8408" t="s">
        <v>8576</v>
      </c>
      <c r="B8408" t="s">
        <v>140</v>
      </c>
      <c r="C8408" t="s">
        <v>127</v>
      </c>
      <c r="E8408" t="s">
        <v>8470</v>
      </c>
      <c r="I8408" t="str">
        <f>IF(COUNTIF(Products!$A$2:$A$8,C8408)=0,C8408,"")</f>
        <v/>
      </c>
      <c r="J8408">
        <f>IF(OR(E8408="Prospecting",E8408="Engaging"),VLOOKUP(C8408,Products!$A$2:$C$8,3,FALSE),0)</f>
        <v>1096</v>
      </c>
    </row>
    <row r="8409" spans="1:10" x14ac:dyDescent="0.25">
      <c r="A8409" t="s">
        <v>8577</v>
      </c>
      <c r="B8409" t="s">
        <v>140</v>
      </c>
      <c r="C8409" t="s">
        <v>127</v>
      </c>
      <c r="E8409" t="s">
        <v>8470</v>
      </c>
      <c r="I8409" t="str">
        <f>IF(COUNTIF(Products!$A$2:$A$8,C8409)=0,C8409,"")</f>
        <v/>
      </c>
      <c r="J8409">
        <f>IF(OR(E8409="Prospecting",E8409="Engaging"),VLOOKUP(C8409,Products!$A$2:$C$8,3,FALSE),0)</f>
        <v>1096</v>
      </c>
    </row>
    <row r="8410" spans="1:10" x14ac:dyDescent="0.25">
      <c r="A8410" t="s">
        <v>8578</v>
      </c>
      <c r="B8410" t="s">
        <v>140</v>
      </c>
      <c r="C8410" t="s">
        <v>127</v>
      </c>
      <c r="E8410" t="s">
        <v>8470</v>
      </c>
      <c r="I8410" t="str">
        <f>IF(COUNTIF(Products!$A$2:$A$8,C8410)=0,C8410,"")</f>
        <v/>
      </c>
      <c r="J8410">
        <f>IF(OR(E8410="Prospecting",E8410="Engaging"),VLOOKUP(C8410,Products!$A$2:$C$8,3,FALSE),0)</f>
        <v>1096</v>
      </c>
    </row>
    <row r="8411" spans="1:10" x14ac:dyDescent="0.25">
      <c r="A8411" t="s">
        <v>8579</v>
      </c>
      <c r="B8411" t="s">
        <v>140</v>
      </c>
      <c r="C8411" t="s">
        <v>126</v>
      </c>
      <c r="D8411" t="s">
        <v>44</v>
      </c>
      <c r="E8411" t="s">
        <v>8470</v>
      </c>
      <c r="I8411" t="str">
        <f>IF(COUNTIF(Products!$A$2:$A$8,C8411)=0,C8411,"")</f>
        <v/>
      </c>
      <c r="J8411">
        <f>IF(OR(E8411="Prospecting",E8411="Engaging"),VLOOKUP(C8411,Products!$A$2:$C$8,3,FALSE),0)</f>
        <v>5482</v>
      </c>
    </row>
    <row r="8412" spans="1:10" x14ac:dyDescent="0.25">
      <c r="A8412" t="s">
        <v>8580</v>
      </c>
      <c r="B8412" t="s">
        <v>140</v>
      </c>
      <c r="C8412" t="s">
        <v>126</v>
      </c>
      <c r="D8412" t="s">
        <v>57</v>
      </c>
      <c r="E8412" t="s">
        <v>8470</v>
      </c>
      <c r="I8412" t="str">
        <f>IF(COUNTIF(Products!$A$2:$A$8,C8412)=0,C8412,"")</f>
        <v/>
      </c>
      <c r="J8412">
        <f>IF(OR(E8412="Prospecting",E8412="Engaging"),VLOOKUP(C8412,Products!$A$2:$C$8,3,FALSE),0)</f>
        <v>5482</v>
      </c>
    </row>
    <row r="8413" spans="1:10" x14ac:dyDescent="0.25">
      <c r="A8413" t="s">
        <v>8581</v>
      </c>
      <c r="B8413" t="s">
        <v>140</v>
      </c>
      <c r="C8413" t="s">
        <v>126</v>
      </c>
      <c r="D8413" t="s">
        <v>60</v>
      </c>
      <c r="E8413" t="s">
        <v>8470</v>
      </c>
      <c r="I8413" t="str">
        <f>IF(COUNTIF(Products!$A$2:$A$8,C8413)=0,C8413,"")</f>
        <v/>
      </c>
      <c r="J8413">
        <f>IF(OR(E8413="Prospecting",E8413="Engaging"),VLOOKUP(C8413,Products!$A$2:$C$8,3,FALSE),0)</f>
        <v>5482</v>
      </c>
    </row>
    <row r="8414" spans="1:10" x14ac:dyDescent="0.25">
      <c r="A8414" t="s">
        <v>8582</v>
      </c>
      <c r="B8414" t="s">
        <v>140</v>
      </c>
      <c r="C8414" t="s">
        <v>126</v>
      </c>
      <c r="D8414" t="s">
        <v>111</v>
      </c>
      <c r="E8414" t="s">
        <v>8470</v>
      </c>
      <c r="I8414" t="str">
        <f>IF(COUNTIF(Products!$A$2:$A$8,C8414)=0,C8414,"")</f>
        <v/>
      </c>
      <c r="J8414">
        <f>IF(OR(E8414="Prospecting",E8414="Engaging"),VLOOKUP(C8414,Products!$A$2:$C$8,3,FALSE),0)</f>
        <v>5482</v>
      </c>
    </row>
    <row r="8415" spans="1:10" x14ac:dyDescent="0.25">
      <c r="A8415" t="s">
        <v>8583</v>
      </c>
      <c r="B8415" t="s">
        <v>140</v>
      </c>
      <c r="C8415" t="s">
        <v>126</v>
      </c>
      <c r="E8415" t="s">
        <v>8470</v>
      </c>
      <c r="I8415" t="str">
        <f>IF(COUNTIF(Products!$A$2:$A$8,C8415)=0,C8415,"")</f>
        <v/>
      </c>
      <c r="J8415">
        <f>IF(OR(E8415="Prospecting",E8415="Engaging"),VLOOKUP(C8415,Products!$A$2:$C$8,3,FALSE),0)</f>
        <v>5482</v>
      </c>
    </row>
    <row r="8416" spans="1:10" x14ac:dyDescent="0.25">
      <c r="A8416" t="s">
        <v>8584</v>
      </c>
      <c r="B8416" t="s">
        <v>140</v>
      </c>
      <c r="C8416" t="s">
        <v>126</v>
      </c>
      <c r="E8416" t="s">
        <v>8470</v>
      </c>
      <c r="I8416" t="str">
        <f>IF(COUNTIF(Products!$A$2:$A$8,C8416)=0,C8416,"")</f>
        <v/>
      </c>
      <c r="J8416">
        <f>IF(OR(E8416="Prospecting",E8416="Engaging"),VLOOKUP(C8416,Products!$A$2:$C$8,3,FALSE),0)</f>
        <v>5482</v>
      </c>
    </row>
    <row r="8417" spans="1:10" x14ac:dyDescent="0.25">
      <c r="A8417" t="s">
        <v>8585</v>
      </c>
      <c r="B8417" t="s">
        <v>140</v>
      </c>
      <c r="C8417" t="s">
        <v>126</v>
      </c>
      <c r="E8417" t="s">
        <v>8470</v>
      </c>
      <c r="I8417" t="str">
        <f>IF(COUNTIF(Products!$A$2:$A$8,C8417)=0,C8417,"")</f>
        <v/>
      </c>
      <c r="J8417">
        <f>IF(OR(E8417="Prospecting",E8417="Engaging"),VLOOKUP(C8417,Products!$A$2:$C$8,3,FALSE),0)</f>
        <v>5482</v>
      </c>
    </row>
    <row r="8418" spans="1:10" x14ac:dyDescent="0.25">
      <c r="A8418" t="s">
        <v>8586</v>
      </c>
      <c r="B8418" t="s">
        <v>140</v>
      </c>
      <c r="C8418" t="s">
        <v>126</v>
      </c>
      <c r="E8418" t="s">
        <v>8470</v>
      </c>
      <c r="I8418" t="str">
        <f>IF(COUNTIF(Products!$A$2:$A$8,C8418)=0,C8418,"")</f>
        <v/>
      </c>
      <c r="J8418">
        <f>IF(OR(E8418="Prospecting",E8418="Engaging"),VLOOKUP(C8418,Products!$A$2:$C$8,3,FALSE),0)</f>
        <v>5482</v>
      </c>
    </row>
    <row r="8419" spans="1:10" x14ac:dyDescent="0.25">
      <c r="A8419" t="s">
        <v>8587</v>
      </c>
      <c r="B8419" t="s">
        <v>140</v>
      </c>
      <c r="C8419" t="s">
        <v>126</v>
      </c>
      <c r="E8419" t="s">
        <v>8470</v>
      </c>
      <c r="I8419" t="str">
        <f>IF(COUNTIF(Products!$A$2:$A$8,C8419)=0,C8419,"")</f>
        <v/>
      </c>
      <c r="J8419">
        <f>IF(OR(E8419="Prospecting",E8419="Engaging"),VLOOKUP(C8419,Products!$A$2:$C$8,3,FALSE),0)</f>
        <v>5482</v>
      </c>
    </row>
    <row r="8420" spans="1:10" x14ac:dyDescent="0.25">
      <c r="A8420" t="s">
        <v>8588</v>
      </c>
      <c r="B8420" t="s">
        <v>140</v>
      </c>
      <c r="C8420" t="s">
        <v>126</v>
      </c>
      <c r="E8420" t="s">
        <v>8470</v>
      </c>
      <c r="I8420" t="str">
        <f>IF(COUNTIF(Products!$A$2:$A$8,C8420)=0,C8420,"")</f>
        <v/>
      </c>
      <c r="J8420">
        <f>IF(OR(E8420="Prospecting",E8420="Engaging"),VLOOKUP(C8420,Products!$A$2:$C$8,3,FALSE),0)</f>
        <v>5482</v>
      </c>
    </row>
    <row r="8421" spans="1:10" x14ac:dyDescent="0.25">
      <c r="A8421" t="s">
        <v>8589</v>
      </c>
      <c r="B8421" t="s">
        <v>140</v>
      </c>
      <c r="C8421" t="s">
        <v>126</v>
      </c>
      <c r="E8421" t="s">
        <v>8470</v>
      </c>
      <c r="I8421" t="str">
        <f>IF(COUNTIF(Products!$A$2:$A$8,C8421)=0,C8421,"")</f>
        <v/>
      </c>
      <c r="J8421">
        <f>IF(OR(E8421="Prospecting",E8421="Engaging"),VLOOKUP(C8421,Products!$A$2:$C$8,3,FALSE),0)</f>
        <v>5482</v>
      </c>
    </row>
    <row r="8422" spans="1:10" x14ac:dyDescent="0.25">
      <c r="A8422" t="s">
        <v>8590</v>
      </c>
      <c r="B8422" t="s">
        <v>140</v>
      </c>
      <c r="C8422" t="s">
        <v>126</v>
      </c>
      <c r="E8422" t="s">
        <v>8470</v>
      </c>
      <c r="I8422" t="str">
        <f>IF(COUNTIF(Products!$A$2:$A$8,C8422)=0,C8422,"")</f>
        <v/>
      </c>
      <c r="J8422">
        <f>IF(OR(E8422="Prospecting",E8422="Engaging"),VLOOKUP(C8422,Products!$A$2:$C$8,3,FALSE),0)</f>
        <v>5482</v>
      </c>
    </row>
    <row r="8423" spans="1:10" x14ac:dyDescent="0.25">
      <c r="A8423" t="s">
        <v>8591</v>
      </c>
      <c r="B8423" t="s">
        <v>140</v>
      </c>
      <c r="C8423" t="s">
        <v>126</v>
      </c>
      <c r="E8423" t="s">
        <v>8470</v>
      </c>
      <c r="I8423" t="str">
        <f>IF(COUNTIF(Products!$A$2:$A$8,C8423)=0,C8423,"")</f>
        <v/>
      </c>
      <c r="J8423">
        <f>IF(OR(E8423="Prospecting",E8423="Engaging"),VLOOKUP(C8423,Products!$A$2:$C$8,3,FALSE),0)</f>
        <v>5482</v>
      </c>
    </row>
    <row r="8424" spans="1:10" x14ac:dyDescent="0.25">
      <c r="A8424" t="s">
        <v>8592</v>
      </c>
      <c r="B8424" t="s">
        <v>140</v>
      </c>
      <c r="C8424" t="s">
        <v>122</v>
      </c>
      <c r="D8424" t="s">
        <v>14</v>
      </c>
      <c r="E8424" t="s">
        <v>8470</v>
      </c>
      <c r="I8424" t="str">
        <f>IF(COUNTIF(Products!$A$2:$A$8,C8424)=0,C8424,"")</f>
        <v/>
      </c>
      <c r="J8424">
        <f>IF(OR(E8424="Prospecting",E8424="Engaging"),VLOOKUP(C8424,Products!$A$2:$C$8,3,FALSE),0)</f>
        <v>4821</v>
      </c>
    </row>
    <row r="8425" spans="1:10" x14ac:dyDescent="0.25">
      <c r="A8425" t="s">
        <v>8593</v>
      </c>
      <c r="B8425" t="s">
        <v>140</v>
      </c>
      <c r="C8425" t="s">
        <v>122</v>
      </c>
      <c r="D8425" t="s">
        <v>17</v>
      </c>
      <c r="E8425" t="s">
        <v>8470</v>
      </c>
      <c r="I8425" t="str">
        <f>IF(COUNTIF(Products!$A$2:$A$8,C8425)=0,C8425,"")</f>
        <v/>
      </c>
      <c r="J8425">
        <f>IF(OR(E8425="Prospecting",E8425="Engaging"),VLOOKUP(C8425,Products!$A$2:$C$8,3,FALSE),0)</f>
        <v>4821</v>
      </c>
    </row>
    <row r="8426" spans="1:10" x14ac:dyDescent="0.25">
      <c r="A8426" t="s">
        <v>8594</v>
      </c>
      <c r="B8426" t="s">
        <v>140</v>
      </c>
      <c r="C8426" t="s">
        <v>122</v>
      </c>
      <c r="D8426" t="s">
        <v>19</v>
      </c>
      <c r="E8426" t="s">
        <v>8470</v>
      </c>
      <c r="I8426" t="str">
        <f>IF(COUNTIF(Products!$A$2:$A$8,C8426)=0,C8426,"")</f>
        <v/>
      </c>
      <c r="J8426">
        <f>IF(OR(E8426="Prospecting",E8426="Engaging"),VLOOKUP(C8426,Products!$A$2:$C$8,3,FALSE),0)</f>
        <v>4821</v>
      </c>
    </row>
    <row r="8427" spans="1:10" x14ac:dyDescent="0.25">
      <c r="A8427" t="s">
        <v>8595</v>
      </c>
      <c r="B8427" t="s">
        <v>140</v>
      </c>
      <c r="C8427" t="s">
        <v>122</v>
      </c>
      <c r="D8427" t="s">
        <v>27</v>
      </c>
      <c r="E8427" t="s">
        <v>8470</v>
      </c>
      <c r="I8427" t="str">
        <f>IF(COUNTIF(Products!$A$2:$A$8,C8427)=0,C8427,"")</f>
        <v/>
      </c>
      <c r="J8427">
        <f>IF(OR(E8427="Prospecting",E8427="Engaging"),VLOOKUP(C8427,Products!$A$2:$C$8,3,FALSE),0)</f>
        <v>4821</v>
      </c>
    </row>
    <row r="8428" spans="1:10" x14ac:dyDescent="0.25">
      <c r="A8428" t="s">
        <v>8596</v>
      </c>
      <c r="B8428" t="s">
        <v>140</v>
      </c>
      <c r="C8428" t="s">
        <v>122</v>
      </c>
      <c r="D8428" t="s">
        <v>27</v>
      </c>
      <c r="E8428" t="s">
        <v>8470</v>
      </c>
      <c r="I8428" t="str">
        <f>IF(COUNTIF(Products!$A$2:$A$8,C8428)=0,C8428,"")</f>
        <v/>
      </c>
      <c r="J8428">
        <f>IF(OR(E8428="Prospecting",E8428="Engaging"),VLOOKUP(C8428,Products!$A$2:$C$8,3,FALSE),0)</f>
        <v>4821</v>
      </c>
    </row>
    <row r="8429" spans="1:10" x14ac:dyDescent="0.25">
      <c r="A8429" t="s">
        <v>8597</v>
      </c>
      <c r="B8429" t="s">
        <v>140</v>
      </c>
      <c r="C8429" t="s">
        <v>122</v>
      </c>
      <c r="D8429" t="s">
        <v>35</v>
      </c>
      <c r="E8429" t="s">
        <v>8470</v>
      </c>
      <c r="I8429" t="str">
        <f>IF(COUNTIF(Products!$A$2:$A$8,C8429)=0,C8429,"")</f>
        <v/>
      </c>
      <c r="J8429">
        <f>IF(OR(E8429="Prospecting",E8429="Engaging"),VLOOKUP(C8429,Products!$A$2:$C$8,3,FALSE),0)</f>
        <v>4821</v>
      </c>
    </row>
    <row r="8430" spans="1:10" x14ac:dyDescent="0.25">
      <c r="A8430" t="s">
        <v>8598</v>
      </c>
      <c r="B8430" t="s">
        <v>140</v>
      </c>
      <c r="C8430" t="s">
        <v>122</v>
      </c>
      <c r="D8430" t="s">
        <v>36</v>
      </c>
      <c r="E8430" t="s">
        <v>8470</v>
      </c>
      <c r="I8430" t="str">
        <f>IF(COUNTIF(Products!$A$2:$A$8,C8430)=0,C8430,"")</f>
        <v/>
      </c>
      <c r="J8430">
        <f>IF(OR(E8430="Prospecting",E8430="Engaging"),VLOOKUP(C8430,Products!$A$2:$C$8,3,FALSE),0)</f>
        <v>4821</v>
      </c>
    </row>
    <row r="8431" spans="1:10" x14ac:dyDescent="0.25">
      <c r="A8431" t="s">
        <v>8599</v>
      </c>
      <c r="B8431" t="s">
        <v>140</v>
      </c>
      <c r="C8431" t="s">
        <v>122</v>
      </c>
      <c r="D8431" t="s">
        <v>39</v>
      </c>
      <c r="E8431" t="s">
        <v>8470</v>
      </c>
      <c r="I8431" t="str">
        <f>IF(COUNTIF(Products!$A$2:$A$8,C8431)=0,C8431,"")</f>
        <v/>
      </c>
      <c r="J8431">
        <f>IF(OR(E8431="Prospecting",E8431="Engaging"),VLOOKUP(C8431,Products!$A$2:$C$8,3,FALSE),0)</f>
        <v>4821</v>
      </c>
    </row>
    <row r="8432" spans="1:10" x14ac:dyDescent="0.25">
      <c r="A8432" t="s">
        <v>8600</v>
      </c>
      <c r="B8432" t="s">
        <v>140</v>
      </c>
      <c r="C8432" t="s">
        <v>122</v>
      </c>
      <c r="D8432" t="s">
        <v>39</v>
      </c>
      <c r="E8432" t="s">
        <v>8470</v>
      </c>
      <c r="I8432" t="str">
        <f>IF(COUNTIF(Products!$A$2:$A$8,C8432)=0,C8432,"")</f>
        <v/>
      </c>
      <c r="J8432">
        <f>IF(OR(E8432="Prospecting",E8432="Engaging"),VLOOKUP(C8432,Products!$A$2:$C$8,3,FALSE),0)</f>
        <v>4821</v>
      </c>
    </row>
    <row r="8433" spans="1:10" x14ac:dyDescent="0.25">
      <c r="A8433" t="s">
        <v>8601</v>
      </c>
      <c r="B8433" t="s">
        <v>140</v>
      </c>
      <c r="C8433" t="s">
        <v>122</v>
      </c>
      <c r="D8433" t="s">
        <v>44</v>
      </c>
      <c r="E8433" t="s">
        <v>8470</v>
      </c>
      <c r="I8433" t="str">
        <f>IF(COUNTIF(Products!$A$2:$A$8,C8433)=0,C8433,"")</f>
        <v/>
      </c>
      <c r="J8433">
        <f>IF(OR(E8433="Prospecting",E8433="Engaging"),VLOOKUP(C8433,Products!$A$2:$C$8,3,FALSE),0)</f>
        <v>4821</v>
      </c>
    </row>
    <row r="8434" spans="1:10" x14ac:dyDescent="0.25">
      <c r="A8434" t="s">
        <v>8602</v>
      </c>
      <c r="B8434" t="s">
        <v>140</v>
      </c>
      <c r="C8434" t="s">
        <v>122</v>
      </c>
      <c r="D8434" t="s">
        <v>63</v>
      </c>
      <c r="E8434" t="s">
        <v>8470</v>
      </c>
      <c r="I8434" t="str">
        <f>IF(COUNTIF(Products!$A$2:$A$8,C8434)=0,C8434,"")</f>
        <v/>
      </c>
      <c r="J8434">
        <f>IF(OR(E8434="Prospecting",E8434="Engaging"),VLOOKUP(C8434,Products!$A$2:$C$8,3,FALSE),0)</f>
        <v>4821</v>
      </c>
    </row>
    <row r="8435" spans="1:10" x14ac:dyDescent="0.25">
      <c r="A8435" t="s">
        <v>8603</v>
      </c>
      <c r="B8435" t="s">
        <v>140</v>
      </c>
      <c r="C8435" t="s">
        <v>122</v>
      </c>
      <c r="D8435" t="s">
        <v>32</v>
      </c>
      <c r="E8435" t="s">
        <v>8470</v>
      </c>
      <c r="I8435" t="str">
        <f>IF(COUNTIF(Products!$A$2:$A$8,C8435)=0,C8435,"")</f>
        <v/>
      </c>
      <c r="J8435">
        <f>IF(OR(E8435="Prospecting",E8435="Engaging"),VLOOKUP(C8435,Products!$A$2:$C$8,3,FALSE),0)</f>
        <v>4821</v>
      </c>
    </row>
    <row r="8436" spans="1:10" x14ac:dyDescent="0.25">
      <c r="A8436" t="s">
        <v>8604</v>
      </c>
      <c r="B8436" t="s">
        <v>140</v>
      </c>
      <c r="C8436" t="s">
        <v>122</v>
      </c>
      <c r="D8436" t="s">
        <v>65</v>
      </c>
      <c r="E8436" t="s">
        <v>8470</v>
      </c>
      <c r="I8436" t="str">
        <f>IF(COUNTIF(Products!$A$2:$A$8,C8436)=0,C8436,"")</f>
        <v/>
      </c>
      <c r="J8436">
        <f>IF(OR(E8436="Prospecting",E8436="Engaging"),VLOOKUP(C8436,Products!$A$2:$C$8,3,FALSE),0)</f>
        <v>4821</v>
      </c>
    </row>
    <row r="8437" spans="1:10" x14ac:dyDescent="0.25">
      <c r="A8437" t="s">
        <v>8605</v>
      </c>
      <c r="B8437" t="s">
        <v>140</v>
      </c>
      <c r="C8437" t="s">
        <v>122</v>
      </c>
      <c r="D8437" t="s">
        <v>81</v>
      </c>
      <c r="E8437" t="s">
        <v>8470</v>
      </c>
      <c r="I8437" t="str">
        <f>IF(COUNTIF(Products!$A$2:$A$8,C8437)=0,C8437,"")</f>
        <v/>
      </c>
      <c r="J8437">
        <f>IF(OR(E8437="Prospecting",E8437="Engaging"),VLOOKUP(C8437,Products!$A$2:$C$8,3,FALSE),0)</f>
        <v>4821</v>
      </c>
    </row>
    <row r="8438" spans="1:10" x14ac:dyDescent="0.25">
      <c r="A8438" t="s">
        <v>8606</v>
      </c>
      <c r="B8438" t="s">
        <v>140</v>
      </c>
      <c r="C8438" t="s">
        <v>122</v>
      </c>
      <c r="D8438" t="s">
        <v>83</v>
      </c>
      <c r="E8438" t="s">
        <v>8470</v>
      </c>
      <c r="I8438" t="str">
        <f>IF(COUNTIF(Products!$A$2:$A$8,C8438)=0,C8438,"")</f>
        <v/>
      </c>
      <c r="J8438">
        <f>IF(OR(E8438="Prospecting",E8438="Engaging"),VLOOKUP(C8438,Products!$A$2:$C$8,3,FALSE),0)</f>
        <v>4821</v>
      </c>
    </row>
    <row r="8439" spans="1:10" x14ac:dyDescent="0.25">
      <c r="A8439" t="s">
        <v>8607</v>
      </c>
      <c r="B8439" t="s">
        <v>140</v>
      </c>
      <c r="C8439" t="s">
        <v>122</v>
      </c>
      <c r="D8439" t="s">
        <v>88</v>
      </c>
      <c r="E8439" t="s">
        <v>8470</v>
      </c>
      <c r="I8439" t="str">
        <f>IF(COUNTIF(Products!$A$2:$A$8,C8439)=0,C8439,"")</f>
        <v/>
      </c>
      <c r="J8439">
        <f>IF(OR(E8439="Prospecting",E8439="Engaging"),VLOOKUP(C8439,Products!$A$2:$C$8,3,FALSE),0)</f>
        <v>4821</v>
      </c>
    </row>
    <row r="8440" spans="1:10" x14ac:dyDescent="0.25">
      <c r="A8440" t="s">
        <v>8608</v>
      </c>
      <c r="B8440" t="s">
        <v>140</v>
      </c>
      <c r="C8440" t="s">
        <v>122</v>
      </c>
      <c r="D8440" t="s">
        <v>88</v>
      </c>
      <c r="E8440" t="s">
        <v>8470</v>
      </c>
      <c r="I8440" t="str">
        <f>IF(COUNTIF(Products!$A$2:$A$8,C8440)=0,C8440,"")</f>
        <v/>
      </c>
      <c r="J8440">
        <f>IF(OR(E8440="Prospecting",E8440="Engaging"),VLOOKUP(C8440,Products!$A$2:$C$8,3,FALSE),0)</f>
        <v>4821</v>
      </c>
    </row>
    <row r="8441" spans="1:10" x14ac:dyDescent="0.25">
      <c r="A8441" t="s">
        <v>8609</v>
      </c>
      <c r="B8441" t="s">
        <v>140</v>
      </c>
      <c r="C8441" t="s">
        <v>122</v>
      </c>
      <c r="D8441" t="s">
        <v>89</v>
      </c>
      <c r="E8441" t="s">
        <v>8470</v>
      </c>
      <c r="I8441" t="str">
        <f>IF(COUNTIF(Products!$A$2:$A$8,C8441)=0,C8441,"")</f>
        <v/>
      </c>
      <c r="J8441">
        <f>IF(OR(E8441="Prospecting",E8441="Engaging"),VLOOKUP(C8441,Products!$A$2:$C$8,3,FALSE),0)</f>
        <v>4821</v>
      </c>
    </row>
    <row r="8442" spans="1:10" x14ac:dyDescent="0.25">
      <c r="A8442" t="s">
        <v>8610</v>
      </c>
      <c r="B8442" t="s">
        <v>140</v>
      </c>
      <c r="C8442" t="s">
        <v>122</v>
      </c>
      <c r="D8442" t="s">
        <v>89</v>
      </c>
      <c r="E8442" t="s">
        <v>8470</v>
      </c>
      <c r="I8442" t="str">
        <f>IF(COUNTIF(Products!$A$2:$A$8,C8442)=0,C8442,"")</f>
        <v/>
      </c>
      <c r="J8442">
        <f>IF(OR(E8442="Prospecting",E8442="Engaging"),VLOOKUP(C8442,Products!$A$2:$C$8,3,FALSE),0)</f>
        <v>4821</v>
      </c>
    </row>
    <row r="8443" spans="1:10" x14ac:dyDescent="0.25">
      <c r="A8443" t="s">
        <v>8611</v>
      </c>
      <c r="B8443" t="s">
        <v>140</v>
      </c>
      <c r="C8443" t="s">
        <v>122</v>
      </c>
      <c r="D8443" t="s">
        <v>77</v>
      </c>
      <c r="E8443" t="s">
        <v>8470</v>
      </c>
      <c r="I8443" t="str">
        <f>IF(COUNTIF(Products!$A$2:$A$8,C8443)=0,C8443,"")</f>
        <v/>
      </c>
      <c r="J8443">
        <f>IF(OR(E8443="Prospecting",E8443="Engaging"),VLOOKUP(C8443,Products!$A$2:$C$8,3,FALSE),0)</f>
        <v>4821</v>
      </c>
    </row>
    <row r="8444" spans="1:10" x14ac:dyDescent="0.25">
      <c r="A8444" t="s">
        <v>8612</v>
      </c>
      <c r="B8444" t="s">
        <v>140</v>
      </c>
      <c r="C8444" t="s">
        <v>122</v>
      </c>
      <c r="D8444" t="s">
        <v>108</v>
      </c>
      <c r="E8444" t="s">
        <v>8470</v>
      </c>
      <c r="I8444" t="str">
        <f>IF(COUNTIF(Products!$A$2:$A$8,C8444)=0,C8444,"")</f>
        <v/>
      </c>
      <c r="J8444">
        <f>IF(OR(E8444="Prospecting",E8444="Engaging"),VLOOKUP(C8444,Products!$A$2:$C$8,3,FALSE),0)</f>
        <v>4821</v>
      </c>
    </row>
    <row r="8445" spans="1:10" x14ac:dyDescent="0.25">
      <c r="A8445" t="s">
        <v>8613</v>
      </c>
      <c r="B8445" t="s">
        <v>140</v>
      </c>
      <c r="C8445" t="s">
        <v>122</v>
      </c>
      <c r="D8445" t="s">
        <v>110</v>
      </c>
      <c r="E8445" t="s">
        <v>8470</v>
      </c>
      <c r="I8445" t="str">
        <f>IF(COUNTIF(Products!$A$2:$A$8,C8445)=0,C8445,"")</f>
        <v/>
      </c>
      <c r="J8445">
        <f>IF(OR(E8445="Prospecting",E8445="Engaging"),VLOOKUP(C8445,Products!$A$2:$C$8,3,FALSE),0)</f>
        <v>4821</v>
      </c>
    </row>
    <row r="8446" spans="1:10" x14ac:dyDescent="0.25">
      <c r="A8446" t="s">
        <v>8614</v>
      </c>
      <c r="B8446" t="s">
        <v>140</v>
      </c>
      <c r="C8446" t="s">
        <v>122</v>
      </c>
      <c r="D8446" t="s">
        <v>111</v>
      </c>
      <c r="E8446" t="s">
        <v>8470</v>
      </c>
      <c r="I8446" t="str">
        <f>IF(COUNTIF(Products!$A$2:$A$8,C8446)=0,C8446,"")</f>
        <v/>
      </c>
      <c r="J8446">
        <f>IF(OR(E8446="Prospecting",E8446="Engaging"),VLOOKUP(C8446,Products!$A$2:$C$8,3,FALSE),0)</f>
        <v>4821</v>
      </c>
    </row>
    <row r="8447" spans="1:10" x14ac:dyDescent="0.25">
      <c r="A8447" t="s">
        <v>8615</v>
      </c>
      <c r="B8447" t="s">
        <v>140</v>
      </c>
      <c r="C8447" t="s">
        <v>122</v>
      </c>
      <c r="D8447" t="s">
        <v>112</v>
      </c>
      <c r="E8447" t="s">
        <v>8470</v>
      </c>
      <c r="I8447" t="str">
        <f>IF(COUNTIF(Products!$A$2:$A$8,C8447)=0,C8447,"")</f>
        <v/>
      </c>
      <c r="J8447">
        <f>IF(OR(E8447="Prospecting",E8447="Engaging"),VLOOKUP(C8447,Products!$A$2:$C$8,3,FALSE),0)</f>
        <v>4821</v>
      </c>
    </row>
    <row r="8448" spans="1:10" x14ac:dyDescent="0.25">
      <c r="A8448" t="s">
        <v>8616</v>
      </c>
      <c r="B8448" t="s">
        <v>140</v>
      </c>
      <c r="C8448" t="s">
        <v>122</v>
      </c>
      <c r="D8448" t="s">
        <v>116</v>
      </c>
      <c r="E8448" t="s">
        <v>8470</v>
      </c>
      <c r="I8448" t="str">
        <f>IF(COUNTIF(Products!$A$2:$A$8,C8448)=0,C8448,"")</f>
        <v/>
      </c>
      <c r="J8448">
        <f>IF(OR(E8448="Prospecting",E8448="Engaging"),VLOOKUP(C8448,Products!$A$2:$C$8,3,FALSE),0)</f>
        <v>4821</v>
      </c>
    </row>
    <row r="8449" spans="1:10" x14ac:dyDescent="0.25">
      <c r="A8449" t="s">
        <v>8617</v>
      </c>
      <c r="B8449" t="s">
        <v>140</v>
      </c>
      <c r="C8449" t="s">
        <v>122</v>
      </c>
      <c r="E8449" t="s">
        <v>8470</v>
      </c>
      <c r="I8449" t="str">
        <f>IF(COUNTIF(Products!$A$2:$A$8,C8449)=0,C8449,"")</f>
        <v/>
      </c>
      <c r="J8449">
        <f>IF(OR(E8449="Prospecting",E8449="Engaging"),VLOOKUP(C8449,Products!$A$2:$C$8,3,FALSE),0)</f>
        <v>4821</v>
      </c>
    </row>
    <row r="8450" spans="1:10" x14ac:dyDescent="0.25">
      <c r="A8450" t="s">
        <v>8618</v>
      </c>
      <c r="B8450" t="s">
        <v>140</v>
      </c>
      <c r="C8450" t="s">
        <v>122</v>
      </c>
      <c r="E8450" t="s">
        <v>8470</v>
      </c>
      <c r="I8450" t="str">
        <f>IF(COUNTIF(Products!$A$2:$A$8,C8450)=0,C8450,"")</f>
        <v/>
      </c>
      <c r="J8450">
        <f>IF(OR(E8450="Prospecting",E8450="Engaging"),VLOOKUP(C8450,Products!$A$2:$C$8,3,FALSE),0)</f>
        <v>4821</v>
      </c>
    </row>
    <row r="8451" spans="1:10" x14ac:dyDescent="0.25">
      <c r="A8451" t="s">
        <v>8619</v>
      </c>
      <c r="B8451" t="s">
        <v>140</v>
      </c>
      <c r="C8451" t="s">
        <v>122</v>
      </c>
      <c r="E8451" t="s">
        <v>8470</v>
      </c>
      <c r="I8451" t="str">
        <f>IF(COUNTIF(Products!$A$2:$A$8,C8451)=0,C8451,"")</f>
        <v/>
      </c>
      <c r="J8451">
        <f>IF(OR(E8451="Prospecting",E8451="Engaging"),VLOOKUP(C8451,Products!$A$2:$C$8,3,FALSE),0)</f>
        <v>4821</v>
      </c>
    </row>
    <row r="8452" spans="1:10" x14ac:dyDescent="0.25">
      <c r="A8452" t="s">
        <v>8620</v>
      </c>
      <c r="B8452" t="s">
        <v>140</v>
      </c>
      <c r="C8452" t="s">
        <v>122</v>
      </c>
      <c r="E8452" t="s">
        <v>8470</v>
      </c>
      <c r="I8452" t="str">
        <f>IF(COUNTIF(Products!$A$2:$A$8,C8452)=0,C8452,"")</f>
        <v/>
      </c>
      <c r="J8452">
        <f>IF(OR(E8452="Prospecting",E8452="Engaging"),VLOOKUP(C8452,Products!$A$2:$C$8,3,FALSE),0)</f>
        <v>4821</v>
      </c>
    </row>
    <row r="8453" spans="1:10" x14ac:dyDescent="0.25">
      <c r="A8453" t="s">
        <v>8621</v>
      </c>
      <c r="B8453" t="s">
        <v>140</v>
      </c>
      <c r="C8453" t="s">
        <v>122</v>
      </c>
      <c r="E8453" t="s">
        <v>8470</v>
      </c>
      <c r="I8453" t="str">
        <f>IF(COUNTIF(Products!$A$2:$A$8,C8453)=0,C8453,"")</f>
        <v/>
      </c>
      <c r="J8453">
        <f>IF(OR(E8453="Prospecting",E8453="Engaging"),VLOOKUP(C8453,Products!$A$2:$C$8,3,FALSE),0)</f>
        <v>4821</v>
      </c>
    </row>
    <row r="8454" spans="1:10" x14ac:dyDescent="0.25">
      <c r="A8454" t="s">
        <v>8622</v>
      </c>
      <c r="B8454" t="s">
        <v>140</v>
      </c>
      <c r="C8454" t="s">
        <v>122</v>
      </c>
      <c r="E8454" t="s">
        <v>8470</v>
      </c>
      <c r="I8454" t="str">
        <f>IF(COUNTIF(Products!$A$2:$A$8,C8454)=0,C8454,"")</f>
        <v/>
      </c>
      <c r="J8454">
        <f>IF(OR(E8454="Prospecting",E8454="Engaging"),VLOOKUP(C8454,Products!$A$2:$C$8,3,FALSE),0)</f>
        <v>4821</v>
      </c>
    </row>
    <row r="8455" spans="1:10" x14ac:dyDescent="0.25">
      <c r="A8455" t="s">
        <v>8623</v>
      </c>
      <c r="B8455" t="s">
        <v>140</v>
      </c>
      <c r="C8455" t="s">
        <v>122</v>
      </c>
      <c r="E8455" t="s">
        <v>8470</v>
      </c>
      <c r="I8455" t="str">
        <f>IF(COUNTIF(Products!$A$2:$A$8,C8455)=0,C8455,"")</f>
        <v/>
      </c>
      <c r="J8455">
        <f>IF(OR(E8455="Prospecting",E8455="Engaging"),VLOOKUP(C8455,Products!$A$2:$C$8,3,FALSE),0)</f>
        <v>4821</v>
      </c>
    </row>
    <row r="8456" spans="1:10" x14ac:dyDescent="0.25">
      <c r="A8456" t="s">
        <v>8624</v>
      </c>
      <c r="B8456" t="s">
        <v>140</v>
      </c>
      <c r="C8456" t="s">
        <v>122</v>
      </c>
      <c r="E8456" t="s">
        <v>8470</v>
      </c>
      <c r="I8456" t="str">
        <f>IF(COUNTIF(Products!$A$2:$A$8,C8456)=0,C8456,"")</f>
        <v/>
      </c>
      <c r="J8456">
        <f>IF(OR(E8456="Prospecting",E8456="Engaging"),VLOOKUP(C8456,Products!$A$2:$C$8,3,FALSE),0)</f>
        <v>4821</v>
      </c>
    </row>
    <row r="8457" spans="1:10" x14ac:dyDescent="0.25">
      <c r="A8457" t="s">
        <v>8625</v>
      </c>
      <c r="B8457" t="s">
        <v>140</v>
      </c>
      <c r="C8457" t="s">
        <v>122</v>
      </c>
      <c r="E8457" t="s">
        <v>8470</v>
      </c>
      <c r="I8457" t="str">
        <f>IF(COUNTIF(Products!$A$2:$A$8,C8457)=0,C8457,"")</f>
        <v/>
      </c>
      <c r="J8457">
        <f>IF(OR(E8457="Prospecting",E8457="Engaging"),VLOOKUP(C8457,Products!$A$2:$C$8,3,FALSE),0)</f>
        <v>4821</v>
      </c>
    </row>
    <row r="8458" spans="1:10" x14ac:dyDescent="0.25">
      <c r="A8458" t="s">
        <v>8626</v>
      </c>
      <c r="B8458" t="s">
        <v>140</v>
      </c>
      <c r="C8458" t="s">
        <v>122</v>
      </c>
      <c r="E8458" t="s">
        <v>8470</v>
      </c>
      <c r="I8458" t="str">
        <f>IF(COUNTIF(Products!$A$2:$A$8,C8458)=0,C8458,"")</f>
        <v/>
      </c>
      <c r="J8458">
        <f>IF(OR(E8458="Prospecting",E8458="Engaging"),VLOOKUP(C8458,Products!$A$2:$C$8,3,FALSE),0)</f>
        <v>4821</v>
      </c>
    </row>
    <row r="8459" spans="1:10" x14ac:dyDescent="0.25">
      <c r="A8459" t="s">
        <v>8627</v>
      </c>
      <c r="B8459" t="s">
        <v>140</v>
      </c>
      <c r="C8459" t="s">
        <v>122</v>
      </c>
      <c r="E8459" t="s">
        <v>8470</v>
      </c>
      <c r="I8459" t="str">
        <f>IF(COUNTIF(Products!$A$2:$A$8,C8459)=0,C8459,"")</f>
        <v/>
      </c>
      <c r="J8459">
        <f>IF(OR(E8459="Prospecting",E8459="Engaging"),VLOOKUP(C8459,Products!$A$2:$C$8,3,FALSE),0)</f>
        <v>4821</v>
      </c>
    </row>
    <row r="8460" spans="1:10" x14ac:dyDescent="0.25">
      <c r="A8460" t="s">
        <v>8628</v>
      </c>
      <c r="B8460" t="s">
        <v>140</v>
      </c>
      <c r="C8460" t="s">
        <v>122</v>
      </c>
      <c r="E8460" t="s">
        <v>8470</v>
      </c>
      <c r="I8460" t="str">
        <f>IF(COUNTIF(Products!$A$2:$A$8,C8460)=0,C8460,"")</f>
        <v/>
      </c>
      <c r="J8460">
        <f>IF(OR(E8460="Prospecting",E8460="Engaging"),VLOOKUP(C8460,Products!$A$2:$C$8,3,FALSE),0)</f>
        <v>4821</v>
      </c>
    </row>
    <row r="8461" spans="1:10" x14ac:dyDescent="0.25">
      <c r="A8461" t="s">
        <v>8629</v>
      </c>
      <c r="B8461" t="s">
        <v>140</v>
      </c>
      <c r="C8461" t="s">
        <v>122</v>
      </c>
      <c r="E8461" t="s">
        <v>8470</v>
      </c>
      <c r="I8461" t="str">
        <f>IF(COUNTIF(Products!$A$2:$A$8,C8461)=0,C8461,"")</f>
        <v/>
      </c>
      <c r="J8461">
        <f>IF(OR(E8461="Prospecting",E8461="Engaging"),VLOOKUP(C8461,Products!$A$2:$C$8,3,FALSE),0)</f>
        <v>4821</v>
      </c>
    </row>
    <row r="8462" spans="1:10" x14ac:dyDescent="0.25">
      <c r="A8462" t="s">
        <v>8630</v>
      </c>
      <c r="B8462" t="s">
        <v>140</v>
      </c>
      <c r="C8462" t="s">
        <v>122</v>
      </c>
      <c r="E8462" t="s">
        <v>8470</v>
      </c>
      <c r="I8462" t="str">
        <f>IF(COUNTIF(Products!$A$2:$A$8,C8462)=0,C8462,"")</f>
        <v/>
      </c>
      <c r="J8462">
        <f>IF(OR(E8462="Prospecting",E8462="Engaging"),VLOOKUP(C8462,Products!$A$2:$C$8,3,FALSE),0)</f>
        <v>4821</v>
      </c>
    </row>
    <row r="8463" spans="1:10" x14ac:dyDescent="0.25">
      <c r="A8463" t="s">
        <v>8631</v>
      </c>
      <c r="B8463" t="s">
        <v>140</v>
      </c>
      <c r="C8463" t="s">
        <v>122</v>
      </c>
      <c r="E8463" t="s">
        <v>8470</v>
      </c>
      <c r="I8463" t="str">
        <f>IF(COUNTIF(Products!$A$2:$A$8,C8463)=0,C8463,"")</f>
        <v/>
      </c>
      <c r="J8463">
        <f>IF(OR(E8463="Prospecting",E8463="Engaging"),VLOOKUP(C8463,Products!$A$2:$C$8,3,FALSE),0)</f>
        <v>4821</v>
      </c>
    </row>
    <row r="8464" spans="1:10" x14ac:dyDescent="0.25">
      <c r="A8464" t="s">
        <v>8632</v>
      </c>
      <c r="B8464" t="s">
        <v>140</v>
      </c>
      <c r="C8464" t="s">
        <v>122</v>
      </c>
      <c r="E8464" t="s">
        <v>8470</v>
      </c>
      <c r="I8464" t="str">
        <f>IF(COUNTIF(Products!$A$2:$A$8,C8464)=0,C8464,"")</f>
        <v/>
      </c>
      <c r="J8464">
        <f>IF(OR(E8464="Prospecting",E8464="Engaging"),VLOOKUP(C8464,Products!$A$2:$C$8,3,FALSE),0)</f>
        <v>4821</v>
      </c>
    </row>
    <row r="8465" spans="1:10" x14ac:dyDescent="0.25">
      <c r="A8465" t="s">
        <v>8633</v>
      </c>
      <c r="B8465" t="s">
        <v>140</v>
      </c>
      <c r="C8465" t="s">
        <v>122</v>
      </c>
      <c r="E8465" t="s">
        <v>8470</v>
      </c>
      <c r="I8465" t="str">
        <f>IF(COUNTIF(Products!$A$2:$A$8,C8465)=0,C8465,"")</f>
        <v/>
      </c>
      <c r="J8465">
        <f>IF(OR(E8465="Prospecting",E8465="Engaging"),VLOOKUP(C8465,Products!$A$2:$C$8,3,FALSE),0)</f>
        <v>4821</v>
      </c>
    </row>
    <row r="8466" spans="1:10" x14ac:dyDescent="0.25">
      <c r="A8466" t="s">
        <v>8634</v>
      </c>
      <c r="B8466" t="s">
        <v>140</v>
      </c>
      <c r="C8466" t="s">
        <v>122</v>
      </c>
      <c r="E8466" t="s">
        <v>8470</v>
      </c>
      <c r="I8466" t="str">
        <f>IF(COUNTIF(Products!$A$2:$A$8,C8466)=0,C8466,"")</f>
        <v/>
      </c>
      <c r="J8466">
        <f>IF(OR(E8466="Prospecting",E8466="Engaging"),VLOOKUP(C8466,Products!$A$2:$C$8,3,FALSE),0)</f>
        <v>4821</v>
      </c>
    </row>
    <row r="8467" spans="1:10" x14ac:dyDescent="0.25">
      <c r="A8467" t="s">
        <v>8635</v>
      </c>
      <c r="B8467" t="s">
        <v>140</v>
      </c>
      <c r="C8467" t="s">
        <v>122</v>
      </c>
      <c r="E8467" t="s">
        <v>8470</v>
      </c>
      <c r="I8467" t="str">
        <f>IF(COUNTIF(Products!$A$2:$A$8,C8467)=0,C8467,"")</f>
        <v/>
      </c>
      <c r="J8467">
        <f>IF(OR(E8467="Prospecting",E8467="Engaging"),VLOOKUP(C8467,Products!$A$2:$C$8,3,FALSE),0)</f>
        <v>4821</v>
      </c>
    </row>
    <row r="8468" spans="1:10" x14ac:dyDescent="0.25">
      <c r="A8468" t="s">
        <v>8636</v>
      </c>
      <c r="B8468" t="s">
        <v>140</v>
      </c>
      <c r="C8468" t="s">
        <v>122</v>
      </c>
      <c r="E8468" t="s">
        <v>8470</v>
      </c>
      <c r="I8468" t="str">
        <f>IF(COUNTIF(Products!$A$2:$A$8,C8468)=0,C8468,"")</f>
        <v/>
      </c>
      <c r="J8468">
        <f>IF(OR(E8468="Prospecting",E8468="Engaging"),VLOOKUP(C8468,Products!$A$2:$C$8,3,FALSE),0)</f>
        <v>4821</v>
      </c>
    </row>
    <row r="8469" spans="1:10" x14ac:dyDescent="0.25">
      <c r="A8469" t="s">
        <v>8637</v>
      </c>
      <c r="B8469" t="s">
        <v>140</v>
      </c>
      <c r="C8469" t="s">
        <v>122</v>
      </c>
      <c r="E8469" t="s">
        <v>8470</v>
      </c>
      <c r="I8469" t="str">
        <f>IF(COUNTIF(Products!$A$2:$A$8,C8469)=0,C8469,"")</f>
        <v/>
      </c>
      <c r="J8469">
        <f>IF(OR(E8469="Prospecting",E8469="Engaging"),VLOOKUP(C8469,Products!$A$2:$C$8,3,FALSE),0)</f>
        <v>4821</v>
      </c>
    </row>
    <row r="8470" spans="1:10" x14ac:dyDescent="0.25">
      <c r="A8470" t="s">
        <v>8638</v>
      </c>
      <c r="B8470" t="s">
        <v>140</v>
      </c>
      <c r="C8470" t="s">
        <v>122</v>
      </c>
      <c r="E8470" t="s">
        <v>8470</v>
      </c>
      <c r="I8470" t="str">
        <f>IF(COUNTIF(Products!$A$2:$A$8,C8470)=0,C8470,"")</f>
        <v/>
      </c>
      <c r="J8470">
        <f>IF(OR(E8470="Prospecting",E8470="Engaging"),VLOOKUP(C8470,Products!$A$2:$C$8,3,FALSE),0)</f>
        <v>4821</v>
      </c>
    </row>
    <row r="8471" spans="1:10" x14ac:dyDescent="0.25">
      <c r="A8471" t="s">
        <v>8639</v>
      </c>
      <c r="B8471" t="s">
        <v>140</v>
      </c>
      <c r="C8471" t="s">
        <v>122</v>
      </c>
      <c r="E8471" t="s">
        <v>8470</v>
      </c>
      <c r="I8471" t="str">
        <f>IF(COUNTIF(Products!$A$2:$A$8,C8471)=0,C8471,"")</f>
        <v/>
      </c>
      <c r="J8471">
        <f>IF(OR(E8471="Prospecting",E8471="Engaging"),VLOOKUP(C8471,Products!$A$2:$C$8,3,FALSE),0)</f>
        <v>4821</v>
      </c>
    </row>
    <row r="8472" spans="1:10" x14ac:dyDescent="0.25">
      <c r="A8472" t="s">
        <v>8640</v>
      </c>
      <c r="B8472" t="s">
        <v>140</v>
      </c>
      <c r="C8472" t="s">
        <v>122</v>
      </c>
      <c r="E8472" t="s">
        <v>8470</v>
      </c>
      <c r="I8472" t="str">
        <f>IF(COUNTIF(Products!$A$2:$A$8,C8472)=0,C8472,"")</f>
        <v/>
      </c>
      <c r="J8472">
        <f>IF(OR(E8472="Prospecting",E8472="Engaging"),VLOOKUP(C8472,Products!$A$2:$C$8,3,FALSE),0)</f>
        <v>4821</v>
      </c>
    </row>
    <row r="8473" spans="1:10" x14ac:dyDescent="0.25">
      <c r="A8473" t="s">
        <v>8641</v>
      </c>
      <c r="B8473" t="s">
        <v>140</v>
      </c>
      <c r="C8473" t="s">
        <v>122</v>
      </c>
      <c r="E8473" t="s">
        <v>8470</v>
      </c>
      <c r="I8473" t="str">
        <f>IF(COUNTIF(Products!$A$2:$A$8,C8473)=0,C8473,"")</f>
        <v/>
      </c>
      <c r="J8473">
        <f>IF(OR(E8473="Prospecting",E8473="Engaging"),VLOOKUP(C8473,Products!$A$2:$C$8,3,FALSE),0)</f>
        <v>4821</v>
      </c>
    </row>
    <row r="8474" spans="1:10" x14ac:dyDescent="0.25">
      <c r="A8474" t="s">
        <v>8642</v>
      </c>
      <c r="B8474" t="s">
        <v>140</v>
      </c>
      <c r="C8474" t="s">
        <v>122</v>
      </c>
      <c r="E8474" t="s">
        <v>8470</v>
      </c>
      <c r="I8474" t="str">
        <f>IF(COUNTIF(Products!$A$2:$A$8,C8474)=0,C8474,"")</f>
        <v/>
      </c>
      <c r="J8474">
        <f>IF(OR(E8474="Prospecting",E8474="Engaging"),VLOOKUP(C8474,Products!$A$2:$C$8,3,FALSE),0)</f>
        <v>4821</v>
      </c>
    </row>
    <row r="8475" spans="1:10" x14ac:dyDescent="0.25">
      <c r="A8475" t="s">
        <v>8643</v>
      </c>
      <c r="B8475" t="s">
        <v>140</v>
      </c>
      <c r="C8475" t="s">
        <v>122</v>
      </c>
      <c r="E8475" t="s">
        <v>8470</v>
      </c>
      <c r="I8475" t="str">
        <f>IF(COUNTIF(Products!$A$2:$A$8,C8475)=0,C8475,"")</f>
        <v/>
      </c>
      <c r="J8475">
        <f>IF(OR(E8475="Prospecting",E8475="Engaging"),VLOOKUP(C8475,Products!$A$2:$C$8,3,FALSE),0)</f>
        <v>4821</v>
      </c>
    </row>
    <row r="8476" spans="1:10" x14ac:dyDescent="0.25">
      <c r="A8476" t="s">
        <v>8644</v>
      </c>
      <c r="B8476" t="s">
        <v>140</v>
      </c>
      <c r="C8476" t="s">
        <v>122</v>
      </c>
      <c r="E8476" t="s">
        <v>8470</v>
      </c>
      <c r="I8476" t="str">
        <f>IF(COUNTIF(Products!$A$2:$A$8,C8476)=0,C8476,"")</f>
        <v/>
      </c>
      <c r="J8476">
        <f>IF(OR(E8476="Prospecting",E8476="Engaging"),VLOOKUP(C8476,Products!$A$2:$C$8,3,FALSE),0)</f>
        <v>4821</v>
      </c>
    </row>
    <row r="8477" spans="1:10" x14ac:dyDescent="0.25">
      <c r="A8477" t="s">
        <v>8645</v>
      </c>
      <c r="B8477" t="s">
        <v>140</v>
      </c>
      <c r="C8477" t="s">
        <v>123</v>
      </c>
      <c r="E8477" t="s">
        <v>8470</v>
      </c>
      <c r="I8477" t="str">
        <f>IF(COUNTIF(Products!$A$2:$A$8,C8477)=0,C8477,"")</f>
        <v/>
      </c>
      <c r="J8477">
        <f>IF(OR(E8477="Prospecting",E8477="Engaging"),VLOOKUP(C8477,Products!$A$2:$C$8,3,FALSE),0)</f>
        <v>55</v>
      </c>
    </row>
    <row r="8478" spans="1:10" x14ac:dyDescent="0.25">
      <c r="A8478" t="s">
        <v>8646</v>
      </c>
      <c r="B8478" t="s">
        <v>140</v>
      </c>
      <c r="C8478" t="s">
        <v>123</v>
      </c>
      <c r="E8478" t="s">
        <v>8470</v>
      </c>
      <c r="I8478" t="str">
        <f>IF(COUNTIF(Products!$A$2:$A$8,C8478)=0,C8478,"")</f>
        <v/>
      </c>
      <c r="J8478">
        <f>IF(OR(E8478="Prospecting",E8478="Engaging"),VLOOKUP(C8478,Products!$A$2:$C$8,3,FALSE),0)</f>
        <v>55</v>
      </c>
    </row>
    <row r="8479" spans="1:10" x14ac:dyDescent="0.25">
      <c r="A8479" t="s">
        <v>8647</v>
      </c>
      <c r="B8479" t="s">
        <v>140</v>
      </c>
      <c r="C8479" t="s">
        <v>123</v>
      </c>
      <c r="E8479" t="s">
        <v>8470</v>
      </c>
      <c r="I8479" t="str">
        <f>IF(COUNTIF(Products!$A$2:$A$8,C8479)=0,C8479,"")</f>
        <v/>
      </c>
      <c r="J8479">
        <f>IF(OR(E8479="Prospecting",E8479="Engaging"),VLOOKUP(C8479,Products!$A$2:$C$8,3,FALSE),0)</f>
        <v>55</v>
      </c>
    </row>
    <row r="8480" spans="1:10" x14ac:dyDescent="0.25">
      <c r="A8480" t="s">
        <v>8648</v>
      </c>
      <c r="B8480" t="s">
        <v>140</v>
      </c>
      <c r="C8480" t="s">
        <v>123</v>
      </c>
      <c r="E8480" t="s">
        <v>8470</v>
      </c>
      <c r="I8480" t="str">
        <f>IF(COUNTIF(Products!$A$2:$A$8,C8480)=0,C8480,"")</f>
        <v/>
      </c>
      <c r="J8480">
        <f>IF(OR(E8480="Prospecting",E8480="Engaging"),VLOOKUP(C8480,Products!$A$2:$C$8,3,FALSE),0)</f>
        <v>55</v>
      </c>
    </row>
    <row r="8481" spans="1:10" x14ac:dyDescent="0.25">
      <c r="A8481" t="s">
        <v>8649</v>
      </c>
      <c r="B8481" t="s">
        <v>140</v>
      </c>
      <c r="C8481" t="s">
        <v>123</v>
      </c>
      <c r="E8481" t="s">
        <v>8470</v>
      </c>
      <c r="I8481" t="str">
        <f>IF(COUNTIF(Products!$A$2:$A$8,C8481)=0,C8481,"")</f>
        <v/>
      </c>
      <c r="J8481">
        <f>IF(OR(E8481="Prospecting",E8481="Engaging"),VLOOKUP(C8481,Products!$A$2:$C$8,3,FALSE),0)</f>
        <v>55</v>
      </c>
    </row>
    <row r="8482" spans="1:10" x14ac:dyDescent="0.25">
      <c r="A8482" t="s">
        <v>8650</v>
      </c>
      <c r="B8482" t="s">
        <v>140</v>
      </c>
      <c r="C8482" t="s">
        <v>123</v>
      </c>
      <c r="E8482" t="s">
        <v>8470</v>
      </c>
      <c r="I8482" t="str">
        <f>IF(COUNTIF(Products!$A$2:$A$8,C8482)=0,C8482,"")</f>
        <v/>
      </c>
      <c r="J8482">
        <f>IF(OR(E8482="Prospecting",E8482="Engaging"),VLOOKUP(C8482,Products!$A$2:$C$8,3,FALSE),0)</f>
        <v>55</v>
      </c>
    </row>
    <row r="8483" spans="1:10" x14ac:dyDescent="0.25">
      <c r="A8483" t="s">
        <v>8651</v>
      </c>
      <c r="B8483" t="s">
        <v>140</v>
      </c>
      <c r="C8483" t="s">
        <v>123</v>
      </c>
      <c r="E8483" t="s">
        <v>8470</v>
      </c>
      <c r="I8483" t="str">
        <f>IF(COUNTIF(Products!$A$2:$A$8,C8483)=0,C8483,"")</f>
        <v/>
      </c>
      <c r="J8483">
        <f>IF(OR(E8483="Prospecting",E8483="Engaging"),VLOOKUP(C8483,Products!$A$2:$C$8,3,FALSE),0)</f>
        <v>55</v>
      </c>
    </row>
    <row r="8484" spans="1:10" x14ac:dyDescent="0.25">
      <c r="A8484" t="s">
        <v>8652</v>
      </c>
      <c r="B8484" t="s">
        <v>140</v>
      </c>
      <c r="C8484" t="s">
        <v>125</v>
      </c>
      <c r="D8484" t="s">
        <v>20</v>
      </c>
      <c r="E8484" t="s">
        <v>8470</v>
      </c>
      <c r="I8484" t="str">
        <f>IF(COUNTIF(Products!$A$2:$A$8,C8484)=0,C8484,"")</f>
        <v/>
      </c>
      <c r="J8484">
        <f>IF(OR(E8484="Prospecting",E8484="Engaging"),VLOOKUP(C8484,Products!$A$2:$C$8,3,FALSE),0)</f>
        <v>3393</v>
      </c>
    </row>
    <row r="8485" spans="1:10" x14ac:dyDescent="0.25">
      <c r="A8485" t="s">
        <v>8653</v>
      </c>
      <c r="B8485" t="s">
        <v>140</v>
      </c>
      <c r="C8485" t="s">
        <v>125</v>
      </c>
      <c r="D8485" t="s">
        <v>35</v>
      </c>
      <c r="E8485" t="s">
        <v>8470</v>
      </c>
      <c r="I8485" t="str">
        <f>IF(COUNTIF(Products!$A$2:$A$8,C8485)=0,C8485,"")</f>
        <v/>
      </c>
      <c r="J8485">
        <f>IF(OR(E8485="Prospecting",E8485="Engaging"),VLOOKUP(C8485,Products!$A$2:$C$8,3,FALSE),0)</f>
        <v>3393</v>
      </c>
    </row>
    <row r="8486" spans="1:10" x14ac:dyDescent="0.25">
      <c r="A8486" t="s">
        <v>8654</v>
      </c>
      <c r="B8486" t="s">
        <v>140</v>
      </c>
      <c r="C8486" t="s">
        <v>125</v>
      </c>
      <c r="E8486" t="s">
        <v>8470</v>
      </c>
      <c r="I8486" t="str">
        <f>IF(COUNTIF(Products!$A$2:$A$8,C8486)=0,C8486,"")</f>
        <v/>
      </c>
      <c r="J8486">
        <f>IF(OR(E8486="Prospecting",E8486="Engaging"),VLOOKUP(C8486,Products!$A$2:$C$8,3,FALSE),0)</f>
        <v>3393</v>
      </c>
    </row>
    <row r="8487" spans="1:10" x14ac:dyDescent="0.25">
      <c r="A8487" t="s">
        <v>8655</v>
      </c>
      <c r="B8487" t="s">
        <v>140</v>
      </c>
      <c r="C8487" t="s">
        <v>125</v>
      </c>
      <c r="E8487" t="s">
        <v>8470</v>
      </c>
      <c r="I8487" t="str">
        <f>IF(COUNTIF(Products!$A$2:$A$8,C8487)=0,C8487,"")</f>
        <v/>
      </c>
      <c r="J8487">
        <f>IF(OR(E8487="Prospecting",E8487="Engaging"),VLOOKUP(C8487,Products!$A$2:$C$8,3,FALSE),0)</f>
        <v>3393</v>
      </c>
    </row>
    <row r="8488" spans="1:10" x14ac:dyDescent="0.25">
      <c r="A8488" t="s">
        <v>8656</v>
      </c>
      <c r="B8488" t="s">
        <v>140</v>
      </c>
      <c r="C8488" t="s">
        <v>125</v>
      </c>
      <c r="E8488" t="s">
        <v>8470</v>
      </c>
      <c r="I8488" t="str">
        <f>IF(COUNTIF(Products!$A$2:$A$8,C8488)=0,C8488,"")</f>
        <v/>
      </c>
      <c r="J8488">
        <f>IF(OR(E8488="Prospecting",E8488="Engaging"),VLOOKUP(C8488,Products!$A$2:$C$8,3,FALSE),0)</f>
        <v>3393</v>
      </c>
    </row>
    <row r="8489" spans="1:10" x14ac:dyDescent="0.25">
      <c r="A8489" t="s">
        <v>8657</v>
      </c>
      <c r="B8489" t="s">
        <v>140</v>
      </c>
      <c r="C8489" t="s">
        <v>125</v>
      </c>
      <c r="E8489" t="s">
        <v>8470</v>
      </c>
      <c r="I8489" t="str">
        <f>IF(COUNTIF(Products!$A$2:$A$8,C8489)=0,C8489,"")</f>
        <v/>
      </c>
      <c r="J8489">
        <f>IF(OR(E8489="Prospecting",E8489="Engaging"),VLOOKUP(C8489,Products!$A$2:$C$8,3,FALSE),0)</f>
        <v>3393</v>
      </c>
    </row>
    <row r="8490" spans="1:10" x14ac:dyDescent="0.25">
      <c r="A8490" t="s">
        <v>8658</v>
      </c>
      <c r="B8490" t="s">
        <v>140</v>
      </c>
      <c r="C8490" t="s">
        <v>125</v>
      </c>
      <c r="E8490" t="s">
        <v>8470</v>
      </c>
      <c r="I8490" t="str">
        <f>IF(COUNTIF(Products!$A$2:$A$8,C8490)=0,C8490,"")</f>
        <v/>
      </c>
      <c r="J8490">
        <f>IF(OR(E8490="Prospecting",E8490="Engaging"),VLOOKUP(C8490,Products!$A$2:$C$8,3,FALSE),0)</f>
        <v>3393</v>
      </c>
    </row>
    <row r="8491" spans="1:10" x14ac:dyDescent="0.25">
      <c r="A8491" t="s">
        <v>8659</v>
      </c>
      <c r="B8491" t="s">
        <v>140</v>
      </c>
      <c r="C8491" t="s">
        <v>125</v>
      </c>
      <c r="E8491" t="s">
        <v>8470</v>
      </c>
      <c r="I8491" t="str">
        <f>IF(COUNTIF(Products!$A$2:$A$8,C8491)=0,C8491,"")</f>
        <v/>
      </c>
      <c r="J8491">
        <f>IF(OR(E8491="Prospecting",E8491="Engaging"),VLOOKUP(C8491,Products!$A$2:$C$8,3,FALSE),0)</f>
        <v>3393</v>
      </c>
    </row>
    <row r="8492" spans="1:10" x14ac:dyDescent="0.25">
      <c r="A8492" t="s">
        <v>8660</v>
      </c>
      <c r="B8492" t="s">
        <v>158</v>
      </c>
      <c r="C8492" t="s">
        <v>120</v>
      </c>
      <c r="D8492" t="s">
        <v>61</v>
      </c>
      <c r="E8492" t="s">
        <v>8470</v>
      </c>
      <c r="I8492" t="str">
        <f>IF(COUNTIF(Products!$A$2:$A$8,C8492)=0,C8492,"")</f>
        <v/>
      </c>
      <c r="J8492">
        <f>IF(OR(E8492="Prospecting",E8492="Engaging"),VLOOKUP(C8492,Products!$A$2:$C$8,3,FALSE),0)</f>
        <v>550</v>
      </c>
    </row>
    <row r="8493" spans="1:10" x14ac:dyDescent="0.25">
      <c r="A8493" t="s">
        <v>8661</v>
      </c>
      <c r="B8493" t="s">
        <v>158</v>
      </c>
      <c r="C8493" t="s">
        <v>120</v>
      </c>
      <c r="E8493" t="s">
        <v>8470</v>
      </c>
      <c r="I8493" t="str">
        <f>IF(COUNTIF(Products!$A$2:$A$8,C8493)=0,C8493,"")</f>
        <v/>
      </c>
      <c r="J8493">
        <f>IF(OR(E8493="Prospecting",E8493="Engaging"),VLOOKUP(C8493,Products!$A$2:$C$8,3,FALSE),0)</f>
        <v>550</v>
      </c>
    </row>
    <row r="8494" spans="1:10" x14ac:dyDescent="0.25">
      <c r="A8494" t="s">
        <v>8662</v>
      </c>
      <c r="B8494" t="s">
        <v>158</v>
      </c>
      <c r="C8494" t="s">
        <v>120</v>
      </c>
      <c r="E8494" t="s">
        <v>8470</v>
      </c>
      <c r="I8494" t="str">
        <f>IF(COUNTIF(Products!$A$2:$A$8,C8494)=0,C8494,"")</f>
        <v/>
      </c>
      <c r="J8494">
        <f>IF(OR(E8494="Prospecting",E8494="Engaging"),VLOOKUP(C8494,Products!$A$2:$C$8,3,FALSE),0)</f>
        <v>550</v>
      </c>
    </row>
    <row r="8495" spans="1:10" x14ac:dyDescent="0.25">
      <c r="A8495" t="s">
        <v>8663</v>
      </c>
      <c r="B8495" t="s">
        <v>158</v>
      </c>
      <c r="C8495" t="s">
        <v>120</v>
      </c>
      <c r="E8495" t="s">
        <v>8470</v>
      </c>
      <c r="I8495" t="str">
        <f>IF(COUNTIF(Products!$A$2:$A$8,C8495)=0,C8495,"")</f>
        <v/>
      </c>
      <c r="J8495">
        <f>IF(OR(E8495="Prospecting",E8495="Engaging"),VLOOKUP(C8495,Products!$A$2:$C$8,3,FALSE),0)</f>
        <v>550</v>
      </c>
    </row>
    <row r="8496" spans="1:10" x14ac:dyDescent="0.25">
      <c r="A8496" t="s">
        <v>8664</v>
      </c>
      <c r="B8496" t="s">
        <v>158</v>
      </c>
      <c r="C8496" t="s">
        <v>127</v>
      </c>
      <c r="D8496" t="s">
        <v>65</v>
      </c>
      <c r="E8496" t="s">
        <v>8470</v>
      </c>
      <c r="I8496" t="str">
        <f>IF(COUNTIF(Products!$A$2:$A$8,C8496)=0,C8496,"")</f>
        <v/>
      </c>
      <c r="J8496">
        <f>IF(OR(E8496="Prospecting",E8496="Engaging"),VLOOKUP(C8496,Products!$A$2:$C$8,3,FALSE),0)</f>
        <v>1096</v>
      </c>
    </row>
    <row r="8497" spans="1:10" x14ac:dyDescent="0.25">
      <c r="A8497" t="s">
        <v>8665</v>
      </c>
      <c r="B8497" t="s">
        <v>158</v>
      </c>
      <c r="C8497" t="s">
        <v>127</v>
      </c>
      <c r="D8497" t="s">
        <v>82</v>
      </c>
      <c r="E8497" t="s">
        <v>8470</v>
      </c>
      <c r="I8497" t="str">
        <f>IF(COUNTIF(Products!$A$2:$A$8,C8497)=0,C8497,"")</f>
        <v/>
      </c>
      <c r="J8497">
        <f>IF(OR(E8497="Prospecting",E8497="Engaging"),VLOOKUP(C8497,Products!$A$2:$C$8,3,FALSE),0)</f>
        <v>1096</v>
      </c>
    </row>
    <row r="8498" spans="1:10" x14ac:dyDescent="0.25">
      <c r="A8498" t="s">
        <v>8666</v>
      </c>
      <c r="B8498" t="s">
        <v>158</v>
      </c>
      <c r="C8498" t="s">
        <v>127</v>
      </c>
      <c r="E8498" t="s">
        <v>8470</v>
      </c>
      <c r="I8498" t="str">
        <f>IF(COUNTIF(Products!$A$2:$A$8,C8498)=0,C8498,"")</f>
        <v/>
      </c>
      <c r="J8498">
        <f>IF(OR(E8498="Prospecting",E8498="Engaging"),VLOOKUP(C8498,Products!$A$2:$C$8,3,FALSE),0)</f>
        <v>1096</v>
      </c>
    </row>
    <row r="8499" spans="1:10" x14ac:dyDescent="0.25">
      <c r="A8499" t="s">
        <v>8667</v>
      </c>
      <c r="B8499" t="s">
        <v>158</v>
      </c>
      <c r="C8499" t="s">
        <v>127</v>
      </c>
      <c r="E8499" t="s">
        <v>8470</v>
      </c>
      <c r="I8499" t="str">
        <f>IF(COUNTIF(Products!$A$2:$A$8,C8499)=0,C8499,"")</f>
        <v/>
      </c>
      <c r="J8499">
        <f>IF(OR(E8499="Prospecting",E8499="Engaging"),VLOOKUP(C8499,Products!$A$2:$C$8,3,FALSE),0)</f>
        <v>1096</v>
      </c>
    </row>
    <row r="8500" spans="1:10" x14ac:dyDescent="0.25">
      <c r="A8500" t="s">
        <v>8668</v>
      </c>
      <c r="B8500" t="s">
        <v>158</v>
      </c>
      <c r="C8500" t="s">
        <v>127</v>
      </c>
      <c r="E8500" t="s">
        <v>8470</v>
      </c>
      <c r="I8500" t="str">
        <f>IF(COUNTIF(Products!$A$2:$A$8,C8500)=0,C8500,"")</f>
        <v/>
      </c>
      <c r="J8500">
        <f>IF(OR(E8500="Prospecting",E8500="Engaging"),VLOOKUP(C8500,Products!$A$2:$C$8,3,FALSE),0)</f>
        <v>1096</v>
      </c>
    </row>
    <row r="8501" spans="1:10" x14ac:dyDescent="0.25">
      <c r="A8501" t="s">
        <v>8669</v>
      </c>
      <c r="B8501" t="s">
        <v>158</v>
      </c>
      <c r="C8501" t="s">
        <v>127</v>
      </c>
      <c r="E8501" t="s">
        <v>8470</v>
      </c>
      <c r="I8501" t="str">
        <f>IF(COUNTIF(Products!$A$2:$A$8,C8501)=0,C8501,"")</f>
        <v/>
      </c>
      <c r="J8501">
        <f>IF(OR(E8501="Prospecting",E8501="Engaging"),VLOOKUP(C8501,Products!$A$2:$C$8,3,FALSE),0)</f>
        <v>1096</v>
      </c>
    </row>
    <row r="8502" spans="1:10" x14ac:dyDescent="0.25">
      <c r="A8502" t="s">
        <v>8670</v>
      </c>
      <c r="B8502" t="s">
        <v>158</v>
      </c>
      <c r="C8502" t="s">
        <v>127</v>
      </c>
      <c r="E8502" t="s">
        <v>8470</v>
      </c>
      <c r="I8502" t="str">
        <f>IF(COUNTIF(Products!$A$2:$A$8,C8502)=0,C8502,"")</f>
        <v/>
      </c>
      <c r="J8502">
        <f>IF(OR(E8502="Prospecting",E8502="Engaging"),VLOOKUP(C8502,Products!$A$2:$C$8,3,FALSE),0)</f>
        <v>1096</v>
      </c>
    </row>
    <row r="8503" spans="1:10" x14ac:dyDescent="0.25">
      <c r="A8503" t="s">
        <v>8671</v>
      </c>
      <c r="B8503" t="s">
        <v>158</v>
      </c>
      <c r="C8503" t="s">
        <v>127</v>
      </c>
      <c r="E8503" t="s">
        <v>8470</v>
      </c>
      <c r="I8503" t="str">
        <f>IF(COUNTIF(Products!$A$2:$A$8,C8503)=0,C8503,"")</f>
        <v/>
      </c>
      <c r="J8503">
        <f>IF(OR(E8503="Prospecting",E8503="Engaging"),VLOOKUP(C8503,Products!$A$2:$C$8,3,FALSE),0)</f>
        <v>1096</v>
      </c>
    </row>
    <row r="8504" spans="1:10" x14ac:dyDescent="0.25">
      <c r="A8504" t="s">
        <v>8672</v>
      </c>
      <c r="B8504" t="s">
        <v>158</v>
      </c>
      <c r="C8504" t="s">
        <v>127</v>
      </c>
      <c r="E8504" t="s">
        <v>8470</v>
      </c>
      <c r="I8504" t="str">
        <f>IF(COUNTIF(Products!$A$2:$A$8,C8504)=0,C8504,"")</f>
        <v/>
      </c>
      <c r="J8504">
        <f>IF(OR(E8504="Prospecting",E8504="Engaging"),VLOOKUP(C8504,Products!$A$2:$C$8,3,FALSE),0)</f>
        <v>1096</v>
      </c>
    </row>
    <row r="8505" spans="1:10" x14ac:dyDescent="0.25">
      <c r="A8505" t="s">
        <v>8673</v>
      </c>
      <c r="B8505" t="s">
        <v>158</v>
      </c>
      <c r="C8505" t="s">
        <v>126</v>
      </c>
      <c r="D8505" t="s">
        <v>67</v>
      </c>
      <c r="E8505" t="s">
        <v>8470</v>
      </c>
      <c r="I8505" t="str">
        <f>IF(COUNTIF(Products!$A$2:$A$8,C8505)=0,C8505,"")</f>
        <v/>
      </c>
      <c r="J8505">
        <f>IF(OR(E8505="Prospecting",E8505="Engaging"),VLOOKUP(C8505,Products!$A$2:$C$8,3,FALSE),0)</f>
        <v>5482</v>
      </c>
    </row>
    <row r="8506" spans="1:10" x14ac:dyDescent="0.25">
      <c r="A8506" t="s">
        <v>8674</v>
      </c>
      <c r="B8506" t="s">
        <v>158</v>
      </c>
      <c r="C8506" t="s">
        <v>126</v>
      </c>
      <c r="D8506" t="s">
        <v>84</v>
      </c>
      <c r="E8506" t="s">
        <v>8470</v>
      </c>
      <c r="I8506" t="str">
        <f>IF(COUNTIF(Products!$A$2:$A$8,C8506)=0,C8506,"")</f>
        <v/>
      </c>
      <c r="J8506">
        <f>IF(OR(E8506="Prospecting",E8506="Engaging"),VLOOKUP(C8506,Products!$A$2:$C$8,3,FALSE),0)</f>
        <v>5482</v>
      </c>
    </row>
    <row r="8507" spans="1:10" x14ac:dyDescent="0.25">
      <c r="A8507" t="s">
        <v>8675</v>
      </c>
      <c r="B8507" t="s">
        <v>158</v>
      </c>
      <c r="C8507" t="s">
        <v>126</v>
      </c>
      <c r="D8507" t="s">
        <v>106</v>
      </c>
      <c r="E8507" t="s">
        <v>8470</v>
      </c>
      <c r="I8507" t="str">
        <f>IF(COUNTIF(Products!$A$2:$A$8,C8507)=0,C8507,"")</f>
        <v/>
      </c>
      <c r="J8507">
        <f>IF(OR(E8507="Prospecting",E8507="Engaging"),VLOOKUP(C8507,Products!$A$2:$C$8,3,FALSE),0)</f>
        <v>5482</v>
      </c>
    </row>
    <row r="8508" spans="1:10" x14ac:dyDescent="0.25">
      <c r="A8508" t="s">
        <v>8676</v>
      </c>
      <c r="B8508" t="s">
        <v>158</v>
      </c>
      <c r="C8508" t="s">
        <v>126</v>
      </c>
      <c r="E8508" t="s">
        <v>8470</v>
      </c>
      <c r="I8508" t="str">
        <f>IF(COUNTIF(Products!$A$2:$A$8,C8508)=0,C8508,"")</f>
        <v/>
      </c>
      <c r="J8508">
        <f>IF(OR(E8508="Prospecting",E8508="Engaging"),VLOOKUP(C8508,Products!$A$2:$C$8,3,FALSE),0)</f>
        <v>5482</v>
      </c>
    </row>
    <row r="8509" spans="1:10" x14ac:dyDescent="0.25">
      <c r="A8509" t="s">
        <v>8677</v>
      </c>
      <c r="B8509" t="s">
        <v>158</v>
      </c>
      <c r="C8509" t="s">
        <v>126</v>
      </c>
      <c r="E8509" t="s">
        <v>8470</v>
      </c>
      <c r="I8509" t="str">
        <f>IF(COUNTIF(Products!$A$2:$A$8,C8509)=0,C8509,"")</f>
        <v/>
      </c>
      <c r="J8509">
        <f>IF(OR(E8509="Prospecting",E8509="Engaging"),VLOOKUP(C8509,Products!$A$2:$C$8,3,FALSE),0)</f>
        <v>5482</v>
      </c>
    </row>
    <row r="8510" spans="1:10" x14ac:dyDescent="0.25">
      <c r="A8510" t="s">
        <v>8678</v>
      </c>
      <c r="B8510" t="s">
        <v>158</v>
      </c>
      <c r="C8510" t="s">
        <v>126</v>
      </c>
      <c r="E8510" t="s">
        <v>8470</v>
      </c>
      <c r="I8510" t="str">
        <f>IF(COUNTIF(Products!$A$2:$A$8,C8510)=0,C8510,"")</f>
        <v/>
      </c>
      <c r="J8510">
        <f>IF(OR(E8510="Prospecting",E8510="Engaging"),VLOOKUP(C8510,Products!$A$2:$C$8,3,FALSE),0)</f>
        <v>5482</v>
      </c>
    </row>
    <row r="8511" spans="1:10" x14ac:dyDescent="0.25">
      <c r="A8511" t="s">
        <v>8679</v>
      </c>
      <c r="B8511" t="s">
        <v>158</v>
      </c>
      <c r="C8511" t="s">
        <v>126</v>
      </c>
      <c r="E8511" t="s">
        <v>8470</v>
      </c>
      <c r="I8511" t="str">
        <f>IF(COUNTIF(Products!$A$2:$A$8,C8511)=0,C8511,"")</f>
        <v/>
      </c>
      <c r="J8511">
        <f>IF(OR(E8511="Prospecting",E8511="Engaging"),VLOOKUP(C8511,Products!$A$2:$C$8,3,FALSE),0)</f>
        <v>5482</v>
      </c>
    </row>
    <row r="8512" spans="1:10" x14ac:dyDescent="0.25">
      <c r="A8512" t="s">
        <v>8680</v>
      </c>
      <c r="B8512" t="s">
        <v>158</v>
      </c>
      <c r="C8512" t="s">
        <v>126</v>
      </c>
      <c r="E8512" t="s">
        <v>8470</v>
      </c>
      <c r="I8512" t="str">
        <f>IF(COUNTIF(Products!$A$2:$A$8,C8512)=0,C8512,"")</f>
        <v/>
      </c>
      <c r="J8512">
        <f>IF(OR(E8512="Prospecting",E8512="Engaging"),VLOOKUP(C8512,Products!$A$2:$C$8,3,FALSE),0)</f>
        <v>5482</v>
      </c>
    </row>
    <row r="8513" spans="1:10" x14ac:dyDescent="0.25">
      <c r="A8513" t="s">
        <v>8681</v>
      </c>
      <c r="B8513" t="s">
        <v>158</v>
      </c>
      <c r="C8513" t="s">
        <v>126</v>
      </c>
      <c r="E8513" t="s">
        <v>8470</v>
      </c>
      <c r="I8513" t="str">
        <f>IF(COUNTIF(Products!$A$2:$A$8,C8513)=0,C8513,"")</f>
        <v/>
      </c>
      <c r="J8513">
        <f>IF(OR(E8513="Prospecting",E8513="Engaging"),VLOOKUP(C8513,Products!$A$2:$C$8,3,FALSE),0)</f>
        <v>5482</v>
      </c>
    </row>
    <row r="8514" spans="1:10" x14ac:dyDescent="0.25">
      <c r="A8514" t="s">
        <v>8682</v>
      </c>
      <c r="B8514" t="s">
        <v>158</v>
      </c>
      <c r="C8514" t="s">
        <v>122</v>
      </c>
      <c r="D8514" t="s">
        <v>14</v>
      </c>
      <c r="E8514" t="s">
        <v>8470</v>
      </c>
      <c r="I8514" t="str">
        <f>IF(COUNTIF(Products!$A$2:$A$8,C8514)=0,C8514,"")</f>
        <v/>
      </c>
      <c r="J8514">
        <f>IF(OR(E8514="Prospecting",E8514="Engaging"),VLOOKUP(C8514,Products!$A$2:$C$8,3,FALSE),0)</f>
        <v>4821</v>
      </c>
    </row>
    <row r="8515" spans="1:10" x14ac:dyDescent="0.25">
      <c r="A8515" t="s">
        <v>8683</v>
      </c>
      <c r="B8515" t="s">
        <v>158</v>
      </c>
      <c r="C8515" t="s">
        <v>122</v>
      </c>
      <c r="D8515" t="s">
        <v>51</v>
      </c>
      <c r="E8515" t="s">
        <v>8470</v>
      </c>
      <c r="I8515" t="str">
        <f>IF(COUNTIF(Products!$A$2:$A$8,C8515)=0,C8515,"")</f>
        <v/>
      </c>
      <c r="J8515">
        <f>IF(OR(E8515="Prospecting",E8515="Engaging"),VLOOKUP(C8515,Products!$A$2:$C$8,3,FALSE),0)</f>
        <v>4821</v>
      </c>
    </row>
    <row r="8516" spans="1:10" x14ac:dyDescent="0.25">
      <c r="A8516" t="s">
        <v>8684</v>
      </c>
      <c r="B8516" t="s">
        <v>158</v>
      </c>
      <c r="C8516" t="s">
        <v>122</v>
      </c>
      <c r="D8516" t="s">
        <v>104</v>
      </c>
      <c r="E8516" t="s">
        <v>8470</v>
      </c>
      <c r="I8516" t="str">
        <f>IF(COUNTIF(Products!$A$2:$A$8,C8516)=0,C8516,"")</f>
        <v/>
      </c>
      <c r="J8516">
        <f>IF(OR(E8516="Prospecting",E8516="Engaging"),VLOOKUP(C8516,Products!$A$2:$C$8,3,FALSE),0)</f>
        <v>4821</v>
      </c>
    </row>
    <row r="8517" spans="1:10" x14ac:dyDescent="0.25">
      <c r="A8517" t="s">
        <v>8685</v>
      </c>
      <c r="B8517" t="s">
        <v>158</v>
      </c>
      <c r="C8517" t="s">
        <v>122</v>
      </c>
      <c r="E8517" t="s">
        <v>8470</v>
      </c>
      <c r="I8517" t="str">
        <f>IF(COUNTIF(Products!$A$2:$A$8,C8517)=0,C8517,"")</f>
        <v/>
      </c>
      <c r="J8517">
        <f>IF(OR(E8517="Prospecting",E8517="Engaging"),VLOOKUP(C8517,Products!$A$2:$C$8,3,FALSE),0)</f>
        <v>4821</v>
      </c>
    </row>
    <row r="8518" spans="1:10" x14ac:dyDescent="0.25">
      <c r="A8518" t="s">
        <v>8686</v>
      </c>
      <c r="B8518" t="s">
        <v>158</v>
      </c>
      <c r="C8518" t="s">
        <v>122</v>
      </c>
      <c r="E8518" t="s">
        <v>8470</v>
      </c>
      <c r="I8518" t="str">
        <f>IF(COUNTIF(Products!$A$2:$A$8,C8518)=0,C8518,"")</f>
        <v/>
      </c>
      <c r="J8518">
        <f>IF(OR(E8518="Prospecting",E8518="Engaging"),VLOOKUP(C8518,Products!$A$2:$C$8,3,FALSE),0)</f>
        <v>4821</v>
      </c>
    </row>
    <row r="8519" spans="1:10" x14ac:dyDescent="0.25">
      <c r="A8519" t="s">
        <v>8687</v>
      </c>
      <c r="B8519" t="s">
        <v>158</v>
      </c>
      <c r="C8519" t="s">
        <v>122</v>
      </c>
      <c r="E8519" t="s">
        <v>8470</v>
      </c>
      <c r="I8519" t="str">
        <f>IF(COUNTIF(Products!$A$2:$A$8,C8519)=0,C8519,"")</f>
        <v/>
      </c>
      <c r="J8519">
        <f>IF(OR(E8519="Prospecting",E8519="Engaging"),VLOOKUP(C8519,Products!$A$2:$C$8,3,FALSE),0)</f>
        <v>4821</v>
      </c>
    </row>
    <row r="8520" spans="1:10" x14ac:dyDescent="0.25">
      <c r="A8520" t="s">
        <v>8688</v>
      </c>
      <c r="B8520" t="s">
        <v>158</v>
      </c>
      <c r="C8520" t="s">
        <v>122</v>
      </c>
      <c r="E8520" t="s">
        <v>8470</v>
      </c>
      <c r="I8520" t="str">
        <f>IF(COUNTIF(Products!$A$2:$A$8,C8520)=0,C8520,"")</f>
        <v/>
      </c>
      <c r="J8520">
        <f>IF(OR(E8520="Prospecting",E8520="Engaging"),VLOOKUP(C8520,Products!$A$2:$C$8,3,FALSE),0)</f>
        <v>4821</v>
      </c>
    </row>
    <row r="8521" spans="1:10" x14ac:dyDescent="0.25">
      <c r="A8521" t="s">
        <v>8689</v>
      </c>
      <c r="B8521" t="s">
        <v>158</v>
      </c>
      <c r="C8521" t="s">
        <v>123</v>
      </c>
      <c r="D8521" t="s">
        <v>26</v>
      </c>
      <c r="E8521" t="s">
        <v>8470</v>
      </c>
      <c r="I8521" t="str">
        <f>IF(COUNTIF(Products!$A$2:$A$8,C8521)=0,C8521,"")</f>
        <v/>
      </c>
      <c r="J8521">
        <f>IF(OR(E8521="Prospecting",E8521="Engaging"),VLOOKUP(C8521,Products!$A$2:$C$8,3,FALSE),0)</f>
        <v>55</v>
      </c>
    </row>
    <row r="8522" spans="1:10" x14ac:dyDescent="0.25">
      <c r="A8522" t="s">
        <v>8690</v>
      </c>
      <c r="B8522" t="s">
        <v>158</v>
      </c>
      <c r="C8522" t="s">
        <v>123</v>
      </c>
      <c r="D8522" t="s">
        <v>82</v>
      </c>
      <c r="E8522" t="s">
        <v>8470</v>
      </c>
      <c r="I8522" t="str">
        <f>IF(COUNTIF(Products!$A$2:$A$8,C8522)=0,C8522,"")</f>
        <v/>
      </c>
      <c r="J8522">
        <f>IF(OR(E8522="Prospecting",E8522="Engaging"),VLOOKUP(C8522,Products!$A$2:$C$8,3,FALSE),0)</f>
        <v>55</v>
      </c>
    </row>
    <row r="8523" spans="1:10" x14ac:dyDescent="0.25">
      <c r="A8523" t="s">
        <v>8691</v>
      </c>
      <c r="B8523" t="s">
        <v>158</v>
      </c>
      <c r="C8523" t="s">
        <v>123</v>
      </c>
      <c r="D8523" t="s">
        <v>89</v>
      </c>
      <c r="E8523" t="s">
        <v>8470</v>
      </c>
      <c r="I8523" t="str">
        <f>IF(COUNTIF(Products!$A$2:$A$8,C8523)=0,C8523,"")</f>
        <v/>
      </c>
      <c r="J8523">
        <f>IF(OR(E8523="Prospecting",E8523="Engaging"),VLOOKUP(C8523,Products!$A$2:$C$8,3,FALSE),0)</f>
        <v>55</v>
      </c>
    </row>
    <row r="8524" spans="1:10" x14ac:dyDescent="0.25">
      <c r="A8524" t="s">
        <v>8692</v>
      </c>
      <c r="B8524" t="s">
        <v>158</v>
      </c>
      <c r="C8524" t="s">
        <v>123</v>
      </c>
      <c r="D8524" t="s">
        <v>102</v>
      </c>
      <c r="E8524" t="s">
        <v>8470</v>
      </c>
      <c r="I8524" t="str">
        <f>IF(COUNTIF(Products!$A$2:$A$8,C8524)=0,C8524,"")</f>
        <v/>
      </c>
      <c r="J8524">
        <f>IF(OR(E8524="Prospecting",E8524="Engaging"),VLOOKUP(C8524,Products!$A$2:$C$8,3,FALSE),0)</f>
        <v>55</v>
      </c>
    </row>
    <row r="8525" spans="1:10" x14ac:dyDescent="0.25">
      <c r="A8525" t="s">
        <v>8693</v>
      </c>
      <c r="B8525" t="s">
        <v>158</v>
      </c>
      <c r="C8525" t="s">
        <v>123</v>
      </c>
      <c r="D8525" t="s">
        <v>110</v>
      </c>
      <c r="E8525" t="s">
        <v>8470</v>
      </c>
      <c r="I8525" t="str">
        <f>IF(COUNTIF(Products!$A$2:$A$8,C8525)=0,C8525,"")</f>
        <v/>
      </c>
      <c r="J8525">
        <f>IF(OR(E8525="Prospecting",E8525="Engaging"),VLOOKUP(C8525,Products!$A$2:$C$8,3,FALSE),0)</f>
        <v>55</v>
      </c>
    </row>
    <row r="8526" spans="1:10" x14ac:dyDescent="0.25">
      <c r="A8526" t="s">
        <v>8694</v>
      </c>
      <c r="B8526" t="s">
        <v>158</v>
      </c>
      <c r="C8526" t="s">
        <v>123</v>
      </c>
      <c r="E8526" t="s">
        <v>8470</v>
      </c>
      <c r="I8526" t="str">
        <f>IF(COUNTIF(Products!$A$2:$A$8,C8526)=0,C8526,"")</f>
        <v/>
      </c>
      <c r="J8526">
        <f>IF(OR(E8526="Prospecting",E8526="Engaging"),VLOOKUP(C8526,Products!$A$2:$C$8,3,FALSE),0)</f>
        <v>55</v>
      </c>
    </row>
    <row r="8527" spans="1:10" x14ac:dyDescent="0.25">
      <c r="A8527" t="s">
        <v>8695</v>
      </c>
      <c r="B8527" t="s">
        <v>158</v>
      </c>
      <c r="C8527" t="s">
        <v>123</v>
      </c>
      <c r="E8527" t="s">
        <v>8470</v>
      </c>
      <c r="I8527" t="str">
        <f>IF(COUNTIF(Products!$A$2:$A$8,C8527)=0,C8527,"")</f>
        <v/>
      </c>
      <c r="J8527">
        <f>IF(OR(E8527="Prospecting",E8527="Engaging"),VLOOKUP(C8527,Products!$A$2:$C$8,3,FALSE),0)</f>
        <v>55</v>
      </c>
    </row>
    <row r="8528" spans="1:10" x14ac:dyDescent="0.25">
      <c r="A8528" t="s">
        <v>8696</v>
      </c>
      <c r="B8528" t="s">
        <v>158</v>
      </c>
      <c r="C8528" t="s">
        <v>123</v>
      </c>
      <c r="E8528" t="s">
        <v>8470</v>
      </c>
      <c r="I8528" t="str">
        <f>IF(COUNTIF(Products!$A$2:$A$8,C8528)=0,C8528,"")</f>
        <v/>
      </c>
      <c r="J8528">
        <f>IF(OR(E8528="Prospecting",E8528="Engaging"),VLOOKUP(C8528,Products!$A$2:$C$8,3,FALSE),0)</f>
        <v>55</v>
      </c>
    </row>
    <row r="8529" spans="1:10" x14ac:dyDescent="0.25">
      <c r="A8529" t="s">
        <v>8697</v>
      </c>
      <c r="B8529" t="s">
        <v>158</v>
      </c>
      <c r="C8529" t="s">
        <v>123</v>
      </c>
      <c r="E8529" t="s">
        <v>8470</v>
      </c>
      <c r="I8529" t="str">
        <f>IF(COUNTIF(Products!$A$2:$A$8,C8529)=0,C8529,"")</f>
        <v/>
      </c>
      <c r="J8529">
        <f>IF(OR(E8529="Prospecting",E8529="Engaging"),VLOOKUP(C8529,Products!$A$2:$C$8,3,FALSE),0)</f>
        <v>55</v>
      </c>
    </row>
    <row r="8530" spans="1:10" x14ac:dyDescent="0.25">
      <c r="A8530" t="s">
        <v>8698</v>
      </c>
      <c r="B8530" t="s">
        <v>158</v>
      </c>
      <c r="C8530" t="s">
        <v>123</v>
      </c>
      <c r="E8530" t="s">
        <v>8470</v>
      </c>
      <c r="I8530" t="str">
        <f>IF(COUNTIF(Products!$A$2:$A$8,C8530)=0,C8530,"")</f>
        <v/>
      </c>
      <c r="J8530">
        <f>IF(OR(E8530="Prospecting",E8530="Engaging"),VLOOKUP(C8530,Products!$A$2:$C$8,3,FALSE),0)</f>
        <v>55</v>
      </c>
    </row>
    <row r="8531" spans="1:10" x14ac:dyDescent="0.25">
      <c r="A8531" t="s">
        <v>8699</v>
      </c>
      <c r="B8531" t="s">
        <v>158</v>
      </c>
      <c r="C8531" t="s">
        <v>125</v>
      </c>
      <c r="D8531" t="s">
        <v>22</v>
      </c>
      <c r="E8531" t="s">
        <v>8470</v>
      </c>
      <c r="I8531" t="str">
        <f>IF(COUNTIF(Products!$A$2:$A$8,C8531)=0,C8531,"")</f>
        <v/>
      </c>
      <c r="J8531">
        <f>IF(OR(E8531="Prospecting",E8531="Engaging"),VLOOKUP(C8531,Products!$A$2:$C$8,3,FALSE),0)</f>
        <v>3393</v>
      </c>
    </row>
    <row r="8532" spans="1:10" x14ac:dyDescent="0.25">
      <c r="A8532" t="s">
        <v>8700</v>
      </c>
      <c r="B8532" t="s">
        <v>158</v>
      </c>
      <c r="C8532" t="s">
        <v>125</v>
      </c>
      <c r="D8532" t="s">
        <v>83</v>
      </c>
      <c r="E8532" t="s">
        <v>8470</v>
      </c>
      <c r="I8532" t="str">
        <f>IF(COUNTIF(Products!$A$2:$A$8,C8532)=0,C8532,"")</f>
        <v/>
      </c>
      <c r="J8532">
        <f>IF(OR(E8532="Prospecting",E8532="Engaging"),VLOOKUP(C8532,Products!$A$2:$C$8,3,FALSE),0)</f>
        <v>3393</v>
      </c>
    </row>
    <row r="8533" spans="1:10" x14ac:dyDescent="0.25">
      <c r="A8533" t="s">
        <v>8701</v>
      </c>
      <c r="B8533" t="s">
        <v>158</v>
      </c>
      <c r="C8533" t="s">
        <v>125</v>
      </c>
      <c r="D8533" t="s">
        <v>88</v>
      </c>
      <c r="E8533" t="s">
        <v>8470</v>
      </c>
      <c r="I8533" t="str">
        <f>IF(COUNTIF(Products!$A$2:$A$8,C8533)=0,C8533,"")</f>
        <v/>
      </c>
      <c r="J8533">
        <f>IF(OR(E8533="Prospecting",E8533="Engaging"),VLOOKUP(C8533,Products!$A$2:$C$8,3,FALSE),0)</f>
        <v>3393</v>
      </c>
    </row>
    <row r="8534" spans="1:10" x14ac:dyDescent="0.25">
      <c r="A8534" t="s">
        <v>8702</v>
      </c>
      <c r="B8534" t="s">
        <v>158</v>
      </c>
      <c r="C8534" t="s">
        <v>125</v>
      </c>
      <c r="D8534" t="s">
        <v>108</v>
      </c>
      <c r="E8534" t="s">
        <v>8470</v>
      </c>
      <c r="I8534" t="str">
        <f>IF(COUNTIF(Products!$A$2:$A$8,C8534)=0,C8534,"")</f>
        <v/>
      </c>
      <c r="J8534">
        <f>IF(OR(E8534="Prospecting",E8534="Engaging"),VLOOKUP(C8534,Products!$A$2:$C$8,3,FALSE),0)</f>
        <v>3393</v>
      </c>
    </row>
    <row r="8535" spans="1:10" x14ac:dyDescent="0.25">
      <c r="A8535" t="s">
        <v>8703</v>
      </c>
      <c r="B8535" t="s">
        <v>158</v>
      </c>
      <c r="C8535" t="s">
        <v>125</v>
      </c>
      <c r="E8535" t="s">
        <v>8470</v>
      </c>
      <c r="I8535" t="str">
        <f>IF(COUNTIF(Products!$A$2:$A$8,C8535)=0,C8535,"")</f>
        <v/>
      </c>
      <c r="J8535">
        <f>IF(OR(E8535="Prospecting",E8535="Engaging"),VLOOKUP(C8535,Products!$A$2:$C$8,3,FALSE),0)</f>
        <v>3393</v>
      </c>
    </row>
    <row r="8536" spans="1:10" x14ac:dyDescent="0.25">
      <c r="A8536" t="s">
        <v>8704</v>
      </c>
      <c r="B8536" t="s">
        <v>158</v>
      </c>
      <c r="C8536" t="s">
        <v>125</v>
      </c>
      <c r="E8536" t="s">
        <v>8470</v>
      </c>
      <c r="I8536" t="str">
        <f>IF(COUNTIF(Products!$A$2:$A$8,C8536)=0,C8536,"")</f>
        <v/>
      </c>
      <c r="J8536">
        <f>IF(OR(E8536="Prospecting",E8536="Engaging"),VLOOKUP(C8536,Products!$A$2:$C$8,3,FALSE),0)</f>
        <v>3393</v>
      </c>
    </row>
    <row r="8537" spans="1:10" x14ac:dyDescent="0.25">
      <c r="A8537" t="s">
        <v>8705</v>
      </c>
      <c r="B8537" t="s">
        <v>158</v>
      </c>
      <c r="C8537" t="s">
        <v>125</v>
      </c>
      <c r="E8537" t="s">
        <v>8470</v>
      </c>
      <c r="I8537" t="str">
        <f>IF(COUNTIF(Products!$A$2:$A$8,C8537)=0,C8537,"")</f>
        <v/>
      </c>
      <c r="J8537">
        <f>IF(OR(E8537="Prospecting",E8537="Engaging"),VLOOKUP(C8537,Products!$A$2:$C$8,3,FALSE),0)</f>
        <v>3393</v>
      </c>
    </row>
    <row r="8538" spans="1:10" x14ac:dyDescent="0.25">
      <c r="A8538" t="s">
        <v>8706</v>
      </c>
      <c r="B8538" t="s">
        <v>158</v>
      </c>
      <c r="C8538" t="s">
        <v>125</v>
      </c>
      <c r="E8538" t="s">
        <v>8470</v>
      </c>
      <c r="I8538" t="str">
        <f>IF(COUNTIF(Products!$A$2:$A$8,C8538)=0,C8538,"")</f>
        <v/>
      </c>
      <c r="J8538">
        <f>IF(OR(E8538="Prospecting",E8538="Engaging"),VLOOKUP(C8538,Products!$A$2:$C$8,3,FALSE),0)</f>
        <v>3393</v>
      </c>
    </row>
    <row r="8539" spans="1:10" x14ac:dyDescent="0.25">
      <c r="A8539" t="s">
        <v>8707</v>
      </c>
      <c r="B8539" t="s">
        <v>158</v>
      </c>
      <c r="C8539" t="s">
        <v>125</v>
      </c>
      <c r="E8539" t="s">
        <v>8470</v>
      </c>
      <c r="I8539" t="str">
        <f>IF(COUNTIF(Products!$A$2:$A$8,C8539)=0,C8539,"")</f>
        <v/>
      </c>
      <c r="J8539">
        <f>IF(OR(E8539="Prospecting",E8539="Engaging"),VLOOKUP(C8539,Products!$A$2:$C$8,3,FALSE),0)</f>
        <v>3393</v>
      </c>
    </row>
    <row r="8540" spans="1:10" x14ac:dyDescent="0.25">
      <c r="A8540" t="s">
        <v>8708</v>
      </c>
      <c r="B8540" t="s">
        <v>158</v>
      </c>
      <c r="C8540" t="s">
        <v>125</v>
      </c>
      <c r="E8540" t="s">
        <v>8470</v>
      </c>
      <c r="I8540" t="str">
        <f>IF(COUNTIF(Products!$A$2:$A$8,C8540)=0,C8540,"")</f>
        <v/>
      </c>
      <c r="J8540">
        <f>IF(OR(E8540="Prospecting",E8540="Engaging"),VLOOKUP(C8540,Products!$A$2:$C$8,3,FALSE),0)</f>
        <v>3393</v>
      </c>
    </row>
    <row r="8541" spans="1:10" x14ac:dyDescent="0.25">
      <c r="A8541" t="s">
        <v>8709</v>
      </c>
      <c r="B8541" t="s">
        <v>303</v>
      </c>
      <c r="C8541" t="s">
        <v>120</v>
      </c>
      <c r="D8541" t="s">
        <v>19</v>
      </c>
      <c r="E8541" t="s">
        <v>8470</v>
      </c>
      <c r="I8541" t="str">
        <f>IF(COUNTIF(Products!$A$2:$A$8,C8541)=0,C8541,"")</f>
        <v/>
      </c>
      <c r="J8541">
        <f>IF(OR(E8541="Prospecting",E8541="Engaging"),VLOOKUP(C8541,Products!$A$2:$C$8,3,FALSE),0)</f>
        <v>550</v>
      </c>
    </row>
    <row r="8542" spans="1:10" x14ac:dyDescent="0.25">
      <c r="A8542" t="s">
        <v>8710</v>
      </c>
      <c r="B8542" t="s">
        <v>303</v>
      </c>
      <c r="C8542" t="s">
        <v>120</v>
      </c>
      <c r="D8542" t="s">
        <v>28</v>
      </c>
      <c r="E8542" t="s">
        <v>8470</v>
      </c>
      <c r="I8542" t="str">
        <f>IF(COUNTIF(Products!$A$2:$A$8,C8542)=0,C8542,"")</f>
        <v/>
      </c>
      <c r="J8542">
        <f>IF(OR(E8542="Prospecting",E8542="Engaging"),VLOOKUP(C8542,Products!$A$2:$C$8,3,FALSE),0)</f>
        <v>550</v>
      </c>
    </row>
    <row r="8543" spans="1:10" x14ac:dyDescent="0.25">
      <c r="A8543" t="s">
        <v>8711</v>
      </c>
      <c r="B8543" t="s">
        <v>303</v>
      </c>
      <c r="C8543" t="s">
        <v>120</v>
      </c>
      <c r="D8543" t="s">
        <v>36</v>
      </c>
      <c r="E8543" t="s">
        <v>8470</v>
      </c>
      <c r="I8543" t="str">
        <f>IF(COUNTIF(Products!$A$2:$A$8,C8543)=0,C8543,"")</f>
        <v/>
      </c>
      <c r="J8543">
        <f>IF(OR(E8543="Prospecting",E8543="Engaging"),VLOOKUP(C8543,Products!$A$2:$C$8,3,FALSE),0)</f>
        <v>550</v>
      </c>
    </row>
    <row r="8544" spans="1:10" x14ac:dyDescent="0.25">
      <c r="A8544" t="s">
        <v>8712</v>
      </c>
      <c r="B8544" t="s">
        <v>303</v>
      </c>
      <c r="C8544" t="s">
        <v>120</v>
      </c>
      <c r="D8544" t="s">
        <v>55</v>
      </c>
      <c r="E8544" t="s">
        <v>8470</v>
      </c>
      <c r="I8544" t="str">
        <f>IF(COUNTIF(Products!$A$2:$A$8,C8544)=0,C8544,"")</f>
        <v/>
      </c>
      <c r="J8544">
        <f>IF(OR(E8544="Prospecting",E8544="Engaging"),VLOOKUP(C8544,Products!$A$2:$C$8,3,FALSE),0)</f>
        <v>550</v>
      </c>
    </row>
    <row r="8545" spans="1:10" x14ac:dyDescent="0.25">
      <c r="A8545" t="s">
        <v>8713</v>
      </c>
      <c r="B8545" t="s">
        <v>303</v>
      </c>
      <c r="C8545" t="s">
        <v>120</v>
      </c>
      <c r="D8545" t="s">
        <v>59</v>
      </c>
      <c r="E8545" t="s">
        <v>8470</v>
      </c>
      <c r="I8545" t="str">
        <f>IF(COUNTIF(Products!$A$2:$A$8,C8545)=0,C8545,"")</f>
        <v/>
      </c>
      <c r="J8545">
        <f>IF(OR(E8545="Prospecting",E8545="Engaging"),VLOOKUP(C8545,Products!$A$2:$C$8,3,FALSE),0)</f>
        <v>550</v>
      </c>
    </row>
    <row r="8546" spans="1:10" x14ac:dyDescent="0.25">
      <c r="A8546" t="s">
        <v>8714</v>
      </c>
      <c r="B8546" t="s">
        <v>303</v>
      </c>
      <c r="C8546" t="s">
        <v>120</v>
      </c>
      <c r="D8546" t="s">
        <v>72</v>
      </c>
      <c r="E8546" t="s">
        <v>8470</v>
      </c>
      <c r="I8546" t="str">
        <f>IF(COUNTIF(Products!$A$2:$A$8,C8546)=0,C8546,"")</f>
        <v/>
      </c>
      <c r="J8546">
        <f>IF(OR(E8546="Prospecting",E8546="Engaging"),VLOOKUP(C8546,Products!$A$2:$C$8,3,FALSE),0)</f>
        <v>550</v>
      </c>
    </row>
    <row r="8547" spans="1:10" x14ac:dyDescent="0.25">
      <c r="A8547" t="s">
        <v>8715</v>
      </c>
      <c r="B8547" t="s">
        <v>303</v>
      </c>
      <c r="C8547" t="s">
        <v>120</v>
      </c>
      <c r="D8547" t="s">
        <v>106</v>
      </c>
      <c r="E8547" t="s">
        <v>8470</v>
      </c>
      <c r="I8547" t="str">
        <f>IF(COUNTIF(Products!$A$2:$A$8,C8547)=0,C8547,"")</f>
        <v/>
      </c>
      <c r="J8547">
        <f>IF(OR(E8547="Prospecting",E8547="Engaging"),VLOOKUP(C8547,Products!$A$2:$C$8,3,FALSE),0)</f>
        <v>550</v>
      </c>
    </row>
    <row r="8548" spans="1:10" x14ac:dyDescent="0.25">
      <c r="A8548" t="s">
        <v>8716</v>
      </c>
      <c r="B8548" t="s">
        <v>303</v>
      </c>
      <c r="C8548" t="s">
        <v>120</v>
      </c>
      <c r="D8548" t="s">
        <v>108</v>
      </c>
      <c r="E8548" t="s">
        <v>8470</v>
      </c>
      <c r="I8548" t="str">
        <f>IF(COUNTIF(Products!$A$2:$A$8,C8548)=0,C8548,"")</f>
        <v/>
      </c>
      <c r="J8548">
        <f>IF(OR(E8548="Prospecting",E8548="Engaging"),VLOOKUP(C8548,Products!$A$2:$C$8,3,FALSE),0)</f>
        <v>550</v>
      </c>
    </row>
    <row r="8549" spans="1:10" x14ac:dyDescent="0.25">
      <c r="A8549" t="s">
        <v>8717</v>
      </c>
      <c r="B8549" t="s">
        <v>303</v>
      </c>
      <c r="C8549" t="s">
        <v>120</v>
      </c>
      <c r="D8549" t="s">
        <v>112</v>
      </c>
      <c r="E8549" t="s">
        <v>8470</v>
      </c>
      <c r="I8549" t="str">
        <f>IF(COUNTIF(Products!$A$2:$A$8,C8549)=0,C8549,"")</f>
        <v/>
      </c>
      <c r="J8549">
        <f>IF(OR(E8549="Prospecting",E8549="Engaging"),VLOOKUP(C8549,Products!$A$2:$C$8,3,FALSE),0)</f>
        <v>550</v>
      </c>
    </row>
    <row r="8550" spans="1:10" x14ac:dyDescent="0.25">
      <c r="A8550" t="s">
        <v>8718</v>
      </c>
      <c r="B8550" t="s">
        <v>303</v>
      </c>
      <c r="C8550" t="s">
        <v>120</v>
      </c>
      <c r="E8550" t="s">
        <v>8470</v>
      </c>
      <c r="I8550" t="str">
        <f>IF(COUNTIF(Products!$A$2:$A$8,C8550)=0,C8550,"")</f>
        <v/>
      </c>
      <c r="J8550">
        <f>IF(OR(E8550="Prospecting",E8550="Engaging"),VLOOKUP(C8550,Products!$A$2:$C$8,3,FALSE),0)</f>
        <v>550</v>
      </c>
    </row>
    <row r="8551" spans="1:10" x14ac:dyDescent="0.25">
      <c r="A8551" t="s">
        <v>8719</v>
      </c>
      <c r="B8551" t="s">
        <v>303</v>
      </c>
      <c r="C8551" t="s">
        <v>120</v>
      </c>
      <c r="E8551" t="s">
        <v>8470</v>
      </c>
      <c r="I8551" t="str">
        <f>IF(COUNTIF(Products!$A$2:$A$8,C8551)=0,C8551,"")</f>
        <v/>
      </c>
      <c r="J8551">
        <f>IF(OR(E8551="Prospecting",E8551="Engaging"),VLOOKUP(C8551,Products!$A$2:$C$8,3,FALSE),0)</f>
        <v>550</v>
      </c>
    </row>
    <row r="8552" spans="1:10" x14ac:dyDescent="0.25">
      <c r="A8552" t="s">
        <v>8720</v>
      </c>
      <c r="B8552" t="s">
        <v>303</v>
      </c>
      <c r="C8552" t="s">
        <v>120</v>
      </c>
      <c r="E8552" t="s">
        <v>8470</v>
      </c>
      <c r="I8552" t="str">
        <f>IF(COUNTIF(Products!$A$2:$A$8,C8552)=0,C8552,"")</f>
        <v/>
      </c>
      <c r="J8552">
        <f>IF(OR(E8552="Prospecting",E8552="Engaging"),VLOOKUP(C8552,Products!$A$2:$C$8,3,FALSE),0)</f>
        <v>550</v>
      </c>
    </row>
    <row r="8553" spans="1:10" x14ac:dyDescent="0.25">
      <c r="A8553" t="s">
        <v>8721</v>
      </c>
      <c r="B8553" t="s">
        <v>303</v>
      </c>
      <c r="C8553" t="s">
        <v>120</v>
      </c>
      <c r="E8553" t="s">
        <v>8470</v>
      </c>
      <c r="I8553" t="str">
        <f>IF(COUNTIF(Products!$A$2:$A$8,C8553)=0,C8553,"")</f>
        <v/>
      </c>
      <c r="J8553">
        <f>IF(OR(E8553="Prospecting",E8553="Engaging"),VLOOKUP(C8553,Products!$A$2:$C$8,3,FALSE),0)</f>
        <v>550</v>
      </c>
    </row>
    <row r="8554" spans="1:10" x14ac:dyDescent="0.25">
      <c r="A8554" t="s">
        <v>8722</v>
      </c>
      <c r="B8554" t="s">
        <v>303</v>
      </c>
      <c r="C8554" t="s">
        <v>120</v>
      </c>
      <c r="E8554" t="s">
        <v>8470</v>
      </c>
      <c r="I8554" t="str">
        <f>IF(COUNTIF(Products!$A$2:$A$8,C8554)=0,C8554,"")</f>
        <v/>
      </c>
      <c r="J8554">
        <f>IF(OR(E8554="Prospecting",E8554="Engaging"),VLOOKUP(C8554,Products!$A$2:$C$8,3,FALSE),0)</f>
        <v>550</v>
      </c>
    </row>
    <row r="8555" spans="1:10" x14ac:dyDescent="0.25">
      <c r="A8555" t="s">
        <v>8723</v>
      </c>
      <c r="B8555" t="s">
        <v>303</v>
      </c>
      <c r="C8555" t="s">
        <v>120</v>
      </c>
      <c r="E8555" t="s">
        <v>8470</v>
      </c>
      <c r="I8555" t="str">
        <f>IF(COUNTIF(Products!$A$2:$A$8,C8555)=0,C8555,"")</f>
        <v/>
      </c>
      <c r="J8555">
        <f>IF(OR(E8555="Prospecting",E8555="Engaging"),VLOOKUP(C8555,Products!$A$2:$C$8,3,FALSE),0)</f>
        <v>550</v>
      </c>
    </row>
    <row r="8556" spans="1:10" x14ac:dyDescent="0.25">
      <c r="A8556" t="s">
        <v>8724</v>
      </c>
      <c r="B8556" t="s">
        <v>303</v>
      </c>
      <c r="C8556" t="s">
        <v>120</v>
      </c>
      <c r="E8556" t="s">
        <v>8470</v>
      </c>
      <c r="I8556" t="str">
        <f>IF(COUNTIF(Products!$A$2:$A$8,C8556)=0,C8556,"")</f>
        <v/>
      </c>
      <c r="J8556">
        <f>IF(OR(E8556="Prospecting",E8556="Engaging"),VLOOKUP(C8556,Products!$A$2:$C$8,3,FALSE),0)</f>
        <v>550</v>
      </c>
    </row>
    <row r="8557" spans="1:10" x14ac:dyDescent="0.25">
      <c r="A8557" t="s">
        <v>8725</v>
      </c>
      <c r="B8557" t="s">
        <v>303</v>
      </c>
      <c r="C8557" t="s">
        <v>120</v>
      </c>
      <c r="E8557" t="s">
        <v>8470</v>
      </c>
      <c r="I8557" t="str">
        <f>IF(COUNTIF(Products!$A$2:$A$8,C8557)=0,C8557,"")</f>
        <v/>
      </c>
      <c r="J8557">
        <f>IF(OR(E8557="Prospecting",E8557="Engaging"),VLOOKUP(C8557,Products!$A$2:$C$8,3,FALSE),0)</f>
        <v>550</v>
      </c>
    </row>
    <row r="8558" spans="1:10" x14ac:dyDescent="0.25">
      <c r="A8558" t="s">
        <v>8726</v>
      </c>
      <c r="B8558" t="s">
        <v>303</v>
      </c>
      <c r="C8558" t="s">
        <v>120</v>
      </c>
      <c r="E8558" t="s">
        <v>8470</v>
      </c>
      <c r="I8558" t="str">
        <f>IF(COUNTIF(Products!$A$2:$A$8,C8558)=0,C8558,"")</f>
        <v/>
      </c>
      <c r="J8558">
        <f>IF(OR(E8558="Prospecting",E8558="Engaging"),VLOOKUP(C8558,Products!$A$2:$C$8,3,FALSE),0)</f>
        <v>550</v>
      </c>
    </row>
    <row r="8559" spans="1:10" x14ac:dyDescent="0.25">
      <c r="A8559" t="s">
        <v>8727</v>
      </c>
      <c r="B8559" t="s">
        <v>303</v>
      </c>
      <c r="C8559" t="s">
        <v>120</v>
      </c>
      <c r="E8559" t="s">
        <v>8470</v>
      </c>
      <c r="I8559" t="str">
        <f>IF(COUNTIF(Products!$A$2:$A$8,C8559)=0,C8559,"")</f>
        <v/>
      </c>
      <c r="J8559">
        <f>IF(OR(E8559="Prospecting",E8559="Engaging"),VLOOKUP(C8559,Products!$A$2:$C$8,3,FALSE),0)</f>
        <v>550</v>
      </c>
    </row>
    <row r="8560" spans="1:10" x14ac:dyDescent="0.25">
      <c r="A8560" t="s">
        <v>8728</v>
      </c>
      <c r="B8560" t="s">
        <v>303</v>
      </c>
      <c r="C8560" t="s">
        <v>120</v>
      </c>
      <c r="E8560" t="s">
        <v>8470</v>
      </c>
      <c r="I8560" t="str">
        <f>IF(COUNTIF(Products!$A$2:$A$8,C8560)=0,C8560,"")</f>
        <v/>
      </c>
      <c r="J8560">
        <f>IF(OR(E8560="Prospecting",E8560="Engaging"),VLOOKUP(C8560,Products!$A$2:$C$8,3,FALSE),0)</f>
        <v>550</v>
      </c>
    </row>
    <row r="8561" spans="1:10" x14ac:dyDescent="0.25">
      <c r="A8561" t="s">
        <v>8729</v>
      </c>
      <c r="B8561" t="s">
        <v>303</v>
      </c>
      <c r="C8561" t="s">
        <v>120</v>
      </c>
      <c r="E8561" t="s">
        <v>8470</v>
      </c>
      <c r="I8561" t="str">
        <f>IF(COUNTIF(Products!$A$2:$A$8,C8561)=0,C8561,"")</f>
        <v/>
      </c>
      <c r="J8561">
        <f>IF(OR(E8561="Prospecting",E8561="Engaging"),VLOOKUP(C8561,Products!$A$2:$C$8,3,FALSE),0)</f>
        <v>550</v>
      </c>
    </row>
    <row r="8562" spans="1:10" x14ac:dyDescent="0.25">
      <c r="A8562" t="s">
        <v>8730</v>
      </c>
      <c r="B8562" t="s">
        <v>303</v>
      </c>
      <c r="C8562" t="s">
        <v>120</v>
      </c>
      <c r="E8562" t="s">
        <v>8470</v>
      </c>
      <c r="I8562" t="str">
        <f>IF(COUNTIF(Products!$A$2:$A$8,C8562)=0,C8562,"")</f>
        <v/>
      </c>
      <c r="J8562">
        <f>IF(OR(E8562="Prospecting",E8562="Engaging"),VLOOKUP(C8562,Products!$A$2:$C$8,3,FALSE),0)</f>
        <v>550</v>
      </c>
    </row>
    <row r="8563" spans="1:10" x14ac:dyDescent="0.25">
      <c r="A8563" t="s">
        <v>8731</v>
      </c>
      <c r="B8563" t="s">
        <v>303</v>
      </c>
      <c r="C8563" t="s">
        <v>127</v>
      </c>
      <c r="D8563" t="s">
        <v>53</v>
      </c>
      <c r="E8563" t="s">
        <v>8470</v>
      </c>
      <c r="I8563" t="str">
        <f>IF(COUNTIF(Products!$A$2:$A$8,C8563)=0,C8563,"")</f>
        <v/>
      </c>
      <c r="J8563">
        <f>IF(OR(E8563="Prospecting",E8563="Engaging"),VLOOKUP(C8563,Products!$A$2:$C$8,3,FALSE),0)</f>
        <v>1096</v>
      </c>
    </row>
    <row r="8564" spans="1:10" x14ac:dyDescent="0.25">
      <c r="A8564" t="s">
        <v>8732</v>
      </c>
      <c r="B8564" t="s">
        <v>303</v>
      </c>
      <c r="C8564" t="s">
        <v>127</v>
      </c>
      <c r="D8564" t="s">
        <v>64</v>
      </c>
      <c r="E8564" t="s">
        <v>8470</v>
      </c>
      <c r="I8564" t="str">
        <f>IF(COUNTIF(Products!$A$2:$A$8,C8564)=0,C8564,"")</f>
        <v/>
      </c>
      <c r="J8564">
        <f>IF(OR(E8564="Prospecting",E8564="Engaging"),VLOOKUP(C8564,Products!$A$2:$C$8,3,FALSE),0)</f>
        <v>1096</v>
      </c>
    </row>
    <row r="8565" spans="1:10" x14ac:dyDescent="0.25">
      <c r="A8565" t="s">
        <v>8733</v>
      </c>
      <c r="B8565" t="s">
        <v>303</v>
      </c>
      <c r="C8565" t="s">
        <v>127</v>
      </c>
      <c r="E8565" t="s">
        <v>8470</v>
      </c>
      <c r="I8565" t="str">
        <f>IF(COUNTIF(Products!$A$2:$A$8,C8565)=0,C8565,"")</f>
        <v/>
      </c>
      <c r="J8565">
        <f>IF(OR(E8565="Prospecting",E8565="Engaging"),VLOOKUP(C8565,Products!$A$2:$C$8,3,FALSE),0)</f>
        <v>1096</v>
      </c>
    </row>
    <row r="8566" spans="1:10" x14ac:dyDescent="0.25">
      <c r="A8566" t="s">
        <v>8734</v>
      </c>
      <c r="B8566" t="s">
        <v>303</v>
      </c>
      <c r="C8566" t="s">
        <v>127</v>
      </c>
      <c r="E8566" t="s">
        <v>8470</v>
      </c>
      <c r="I8566" t="str">
        <f>IF(COUNTIF(Products!$A$2:$A$8,C8566)=0,C8566,"")</f>
        <v/>
      </c>
      <c r="J8566">
        <f>IF(OR(E8566="Prospecting",E8566="Engaging"),VLOOKUP(C8566,Products!$A$2:$C$8,3,FALSE),0)</f>
        <v>1096</v>
      </c>
    </row>
    <row r="8567" spans="1:10" x14ac:dyDescent="0.25">
      <c r="A8567" t="s">
        <v>8735</v>
      </c>
      <c r="B8567" t="s">
        <v>303</v>
      </c>
      <c r="C8567" t="s">
        <v>127</v>
      </c>
      <c r="E8567" t="s">
        <v>8470</v>
      </c>
      <c r="I8567" t="str">
        <f>IF(COUNTIF(Products!$A$2:$A$8,C8567)=0,C8567,"")</f>
        <v/>
      </c>
      <c r="J8567">
        <f>IF(OR(E8567="Prospecting",E8567="Engaging"),VLOOKUP(C8567,Products!$A$2:$C$8,3,FALSE),0)</f>
        <v>1096</v>
      </c>
    </row>
    <row r="8568" spans="1:10" x14ac:dyDescent="0.25">
      <c r="A8568" t="s">
        <v>8736</v>
      </c>
      <c r="B8568" t="s">
        <v>303</v>
      </c>
      <c r="C8568" t="s">
        <v>127</v>
      </c>
      <c r="E8568" t="s">
        <v>8470</v>
      </c>
      <c r="I8568" t="str">
        <f>IF(COUNTIF(Products!$A$2:$A$8,C8568)=0,C8568,"")</f>
        <v/>
      </c>
      <c r="J8568">
        <f>IF(OR(E8568="Prospecting",E8568="Engaging"),VLOOKUP(C8568,Products!$A$2:$C$8,3,FALSE),0)</f>
        <v>1096</v>
      </c>
    </row>
    <row r="8569" spans="1:10" x14ac:dyDescent="0.25">
      <c r="A8569" t="s">
        <v>8737</v>
      </c>
      <c r="B8569" t="s">
        <v>303</v>
      </c>
      <c r="C8569" t="s">
        <v>126</v>
      </c>
      <c r="D8569" t="s">
        <v>23</v>
      </c>
      <c r="E8569" t="s">
        <v>8470</v>
      </c>
      <c r="I8569" t="str">
        <f>IF(COUNTIF(Products!$A$2:$A$8,C8569)=0,C8569,"")</f>
        <v/>
      </c>
      <c r="J8569">
        <f>IF(OR(E8569="Prospecting",E8569="Engaging"),VLOOKUP(C8569,Products!$A$2:$C$8,3,FALSE),0)</f>
        <v>5482</v>
      </c>
    </row>
    <row r="8570" spans="1:10" x14ac:dyDescent="0.25">
      <c r="A8570" t="s">
        <v>8738</v>
      </c>
      <c r="B8570" t="s">
        <v>303</v>
      </c>
      <c r="C8570" t="s">
        <v>126</v>
      </c>
      <c r="D8570" t="s">
        <v>92</v>
      </c>
      <c r="E8570" t="s">
        <v>8470</v>
      </c>
      <c r="I8570" t="str">
        <f>IF(COUNTIF(Products!$A$2:$A$8,C8570)=0,C8570,"")</f>
        <v/>
      </c>
      <c r="J8570">
        <f>IF(OR(E8570="Prospecting",E8570="Engaging"),VLOOKUP(C8570,Products!$A$2:$C$8,3,FALSE),0)</f>
        <v>5482</v>
      </c>
    </row>
    <row r="8571" spans="1:10" x14ac:dyDescent="0.25">
      <c r="A8571" t="s">
        <v>8739</v>
      </c>
      <c r="B8571" t="s">
        <v>303</v>
      </c>
      <c r="C8571" t="s">
        <v>126</v>
      </c>
      <c r="E8571" t="s">
        <v>8470</v>
      </c>
      <c r="I8571" t="str">
        <f>IF(COUNTIF(Products!$A$2:$A$8,C8571)=0,C8571,"")</f>
        <v/>
      </c>
      <c r="J8571">
        <f>IF(OR(E8571="Prospecting",E8571="Engaging"),VLOOKUP(C8571,Products!$A$2:$C$8,3,FALSE),0)</f>
        <v>5482</v>
      </c>
    </row>
    <row r="8572" spans="1:10" x14ac:dyDescent="0.25">
      <c r="A8572" t="s">
        <v>8740</v>
      </c>
      <c r="B8572" t="s">
        <v>303</v>
      </c>
      <c r="C8572" t="s">
        <v>126</v>
      </c>
      <c r="E8572" t="s">
        <v>8470</v>
      </c>
      <c r="I8572" t="str">
        <f>IF(COUNTIF(Products!$A$2:$A$8,C8572)=0,C8572,"")</f>
        <v/>
      </c>
      <c r="J8572">
        <f>IF(OR(E8572="Prospecting",E8572="Engaging"),VLOOKUP(C8572,Products!$A$2:$C$8,3,FALSE),0)</f>
        <v>5482</v>
      </c>
    </row>
    <row r="8573" spans="1:10" x14ac:dyDescent="0.25">
      <c r="A8573" t="s">
        <v>8741</v>
      </c>
      <c r="B8573" t="s">
        <v>303</v>
      </c>
      <c r="C8573" t="s">
        <v>122</v>
      </c>
      <c r="D8573" t="s">
        <v>63</v>
      </c>
      <c r="E8573" t="s">
        <v>8470</v>
      </c>
      <c r="I8573" t="str">
        <f>IF(COUNTIF(Products!$A$2:$A$8,C8573)=0,C8573,"")</f>
        <v/>
      </c>
      <c r="J8573">
        <f>IF(OR(E8573="Prospecting",E8573="Engaging"),VLOOKUP(C8573,Products!$A$2:$C$8,3,FALSE),0)</f>
        <v>4821</v>
      </c>
    </row>
    <row r="8574" spans="1:10" x14ac:dyDescent="0.25">
      <c r="A8574" t="s">
        <v>8742</v>
      </c>
      <c r="B8574" t="s">
        <v>303</v>
      </c>
      <c r="C8574" t="s">
        <v>122</v>
      </c>
      <c r="D8574" t="s">
        <v>82</v>
      </c>
      <c r="E8574" t="s">
        <v>8470</v>
      </c>
      <c r="I8574" t="str">
        <f>IF(COUNTIF(Products!$A$2:$A$8,C8574)=0,C8574,"")</f>
        <v/>
      </c>
      <c r="J8574">
        <f>IF(OR(E8574="Prospecting",E8574="Engaging"),VLOOKUP(C8574,Products!$A$2:$C$8,3,FALSE),0)</f>
        <v>4821</v>
      </c>
    </row>
    <row r="8575" spans="1:10" x14ac:dyDescent="0.25">
      <c r="A8575" t="s">
        <v>8743</v>
      </c>
      <c r="B8575" t="s">
        <v>303</v>
      </c>
      <c r="C8575" t="s">
        <v>122</v>
      </c>
      <c r="E8575" t="s">
        <v>8470</v>
      </c>
      <c r="I8575" t="str">
        <f>IF(COUNTIF(Products!$A$2:$A$8,C8575)=0,C8575,"")</f>
        <v/>
      </c>
      <c r="J8575">
        <f>IF(OR(E8575="Prospecting",E8575="Engaging"),VLOOKUP(C8575,Products!$A$2:$C$8,3,FALSE),0)</f>
        <v>4821</v>
      </c>
    </row>
    <row r="8576" spans="1:10" x14ac:dyDescent="0.25">
      <c r="A8576" t="s">
        <v>8744</v>
      </c>
      <c r="B8576" t="s">
        <v>303</v>
      </c>
      <c r="C8576" t="s">
        <v>122</v>
      </c>
      <c r="E8576" t="s">
        <v>8470</v>
      </c>
      <c r="I8576" t="str">
        <f>IF(COUNTIF(Products!$A$2:$A$8,C8576)=0,C8576,"")</f>
        <v/>
      </c>
      <c r="J8576">
        <f>IF(OR(E8576="Prospecting",E8576="Engaging"),VLOOKUP(C8576,Products!$A$2:$C$8,3,FALSE),0)</f>
        <v>4821</v>
      </c>
    </row>
    <row r="8577" spans="1:10" x14ac:dyDescent="0.25">
      <c r="A8577" t="s">
        <v>8745</v>
      </c>
      <c r="B8577" t="s">
        <v>303</v>
      </c>
      <c r="C8577" t="s">
        <v>122</v>
      </c>
      <c r="E8577" t="s">
        <v>8470</v>
      </c>
      <c r="I8577" t="str">
        <f>IF(COUNTIF(Products!$A$2:$A$8,C8577)=0,C8577,"")</f>
        <v/>
      </c>
      <c r="J8577">
        <f>IF(OR(E8577="Prospecting",E8577="Engaging"),VLOOKUP(C8577,Products!$A$2:$C$8,3,FALSE),0)</f>
        <v>4821</v>
      </c>
    </row>
    <row r="8578" spans="1:10" x14ac:dyDescent="0.25">
      <c r="A8578" t="s">
        <v>8746</v>
      </c>
      <c r="B8578" t="s">
        <v>303</v>
      </c>
      <c r="C8578" t="s">
        <v>122</v>
      </c>
      <c r="E8578" t="s">
        <v>8470</v>
      </c>
      <c r="I8578" t="str">
        <f>IF(COUNTIF(Products!$A$2:$A$8,C8578)=0,C8578,"")</f>
        <v/>
      </c>
      <c r="J8578">
        <f>IF(OR(E8578="Prospecting",E8578="Engaging"),VLOOKUP(C8578,Products!$A$2:$C$8,3,FALSE),0)</f>
        <v>4821</v>
      </c>
    </row>
    <row r="8579" spans="1:10" x14ac:dyDescent="0.25">
      <c r="A8579" t="s">
        <v>8747</v>
      </c>
      <c r="B8579" t="s">
        <v>303</v>
      </c>
      <c r="C8579" t="s">
        <v>122</v>
      </c>
      <c r="E8579" t="s">
        <v>8470</v>
      </c>
      <c r="I8579" t="str">
        <f>IF(COUNTIF(Products!$A$2:$A$8,C8579)=0,C8579,"")</f>
        <v/>
      </c>
      <c r="J8579">
        <f>IF(OR(E8579="Prospecting",E8579="Engaging"),VLOOKUP(C8579,Products!$A$2:$C$8,3,FALSE),0)</f>
        <v>4821</v>
      </c>
    </row>
    <row r="8580" spans="1:10" x14ac:dyDescent="0.25">
      <c r="A8580" t="s">
        <v>8748</v>
      </c>
      <c r="B8580" t="s">
        <v>303</v>
      </c>
      <c r="C8580" t="s">
        <v>122</v>
      </c>
      <c r="E8580" t="s">
        <v>8470</v>
      </c>
      <c r="I8580" t="str">
        <f>IF(COUNTIF(Products!$A$2:$A$8,C8580)=0,C8580,"")</f>
        <v/>
      </c>
      <c r="J8580">
        <f>IF(OR(E8580="Prospecting",E8580="Engaging"),VLOOKUP(C8580,Products!$A$2:$C$8,3,FALSE),0)</f>
        <v>4821</v>
      </c>
    </row>
    <row r="8581" spans="1:10" x14ac:dyDescent="0.25">
      <c r="A8581" t="s">
        <v>8749</v>
      </c>
      <c r="B8581" t="s">
        <v>303</v>
      </c>
      <c r="C8581" t="s">
        <v>122</v>
      </c>
      <c r="E8581" t="s">
        <v>8470</v>
      </c>
      <c r="I8581" t="str">
        <f>IF(COUNTIF(Products!$A$2:$A$8,C8581)=0,C8581,"")</f>
        <v/>
      </c>
      <c r="J8581">
        <f>IF(OR(E8581="Prospecting",E8581="Engaging"),VLOOKUP(C8581,Products!$A$2:$C$8,3,FALSE),0)</f>
        <v>4821</v>
      </c>
    </row>
    <row r="8582" spans="1:10" x14ac:dyDescent="0.25">
      <c r="A8582" t="s">
        <v>8750</v>
      </c>
      <c r="B8582" t="s">
        <v>303</v>
      </c>
      <c r="C8582" t="s">
        <v>123</v>
      </c>
      <c r="D8582" t="s">
        <v>17</v>
      </c>
      <c r="E8582" t="s">
        <v>8470</v>
      </c>
      <c r="I8582" t="str">
        <f>IF(COUNTIF(Products!$A$2:$A$8,C8582)=0,C8582,"")</f>
        <v/>
      </c>
      <c r="J8582">
        <f>IF(OR(E8582="Prospecting",E8582="Engaging"),VLOOKUP(C8582,Products!$A$2:$C$8,3,FALSE),0)</f>
        <v>55</v>
      </c>
    </row>
    <row r="8583" spans="1:10" x14ac:dyDescent="0.25">
      <c r="A8583" t="s">
        <v>8751</v>
      </c>
      <c r="B8583" t="s">
        <v>303</v>
      </c>
      <c r="C8583" t="s">
        <v>123</v>
      </c>
      <c r="D8583" t="s">
        <v>19</v>
      </c>
      <c r="E8583" t="s">
        <v>8470</v>
      </c>
      <c r="I8583" t="str">
        <f>IF(COUNTIF(Products!$A$2:$A$8,C8583)=0,C8583,"")</f>
        <v/>
      </c>
      <c r="J8583">
        <f>IF(OR(E8583="Prospecting",E8583="Engaging"),VLOOKUP(C8583,Products!$A$2:$C$8,3,FALSE),0)</f>
        <v>55</v>
      </c>
    </row>
    <row r="8584" spans="1:10" x14ac:dyDescent="0.25">
      <c r="A8584" t="s">
        <v>8752</v>
      </c>
      <c r="B8584" t="s">
        <v>303</v>
      </c>
      <c r="C8584" t="s">
        <v>123</v>
      </c>
      <c r="E8584" t="s">
        <v>8470</v>
      </c>
      <c r="I8584" t="str">
        <f>IF(COUNTIF(Products!$A$2:$A$8,C8584)=0,C8584,"")</f>
        <v/>
      </c>
      <c r="J8584">
        <f>IF(OR(E8584="Prospecting",E8584="Engaging"),VLOOKUP(C8584,Products!$A$2:$C$8,3,FALSE),0)</f>
        <v>55</v>
      </c>
    </row>
    <row r="8585" spans="1:10" x14ac:dyDescent="0.25">
      <c r="A8585" t="s">
        <v>8753</v>
      </c>
      <c r="B8585" t="s">
        <v>303</v>
      </c>
      <c r="C8585" t="s">
        <v>123</v>
      </c>
      <c r="E8585" t="s">
        <v>8470</v>
      </c>
      <c r="I8585" t="str">
        <f>IF(COUNTIF(Products!$A$2:$A$8,C8585)=0,C8585,"")</f>
        <v/>
      </c>
      <c r="J8585">
        <f>IF(OR(E8585="Prospecting",E8585="Engaging"),VLOOKUP(C8585,Products!$A$2:$C$8,3,FALSE),0)</f>
        <v>55</v>
      </c>
    </row>
    <row r="8586" spans="1:10" x14ac:dyDescent="0.25">
      <c r="A8586" t="s">
        <v>8754</v>
      </c>
      <c r="B8586" t="s">
        <v>303</v>
      </c>
      <c r="C8586" t="s">
        <v>123</v>
      </c>
      <c r="E8586" t="s">
        <v>8470</v>
      </c>
      <c r="I8586" t="str">
        <f>IF(COUNTIF(Products!$A$2:$A$8,C8586)=0,C8586,"")</f>
        <v/>
      </c>
      <c r="J8586">
        <f>IF(OR(E8586="Prospecting",E8586="Engaging"),VLOOKUP(C8586,Products!$A$2:$C$8,3,FALSE),0)</f>
        <v>55</v>
      </c>
    </row>
    <row r="8587" spans="1:10" x14ac:dyDescent="0.25">
      <c r="A8587" t="s">
        <v>8755</v>
      </c>
      <c r="B8587" t="s">
        <v>303</v>
      </c>
      <c r="C8587" t="s">
        <v>123</v>
      </c>
      <c r="E8587" t="s">
        <v>8470</v>
      </c>
      <c r="I8587" t="str">
        <f>IF(COUNTIF(Products!$A$2:$A$8,C8587)=0,C8587,"")</f>
        <v/>
      </c>
      <c r="J8587">
        <f>IF(OR(E8587="Prospecting",E8587="Engaging"),VLOOKUP(C8587,Products!$A$2:$C$8,3,FALSE),0)</f>
        <v>55</v>
      </c>
    </row>
    <row r="8588" spans="1:10" x14ac:dyDescent="0.25">
      <c r="A8588" t="s">
        <v>8756</v>
      </c>
      <c r="B8588" t="s">
        <v>303</v>
      </c>
      <c r="C8588" t="s">
        <v>125</v>
      </c>
      <c r="E8588" t="s">
        <v>8470</v>
      </c>
      <c r="I8588" t="str">
        <f>IF(COUNTIF(Products!$A$2:$A$8,C8588)=0,C8588,"")</f>
        <v/>
      </c>
      <c r="J8588">
        <f>IF(OR(E8588="Prospecting",E8588="Engaging"),VLOOKUP(C8588,Products!$A$2:$C$8,3,FALSE),0)</f>
        <v>3393</v>
      </c>
    </row>
    <row r="8589" spans="1:10" x14ac:dyDescent="0.25">
      <c r="A8589" t="s">
        <v>8757</v>
      </c>
      <c r="B8589" t="s">
        <v>217</v>
      </c>
      <c r="C8589" t="s">
        <v>120</v>
      </c>
      <c r="D8589" t="s">
        <v>19</v>
      </c>
      <c r="E8589" t="s">
        <v>8470</v>
      </c>
      <c r="I8589" t="str">
        <f>IF(COUNTIF(Products!$A$2:$A$8,C8589)=0,C8589,"")</f>
        <v/>
      </c>
      <c r="J8589">
        <f>IF(OR(E8589="Prospecting",E8589="Engaging"),VLOOKUP(C8589,Products!$A$2:$C$8,3,FALSE),0)</f>
        <v>550</v>
      </c>
    </row>
    <row r="8590" spans="1:10" x14ac:dyDescent="0.25">
      <c r="A8590" t="s">
        <v>8758</v>
      </c>
      <c r="B8590" t="s">
        <v>217</v>
      </c>
      <c r="C8590" t="s">
        <v>120</v>
      </c>
      <c r="D8590" t="s">
        <v>69</v>
      </c>
      <c r="E8590" t="s">
        <v>8470</v>
      </c>
      <c r="I8590" t="str">
        <f>IF(COUNTIF(Products!$A$2:$A$8,C8590)=0,C8590,"")</f>
        <v/>
      </c>
      <c r="J8590">
        <f>IF(OR(E8590="Prospecting",E8590="Engaging"),VLOOKUP(C8590,Products!$A$2:$C$8,3,FALSE),0)</f>
        <v>550</v>
      </c>
    </row>
    <row r="8591" spans="1:10" x14ac:dyDescent="0.25">
      <c r="A8591" t="s">
        <v>8759</v>
      </c>
      <c r="B8591" t="s">
        <v>217</v>
      </c>
      <c r="C8591" t="s">
        <v>120</v>
      </c>
      <c r="D8591" t="s">
        <v>95</v>
      </c>
      <c r="E8591" t="s">
        <v>8470</v>
      </c>
      <c r="I8591" t="str">
        <f>IF(COUNTIF(Products!$A$2:$A$8,C8591)=0,C8591,"")</f>
        <v/>
      </c>
      <c r="J8591">
        <f>IF(OR(E8591="Prospecting",E8591="Engaging"),VLOOKUP(C8591,Products!$A$2:$C$8,3,FALSE),0)</f>
        <v>550</v>
      </c>
    </row>
    <row r="8592" spans="1:10" x14ac:dyDescent="0.25">
      <c r="A8592" t="s">
        <v>8760</v>
      </c>
      <c r="B8592" t="s">
        <v>217</v>
      </c>
      <c r="C8592" t="s">
        <v>120</v>
      </c>
      <c r="E8592" t="s">
        <v>8470</v>
      </c>
      <c r="I8592" t="str">
        <f>IF(COUNTIF(Products!$A$2:$A$8,C8592)=0,C8592,"")</f>
        <v/>
      </c>
      <c r="J8592">
        <f>IF(OR(E8592="Prospecting",E8592="Engaging"),VLOOKUP(C8592,Products!$A$2:$C$8,3,FALSE),0)</f>
        <v>550</v>
      </c>
    </row>
    <row r="8593" spans="1:10" x14ac:dyDescent="0.25">
      <c r="A8593" t="s">
        <v>8761</v>
      </c>
      <c r="B8593" t="s">
        <v>217</v>
      </c>
      <c r="C8593" t="s">
        <v>120</v>
      </c>
      <c r="E8593" t="s">
        <v>8470</v>
      </c>
      <c r="I8593" t="str">
        <f>IF(COUNTIF(Products!$A$2:$A$8,C8593)=0,C8593,"")</f>
        <v/>
      </c>
      <c r="J8593">
        <f>IF(OR(E8593="Prospecting",E8593="Engaging"),VLOOKUP(C8593,Products!$A$2:$C$8,3,FALSE),0)</f>
        <v>550</v>
      </c>
    </row>
    <row r="8594" spans="1:10" x14ac:dyDescent="0.25">
      <c r="A8594" t="s">
        <v>8762</v>
      </c>
      <c r="B8594" t="s">
        <v>217</v>
      </c>
      <c r="C8594" t="s">
        <v>120</v>
      </c>
      <c r="E8594" t="s">
        <v>8470</v>
      </c>
      <c r="I8594" t="str">
        <f>IF(COUNTIF(Products!$A$2:$A$8,C8594)=0,C8594,"")</f>
        <v/>
      </c>
      <c r="J8594">
        <f>IF(OR(E8594="Prospecting",E8594="Engaging"),VLOOKUP(C8594,Products!$A$2:$C$8,3,FALSE),0)</f>
        <v>550</v>
      </c>
    </row>
    <row r="8595" spans="1:10" x14ac:dyDescent="0.25">
      <c r="A8595" t="s">
        <v>8763</v>
      </c>
      <c r="B8595" t="s">
        <v>217</v>
      </c>
      <c r="C8595" t="s">
        <v>120</v>
      </c>
      <c r="E8595" t="s">
        <v>8470</v>
      </c>
      <c r="I8595" t="str">
        <f>IF(COUNTIF(Products!$A$2:$A$8,C8595)=0,C8595,"")</f>
        <v/>
      </c>
      <c r="J8595">
        <f>IF(OR(E8595="Prospecting",E8595="Engaging"),VLOOKUP(C8595,Products!$A$2:$C$8,3,FALSE),0)</f>
        <v>550</v>
      </c>
    </row>
    <row r="8596" spans="1:10" x14ac:dyDescent="0.25">
      <c r="A8596" t="s">
        <v>8764</v>
      </c>
      <c r="B8596" t="s">
        <v>217</v>
      </c>
      <c r="C8596" t="s">
        <v>120</v>
      </c>
      <c r="E8596" t="s">
        <v>8470</v>
      </c>
      <c r="I8596" t="str">
        <f>IF(COUNTIF(Products!$A$2:$A$8,C8596)=0,C8596,"")</f>
        <v/>
      </c>
      <c r="J8596">
        <f>IF(OR(E8596="Prospecting",E8596="Engaging"),VLOOKUP(C8596,Products!$A$2:$C$8,3,FALSE),0)</f>
        <v>550</v>
      </c>
    </row>
    <row r="8597" spans="1:10" x14ac:dyDescent="0.25">
      <c r="A8597" t="s">
        <v>8765</v>
      </c>
      <c r="B8597" t="s">
        <v>217</v>
      </c>
      <c r="C8597" t="s">
        <v>120</v>
      </c>
      <c r="E8597" t="s">
        <v>8470</v>
      </c>
      <c r="I8597" t="str">
        <f>IF(COUNTIF(Products!$A$2:$A$8,C8597)=0,C8597,"")</f>
        <v/>
      </c>
      <c r="J8597">
        <f>IF(OR(E8597="Prospecting",E8597="Engaging"),VLOOKUP(C8597,Products!$A$2:$C$8,3,FALSE),0)</f>
        <v>550</v>
      </c>
    </row>
    <row r="8598" spans="1:10" x14ac:dyDescent="0.25">
      <c r="A8598" t="s">
        <v>8766</v>
      </c>
      <c r="B8598" t="s">
        <v>217</v>
      </c>
      <c r="C8598" t="s">
        <v>120</v>
      </c>
      <c r="E8598" t="s">
        <v>8470</v>
      </c>
      <c r="I8598" t="str">
        <f>IF(COUNTIF(Products!$A$2:$A$8,C8598)=0,C8598,"")</f>
        <v/>
      </c>
      <c r="J8598">
        <f>IF(OR(E8598="Prospecting",E8598="Engaging"),VLOOKUP(C8598,Products!$A$2:$C$8,3,FALSE),0)</f>
        <v>550</v>
      </c>
    </row>
    <row r="8599" spans="1:10" x14ac:dyDescent="0.25">
      <c r="A8599" t="s">
        <v>8767</v>
      </c>
      <c r="B8599" t="s">
        <v>217</v>
      </c>
      <c r="C8599" t="s">
        <v>120</v>
      </c>
      <c r="E8599" t="s">
        <v>8470</v>
      </c>
      <c r="I8599" t="str">
        <f>IF(COUNTIF(Products!$A$2:$A$8,C8599)=0,C8599,"")</f>
        <v/>
      </c>
      <c r="J8599">
        <f>IF(OR(E8599="Prospecting",E8599="Engaging"),VLOOKUP(C8599,Products!$A$2:$C$8,3,FALSE),0)</f>
        <v>550</v>
      </c>
    </row>
    <row r="8600" spans="1:10" x14ac:dyDescent="0.25">
      <c r="A8600" t="s">
        <v>8768</v>
      </c>
      <c r="B8600" t="s">
        <v>217</v>
      </c>
      <c r="C8600" t="s">
        <v>120</v>
      </c>
      <c r="E8600" t="s">
        <v>8470</v>
      </c>
      <c r="I8600" t="str">
        <f>IF(COUNTIF(Products!$A$2:$A$8,C8600)=0,C8600,"")</f>
        <v/>
      </c>
      <c r="J8600">
        <f>IF(OR(E8600="Prospecting",E8600="Engaging"),VLOOKUP(C8600,Products!$A$2:$C$8,3,FALSE),0)</f>
        <v>550</v>
      </c>
    </row>
    <row r="8601" spans="1:10" x14ac:dyDescent="0.25">
      <c r="A8601" t="s">
        <v>8769</v>
      </c>
      <c r="B8601" t="s">
        <v>217</v>
      </c>
      <c r="C8601" t="s">
        <v>120</v>
      </c>
      <c r="E8601" t="s">
        <v>8470</v>
      </c>
      <c r="I8601" t="str">
        <f>IF(COUNTIF(Products!$A$2:$A$8,C8601)=0,C8601,"")</f>
        <v/>
      </c>
      <c r="J8601">
        <f>IF(OR(E8601="Prospecting",E8601="Engaging"),VLOOKUP(C8601,Products!$A$2:$C$8,3,FALSE),0)</f>
        <v>550</v>
      </c>
    </row>
    <row r="8602" spans="1:10" x14ac:dyDescent="0.25">
      <c r="A8602" t="s">
        <v>8770</v>
      </c>
      <c r="B8602" t="s">
        <v>217</v>
      </c>
      <c r="C8602" t="s">
        <v>120</v>
      </c>
      <c r="E8602" t="s">
        <v>8470</v>
      </c>
      <c r="I8602" t="str">
        <f>IF(COUNTIF(Products!$A$2:$A$8,C8602)=0,C8602,"")</f>
        <v/>
      </c>
      <c r="J8602">
        <f>IF(OR(E8602="Prospecting",E8602="Engaging"),VLOOKUP(C8602,Products!$A$2:$C$8,3,FALSE),0)</f>
        <v>550</v>
      </c>
    </row>
    <row r="8603" spans="1:10" x14ac:dyDescent="0.25">
      <c r="A8603" t="s">
        <v>8771</v>
      </c>
      <c r="B8603" t="s">
        <v>217</v>
      </c>
      <c r="C8603" t="s">
        <v>127</v>
      </c>
      <c r="D8603" t="s">
        <v>29</v>
      </c>
      <c r="E8603" t="s">
        <v>8470</v>
      </c>
      <c r="I8603" t="str">
        <f>IF(COUNTIF(Products!$A$2:$A$8,C8603)=0,C8603,"")</f>
        <v/>
      </c>
      <c r="J8603">
        <f>IF(OR(E8603="Prospecting",E8603="Engaging"),VLOOKUP(C8603,Products!$A$2:$C$8,3,FALSE),0)</f>
        <v>1096</v>
      </c>
    </row>
    <row r="8604" spans="1:10" x14ac:dyDescent="0.25">
      <c r="A8604" t="s">
        <v>8772</v>
      </c>
      <c r="B8604" t="s">
        <v>217</v>
      </c>
      <c r="C8604" t="s">
        <v>127</v>
      </c>
      <c r="E8604" t="s">
        <v>8470</v>
      </c>
      <c r="I8604" t="str">
        <f>IF(COUNTIF(Products!$A$2:$A$8,C8604)=0,C8604,"")</f>
        <v/>
      </c>
      <c r="J8604">
        <f>IF(OR(E8604="Prospecting",E8604="Engaging"),VLOOKUP(C8604,Products!$A$2:$C$8,3,FALSE),0)</f>
        <v>1096</v>
      </c>
    </row>
    <row r="8605" spans="1:10" x14ac:dyDescent="0.25">
      <c r="A8605" t="s">
        <v>8773</v>
      </c>
      <c r="B8605" t="s">
        <v>217</v>
      </c>
      <c r="C8605" t="s">
        <v>127</v>
      </c>
      <c r="E8605" t="s">
        <v>8470</v>
      </c>
      <c r="I8605" t="str">
        <f>IF(COUNTIF(Products!$A$2:$A$8,C8605)=0,C8605,"")</f>
        <v/>
      </c>
      <c r="J8605">
        <f>IF(OR(E8605="Prospecting",E8605="Engaging"),VLOOKUP(C8605,Products!$A$2:$C$8,3,FALSE),0)</f>
        <v>1096</v>
      </c>
    </row>
    <row r="8606" spans="1:10" x14ac:dyDescent="0.25">
      <c r="A8606" t="s">
        <v>8774</v>
      </c>
      <c r="B8606" t="s">
        <v>217</v>
      </c>
      <c r="C8606" t="s">
        <v>127</v>
      </c>
      <c r="E8606" t="s">
        <v>8470</v>
      </c>
      <c r="I8606" t="str">
        <f>IF(COUNTIF(Products!$A$2:$A$8,C8606)=0,C8606,"")</f>
        <v/>
      </c>
      <c r="J8606">
        <f>IF(OR(E8606="Prospecting",E8606="Engaging"),VLOOKUP(C8606,Products!$A$2:$C$8,3,FALSE),0)</f>
        <v>1096</v>
      </c>
    </row>
    <row r="8607" spans="1:10" x14ac:dyDescent="0.25">
      <c r="A8607" t="s">
        <v>8775</v>
      </c>
      <c r="B8607" t="s">
        <v>217</v>
      </c>
      <c r="C8607" t="s">
        <v>127</v>
      </c>
      <c r="E8607" t="s">
        <v>8470</v>
      </c>
      <c r="I8607" t="str">
        <f>IF(COUNTIF(Products!$A$2:$A$8,C8607)=0,C8607,"")</f>
        <v/>
      </c>
      <c r="J8607">
        <f>IF(OR(E8607="Prospecting",E8607="Engaging"),VLOOKUP(C8607,Products!$A$2:$C$8,3,FALSE),0)</f>
        <v>1096</v>
      </c>
    </row>
    <row r="8608" spans="1:10" x14ac:dyDescent="0.25">
      <c r="A8608" t="s">
        <v>8776</v>
      </c>
      <c r="B8608" t="s">
        <v>217</v>
      </c>
      <c r="C8608" t="s">
        <v>127</v>
      </c>
      <c r="E8608" t="s">
        <v>8470</v>
      </c>
      <c r="I8608" t="str">
        <f>IF(COUNTIF(Products!$A$2:$A$8,C8608)=0,C8608,"")</f>
        <v/>
      </c>
      <c r="J8608">
        <f>IF(OR(E8608="Prospecting",E8608="Engaging"),VLOOKUP(C8608,Products!$A$2:$C$8,3,FALSE),0)</f>
        <v>1096</v>
      </c>
    </row>
    <row r="8609" spans="1:10" x14ac:dyDescent="0.25">
      <c r="A8609" t="s">
        <v>8777</v>
      </c>
      <c r="B8609" t="s">
        <v>217</v>
      </c>
      <c r="C8609" t="s">
        <v>126</v>
      </c>
      <c r="E8609" t="s">
        <v>8470</v>
      </c>
      <c r="I8609" t="str">
        <f>IF(COUNTIF(Products!$A$2:$A$8,C8609)=0,C8609,"")</f>
        <v/>
      </c>
      <c r="J8609">
        <f>IF(OR(E8609="Prospecting",E8609="Engaging"),VLOOKUP(C8609,Products!$A$2:$C$8,3,FALSE),0)</f>
        <v>5482</v>
      </c>
    </row>
    <row r="8610" spans="1:10" x14ac:dyDescent="0.25">
      <c r="A8610" t="s">
        <v>8778</v>
      </c>
      <c r="B8610" t="s">
        <v>217</v>
      </c>
      <c r="C8610" t="s">
        <v>123</v>
      </c>
      <c r="D8610" t="s">
        <v>16</v>
      </c>
      <c r="E8610" t="s">
        <v>8470</v>
      </c>
      <c r="I8610" t="str">
        <f>IF(COUNTIF(Products!$A$2:$A$8,C8610)=0,C8610,"")</f>
        <v/>
      </c>
      <c r="J8610">
        <f>IF(OR(E8610="Prospecting",E8610="Engaging"),VLOOKUP(C8610,Products!$A$2:$C$8,3,FALSE),0)</f>
        <v>55</v>
      </c>
    </row>
    <row r="8611" spans="1:10" x14ac:dyDescent="0.25">
      <c r="A8611" t="s">
        <v>8779</v>
      </c>
      <c r="B8611" t="s">
        <v>217</v>
      </c>
      <c r="C8611" t="s">
        <v>123</v>
      </c>
      <c r="D8611" t="s">
        <v>26</v>
      </c>
      <c r="E8611" t="s">
        <v>8470</v>
      </c>
      <c r="I8611" t="str">
        <f>IF(COUNTIF(Products!$A$2:$A$8,C8611)=0,C8611,"")</f>
        <v/>
      </c>
      <c r="J8611">
        <f>IF(OR(E8611="Prospecting",E8611="Engaging"),VLOOKUP(C8611,Products!$A$2:$C$8,3,FALSE),0)</f>
        <v>55</v>
      </c>
    </row>
    <row r="8612" spans="1:10" x14ac:dyDescent="0.25">
      <c r="A8612" t="s">
        <v>8780</v>
      </c>
      <c r="B8612" t="s">
        <v>217</v>
      </c>
      <c r="C8612" t="s">
        <v>123</v>
      </c>
      <c r="E8612" t="s">
        <v>8470</v>
      </c>
      <c r="I8612" t="str">
        <f>IF(COUNTIF(Products!$A$2:$A$8,C8612)=0,C8612,"")</f>
        <v/>
      </c>
      <c r="J8612">
        <f>IF(OR(E8612="Prospecting",E8612="Engaging"),VLOOKUP(C8612,Products!$A$2:$C$8,3,FALSE),0)</f>
        <v>55</v>
      </c>
    </row>
    <row r="8613" spans="1:10" x14ac:dyDescent="0.25">
      <c r="A8613" t="s">
        <v>8781</v>
      </c>
      <c r="B8613" t="s">
        <v>217</v>
      </c>
      <c r="C8613" t="s">
        <v>123</v>
      </c>
      <c r="E8613" t="s">
        <v>8470</v>
      </c>
      <c r="I8613" t="str">
        <f>IF(COUNTIF(Products!$A$2:$A$8,C8613)=0,C8613,"")</f>
        <v/>
      </c>
      <c r="J8613">
        <f>IF(OR(E8613="Prospecting",E8613="Engaging"),VLOOKUP(C8613,Products!$A$2:$C$8,3,FALSE),0)</f>
        <v>55</v>
      </c>
    </row>
    <row r="8614" spans="1:10" x14ac:dyDescent="0.25">
      <c r="A8614" t="s">
        <v>8782</v>
      </c>
      <c r="B8614" t="s">
        <v>217</v>
      </c>
      <c r="C8614" t="s">
        <v>123</v>
      </c>
      <c r="E8614" t="s">
        <v>8470</v>
      </c>
      <c r="I8614" t="str">
        <f>IF(COUNTIF(Products!$A$2:$A$8,C8614)=0,C8614,"")</f>
        <v/>
      </c>
      <c r="J8614">
        <f>IF(OR(E8614="Prospecting",E8614="Engaging"),VLOOKUP(C8614,Products!$A$2:$C$8,3,FALSE),0)</f>
        <v>55</v>
      </c>
    </row>
    <row r="8615" spans="1:10" x14ac:dyDescent="0.25">
      <c r="A8615" t="s">
        <v>8783</v>
      </c>
      <c r="B8615" t="s">
        <v>217</v>
      </c>
      <c r="C8615" t="s">
        <v>123</v>
      </c>
      <c r="E8615" t="s">
        <v>8470</v>
      </c>
      <c r="I8615" t="str">
        <f>IF(COUNTIF(Products!$A$2:$A$8,C8615)=0,C8615,"")</f>
        <v/>
      </c>
      <c r="J8615">
        <f>IF(OR(E8615="Prospecting",E8615="Engaging"),VLOOKUP(C8615,Products!$A$2:$C$8,3,FALSE),0)</f>
        <v>55</v>
      </c>
    </row>
    <row r="8616" spans="1:10" x14ac:dyDescent="0.25">
      <c r="A8616" t="s">
        <v>8784</v>
      </c>
      <c r="B8616" t="s">
        <v>217</v>
      </c>
      <c r="C8616" t="s">
        <v>123</v>
      </c>
      <c r="E8616" t="s">
        <v>8470</v>
      </c>
      <c r="I8616" t="str">
        <f>IF(COUNTIF(Products!$A$2:$A$8,C8616)=0,C8616,"")</f>
        <v/>
      </c>
      <c r="J8616">
        <f>IF(OR(E8616="Prospecting",E8616="Engaging"),VLOOKUP(C8616,Products!$A$2:$C$8,3,FALSE),0)</f>
        <v>55</v>
      </c>
    </row>
    <row r="8617" spans="1:10" x14ac:dyDescent="0.25">
      <c r="A8617" t="s">
        <v>8785</v>
      </c>
      <c r="B8617" t="s">
        <v>217</v>
      </c>
      <c r="C8617" t="s">
        <v>123</v>
      </c>
      <c r="E8617" t="s">
        <v>8470</v>
      </c>
      <c r="I8617" t="str">
        <f>IF(COUNTIF(Products!$A$2:$A$8,C8617)=0,C8617,"")</f>
        <v/>
      </c>
      <c r="J8617">
        <f>IF(OR(E8617="Prospecting",E8617="Engaging"),VLOOKUP(C8617,Products!$A$2:$C$8,3,FALSE),0)</f>
        <v>55</v>
      </c>
    </row>
    <row r="8618" spans="1:10" x14ac:dyDescent="0.25">
      <c r="A8618" t="s">
        <v>8786</v>
      </c>
      <c r="B8618" t="s">
        <v>217</v>
      </c>
      <c r="C8618" t="s">
        <v>125</v>
      </c>
      <c r="D8618" t="s">
        <v>44</v>
      </c>
      <c r="E8618" t="s">
        <v>8470</v>
      </c>
      <c r="I8618" t="str">
        <f>IF(COUNTIF(Products!$A$2:$A$8,C8618)=0,C8618,"")</f>
        <v/>
      </c>
      <c r="J8618">
        <f>IF(OR(E8618="Prospecting",E8618="Engaging"),VLOOKUP(C8618,Products!$A$2:$C$8,3,FALSE),0)</f>
        <v>3393</v>
      </c>
    </row>
    <row r="8619" spans="1:10" x14ac:dyDescent="0.25">
      <c r="A8619" t="s">
        <v>8787</v>
      </c>
      <c r="B8619" t="s">
        <v>217</v>
      </c>
      <c r="C8619" t="s">
        <v>125</v>
      </c>
      <c r="D8619" t="s">
        <v>68</v>
      </c>
      <c r="E8619" t="s">
        <v>8470</v>
      </c>
      <c r="I8619" t="str">
        <f>IF(COUNTIF(Products!$A$2:$A$8,C8619)=0,C8619,"")</f>
        <v/>
      </c>
      <c r="J8619">
        <f>IF(OR(E8619="Prospecting",E8619="Engaging"),VLOOKUP(C8619,Products!$A$2:$C$8,3,FALSE),0)</f>
        <v>3393</v>
      </c>
    </row>
    <row r="8620" spans="1:10" x14ac:dyDescent="0.25">
      <c r="A8620" t="s">
        <v>8788</v>
      </c>
      <c r="B8620" t="s">
        <v>217</v>
      </c>
      <c r="C8620" t="s">
        <v>125</v>
      </c>
      <c r="D8620" t="s">
        <v>85</v>
      </c>
      <c r="E8620" t="s">
        <v>8470</v>
      </c>
      <c r="I8620" t="str">
        <f>IF(COUNTIF(Products!$A$2:$A$8,C8620)=0,C8620,"")</f>
        <v/>
      </c>
      <c r="J8620">
        <f>IF(OR(E8620="Prospecting",E8620="Engaging"),VLOOKUP(C8620,Products!$A$2:$C$8,3,FALSE),0)</f>
        <v>3393</v>
      </c>
    </row>
    <row r="8621" spans="1:10" x14ac:dyDescent="0.25">
      <c r="A8621" t="s">
        <v>8789</v>
      </c>
      <c r="B8621" t="s">
        <v>217</v>
      </c>
      <c r="C8621" t="s">
        <v>125</v>
      </c>
      <c r="E8621" t="s">
        <v>8470</v>
      </c>
      <c r="I8621" t="str">
        <f>IF(COUNTIF(Products!$A$2:$A$8,C8621)=0,C8621,"")</f>
        <v/>
      </c>
      <c r="J8621">
        <f>IF(OR(E8621="Prospecting",E8621="Engaging"),VLOOKUP(C8621,Products!$A$2:$C$8,3,FALSE),0)</f>
        <v>3393</v>
      </c>
    </row>
    <row r="8622" spans="1:10" x14ac:dyDescent="0.25">
      <c r="A8622" t="s">
        <v>8790</v>
      </c>
      <c r="B8622" t="s">
        <v>217</v>
      </c>
      <c r="C8622" t="s">
        <v>125</v>
      </c>
      <c r="E8622" t="s">
        <v>8470</v>
      </c>
      <c r="I8622" t="str">
        <f>IF(COUNTIF(Products!$A$2:$A$8,C8622)=0,C8622,"")</f>
        <v/>
      </c>
      <c r="J8622">
        <f>IF(OR(E8622="Prospecting",E8622="Engaging"),VLOOKUP(C8622,Products!$A$2:$C$8,3,FALSE),0)</f>
        <v>3393</v>
      </c>
    </row>
    <row r="8623" spans="1:10" x14ac:dyDescent="0.25">
      <c r="A8623" t="s">
        <v>8791</v>
      </c>
      <c r="B8623" t="s">
        <v>217</v>
      </c>
      <c r="C8623" t="s">
        <v>125</v>
      </c>
      <c r="E8623" t="s">
        <v>8470</v>
      </c>
      <c r="I8623" t="str">
        <f>IF(COUNTIF(Products!$A$2:$A$8,C8623)=0,C8623,"")</f>
        <v/>
      </c>
      <c r="J8623">
        <f>IF(OR(E8623="Prospecting",E8623="Engaging"),VLOOKUP(C8623,Products!$A$2:$C$8,3,FALSE),0)</f>
        <v>3393</v>
      </c>
    </row>
    <row r="8624" spans="1:10" x14ac:dyDescent="0.25">
      <c r="A8624" t="s">
        <v>8792</v>
      </c>
      <c r="B8624" t="s">
        <v>217</v>
      </c>
      <c r="C8624" t="s">
        <v>125</v>
      </c>
      <c r="E8624" t="s">
        <v>8470</v>
      </c>
      <c r="I8624" t="str">
        <f>IF(COUNTIF(Products!$A$2:$A$8,C8624)=0,C8624,"")</f>
        <v/>
      </c>
      <c r="J8624">
        <f>IF(OR(E8624="Prospecting",E8624="Engaging"),VLOOKUP(C8624,Products!$A$2:$C$8,3,FALSE),0)</f>
        <v>3393</v>
      </c>
    </row>
    <row r="8625" spans="1:10" x14ac:dyDescent="0.25">
      <c r="A8625" t="s">
        <v>8793</v>
      </c>
      <c r="B8625" t="s">
        <v>217</v>
      </c>
      <c r="C8625" t="s">
        <v>125</v>
      </c>
      <c r="E8625" t="s">
        <v>8470</v>
      </c>
      <c r="I8625" t="str">
        <f>IF(COUNTIF(Products!$A$2:$A$8,C8625)=0,C8625,"")</f>
        <v/>
      </c>
      <c r="J8625">
        <f>IF(OR(E8625="Prospecting",E8625="Engaging"),VLOOKUP(C8625,Products!$A$2:$C$8,3,FALSE),0)</f>
        <v>3393</v>
      </c>
    </row>
    <row r="8626" spans="1:10" x14ac:dyDescent="0.25">
      <c r="A8626" t="s">
        <v>8794</v>
      </c>
      <c r="B8626" t="s">
        <v>217</v>
      </c>
      <c r="C8626" t="s">
        <v>125</v>
      </c>
      <c r="E8626" t="s">
        <v>8470</v>
      </c>
      <c r="I8626" t="str">
        <f>IF(COUNTIF(Products!$A$2:$A$8,C8626)=0,C8626,"")</f>
        <v/>
      </c>
      <c r="J8626">
        <f>IF(OR(E8626="Prospecting",E8626="Engaging"),VLOOKUP(C8626,Products!$A$2:$C$8,3,FALSE),0)</f>
        <v>3393</v>
      </c>
    </row>
    <row r="8627" spans="1:10" x14ac:dyDescent="0.25">
      <c r="A8627" t="s">
        <v>8795</v>
      </c>
      <c r="B8627" t="s">
        <v>217</v>
      </c>
      <c r="C8627" t="s">
        <v>125</v>
      </c>
      <c r="E8627" t="s">
        <v>8470</v>
      </c>
      <c r="I8627" t="str">
        <f>IF(COUNTIF(Products!$A$2:$A$8,C8627)=0,C8627,"")</f>
        <v/>
      </c>
      <c r="J8627">
        <f>IF(OR(E8627="Prospecting",E8627="Engaging"),VLOOKUP(C8627,Products!$A$2:$C$8,3,FALSE),0)</f>
        <v>3393</v>
      </c>
    </row>
    <row r="8628" spans="1:10" x14ac:dyDescent="0.25">
      <c r="A8628" t="s">
        <v>8796</v>
      </c>
      <c r="B8628" t="s">
        <v>217</v>
      </c>
      <c r="C8628" t="s">
        <v>125</v>
      </c>
      <c r="E8628" t="s">
        <v>8470</v>
      </c>
      <c r="I8628" t="str">
        <f>IF(COUNTIF(Products!$A$2:$A$8,C8628)=0,C8628,"")</f>
        <v/>
      </c>
      <c r="J8628">
        <f>IF(OR(E8628="Prospecting",E8628="Engaging"),VLOOKUP(C8628,Products!$A$2:$C$8,3,FALSE),0)</f>
        <v>3393</v>
      </c>
    </row>
    <row r="8629" spans="1:10" x14ac:dyDescent="0.25">
      <c r="A8629" t="s">
        <v>8797</v>
      </c>
      <c r="B8629" t="s">
        <v>205</v>
      </c>
      <c r="C8629" t="s">
        <v>120</v>
      </c>
      <c r="D8629" t="s">
        <v>82</v>
      </c>
      <c r="E8629" t="s">
        <v>8470</v>
      </c>
      <c r="I8629" t="str">
        <f>IF(COUNTIF(Products!$A$2:$A$8,C8629)=0,C8629,"")</f>
        <v/>
      </c>
      <c r="J8629">
        <f>IF(OR(E8629="Prospecting",E8629="Engaging"),VLOOKUP(C8629,Products!$A$2:$C$8,3,FALSE),0)</f>
        <v>550</v>
      </c>
    </row>
    <row r="8630" spans="1:10" x14ac:dyDescent="0.25">
      <c r="A8630" t="s">
        <v>8798</v>
      </c>
      <c r="B8630" t="s">
        <v>205</v>
      </c>
      <c r="C8630" t="s">
        <v>120</v>
      </c>
      <c r="D8630" t="s">
        <v>94</v>
      </c>
      <c r="E8630" t="s">
        <v>8470</v>
      </c>
      <c r="I8630" t="str">
        <f>IF(COUNTIF(Products!$A$2:$A$8,C8630)=0,C8630,"")</f>
        <v/>
      </c>
      <c r="J8630">
        <f>IF(OR(E8630="Prospecting",E8630="Engaging"),VLOOKUP(C8630,Products!$A$2:$C$8,3,FALSE),0)</f>
        <v>550</v>
      </c>
    </row>
    <row r="8631" spans="1:10" x14ac:dyDescent="0.25">
      <c r="A8631" t="s">
        <v>8799</v>
      </c>
      <c r="B8631" t="s">
        <v>205</v>
      </c>
      <c r="C8631" t="s">
        <v>120</v>
      </c>
      <c r="D8631" t="s">
        <v>108</v>
      </c>
      <c r="E8631" t="s">
        <v>8470</v>
      </c>
      <c r="I8631" t="str">
        <f>IF(COUNTIF(Products!$A$2:$A$8,C8631)=0,C8631,"")</f>
        <v/>
      </c>
      <c r="J8631">
        <f>IF(OR(E8631="Prospecting",E8631="Engaging"),VLOOKUP(C8631,Products!$A$2:$C$8,3,FALSE),0)</f>
        <v>550</v>
      </c>
    </row>
    <row r="8632" spans="1:10" x14ac:dyDescent="0.25">
      <c r="A8632" t="s">
        <v>8800</v>
      </c>
      <c r="B8632" t="s">
        <v>205</v>
      </c>
      <c r="C8632" t="s">
        <v>120</v>
      </c>
      <c r="E8632" t="s">
        <v>8470</v>
      </c>
      <c r="I8632" t="str">
        <f>IF(COUNTIF(Products!$A$2:$A$8,C8632)=0,C8632,"")</f>
        <v/>
      </c>
      <c r="J8632">
        <f>IF(OR(E8632="Prospecting",E8632="Engaging"),VLOOKUP(C8632,Products!$A$2:$C$8,3,FALSE),0)</f>
        <v>550</v>
      </c>
    </row>
    <row r="8633" spans="1:10" x14ac:dyDescent="0.25">
      <c r="A8633" t="s">
        <v>8801</v>
      </c>
      <c r="B8633" t="s">
        <v>205</v>
      </c>
      <c r="C8633" t="s">
        <v>120</v>
      </c>
      <c r="E8633" t="s">
        <v>8470</v>
      </c>
      <c r="I8633" t="str">
        <f>IF(COUNTIF(Products!$A$2:$A$8,C8633)=0,C8633,"")</f>
        <v/>
      </c>
      <c r="J8633">
        <f>IF(OR(E8633="Prospecting",E8633="Engaging"),VLOOKUP(C8633,Products!$A$2:$C$8,3,FALSE),0)</f>
        <v>550</v>
      </c>
    </row>
    <row r="8634" spans="1:10" x14ac:dyDescent="0.25">
      <c r="A8634" t="s">
        <v>8802</v>
      </c>
      <c r="B8634" t="s">
        <v>205</v>
      </c>
      <c r="C8634" t="s">
        <v>120</v>
      </c>
      <c r="E8634" t="s">
        <v>8470</v>
      </c>
      <c r="I8634" t="str">
        <f>IF(COUNTIF(Products!$A$2:$A$8,C8634)=0,C8634,"")</f>
        <v/>
      </c>
      <c r="J8634">
        <f>IF(OR(E8634="Prospecting",E8634="Engaging"),VLOOKUP(C8634,Products!$A$2:$C$8,3,FALSE),0)</f>
        <v>550</v>
      </c>
    </row>
    <row r="8635" spans="1:10" x14ac:dyDescent="0.25">
      <c r="A8635" t="s">
        <v>8803</v>
      </c>
      <c r="B8635" t="s">
        <v>205</v>
      </c>
      <c r="C8635" t="s">
        <v>120</v>
      </c>
      <c r="E8635" t="s">
        <v>8470</v>
      </c>
      <c r="I8635" t="str">
        <f>IF(COUNTIF(Products!$A$2:$A$8,C8635)=0,C8635,"")</f>
        <v/>
      </c>
      <c r="J8635">
        <f>IF(OR(E8635="Prospecting",E8635="Engaging"),VLOOKUP(C8635,Products!$A$2:$C$8,3,FALSE),0)</f>
        <v>550</v>
      </c>
    </row>
    <row r="8636" spans="1:10" x14ac:dyDescent="0.25">
      <c r="A8636" t="s">
        <v>8804</v>
      </c>
      <c r="B8636" t="s">
        <v>205</v>
      </c>
      <c r="C8636" t="s">
        <v>120</v>
      </c>
      <c r="E8636" t="s">
        <v>8470</v>
      </c>
      <c r="I8636" t="str">
        <f>IF(COUNTIF(Products!$A$2:$A$8,C8636)=0,C8636,"")</f>
        <v/>
      </c>
      <c r="J8636">
        <f>IF(OR(E8636="Prospecting",E8636="Engaging"),VLOOKUP(C8636,Products!$A$2:$C$8,3,FALSE),0)</f>
        <v>550</v>
      </c>
    </row>
    <row r="8637" spans="1:10" x14ac:dyDescent="0.25">
      <c r="A8637" t="s">
        <v>8805</v>
      </c>
      <c r="B8637" t="s">
        <v>205</v>
      </c>
      <c r="C8637" t="s">
        <v>120</v>
      </c>
      <c r="E8637" t="s">
        <v>8470</v>
      </c>
      <c r="I8637" t="str">
        <f>IF(COUNTIF(Products!$A$2:$A$8,C8637)=0,C8637,"")</f>
        <v/>
      </c>
      <c r="J8637">
        <f>IF(OR(E8637="Prospecting",E8637="Engaging"),VLOOKUP(C8637,Products!$A$2:$C$8,3,FALSE),0)</f>
        <v>550</v>
      </c>
    </row>
    <row r="8638" spans="1:10" x14ac:dyDescent="0.25">
      <c r="A8638" t="s">
        <v>8806</v>
      </c>
      <c r="B8638" t="s">
        <v>205</v>
      </c>
      <c r="C8638" t="s">
        <v>127</v>
      </c>
      <c r="D8638" t="s">
        <v>10</v>
      </c>
      <c r="E8638" t="s">
        <v>8470</v>
      </c>
      <c r="I8638" t="str">
        <f>IF(COUNTIF(Products!$A$2:$A$8,C8638)=0,C8638,"")</f>
        <v/>
      </c>
      <c r="J8638">
        <f>IF(OR(E8638="Prospecting",E8638="Engaging"),VLOOKUP(C8638,Products!$A$2:$C$8,3,FALSE),0)</f>
        <v>1096</v>
      </c>
    </row>
    <row r="8639" spans="1:10" x14ac:dyDescent="0.25">
      <c r="A8639" t="s">
        <v>8807</v>
      </c>
      <c r="B8639" t="s">
        <v>205</v>
      </c>
      <c r="C8639" t="s">
        <v>127</v>
      </c>
      <c r="D8639" t="s">
        <v>35</v>
      </c>
      <c r="E8639" t="s">
        <v>8470</v>
      </c>
      <c r="I8639" t="str">
        <f>IF(COUNTIF(Products!$A$2:$A$8,C8639)=0,C8639,"")</f>
        <v/>
      </c>
      <c r="J8639">
        <f>IF(OR(E8639="Prospecting",E8639="Engaging"),VLOOKUP(C8639,Products!$A$2:$C$8,3,FALSE),0)</f>
        <v>1096</v>
      </c>
    </row>
    <row r="8640" spans="1:10" x14ac:dyDescent="0.25">
      <c r="A8640" t="s">
        <v>8808</v>
      </c>
      <c r="B8640" t="s">
        <v>205</v>
      </c>
      <c r="C8640" t="s">
        <v>127</v>
      </c>
      <c r="D8640" t="s">
        <v>84</v>
      </c>
      <c r="E8640" t="s">
        <v>8470</v>
      </c>
      <c r="I8640" t="str">
        <f>IF(COUNTIF(Products!$A$2:$A$8,C8640)=0,C8640,"")</f>
        <v/>
      </c>
      <c r="J8640">
        <f>IF(OR(E8640="Prospecting",E8640="Engaging"),VLOOKUP(C8640,Products!$A$2:$C$8,3,FALSE),0)</f>
        <v>1096</v>
      </c>
    </row>
    <row r="8641" spans="1:10" x14ac:dyDescent="0.25">
      <c r="A8641" t="s">
        <v>8809</v>
      </c>
      <c r="B8641" t="s">
        <v>205</v>
      </c>
      <c r="C8641" t="s">
        <v>127</v>
      </c>
      <c r="D8641" t="s">
        <v>92</v>
      </c>
      <c r="E8641" t="s">
        <v>8470</v>
      </c>
      <c r="I8641" t="str">
        <f>IF(COUNTIF(Products!$A$2:$A$8,C8641)=0,C8641,"")</f>
        <v/>
      </c>
      <c r="J8641">
        <f>IF(OR(E8641="Prospecting",E8641="Engaging"),VLOOKUP(C8641,Products!$A$2:$C$8,3,FALSE),0)</f>
        <v>1096</v>
      </c>
    </row>
    <row r="8642" spans="1:10" x14ac:dyDescent="0.25">
      <c r="A8642" t="s">
        <v>8810</v>
      </c>
      <c r="B8642" t="s">
        <v>205</v>
      </c>
      <c r="C8642" t="s">
        <v>127</v>
      </c>
      <c r="D8642" t="s">
        <v>103</v>
      </c>
      <c r="E8642" t="s">
        <v>8470</v>
      </c>
      <c r="I8642" t="str">
        <f>IF(COUNTIF(Products!$A$2:$A$8,C8642)=0,C8642,"")</f>
        <v/>
      </c>
      <c r="J8642">
        <f>IF(OR(E8642="Prospecting",E8642="Engaging"),VLOOKUP(C8642,Products!$A$2:$C$8,3,FALSE),0)</f>
        <v>1096</v>
      </c>
    </row>
    <row r="8643" spans="1:10" x14ac:dyDescent="0.25">
      <c r="A8643" t="s">
        <v>8811</v>
      </c>
      <c r="B8643" t="s">
        <v>205</v>
      </c>
      <c r="C8643" t="s">
        <v>127</v>
      </c>
      <c r="D8643" t="s">
        <v>116</v>
      </c>
      <c r="E8643" t="s">
        <v>8470</v>
      </c>
      <c r="I8643" t="str">
        <f>IF(COUNTIF(Products!$A$2:$A$8,C8643)=0,C8643,"")</f>
        <v/>
      </c>
      <c r="J8643">
        <f>IF(OR(E8643="Prospecting",E8643="Engaging"),VLOOKUP(C8643,Products!$A$2:$C$8,3,FALSE),0)</f>
        <v>1096</v>
      </c>
    </row>
    <row r="8644" spans="1:10" x14ac:dyDescent="0.25">
      <c r="A8644" t="s">
        <v>8812</v>
      </c>
      <c r="B8644" t="s">
        <v>205</v>
      </c>
      <c r="C8644" t="s">
        <v>127</v>
      </c>
      <c r="E8644" t="s">
        <v>8470</v>
      </c>
      <c r="I8644" t="str">
        <f>IF(COUNTIF(Products!$A$2:$A$8,C8644)=0,C8644,"")</f>
        <v/>
      </c>
      <c r="J8644">
        <f>IF(OR(E8644="Prospecting",E8644="Engaging"),VLOOKUP(C8644,Products!$A$2:$C$8,3,FALSE),0)</f>
        <v>1096</v>
      </c>
    </row>
    <row r="8645" spans="1:10" x14ac:dyDescent="0.25">
      <c r="A8645" t="s">
        <v>8813</v>
      </c>
      <c r="B8645" t="s">
        <v>205</v>
      </c>
      <c r="C8645" t="s">
        <v>127</v>
      </c>
      <c r="E8645" t="s">
        <v>8470</v>
      </c>
      <c r="I8645" t="str">
        <f>IF(COUNTIF(Products!$A$2:$A$8,C8645)=0,C8645,"")</f>
        <v/>
      </c>
      <c r="J8645">
        <f>IF(OR(E8645="Prospecting",E8645="Engaging"),VLOOKUP(C8645,Products!$A$2:$C$8,3,FALSE),0)</f>
        <v>1096</v>
      </c>
    </row>
    <row r="8646" spans="1:10" x14ac:dyDescent="0.25">
      <c r="A8646" t="s">
        <v>8814</v>
      </c>
      <c r="B8646" t="s">
        <v>205</v>
      </c>
      <c r="C8646" t="s">
        <v>127</v>
      </c>
      <c r="E8646" t="s">
        <v>8470</v>
      </c>
      <c r="I8646" t="str">
        <f>IF(COUNTIF(Products!$A$2:$A$8,C8646)=0,C8646,"")</f>
        <v/>
      </c>
      <c r="J8646">
        <f>IF(OR(E8646="Prospecting",E8646="Engaging"),VLOOKUP(C8646,Products!$A$2:$C$8,3,FALSE),0)</f>
        <v>1096</v>
      </c>
    </row>
    <row r="8647" spans="1:10" x14ac:dyDescent="0.25">
      <c r="A8647" t="s">
        <v>8815</v>
      </c>
      <c r="B8647" t="s">
        <v>205</v>
      </c>
      <c r="C8647" t="s">
        <v>127</v>
      </c>
      <c r="E8647" t="s">
        <v>8470</v>
      </c>
      <c r="I8647" t="str">
        <f>IF(COUNTIF(Products!$A$2:$A$8,C8647)=0,C8647,"")</f>
        <v/>
      </c>
      <c r="J8647">
        <f>IF(OR(E8647="Prospecting",E8647="Engaging"),VLOOKUP(C8647,Products!$A$2:$C$8,3,FALSE),0)</f>
        <v>1096</v>
      </c>
    </row>
    <row r="8648" spans="1:10" x14ac:dyDescent="0.25">
      <c r="A8648" t="s">
        <v>8816</v>
      </c>
      <c r="B8648" t="s">
        <v>205</v>
      </c>
      <c r="C8648" t="s">
        <v>127</v>
      </c>
      <c r="E8648" t="s">
        <v>8470</v>
      </c>
      <c r="I8648" t="str">
        <f>IF(COUNTIF(Products!$A$2:$A$8,C8648)=0,C8648,"")</f>
        <v/>
      </c>
      <c r="J8648">
        <f>IF(OR(E8648="Prospecting",E8648="Engaging"),VLOOKUP(C8648,Products!$A$2:$C$8,3,FALSE),0)</f>
        <v>1096</v>
      </c>
    </row>
    <row r="8649" spans="1:10" x14ac:dyDescent="0.25">
      <c r="A8649" t="s">
        <v>8817</v>
      </c>
      <c r="B8649" t="s">
        <v>205</v>
      </c>
      <c r="C8649" t="s">
        <v>127</v>
      </c>
      <c r="E8649" t="s">
        <v>8470</v>
      </c>
      <c r="I8649" t="str">
        <f>IF(COUNTIF(Products!$A$2:$A$8,C8649)=0,C8649,"")</f>
        <v/>
      </c>
      <c r="J8649">
        <f>IF(OR(E8649="Prospecting",E8649="Engaging"),VLOOKUP(C8649,Products!$A$2:$C$8,3,FALSE),0)</f>
        <v>1096</v>
      </c>
    </row>
    <row r="8650" spans="1:10" x14ac:dyDescent="0.25">
      <c r="A8650" t="s">
        <v>8818</v>
      </c>
      <c r="B8650" t="s">
        <v>205</v>
      </c>
      <c r="C8650" t="s">
        <v>127</v>
      </c>
      <c r="E8650" t="s">
        <v>8470</v>
      </c>
      <c r="I8650" t="str">
        <f>IF(COUNTIF(Products!$A$2:$A$8,C8650)=0,C8650,"")</f>
        <v/>
      </c>
      <c r="J8650">
        <f>IF(OR(E8650="Prospecting",E8650="Engaging"),VLOOKUP(C8650,Products!$A$2:$C$8,3,FALSE),0)</f>
        <v>1096</v>
      </c>
    </row>
    <row r="8651" spans="1:10" x14ac:dyDescent="0.25">
      <c r="A8651" t="s">
        <v>8819</v>
      </c>
      <c r="B8651" t="s">
        <v>205</v>
      </c>
      <c r="C8651" t="s">
        <v>127</v>
      </c>
      <c r="E8651" t="s">
        <v>8470</v>
      </c>
      <c r="I8651" t="str">
        <f>IF(COUNTIF(Products!$A$2:$A$8,C8651)=0,C8651,"")</f>
        <v/>
      </c>
      <c r="J8651">
        <f>IF(OR(E8651="Prospecting",E8651="Engaging"),VLOOKUP(C8651,Products!$A$2:$C$8,3,FALSE),0)</f>
        <v>1096</v>
      </c>
    </row>
    <row r="8652" spans="1:10" x14ac:dyDescent="0.25">
      <c r="A8652" t="s">
        <v>8820</v>
      </c>
      <c r="B8652" t="s">
        <v>205</v>
      </c>
      <c r="C8652" t="s">
        <v>126</v>
      </c>
      <c r="E8652" t="s">
        <v>8470</v>
      </c>
      <c r="I8652" t="str">
        <f>IF(COUNTIF(Products!$A$2:$A$8,C8652)=0,C8652,"")</f>
        <v/>
      </c>
      <c r="J8652">
        <f>IF(OR(E8652="Prospecting",E8652="Engaging"),VLOOKUP(C8652,Products!$A$2:$C$8,3,FALSE),0)</f>
        <v>5482</v>
      </c>
    </row>
    <row r="8653" spans="1:10" x14ac:dyDescent="0.25">
      <c r="A8653" t="s">
        <v>8821</v>
      </c>
      <c r="B8653" t="s">
        <v>205</v>
      </c>
      <c r="C8653" t="s">
        <v>126</v>
      </c>
      <c r="E8653" t="s">
        <v>8470</v>
      </c>
      <c r="I8653" t="str">
        <f>IF(COUNTIF(Products!$A$2:$A$8,C8653)=0,C8653,"")</f>
        <v/>
      </c>
      <c r="J8653">
        <f>IF(OR(E8653="Prospecting",E8653="Engaging"),VLOOKUP(C8653,Products!$A$2:$C$8,3,FALSE),0)</f>
        <v>5482</v>
      </c>
    </row>
    <row r="8654" spans="1:10" x14ac:dyDescent="0.25">
      <c r="A8654" t="s">
        <v>8822</v>
      </c>
      <c r="B8654" t="s">
        <v>205</v>
      </c>
      <c r="C8654" t="s">
        <v>126</v>
      </c>
      <c r="E8654" t="s">
        <v>8470</v>
      </c>
      <c r="I8654" t="str">
        <f>IF(COUNTIF(Products!$A$2:$A$8,C8654)=0,C8654,"")</f>
        <v/>
      </c>
      <c r="J8654">
        <f>IF(OR(E8654="Prospecting",E8654="Engaging"),VLOOKUP(C8654,Products!$A$2:$C$8,3,FALSE),0)</f>
        <v>5482</v>
      </c>
    </row>
    <row r="8655" spans="1:10" x14ac:dyDescent="0.25">
      <c r="A8655" t="s">
        <v>8823</v>
      </c>
      <c r="B8655" t="s">
        <v>205</v>
      </c>
      <c r="C8655" t="s">
        <v>126</v>
      </c>
      <c r="E8655" t="s">
        <v>8470</v>
      </c>
      <c r="I8655" t="str">
        <f>IF(COUNTIF(Products!$A$2:$A$8,C8655)=0,C8655,"")</f>
        <v/>
      </c>
      <c r="J8655">
        <f>IF(OR(E8655="Prospecting",E8655="Engaging"),VLOOKUP(C8655,Products!$A$2:$C$8,3,FALSE),0)</f>
        <v>5482</v>
      </c>
    </row>
    <row r="8656" spans="1:10" x14ac:dyDescent="0.25">
      <c r="A8656" t="s">
        <v>8824</v>
      </c>
      <c r="B8656" t="s">
        <v>205</v>
      </c>
      <c r="C8656" t="s">
        <v>126</v>
      </c>
      <c r="E8656" t="s">
        <v>8470</v>
      </c>
      <c r="I8656" t="str">
        <f>IF(COUNTIF(Products!$A$2:$A$8,C8656)=0,C8656,"")</f>
        <v/>
      </c>
      <c r="J8656">
        <f>IF(OR(E8656="Prospecting",E8656="Engaging"),VLOOKUP(C8656,Products!$A$2:$C$8,3,FALSE),0)</f>
        <v>5482</v>
      </c>
    </row>
    <row r="8657" spans="1:10" x14ac:dyDescent="0.25">
      <c r="A8657" t="s">
        <v>8825</v>
      </c>
      <c r="B8657" t="s">
        <v>205</v>
      </c>
      <c r="C8657" t="s">
        <v>122</v>
      </c>
      <c r="D8657" t="s">
        <v>37</v>
      </c>
      <c r="E8657" t="s">
        <v>8470</v>
      </c>
      <c r="I8657" t="str">
        <f>IF(COUNTIF(Products!$A$2:$A$8,C8657)=0,C8657,"")</f>
        <v/>
      </c>
      <c r="J8657">
        <f>IF(OR(E8657="Prospecting",E8657="Engaging"),VLOOKUP(C8657,Products!$A$2:$C$8,3,FALSE),0)</f>
        <v>4821</v>
      </c>
    </row>
    <row r="8658" spans="1:10" x14ac:dyDescent="0.25">
      <c r="A8658" t="s">
        <v>8826</v>
      </c>
      <c r="B8658" t="s">
        <v>205</v>
      </c>
      <c r="C8658" t="s">
        <v>122</v>
      </c>
      <c r="D8658" t="s">
        <v>42</v>
      </c>
      <c r="E8658" t="s">
        <v>8470</v>
      </c>
      <c r="I8658" t="str">
        <f>IF(COUNTIF(Products!$A$2:$A$8,C8658)=0,C8658,"")</f>
        <v/>
      </c>
      <c r="J8658">
        <f>IF(OR(E8658="Prospecting",E8658="Engaging"),VLOOKUP(C8658,Products!$A$2:$C$8,3,FALSE),0)</f>
        <v>4821</v>
      </c>
    </row>
    <row r="8659" spans="1:10" x14ac:dyDescent="0.25">
      <c r="A8659" t="s">
        <v>8827</v>
      </c>
      <c r="B8659" t="s">
        <v>205</v>
      </c>
      <c r="C8659" t="s">
        <v>122</v>
      </c>
      <c r="D8659" t="s">
        <v>70</v>
      </c>
      <c r="E8659" t="s">
        <v>8470</v>
      </c>
      <c r="I8659" t="str">
        <f>IF(COUNTIF(Products!$A$2:$A$8,C8659)=0,C8659,"")</f>
        <v/>
      </c>
      <c r="J8659">
        <f>IF(OR(E8659="Prospecting",E8659="Engaging"),VLOOKUP(C8659,Products!$A$2:$C$8,3,FALSE),0)</f>
        <v>4821</v>
      </c>
    </row>
    <row r="8660" spans="1:10" x14ac:dyDescent="0.25">
      <c r="A8660" t="s">
        <v>8828</v>
      </c>
      <c r="B8660" t="s">
        <v>205</v>
      </c>
      <c r="C8660" t="s">
        <v>122</v>
      </c>
      <c r="D8660" t="s">
        <v>83</v>
      </c>
      <c r="E8660" t="s">
        <v>8470</v>
      </c>
      <c r="I8660" t="str">
        <f>IF(COUNTIF(Products!$A$2:$A$8,C8660)=0,C8660,"")</f>
        <v/>
      </c>
      <c r="J8660">
        <f>IF(OR(E8660="Prospecting",E8660="Engaging"),VLOOKUP(C8660,Products!$A$2:$C$8,3,FALSE),0)</f>
        <v>4821</v>
      </c>
    </row>
    <row r="8661" spans="1:10" x14ac:dyDescent="0.25">
      <c r="A8661" t="s">
        <v>8829</v>
      </c>
      <c r="B8661" t="s">
        <v>205</v>
      </c>
      <c r="C8661" t="s">
        <v>122</v>
      </c>
      <c r="E8661" t="s">
        <v>8470</v>
      </c>
      <c r="I8661" t="str">
        <f>IF(COUNTIF(Products!$A$2:$A$8,C8661)=0,C8661,"")</f>
        <v/>
      </c>
      <c r="J8661">
        <f>IF(OR(E8661="Prospecting",E8661="Engaging"),VLOOKUP(C8661,Products!$A$2:$C$8,3,FALSE),0)</f>
        <v>4821</v>
      </c>
    </row>
    <row r="8662" spans="1:10" x14ac:dyDescent="0.25">
      <c r="A8662" t="s">
        <v>8830</v>
      </c>
      <c r="B8662" t="s">
        <v>205</v>
      </c>
      <c r="C8662" t="s">
        <v>122</v>
      </c>
      <c r="E8662" t="s">
        <v>8470</v>
      </c>
      <c r="I8662" t="str">
        <f>IF(COUNTIF(Products!$A$2:$A$8,C8662)=0,C8662,"")</f>
        <v/>
      </c>
      <c r="J8662">
        <f>IF(OR(E8662="Prospecting",E8662="Engaging"),VLOOKUP(C8662,Products!$A$2:$C$8,3,FALSE),0)</f>
        <v>4821</v>
      </c>
    </row>
    <row r="8663" spans="1:10" x14ac:dyDescent="0.25">
      <c r="A8663" t="s">
        <v>8831</v>
      </c>
      <c r="B8663" t="s">
        <v>205</v>
      </c>
      <c r="C8663" t="s">
        <v>122</v>
      </c>
      <c r="E8663" t="s">
        <v>8470</v>
      </c>
      <c r="I8663" t="str">
        <f>IF(COUNTIF(Products!$A$2:$A$8,C8663)=0,C8663,"")</f>
        <v/>
      </c>
      <c r="J8663">
        <f>IF(OR(E8663="Prospecting",E8663="Engaging"),VLOOKUP(C8663,Products!$A$2:$C$8,3,FALSE),0)</f>
        <v>4821</v>
      </c>
    </row>
    <row r="8664" spans="1:10" x14ac:dyDescent="0.25">
      <c r="A8664" t="s">
        <v>8832</v>
      </c>
      <c r="B8664" t="s">
        <v>205</v>
      </c>
      <c r="C8664" t="s">
        <v>122</v>
      </c>
      <c r="E8664" t="s">
        <v>8470</v>
      </c>
      <c r="I8664" t="str">
        <f>IF(COUNTIF(Products!$A$2:$A$8,C8664)=0,C8664,"")</f>
        <v/>
      </c>
      <c r="J8664">
        <f>IF(OR(E8664="Prospecting",E8664="Engaging"),VLOOKUP(C8664,Products!$A$2:$C$8,3,FALSE),0)</f>
        <v>4821</v>
      </c>
    </row>
    <row r="8665" spans="1:10" x14ac:dyDescent="0.25">
      <c r="A8665" t="s">
        <v>8833</v>
      </c>
      <c r="B8665" t="s">
        <v>205</v>
      </c>
      <c r="C8665" t="s">
        <v>123</v>
      </c>
      <c r="D8665" t="s">
        <v>34</v>
      </c>
      <c r="E8665" t="s">
        <v>8470</v>
      </c>
      <c r="I8665" t="str">
        <f>IF(COUNTIF(Products!$A$2:$A$8,C8665)=0,C8665,"")</f>
        <v/>
      </c>
      <c r="J8665">
        <f>IF(OR(E8665="Prospecting",E8665="Engaging"),VLOOKUP(C8665,Products!$A$2:$C$8,3,FALSE),0)</f>
        <v>55</v>
      </c>
    </row>
    <row r="8666" spans="1:10" x14ac:dyDescent="0.25">
      <c r="A8666" t="s">
        <v>8834</v>
      </c>
      <c r="B8666" t="s">
        <v>205</v>
      </c>
      <c r="C8666" t="s">
        <v>123</v>
      </c>
      <c r="D8666" t="s">
        <v>39</v>
      </c>
      <c r="E8666" t="s">
        <v>8470</v>
      </c>
      <c r="I8666" t="str">
        <f>IF(COUNTIF(Products!$A$2:$A$8,C8666)=0,C8666,"")</f>
        <v/>
      </c>
      <c r="J8666">
        <f>IF(OR(E8666="Prospecting",E8666="Engaging"),VLOOKUP(C8666,Products!$A$2:$C$8,3,FALSE),0)</f>
        <v>55</v>
      </c>
    </row>
    <row r="8667" spans="1:10" x14ac:dyDescent="0.25">
      <c r="A8667" t="s">
        <v>8835</v>
      </c>
      <c r="B8667" t="s">
        <v>205</v>
      </c>
      <c r="C8667" t="s">
        <v>123</v>
      </c>
      <c r="D8667" t="s">
        <v>53</v>
      </c>
      <c r="E8667" t="s">
        <v>8470</v>
      </c>
      <c r="I8667" t="str">
        <f>IF(COUNTIF(Products!$A$2:$A$8,C8667)=0,C8667,"")</f>
        <v/>
      </c>
      <c r="J8667">
        <f>IF(OR(E8667="Prospecting",E8667="Engaging"),VLOOKUP(C8667,Products!$A$2:$C$8,3,FALSE),0)</f>
        <v>55</v>
      </c>
    </row>
    <row r="8668" spans="1:10" x14ac:dyDescent="0.25">
      <c r="A8668" t="s">
        <v>8836</v>
      </c>
      <c r="B8668" t="s">
        <v>205</v>
      </c>
      <c r="C8668" t="s">
        <v>123</v>
      </c>
      <c r="D8668" t="s">
        <v>85</v>
      </c>
      <c r="E8668" t="s">
        <v>8470</v>
      </c>
      <c r="I8668" t="str">
        <f>IF(COUNTIF(Products!$A$2:$A$8,C8668)=0,C8668,"")</f>
        <v/>
      </c>
      <c r="J8668">
        <f>IF(OR(E8668="Prospecting",E8668="Engaging"),VLOOKUP(C8668,Products!$A$2:$C$8,3,FALSE),0)</f>
        <v>55</v>
      </c>
    </row>
    <row r="8669" spans="1:10" x14ac:dyDescent="0.25">
      <c r="A8669" t="s">
        <v>8837</v>
      </c>
      <c r="B8669" t="s">
        <v>205</v>
      </c>
      <c r="C8669" t="s">
        <v>123</v>
      </c>
      <c r="E8669" t="s">
        <v>8470</v>
      </c>
      <c r="I8669" t="str">
        <f>IF(COUNTIF(Products!$A$2:$A$8,C8669)=0,C8669,"")</f>
        <v/>
      </c>
      <c r="J8669">
        <f>IF(OR(E8669="Prospecting",E8669="Engaging"),VLOOKUP(C8669,Products!$A$2:$C$8,3,FALSE),0)</f>
        <v>55</v>
      </c>
    </row>
    <row r="8670" spans="1:10" x14ac:dyDescent="0.25">
      <c r="A8670" t="s">
        <v>8838</v>
      </c>
      <c r="B8670" t="s">
        <v>205</v>
      </c>
      <c r="C8670" t="s">
        <v>123</v>
      </c>
      <c r="E8670" t="s">
        <v>8470</v>
      </c>
      <c r="I8670" t="str">
        <f>IF(COUNTIF(Products!$A$2:$A$8,C8670)=0,C8670,"")</f>
        <v/>
      </c>
      <c r="J8670">
        <f>IF(OR(E8670="Prospecting",E8670="Engaging"),VLOOKUP(C8670,Products!$A$2:$C$8,3,FALSE),0)</f>
        <v>55</v>
      </c>
    </row>
    <row r="8671" spans="1:10" x14ac:dyDescent="0.25">
      <c r="A8671" t="s">
        <v>8839</v>
      </c>
      <c r="B8671" t="s">
        <v>205</v>
      </c>
      <c r="C8671" t="s">
        <v>123</v>
      </c>
      <c r="E8671" t="s">
        <v>8470</v>
      </c>
      <c r="I8671" t="str">
        <f>IF(COUNTIF(Products!$A$2:$A$8,C8671)=0,C8671,"")</f>
        <v/>
      </c>
      <c r="J8671">
        <f>IF(OR(E8671="Prospecting",E8671="Engaging"),VLOOKUP(C8671,Products!$A$2:$C$8,3,FALSE),0)</f>
        <v>55</v>
      </c>
    </row>
    <row r="8672" spans="1:10" x14ac:dyDescent="0.25">
      <c r="A8672" t="s">
        <v>8840</v>
      </c>
      <c r="B8672" t="s">
        <v>205</v>
      </c>
      <c r="C8672" t="s">
        <v>123</v>
      </c>
      <c r="E8672" t="s">
        <v>8470</v>
      </c>
      <c r="I8672" t="str">
        <f>IF(COUNTIF(Products!$A$2:$A$8,C8672)=0,C8672,"")</f>
        <v/>
      </c>
      <c r="J8672">
        <f>IF(OR(E8672="Prospecting",E8672="Engaging"),VLOOKUP(C8672,Products!$A$2:$C$8,3,FALSE),0)</f>
        <v>55</v>
      </c>
    </row>
    <row r="8673" spans="1:10" x14ac:dyDescent="0.25">
      <c r="A8673" t="s">
        <v>8841</v>
      </c>
      <c r="B8673" t="s">
        <v>205</v>
      </c>
      <c r="C8673" t="s">
        <v>125</v>
      </c>
      <c r="D8673" t="s">
        <v>7</v>
      </c>
      <c r="E8673" t="s">
        <v>8470</v>
      </c>
      <c r="I8673" t="str">
        <f>IF(COUNTIF(Products!$A$2:$A$8,C8673)=0,C8673,"")</f>
        <v/>
      </c>
      <c r="J8673">
        <f>IF(OR(E8673="Prospecting",E8673="Engaging"),VLOOKUP(C8673,Products!$A$2:$C$8,3,FALSE),0)</f>
        <v>3393</v>
      </c>
    </row>
    <row r="8674" spans="1:10" x14ac:dyDescent="0.25">
      <c r="A8674" t="s">
        <v>8842</v>
      </c>
      <c r="B8674" t="s">
        <v>205</v>
      </c>
      <c r="C8674" t="s">
        <v>125</v>
      </c>
      <c r="D8674" t="s">
        <v>27</v>
      </c>
      <c r="E8674" t="s">
        <v>8470</v>
      </c>
      <c r="I8674" t="str">
        <f>IF(COUNTIF(Products!$A$2:$A$8,C8674)=0,C8674,"")</f>
        <v/>
      </c>
      <c r="J8674">
        <f>IF(OR(E8674="Prospecting",E8674="Engaging"),VLOOKUP(C8674,Products!$A$2:$C$8,3,FALSE),0)</f>
        <v>3393</v>
      </c>
    </row>
    <row r="8675" spans="1:10" x14ac:dyDescent="0.25">
      <c r="A8675" t="s">
        <v>8843</v>
      </c>
      <c r="B8675" t="s">
        <v>205</v>
      </c>
      <c r="C8675" t="s">
        <v>125</v>
      </c>
      <c r="D8675" t="s">
        <v>44</v>
      </c>
      <c r="E8675" t="s">
        <v>8470</v>
      </c>
      <c r="I8675" t="str">
        <f>IF(COUNTIF(Products!$A$2:$A$8,C8675)=0,C8675,"")</f>
        <v/>
      </c>
      <c r="J8675">
        <f>IF(OR(E8675="Prospecting",E8675="Engaging"),VLOOKUP(C8675,Products!$A$2:$C$8,3,FALSE),0)</f>
        <v>3393</v>
      </c>
    </row>
    <row r="8676" spans="1:10" x14ac:dyDescent="0.25">
      <c r="A8676" t="s">
        <v>8844</v>
      </c>
      <c r="B8676" t="s">
        <v>205</v>
      </c>
      <c r="C8676" t="s">
        <v>125</v>
      </c>
      <c r="D8676" t="s">
        <v>65</v>
      </c>
      <c r="E8676" t="s">
        <v>8470</v>
      </c>
      <c r="I8676" t="str">
        <f>IF(COUNTIF(Products!$A$2:$A$8,C8676)=0,C8676,"")</f>
        <v/>
      </c>
      <c r="J8676">
        <f>IF(OR(E8676="Prospecting",E8676="Engaging"),VLOOKUP(C8676,Products!$A$2:$C$8,3,FALSE),0)</f>
        <v>3393</v>
      </c>
    </row>
    <row r="8677" spans="1:10" x14ac:dyDescent="0.25">
      <c r="A8677" t="s">
        <v>8845</v>
      </c>
      <c r="B8677" t="s">
        <v>205</v>
      </c>
      <c r="C8677" t="s">
        <v>125</v>
      </c>
      <c r="E8677" t="s">
        <v>8470</v>
      </c>
      <c r="I8677" t="str">
        <f>IF(COUNTIF(Products!$A$2:$A$8,C8677)=0,C8677,"")</f>
        <v/>
      </c>
      <c r="J8677">
        <f>IF(OR(E8677="Prospecting",E8677="Engaging"),VLOOKUP(C8677,Products!$A$2:$C$8,3,FALSE),0)</f>
        <v>3393</v>
      </c>
    </row>
    <row r="8678" spans="1:10" x14ac:dyDescent="0.25">
      <c r="A8678" t="s">
        <v>8846</v>
      </c>
      <c r="B8678" t="s">
        <v>205</v>
      </c>
      <c r="C8678" t="s">
        <v>125</v>
      </c>
      <c r="E8678" t="s">
        <v>8470</v>
      </c>
      <c r="I8678" t="str">
        <f>IF(COUNTIF(Products!$A$2:$A$8,C8678)=0,C8678,"")</f>
        <v/>
      </c>
      <c r="J8678">
        <f>IF(OR(E8678="Prospecting",E8678="Engaging"),VLOOKUP(C8678,Products!$A$2:$C$8,3,FALSE),0)</f>
        <v>3393</v>
      </c>
    </row>
    <row r="8679" spans="1:10" x14ac:dyDescent="0.25">
      <c r="A8679" t="s">
        <v>8847</v>
      </c>
      <c r="B8679" t="s">
        <v>205</v>
      </c>
      <c r="C8679" t="s">
        <v>125</v>
      </c>
      <c r="E8679" t="s">
        <v>8470</v>
      </c>
      <c r="I8679" t="str">
        <f>IF(COUNTIF(Products!$A$2:$A$8,C8679)=0,C8679,"")</f>
        <v/>
      </c>
      <c r="J8679">
        <f>IF(OR(E8679="Prospecting",E8679="Engaging"),VLOOKUP(C8679,Products!$A$2:$C$8,3,FALSE),0)</f>
        <v>3393</v>
      </c>
    </row>
    <row r="8680" spans="1:10" x14ac:dyDescent="0.25">
      <c r="A8680" t="s">
        <v>8848</v>
      </c>
      <c r="B8680" t="s">
        <v>205</v>
      </c>
      <c r="C8680" t="s">
        <v>125</v>
      </c>
      <c r="E8680" t="s">
        <v>8470</v>
      </c>
      <c r="I8680" t="str">
        <f>IF(COUNTIF(Products!$A$2:$A$8,C8680)=0,C8680,"")</f>
        <v/>
      </c>
      <c r="J8680">
        <f>IF(OR(E8680="Prospecting",E8680="Engaging"),VLOOKUP(C8680,Products!$A$2:$C$8,3,FALSE),0)</f>
        <v>3393</v>
      </c>
    </row>
    <row r="8681" spans="1:10" x14ac:dyDescent="0.25">
      <c r="A8681" t="s">
        <v>8849</v>
      </c>
      <c r="B8681" t="s">
        <v>205</v>
      </c>
      <c r="C8681" t="s">
        <v>125</v>
      </c>
      <c r="E8681" t="s">
        <v>8470</v>
      </c>
      <c r="I8681" t="str">
        <f>IF(COUNTIF(Products!$A$2:$A$8,C8681)=0,C8681,"")</f>
        <v/>
      </c>
      <c r="J8681">
        <f>IF(OR(E8681="Prospecting",E8681="Engaging"),VLOOKUP(C8681,Products!$A$2:$C$8,3,FALSE),0)</f>
        <v>3393</v>
      </c>
    </row>
    <row r="8682" spans="1:10" x14ac:dyDescent="0.25">
      <c r="A8682" t="s">
        <v>8850</v>
      </c>
      <c r="B8682" t="s">
        <v>205</v>
      </c>
      <c r="C8682" t="s">
        <v>125</v>
      </c>
      <c r="E8682" t="s">
        <v>8470</v>
      </c>
      <c r="I8682" t="str">
        <f>IF(COUNTIF(Products!$A$2:$A$8,C8682)=0,C8682,"")</f>
        <v/>
      </c>
      <c r="J8682">
        <f>IF(OR(E8682="Prospecting",E8682="Engaging"),VLOOKUP(C8682,Products!$A$2:$C$8,3,FALSE),0)</f>
        <v>3393</v>
      </c>
    </row>
    <row r="8683" spans="1:10" x14ac:dyDescent="0.25">
      <c r="A8683" t="s">
        <v>8851</v>
      </c>
      <c r="B8683" t="s">
        <v>137</v>
      </c>
      <c r="C8683" t="s">
        <v>120</v>
      </c>
      <c r="D8683" t="s">
        <v>83</v>
      </c>
      <c r="E8683" t="s">
        <v>8470</v>
      </c>
      <c r="I8683" t="str">
        <f>IF(COUNTIF(Products!$A$2:$A$8,C8683)=0,C8683,"")</f>
        <v/>
      </c>
      <c r="J8683">
        <f>IF(OR(E8683="Prospecting",E8683="Engaging"),VLOOKUP(C8683,Products!$A$2:$C$8,3,FALSE),0)</f>
        <v>550</v>
      </c>
    </row>
    <row r="8684" spans="1:10" x14ac:dyDescent="0.25">
      <c r="A8684" t="s">
        <v>8852</v>
      </c>
      <c r="B8684" t="s">
        <v>137</v>
      </c>
      <c r="C8684" t="s">
        <v>120</v>
      </c>
      <c r="D8684" t="s">
        <v>94</v>
      </c>
      <c r="E8684" t="s">
        <v>8470</v>
      </c>
      <c r="I8684" t="str">
        <f>IF(COUNTIF(Products!$A$2:$A$8,C8684)=0,C8684,"")</f>
        <v/>
      </c>
      <c r="J8684">
        <f>IF(OR(E8684="Prospecting",E8684="Engaging"),VLOOKUP(C8684,Products!$A$2:$C$8,3,FALSE),0)</f>
        <v>550</v>
      </c>
    </row>
    <row r="8685" spans="1:10" x14ac:dyDescent="0.25">
      <c r="A8685" t="s">
        <v>8853</v>
      </c>
      <c r="B8685" t="s">
        <v>137</v>
      </c>
      <c r="C8685" t="s">
        <v>120</v>
      </c>
      <c r="D8685" t="s">
        <v>112</v>
      </c>
      <c r="E8685" t="s">
        <v>8470</v>
      </c>
      <c r="I8685" t="str">
        <f>IF(COUNTIF(Products!$A$2:$A$8,C8685)=0,C8685,"")</f>
        <v/>
      </c>
      <c r="J8685">
        <f>IF(OR(E8685="Prospecting",E8685="Engaging"),VLOOKUP(C8685,Products!$A$2:$C$8,3,FALSE),0)</f>
        <v>550</v>
      </c>
    </row>
    <row r="8686" spans="1:10" x14ac:dyDescent="0.25">
      <c r="A8686" t="s">
        <v>8854</v>
      </c>
      <c r="B8686" t="s">
        <v>137</v>
      </c>
      <c r="C8686" t="s">
        <v>120</v>
      </c>
      <c r="E8686" t="s">
        <v>8470</v>
      </c>
      <c r="I8686" t="str">
        <f>IF(COUNTIF(Products!$A$2:$A$8,C8686)=0,C8686,"")</f>
        <v/>
      </c>
      <c r="J8686">
        <f>IF(OR(E8686="Prospecting",E8686="Engaging"),VLOOKUP(C8686,Products!$A$2:$C$8,3,FALSE),0)</f>
        <v>550</v>
      </c>
    </row>
    <row r="8687" spans="1:10" x14ac:dyDescent="0.25">
      <c r="A8687" t="s">
        <v>8855</v>
      </c>
      <c r="B8687" t="s">
        <v>137</v>
      </c>
      <c r="C8687" t="s">
        <v>120</v>
      </c>
      <c r="E8687" t="s">
        <v>8470</v>
      </c>
      <c r="I8687" t="str">
        <f>IF(COUNTIF(Products!$A$2:$A$8,C8687)=0,C8687,"")</f>
        <v/>
      </c>
      <c r="J8687">
        <f>IF(OR(E8687="Prospecting",E8687="Engaging"),VLOOKUP(C8687,Products!$A$2:$C$8,3,FALSE),0)</f>
        <v>550</v>
      </c>
    </row>
    <row r="8688" spans="1:10" x14ac:dyDescent="0.25">
      <c r="A8688" t="s">
        <v>8856</v>
      </c>
      <c r="B8688" t="s">
        <v>137</v>
      </c>
      <c r="C8688" t="s">
        <v>120</v>
      </c>
      <c r="E8688" t="s">
        <v>8470</v>
      </c>
      <c r="I8688" t="str">
        <f>IF(COUNTIF(Products!$A$2:$A$8,C8688)=0,C8688,"")</f>
        <v/>
      </c>
      <c r="J8688">
        <f>IF(OR(E8688="Prospecting",E8688="Engaging"),VLOOKUP(C8688,Products!$A$2:$C$8,3,FALSE),0)</f>
        <v>550</v>
      </c>
    </row>
    <row r="8689" spans="1:10" x14ac:dyDescent="0.25">
      <c r="A8689" t="s">
        <v>8857</v>
      </c>
      <c r="B8689" t="s">
        <v>137</v>
      </c>
      <c r="C8689" t="s">
        <v>120</v>
      </c>
      <c r="E8689" t="s">
        <v>8470</v>
      </c>
      <c r="I8689" t="str">
        <f>IF(COUNTIF(Products!$A$2:$A$8,C8689)=0,C8689,"")</f>
        <v/>
      </c>
      <c r="J8689">
        <f>IF(OR(E8689="Prospecting",E8689="Engaging"),VLOOKUP(C8689,Products!$A$2:$C$8,3,FALSE),0)</f>
        <v>550</v>
      </c>
    </row>
    <row r="8690" spans="1:10" x14ac:dyDescent="0.25">
      <c r="A8690" t="s">
        <v>8858</v>
      </c>
      <c r="B8690" t="s">
        <v>137</v>
      </c>
      <c r="C8690" t="s">
        <v>120</v>
      </c>
      <c r="E8690" t="s">
        <v>8470</v>
      </c>
      <c r="I8690" t="str">
        <f>IF(COUNTIF(Products!$A$2:$A$8,C8690)=0,C8690,"")</f>
        <v/>
      </c>
      <c r="J8690">
        <f>IF(OR(E8690="Prospecting",E8690="Engaging"),VLOOKUP(C8690,Products!$A$2:$C$8,3,FALSE),0)</f>
        <v>550</v>
      </c>
    </row>
    <row r="8691" spans="1:10" x14ac:dyDescent="0.25">
      <c r="A8691" t="s">
        <v>8859</v>
      </c>
      <c r="B8691" t="s">
        <v>137</v>
      </c>
      <c r="C8691" t="s">
        <v>127</v>
      </c>
      <c r="E8691" t="s">
        <v>8470</v>
      </c>
      <c r="I8691" t="str">
        <f>IF(COUNTIF(Products!$A$2:$A$8,C8691)=0,C8691,"")</f>
        <v/>
      </c>
      <c r="J8691">
        <f>IF(OR(E8691="Prospecting",E8691="Engaging"),VLOOKUP(C8691,Products!$A$2:$C$8,3,FALSE),0)</f>
        <v>1096</v>
      </c>
    </row>
    <row r="8692" spans="1:10" x14ac:dyDescent="0.25">
      <c r="A8692" t="s">
        <v>8860</v>
      </c>
      <c r="B8692" t="s">
        <v>137</v>
      </c>
      <c r="C8692" t="s">
        <v>127</v>
      </c>
      <c r="E8692" t="s">
        <v>8470</v>
      </c>
      <c r="I8692" t="str">
        <f>IF(COUNTIF(Products!$A$2:$A$8,C8692)=0,C8692,"")</f>
        <v/>
      </c>
      <c r="J8692">
        <f>IF(OR(E8692="Prospecting",E8692="Engaging"),VLOOKUP(C8692,Products!$A$2:$C$8,3,FALSE),0)</f>
        <v>1096</v>
      </c>
    </row>
    <row r="8693" spans="1:10" x14ac:dyDescent="0.25">
      <c r="A8693" t="s">
        <v>8861</v>
      </c>
      <c r="B8693" t="s">
        <v>137</v>
      </c>
      <c r="C8693" t="s">
        <v>127</v>
      </c>
      <c r="E8693" t="s">
        <v>8470</v>
      </c>
      <c r="I8693" t="str">
        <f>IF(COUNTIF(Products!$A$2:$A$8,C8693)=0,C8693,"")</f>
        <v/>
      </c>
      <c r="J8693">
        <f>IF(OR(E8693="Prospecting",E8693="Engaging"),VLOOKUP(C8693,Products!$A$2:$C$8,3,FALSE),0)</f>
        <v>1096</v>
      </c>
    </row>
    <row r="8694" spans="1:10" x14ac:dyDescent="0.25">
      <c r="A8694" t="s">
        <v>8862</v>
      </c>
      <c r="B8694" t="s">
        <v>137</v>
      </c>
      <c r="C8694" t="s">
        <v>126</v>
      </c>
      <c r="E8694" t="s">
        <v>8470</v>
      </c>
      <c r="I8694" t="str">
        <f>IF(COUNTIF(Products!$A$2:$A$8,C8694)=0,C8694,"")</f>
        <v/>
      </c>
      <c r="J8694">
        <f>IF(OR(E8694="Prospecting",E8694="Engaging"),VLOOKUP(C8694,Products!$A$2:$C$8,3,FALSE),0)</f>
        <v>5482</v>
      </c>
    </row>
    <row r="8695" spans="1:10" x14ac:dyDescent="0.25">
      <c r="A8695" t="s">
        <v>8863</v>
      </c>
      <c r="B8695" t="s">
        <v>137</v>
      </c>
      <c r="C8695" t="s">
        <v>123</v>
      </c>
      <c r="D8695" t="s">
        <v>110</v>
      </c>
      <c r="E8695" t="s">
        <v>8470</v>
      </c>
      <c r="I8695" t="str">
        <f>IF(COUNTIF(Products!$A$2:$A$8,C8695)=0,C8695,"")</f>
        <v/>
      </c>
      <c r="J8695">
        <f>IF(OR(E8695="Prospecting",E8695="Engaging"),VLOOKUP(C8695,Products!$A$2:$C$8,3,FALSE),0)</f>
        <v>55</v>
      </c>
    </row>
    <row r="8696" spans="1:10" x14ac:dyDescent="0.25">
      <c r="A8696" t="s">
        <v>8864</v>
      </c>
      <c r="B8696" t="s">
        <v>137</v>
      </c>
      <c r="C8696" t="s">
        <v>123</v>
      </c>
      <c r="E8696" t="s">
        <v>8470</v>
      </c>
      <c r="I8696" t="str">
        <f>IF(COUNTIF(Products!$A$2:$A$8,C8696)=0,C8696,"")</f>
        <v/>
      </c>
      <c r="J8696">
        <f>IF(OR(E8696="Prospecting",E8696="Engaging"),VLOOKUP(C8696,Products!$A$2:$C$8,3,FALSE),0)</f>
        <v>55</v>
      </c>
    </row>
    <row r="8697" spans="1:10" x14ac:dyDescent="0.25">
      <c r="A8697" t="s">
        <v>8865</v>
      </c>
      <c r="B8697" t="s">
        <v>137</v>
      </c>
      <c r="C8697" t="s">
        <v>123</v>
      </c>
      <c r="E8697" t="s">
        <v>8470</v>
      </c>
      <c r="I8697" t="str">
        <f>IF(COUNTIF(Products!$A$2:$A$8,C8697)=0,C8697,"")</f>
        <v/>
      </c>
      <c r="J8697">
        <f>IF(OR(E8697="Prospecting",E8697="Engaging"),VLOOKUP(C8697,Products!$A$2:$C$8,3,FALSE),0)</f>
        <v>55</v>
      </c>
    </row>
    <row r="8698" spans="1:10" x14ac:dyDescent="0.25">
      <c r="A8698" t="s">
        <v>8866</v>
      </c>
      <c r="B8698" t="s">
        <v>137</v>
      </c>
      <c r="C8698" t="s">
        <v>123</v>
      </c>
      <c r="E8698" t="s">
        <v>8470</v>
      </c>
      <c r="I8698" t="str">
        <f>IF(COUNTIF(Products!$A$2:$A$8,C8698)=0,C8698,"")</f>
        <v/>
      </c>
      <c r="J8698">
        <f>IF(OR(E8698="Prospecting",E8698="Engaging"),VLOOKUP(C8698,Products!$A$2:$C$8,3,FALSE),0)</f>
        <v>55</v>
      </c>
    </row>
    <row r="8699" spans="1:10" x14ac:dyDescent="0.25">
      <c r="A8699" t="s">
        <v>8867</v>
      </c>
      <c r="B8699" t="s">
        <v>137</v>
      </c>
      <c r="C8699" t="s">
        <v>123</v>
      </c>
      <c r="E8699" t="s">
        <v>8470</v>
      </c>
      <c r="I8699" t="str">
        <f>IF(COUNTIF(Products!$A$2:$A$8,C8699)=0,C8699,"")</f>
        <v/>
      </c>
      <c r="J8699">
        <f>IF(OR(E8699="Prospecting",E8699="Engaging"),VLOOKUP(C8699,Products!$A$2:$C$8,3,FALSE),0)</f>
        <v>55</v>
      </c>
    </row>
    <row r="8700" spans="1:10" x14ac:dyDescent="0.25">
      <c r="A8700" t="s">
        <v>8868</v>
      </c>
      <c r="B8700" t="s">
        <v>137</v>
      </c>
      <c r="C8700" t="s">
        <v>123</v>
      </c>
      <c r="E8700" t="s">
        <v>8470</v>
      </c>
      <c r="I8700" t="str">
        <f>IF(COUNTIF(Products!$A$2:$A$8,C8700)=0,C8700,"")</f>
        <v/>
      </c>
      <c r="J8700">
        <f>IF(OR(E8700="Prospecting",E8700="Engaging"),VLOOKUP(C8700,Products!$A$2:$C$8,3,FALSE),0)</f>
        <v>55</v>
      </c>
    </row>
    <row r="8701" spans="1:10" x14ac:dyDescent="0.25">
      <c r="A8701" t="s">
        <v>8869</v>
      </c>
      <c r="B8701" t="s">
        <v>137</v>
      </c>
      <c r="C8701" t="s">
        <v>125</v>
      </c>
      <c r="D8701" t="s">
        <v>29</v>
      </c>
      <c r="E8701" t="s">
        <v>8470</v>
      </c>
      <c r="I8701" t="str">
        <f>IF(COUNTIF(Products!$A$2:$A$8,C8701)=0,C8701,"")</f>
        <v/>
      </c>
      <c r="J8701">
        <f>IF(OR(E8701="Prospecting",E8701="Engaging"),VLOOKUP(C8701,Products!$A$2:$C$8,3,FALSE),0)</f>
        <v>3393</v>
      </c>
    </row>
    <row r="8702" spans="1:10" x14ac:dyDescent="0.25">
      <c r="A8702" t="s">
        <v>8870</v>
      </c>
      <c r="B8702" t="s">
        <v>137</v>
      </c>
      <c r="C8702" t="s">
        <v>125</v>
      </c>
      <c r="D8702" t="s">
        <v>35</v>
      </c>
      <c r="E8702" t="s">
        <v>8470</v>
      </c>
      <c r="I8702" t="str">
        <f>IF(COUNTIF(Products!$A$2:$A$8,C8702)=0,C8702,"")</f>
        <v/>
      </c>
      <c r="J8702">
        <f>IF(OR(E8702="Prospecting",E8702="Engaging"),VLOOKUP(C8702,Products!$A$2:$C$8,3,FALSE),0)</f>
        <v>3393</v>
      </c>
    </row>
    <row r="8703" spans="1:10" x14ac:dyDescent="0.25">
      <c r="A8703" t="s">
        <v>8871</v>
      </c>
      <c r="B8703" t="s">
        <v>137</v>
      </c>
      <c r="C8703" t="s">
        <v>125</v>
      </c>
      <c r="D8703" t="s">
        <v>46</v>
      </c>
      <c r="E8703" t="s">
        <v>8470</v>
      </c>
      <c r="I8703" t="str">
        <f>IF(COUNTIF(Products!$A$2:$A$8,C8703)=0,C8703,"")</f>
        <v/>
      </c>
      <c r="J8703">
        <f>IF(OR(E8703="Prospecting",E8703="Engaging"),VLOOKUP(C8703,Products!$A$2:$C$8,3,FALSE),0)</f>
        <v>3393</v>
      </c>
    </row>
    <row r="8704" spans="1:10" x14ac:dyDescent="0.25">
      <c r="A8704" t="s">
        <v>8872</v>
      </c>
      <c r="B8704" t="s">
        <v>137</v>
      </c>
      <c r="C8704" t="s">
        <v>125</v>
      </c>
      <c r="E8704" t="s">
        <v>8470</v>
      </c>
      <c r="I8704" t="str">
        <f>IF(COUNTIF(Products!$A$2:$A$8,C8704)=0,C8704,"")</f>
        <v/>
      </c>
      <c r="J8704">
        <f>IF(OR(E8704="Prospecting",E8704="Engaging"),VLOOKUP(C8704,Products!$A$2:$C$8,3,FALSE),0)</f>
        <v>3393</v>
      </c>
    </row>
    <row r="8705" spans="1:10" x14ac:dyDescent="0.25">
      <c r="A8705" t="s">
        <v>8873</v>
      </c>
      <c r="B8705" t="s">
        <v>137</v>
      </c>
      <c r="C8705" t="s">
        <v>125</v>
      </c>
      <c r="E8705" t="s">
        <v>8470</v>
      </c>
      <c r="I8705" t="str">
        <f>IF(COUNTIF(Products!$A$2:$A$8,C8705)=0,C8705,"")</f>
        <v/>
      </c>
      <c r="J8705">
        <f>IF(OR(E8705="Prospecting",E8705="Engaging"),VLOOKUP(C8705,Products!$A$2:$C$8,3,FALSE),0)</f>
        <v>3393</v>
      </c>
    </row>
    <row r="8706" spans="1:10" x14ac:dyDescent="0.25">
      <c r="A8706" t="s">
        <v>8874</v>
      </c>
      <c r="B8706" t="s">
        <v>137</v>
      </c>
      <c r="C8706" t="s">
        <v>125</v>
      </c>
      <c r="E8706" t="s">
        <v>8470</v>
      </c>
      <c r="I8706" t="str">
        <f>IF(COUNTIF(Products!$A$2:$A$8,C8706)=0,C8706,"")</f>
        <v/>
      </c>
      <c r="J8706">
        <f>IF(OR(E8706="Prospecting",E8706="Engaging"),VLOOKUP(C8706,Products!$A$2:$C$8,3,FALSE),0)</f>
        <v>3393</v>
      </c>
    </row>
    <row r="8707" spans="1:10" x14ac:dyDescent="0.25">
      <c r="A8707" t="s">
        <v>8875</v>
      </c>
      <c r="B8707" t="s">
        <v>137</v>
      </c>
      <c r="C8707" t="s">
        <v>125</v>
      </c>
      <c r="E8707" t="s">
        <v>8470</v>
      </c>
      <c r="I8707" t="str">
        <f>IF(COUNTIF(Products!$A$2:$A$8,C8707)=0,C8707,"")</f>
        <v/>
      </c>
      <c r="J8707">
        <f>IF(OR(E8707="Prospecting",E8707="Engaging"),VLOOKUP(C8707,Products!$A$2:$C$8,3,FALSE),0)</f>
        <v>3393</v>
      </c>
    </row>
    <row r="8708" spans="1:10" x14ac:dyDescent="0.25">
      <c r="A8708" t="s">
        <v>8876</v>
      </c>
      <c r="B8708" t="s">
        <v>137</v>
      </c>
      <c r="C8708" t="s">
        <v>125</v>
      </c>
      <c r="E8708" t="s">
        <v>8470</v>
      </c>
      <c r="I8708" t="str">
        <f>IF(COUNTIF(Products!$A$2:$A$8,C8708)=0,C8708,"")</f>
        <v/>
      </c>
      <c r="J8708">
        <f>IF(OR(E8708="Prospecting",E8708="Engaging"),VLOOKUP(C8708,Products!$A$2:$C$8,3,FALSE),0)</f>
        <v>3393</v>
      </c>
    </row>
    <row r="8709" spans="1:10" x14ac:dyDescent="0.25">
      <c r="A8709" t="s">
        <v>8877</v>
      </c>
      <c r="B8709" t="s">
        <v>137</v>
      </c>
      <c r="C8709" t="s">
        <v>125</v>
      </c>
      <c r="E8709" t="s">
        <v>8470</v>
      </c>
      <c r="I8709" t="str">
        <f>IF(COUNTIF(Products!$A$2:$A$8,C8709)=0,C8709,"")</f>
        <v/>
      </c>
      <c r="J8709">
        <f>IF(OR(E8709="Prospecting",E8709="Engaging"),VLOOKUP(C8709,Products!$A$2:$C$8,3,FALSE),0)</f>
        <v>3393</v>
      </c>
    </row>
    <row r="8710" spans="1:10" x14ac:dyDescent="0.25">
      <c r="A8710" t="s">
        <v>8878</v>
      </c>
      <c r="B8710" t="s">
        <v>137</v>
      </c>
      <c r="C8710" t="s">
        <v>125</v>
      </c>
      <c r="E8710" t="s">
        <v>8470</v>
      </c>
      <c r="I8710" t="str">
        <f>IF(COUNTIF(Products!$A$2:$A$8,C8710)=0,C8710,"")</f>
        <v/>
      </c>
      <c r="J8710">
        <f>IF(OR(E8710="Prospecting",E8710="Engaging"),VLOOKUP(C8710,Products!$A$2:$C$8,3,FALSE),0)</f>
        <v>3393</v>
      </c>
    </row>
    <row r="8711" spans="1:10" x14ac:dyDescent="0.25">
      <c r="A8711" t="s">
        <v>8879</v>
      </c>
      <c r="B8711" t="s">
        <v>137</v>
      </c>
      <c r="C8711" t="s">
        <v>125</v>
      </c>
      <c r="E8711" t="s">
        <v>8470</v>
      </c>
      <c r="I8711" t="str">
        <f>IF(COUNTIF(Products!$A$2:$A$8,C8711)=0,C8711,"")</f>
        <v/>
      </c>
      <c r="J8711">
        <f>IF(OR(E8711="Prospecting",E8711="Engaging"),VLOOKUP(C8711,Products!$A$2:$C$8,3,FALSE),0)</f>
        <v>3393</v>
      </c>
    </row>
    <row r="8712" spans="1:10" x14ac:dyDescent="0.25">
      <c r="A8712" t="s">
        <v>8880</v>
      </c>
      <c r="B8712" t="s">
        <v>137</v>
      </c>
      <c r="C8712" t="s">
        <v>125</v>
      </c>
      <c r="E8712" t="s">
        <v>8470</v>
      </c>
      <c r="I8712" t="str">
        <f>IF(COUNTIF(Products!$A$2:$A$8,C8712)=0,C8712,"")</f>
        <v/>
      </c>
      <c r="J8712">
        <f>IF(OR(E8712="Prospecting",E8712="Engaging"),VLOOKUP(C8712,Products!$A$2:$C$8,3,FALSE),0)</f>
        <v>3393</v>
      </c>
    </row>
    <row r="8713" spans="1:10" x14ac:dyDescent="0.25">
      <c r="A8713" t="s">
        <v>8881</v>
      </c>
      <c r="B8713" t="s">
        <v>137</v>
      </c>
      <c r="C8713" t="s">
        <v>125</v>
      </c>
      <c r="E8713" t="s">
        <v>8470</v>
      </c>
      <c r="I8713" t="str">
        <f>IF(COUNTIF(Products!$A$2:$A$8,C8713)=0,C8713,"")</f>
        <v/>
      </c>
      <c r="J8713">
        <f>IF(OR(E8713="Prospecting",E8713="Engaging"),VLOOKUP(C8713,Products!$A$2:$C$8,3,FALSE),0)</f>
        <v>3393</v>
      </c>
    </row>
    <row r="8714" spans="1:10" x14ac:dyDescent="0.25">
      <c r="A8714" t="s">
        <v>8882</v>
      </c>
      <c r="B8714" t="s">
        <v>152</v>
      </c>
      <c r="C8714" t="s">
        <v>120</v>
      </c>
      <c r="D8714" t="s">
        <v>59</v>
      </c>
      <c r="E8714" t="s">
        <v>8470</v>
      </c>
      <c r="I8714" t="str">
        <f>IF(COUNTIF(Products!$A$2:$A$8,C8714)=0,C8714,"")</f>
        <v/>
      </c>
      <c r="J8714">
        <f>IF(OR(E8714="Prospecting",E8714="Engaging"),VLOOKUP(C8714,Products!$A$2:$C$8,3,FALSE),0)</f>
        <v>550</v>
      </c>
    </row>
    <row r="8715" spans="1:10" x14ac:dyDescent="0.25">
      <c r="A8715" t="s">
        <v>8883</v>
      </c>
      <c r="B8715" t="s">
        <v>152</v>
      </c>
      <c r="C8715" t="s">
        <v>120</v>
      </c>
      <c r="D8715" t="s">
        <v>84</v>
      </c>
      <c r="E8715" t="s">
        <v>8470</v>
      </c>
      <c r="I8715" t="str">
        <f>IF(COUNTIF(Products!$A$2:$A$8,C8715)=0,C8715,"")</f>
        <v/>
      </c>
      <c r="J8715">
        <f>IF(OR(E8715="Prospecting",E8715="Engaging"),VLOOKUP(C8715,Products!$A$2:$C$8,3,FALSE),0)</f>
        <v>550</v>
      </c>
    </row>
    <row r="8716" spans="1:10" x14ac:dyDescent="0.25">
      <c r="A8716" t="s">
        <v>8884</v>
      </c>
      <c r="B8716" t="s">
        <v>152</v>
      </c>
      <c r="C8716" t="s">
        <v>120</v>
      </c>
      <c r="E8716" t="s">
        <v>8470</v>
      </c>
      <c r="I8716" t="str">
        <f>IF(COUNTIF(Products!$A$2:$A$8,C8716)=0,C8716,"")</f>
        <v/>
      </c>
      <c r="J8716">
        <f>IF(OR(E8716="Prospecting",E8716="Engaging"),VLOOKUP(C8716,Products!$A$2:$C$8,3,FALSE),0)</f>
        <v>550</v>
      </c>
    </row>
    <row r="8717" spans="1:10" x14ac:dyDescent="0.25">
      <c r="A8717" t="s">
        <v>8885</v>
      </c>
      <c r="B8717" t="s">
        <v>152</v>
      </c>
      <c r="C8717" t="s">
        <v>120</v>
      </c>
      <c r="E8717" t="s">
        <v>8470</v>
      </c>
      <c r="I8717" t="str">
        <f>IF(COUNTIF(Products!$A$2:$A$8,C8717)=0,C8717,"")</f>
        <v/>
      </c>
      <c r="J8717">
        <f>IF(OR(E8717="Prospecting",E8717="Engaging"),VLOOKUP(C8717,Products!$A$2:$C$8,3,FALSE),0)</f>
        <v>550</v>
      </c>
    </row>
    <row r="8718" spans="1:10" x14ac:dyDescent="0.25">
      <c r="A8718" t="s">
        <v>8886</v>
      </c>
      <c r="B8718" t="s">
        <v>152</v>
      </c>
      <c r="C8718" t="s">
        <v>120</v>
      </c>
      <c r="E8718" t="s">
        <v>8470</v>
      </c>
      <c r="I8718" t="str">
        <f>IF(COUNTIF(Products!$A$2:$A$8,C8718)=0,C8718,"")</f>
        <v/>
      </c>
      <c r="J8718">
        <f>IF(OR(E8718="Prospecting",E8718="Engaging"),VLOOKUP(C8718,Products!$A$2:$C$8,3,FALSE),0)</f>
        <v>550</v>
      </c>
    </row>
    <row r="8719" spans="1:10" x14ac:dyDescent="0.25">
      <c r="A8719" t="s">
        <v>8887</v>
      </c>
      <c r="B8719" t="s">
        <v>152</v>
      </c>
      <c r="C8719" t="s">
        <v>120</v>
      </c>
      <c r="E8719" t="s">
        <v>8470</v>
      </c>
      <c r="I8719" t="str">
        <f>IF(COUNTIF(Products!$A$2:$A$8,C8719)=0,C8719,"")</f>
        <v/>
      </c>
      <c r="J8719">
        <f>IF(OR(E8719="Prospecting",E8719="Engaging"),VLOOKUP(C8719,Products!$A$2:$C$8,3,FALSE),0)</f>
        <v>550</v>
      </c>
    </row>
    <row r="8720" spans="1:10" x14ac:dyDescent="0.25">
      <c r="A8720" t="s">
        <v>8888</v>
      </c>
      <c r="B8720" t="s">
        <v>152</v>
      </c>
      <c r="C8720" t="s">
        <v>120</v>
      </c>
      <c r="E8720" t="s">
        <v>8470</v>
      </c>
      <c r="I8720" t="str">
        <f>IF(COUNTIF(Products!$A$2:$A$8,C8720)=0,C8720,"")</f>
        <v/>
      </c>
      <c r="J8720">
        <f>IF(OR(E8720="Prospecting",E8720="Engaging"),VLOOKUP(C8720,Products!$A$2:$C$8,3,FALSE),0)</f>
        <v>550</v>
      </c>
    </row>
    <row r="8721" spans="1:10" x14ac:dyDescent="0.25">
      <c r="A8721" t="s">
        <v>8889</v>
      </c>
      <c r="B8721" t="s">
        <v>152</v>
      </c>
      <c r="C8721" t="s">
        <v>120</v>
      </c>
      <c r="E8721" t="s">
        <v>8470</v>
      </c>
      <c r="I8721" t="str">
        <f>IF(COUNTIF(Products!$A$2:$A$8,C8721)=0,C8721,"")</f>
        <v/>
      </c>
      <c r="J8721">
        <f>IF(OR(E8721="Prospecting",E8721="Engaging"),VLOOKUP(C8721,Products!$A$2:$C$8,3,FALSE),0)</f>
        <v>550</v>
      </c>
    </row>
    <row r="8722" spans="1:10" x14ac:dyDescent="0.25">
      <c r="A8722" t="s">
        <v>8890</v>
      </c>
      <c r="B8722" t="s">
        <v>152</v>
      </c>
      <c r="C8722" t="s">
        <v>120</v>
      </c>
      <c r="E8722" t="s">
        <v>8470</v>
      </c>
      <c r="I8722" t="str">
        <f>IF(COUNTIF(Products!$A$2:$A$8,C8722)=0,C8722,"")</f>
        <v/>
      </c>
      <c r="J8722">
        <f>IF(OR(E8722="Prospecting",E8722="Engaging"),VLOOKUP(C8722,Products!$A$2:$C$8,3,FALSE),0)</f>
        <v>550</v>
      </c>
    </row>
    <row r="8723" spans="1:10" x14ac:dyDescent="0.25">
      <c r="A8723" t="s">
        <v>8891</v>
      </c>
      <c r="B8723" t="s">
        <v>152</v>
      </c>
      <c r="C8723" t="s">
        <v>120</v>
      </c>
      <c r="E8723" t="s">
        <v>8470</v>
      </c>
      <c r="I8723" t="str">
        <f>IF(COUNTIF(Products!$A$2:$A$8,C8723)=0,C8723,"")</f>
        <v/>
      </c>
      <c r="J8723">
        <f>IF(OR(E8723="Prospecting",E8723="Engaging"),VLOOKUP(C8723,Products!$A$2:$C$8,3,FALSE),0)</f>
        <v>550</v>
      </c>
    </row>
    <row r="8724" spans="1:10" x14ac:dyDescent="0.25">
      <c r="A8724" t="s">
        <v>8892</v>
      </c>
      <c r="B8724" t="s">
        <v>152</v>
      </c>
      <c r="C8724" t="s">
        <v>120</v>
      </c>
      <c r="E8724" t="s">
        <v>8470</v>
      </c>
      <c r="I8724" t="str">
        <f>IF(COUNTIF(Products!$A$2:$A$8,C8724)=0,C8724,"")</f>
        <v/>
      </c>
      <c r="J8724">
        <f>IF(OR(E8724="Prospecting",E8724="Engaging"),VLOOKUP(C8724,Products!$A$2:$C$8,3,FALSE),0)</f>
        <v>550</v>
      </c>
    </row>
    <row r="8725" spans="1:10" x14ac:dyDescent="0.25">
      <c r="A8725" t="s">
        <v>8893</v>
      </c>
      <c r="B8725" t="s">
        <v>152</v>
      </c>
      <c r="C8725" t="s">
        <v>127</v>
      </c>
      <c r="D8725" t="s">
        <v>75</v>
      </c>
      <c r="E8725" t="s">
        <v>8470</v>
      </c>
      <c r="I8725" t="str">
        <f>IF(COUNTIF(Products!$A$2:$A$8,C8725)=0,C8725,"")</f>
        <v/>
      </c>
      <c r="J8725">
        <f>IF(OR(E8725="Prospecting",E8725="Engaging"),VLOOKUP(C8725,Products!$A$2:$C$8,3,FALSE),0)</f>
        <v>1096</v>
      </c>
    </row>
    <row r="8726" spans="1:10" x14ac:dyDescent="0.25">
      <c r="A8726" t="s">
        <v>8894</v>
      </c>
      <c r="B8726" t="s">
        <v>152</v>
      </c>
      <c r="C8726" t="s">
        <v>127</v>
      </c>
      <c r="D8726" t="s">
        <v>96</v>
      </c>
      <c r="E8726" t="s">
        <v>8470</v>
      </c>
      <c r="I8726" t="str">
        <f>IF(COUNTIF(Products!$A$2:$A$8,C8726)=0,C8726,"")</f>
        <v/>
      </c>
      <c r="J8726">
        <f>IF(OR(E8726="Prospecting",E8726="Engaging"),VLOOKUP(C8726,Products!$A$2:$C$8,3,FALSE),0)</f>
        <v>1096</v>
      </c>
    </row>
    <row r="8727" spans="1:10" x14ac:dyDescent="0.25">
      <c r="A8727" t="s">
        <v>8895</v>
      </c>
      <c r="B8727" t="s">
        <v>152</v>
      </c>
      <c r="C8727" t="s">
        <v>127</v>
      </c>
      <c r="D8727" t="s">
        <v>114</v>
      </c>
      <c r="E8727" t="s">
        <v>8470</v>
      </c>
      <c r="I8727" t="str">
        <f>IF(COUNTIF(Products!$A$2:$A$8,C8727)=0,C8727,"")</f>
        <v/>
      </c>
      <c r="J8727">
        <f>IF(OR(E8727="Prospecting",E8727="Engaging"),VLOOKUP(C8727,Products!$A$2:$C$8,3,FALSE),0)</f>
        <v>1096</v>
      </c>
    </row>
    <row r="8728" spans="1:10" x14ac:dyDescent="0.25">
      <c r="A8728" t="s">
        <v>8896</v>
      </c>
      <c r="B8728" t="s">
        <v>152</v>
      </c>
      <c r="C8728" t="s">
        <v>127</v>
      </c>
      <c r="E8728" t="s">
        <v>8470</v>
      </c>
      <c r="I8728" t="str">
        <f>IF(COUNTIF(Products!$A$2:$A$8,C8728)=0,C8728,"")</f>
        <v/>
      </c>
      <c r="J8728">
        <f>IF(OR(E8728="Prospecting",E8728="Engaging"),VLOOKUP(C8728,Products!$A$2:$C$8,3,FALSE),0)</f>
        <v>1096</v>
      </c>
    </row>
    <row r="8729" spans="1:10" x14ac:dyDescent="0.25">
      <c r="A8729" t="s">
        <v>8897</v>
      </c>
      <c r="B8729" t="s">
        <v>152</v>
      </c>
      <c r="C8729" t="s">
        <v>127</v>
      </c>
      <c r="E8729" t="s">
        <v>8470</v>
      </c>
      <c r="I8729" t="str">
        <f>IF(COUNTIF(Products!$A$2:$A$8,C8729)=0,C8729,"")</f>
        <v/>
      </c>
      <c r="J8729">
        <f>IF(OR(E8729="Prospecting",E8729="Engaging"),VLOOKUP(C8729,Products!$A$2:$C$8,3,FALSE),0)</f>
        <v>1096</v>
      </c>
    </row>
    <row r="8730" spans="1:10" x14ac:dyDescent="0.25">
      <c r="A8730" t="s">
        <v>8898</v>
      </c>
      <c r="B8730" t="s">
        <v>152</v>
      </c>
      <c r="C8730" t="s">
        <v>127</v>
      </c>
      <c r="E8730" t="s">
        <v>8470</v>
      </c>
      <c r="I8730" t="str">
        <f>IF(COUNTIF(Products!$A$2:$A$8,C8730)=0,C8730,"")</f>
        <v/>
      </c>
      <c r="J8730">
        <f>IF(OR(E8730="Prospecting",E8730="Engaging"),VLOOKUP(C8730,Products!$A$2:$C$8,3,FALSE),0)</f>
        <v>1096</v>
      </c>
    </row>
    <row r="8731" spans="1:10" x14ac:dyDescent="0.25">
      <c r="A8731" t="s">
        <v>8899</v>
      </c>
      <c r="B8731" t="s">
        <v>152</v>
      </c>
      <c r="C8731" t="s">
        <v>126</v>
      </c>
      <c r="D8731" t="s">
        <v>69</v>
      </c>
      <c r="E8731" t="s">
        <v>8470</v>
      </c>
      <c r="I8731" t="str">
        <f>IF(COUNTIF(Products!$A$2:$A$8,C8731)=0,C8731,"")</f>
        <v/>
      </c>
      <c r="J8731">
        <f>IF(OR(E8731="Prospecting",E8731="Engaging"),VLOOKUP(C8731,Products!$A$2:$C$8,3,FALSE),0)</f>
        <v>5482</v>
      </c>
    </row>
    <row r="8732" spans="1:10" x14ac:dyDescent="0.25">
      <c r="A8732" t="s">
        <v>8900</v>
      </c>
      <c r="B8732" t="s">
        <v>152</v>
      </c>
      <c r="C8732" t="s">
        <v>126</v>
      </c>
      <c r="D8732" t="s">
        <v>112</v>
      </c>
      <c r="E8732" t="s">
        <v>8470</v>
      </c>
      <c r="I8732" t="str">
        <f>IF(COUNTIF(Products!$A$2:$A$8,C8732)=0,C8732,"")</f>
        <v/>
      </c>
      <c r="J8732">
        <f>IF(OR(E8732="Prospecting",E8732="Engaging"),VLOOKUP(C8732,Products!$A$2:$C$8,3,FALSE),0)</f>
        <v>5482</v>
      </c>
    </row>
    <row r="8733" spans="1:10" x14ac:dyDescent="0.25">
      <c r="A8733" t="s">
        <v>8901</v>
      </c>
      <c r="B8733" t="s">
        <v>152</v>
      </c>
      <c r="C8733" t="s">
        <v>126</v>
      </c>
      <c r="E8733" t="s">
        <v>8470</v>
      </c>
      <c r="I8733" t="str">
        <f>IF(COUNTIF(Products!$A$2:$A$8,C8733)=0,C8733,"")</f>
        <v/>
      </c>
      <c r="J8733">
        <f>IF(OR(E8733="Prospecting",E8733="Engaging"),VLOOKUP(C8733,Products!$A$2:$C$8,3,FALSE),0)</f>
        <v>5482</v>
      </c>
    </row>
    <row r="8734" spans="1:10" x14ac:dyDescent="0.25">
      <c r="A8734" t="s">
        <v>8902</v>
      </c>
      <c r="B8734" t="s">
        <v>152</v>
      </c>
      <c r="C8734" t="s">
        <v>122</v>
      </c>
      <c r="E8734" t="s">
        <v>8470</v>
      </c>
      <c r="I8734" t="str">
        <f>IF(COUNTIF(Products!$A$2:$A$8,C8734)=0,C8734,"")</f>
        <v/>
      </c>
      <c r="J8734">
        <f>IF(OR(E8734="Prospecting",E8734="Engaging"),VLOOKUP(C8734,Products!$A$2:$C$8,3,FALSE),0)</f>
        <v>4821</v>
      </c>
    </row>
    <row r="8735" spans="1:10" x14ac:dyDescent="0.25">
      <c r="A8735" t="s">
        <v>8903</v>
      </c>
      <c r="B8735" t="s">
        <v>152</v>
      </c>
      <c r="C8735" t="s">
        <v>122</v>
      </c>
      <c r="E8735" t="s">
        <v>8470</v>
      </c>
      <c r="I8735" t="str">
        <f>IF(COUNTIF(Products!$A$2:$A$8,C8735)=0,C8735,"")</f>
        <v/>
      </c>
      <c r="J8735">
        <f>IF(OR(E8735="Prospecting",E8735="Engaging"),VLOOKUP(C8735,Products!$A$2:$C$8,3,FALSE),0)</f>
        <v>4821</v>
      </c>
    </row>
    <row r="8736" spans="1:10" x14ac:dyDescent="0.25">
      <c r="A8736" t="s">
        <v>8904</v>
      </c>
      <c r="B8736" t="s">
        <v>152</v>
      </c>
      <c r="C8736" t="s">
        <v>122</v>
      </c>
      <c r="E8736" t="s">
        <v>8470</v>
      </c>
      <c r="I8736" t="str">
        <f>IF(COUNTIF(Products!$A$2:$A$8,C8736)=0,C8736,"")</f>
        <v/>
      </c>
      <c r="J8736">
        <f>IF(OR(E8736="Prospecting",E8736="Engaging"),VLOOKUP(C8736,Products!$A$2:$C$8,3,FALSE),0)</f>
        <v>4821</v>
      </c>
    </row>
    <row r="8737" spans="1:10" x14ac:dyDescent="0.25">
      <c r="A8737" t="s">
        <v>8905</v>
      </c>
      <c r="B8737" t="s">
        <v>152</v>
      </c>
      <c r="C8737" t="s">
        <v>123</v>
      </c>
      <c r="D8737" t="s">
        <v>61</v>
      </c>
      <c r="E8737" t="s">
        <v>8470</v>
      </c>
      <c r="I8737" t="str">
        <f>IF(COUNTIF(Products!$A$2:$A$8,C8737)=0,C8737,"")</f>
        <v/>
      </c>
      <c r="J8737">
        <f>IF(OR(E8737="Prospecting",E8737="Engaging"),VLOOKUP(C8737,Products!$A$2:$C$8,3,FALSE),0)</f>
        <v>55</v>
      </c>
    </row>
    <row r="8738" spans="1:10" x14ac:dyDescent="0.25">
      <c r="A8738" t="s">
        <v>8906</v>
      </c>
      <c r="B8738" t="s">
        <v>152</v>
      </c>
      <c r="C8738" t="s">
        <v>123</v>
      </c>
      <c r="D8738" t="s">
        <v>69</v>
      </c>
      <c r="E8738" t="s">
        <v>8470</v>
      </c>
      <c r="I8738" t="str">
        <f>IF(COUNTIF(Products!$A$2:$A$8,C8738)=0,C8738,"")</f>
        <v/>
      </c>
      <c r="J8738">
        <f>IF(OR(E8738="Prospecting",E8738="Engaging"),VLOOKUP(C8738,Products!$A$2:$C$8,3,FALSE),0)</f>
        <v>55</v>
      </c>
    </row>
    <row r="8739" spans="1:10" x14ac:dyDescent="0.25">
      <c r="A8739" t="s">
        <v>8907</v>
      </c>
      <c r="B8739" t="s">
        <v>152</v>
      </c>
      <c r="C8739" t="s">
        <v>123</v>
      </c>
      <c r="E8739" t="s">
        <v>8470</v>
      </c>
      <c r="I8739" t="str">
        <f>IF(COUNTIF(Products!$A$2:$A$8,C8739)=0,C8739,"")</f>
        <v/>
      </c>
      <c r="J8739">
        <f>IF(OR(E8739="Prospecting",E8739="Engaging"),VLOOKUP(C8739,Products!$A$2:$C$8,3,FALSE),0)</f>
        <v>55</v>
      </c>
    </row>
    <row r="8740" spans="1:10" x14ac:dyDescent="0.25">
      <c r="A8740" t="s">
        <v>8908</v>
      </c>
      <c r="B8740" t="s">
        <v>152</v>
      </c>
      <c r="C8740" t="s">
        <v>123</v>
      </c>
      <c r="E8740" t="s">
        <v>8470</v>
      </c>
      <c r="I8740" t="str">
        <f>IF(COUNTIF(Products!$A$2:$A$8,C8740)=0,C8740,"")</f>
        <v/>
      </c>
      <c r="J8740">
        <f>IF(OR(E8740="Prospecting",E8740="Engaging"),VLOOKUP(C8740,Products!$A$2:$C$8,3,FALSE),0)</f>
        <v>55</v>
      </c>
    </row>
    <row r="8741" spans="1:10" x14ac:dyDescent="0.25">
      <c r="A8741" t="s">
        <v>8909</v>
      </c>
      <c r="B8741" t="s">
        <v>152</v>
      </c>
      <c r="C8741" t="s">
        <v>123</v>
      </c>
      <c r="E8741" t="s">
        <v>8470</v>
      </c>
      <c r="I8741" t="str">
        <f>IF(COUNTIF(Products!$A$2:$A$8,C8741)=0,C8741,"")</f>
        <v/>
      </c>
      <c r="J8741">
        <f>IF(OR(E8741="Prospecting",E8741="Engaging"),VLOOKUP(C8741,Products!$A$2:$C$8,3,FALSE),0)</f>
        <v>55</v>
      </c>
    </row>
    <row r="8742" spans="1:10" x14ac:dyDescent="0.25">
      <c r="A8742" t="s">
        <v>8910</v>
      </c>
      <c r="B8742" t="s">
        <v>152</v>
      </c>
      <c r="C8742" t="s">
        <v>123</v>
      </c>
      <c r="E8742" t="s">
        <v>8470</v>
      </c>
      <c r="I8742" t="str">
        <f>IF(COUNTIF(Products!$A$2:$A$8,C8742)=0,C8742,"")</f>
        <v/>
      </c>
      <c r="J8742">
        <f>IF(OR(E8742="Prospecting",E8742="Engaging"),VLOOKUP(C8742,Products!$A$2:$C$8,3,FALSE),0)</f>
        <v>55</v>
      </c>
    </row>
    <row r="8743" spans="1:10" x14ac:dyDescent="0.25">
      <c r="A8743" t="s">
        <v>8911</v>
      </c>
      <c r="B8743" t="s">
        <v>152</v>
      </c>
      <c r="C8743" t="s">
        <v>123</v>
      </c>
      <c r="E8743" t="s">
        <v>8470</v>
      </c>
      <c r="I8743" t="str">
        <f>IF(COUNTIF(Products!$A$2:$A$8,C8743)=0,C8743,"")</f>
        <v/>
      </c>
      <c r="J8743">
        <f>IF(OR(E8743="Prospecting",E8743="Engaging"),VLOOKUP(C8743,Products!$A$2:$C$8,3,FALSE),0)</f>
        <v>55</v>
      </c>
    </row>
    <row r="8744" spans="1:10" x14ac:dyDescent="0.25">
      <c r="A8744" t="s">
        <v>8912</v>
      </c>
      <c r="B8744" t="s">
        <v>152</v>
      </c>
      <c r="C8744" t="s">
        <v>123</v>
      </c>
      <c r="E8744" t="s">
        <v>8470</v>
      </c>
      <c r="I8744" t="str">
        <f>IF(COUNTIF(Products!$A$2:$A$8,C8744)=0,C8744,"")</f>
        <v/>
      </c>
      <c r="J8744">
        <f>IF(OR(E8744="Prospecting",E8744="Engaging"),VLOOKUP(C8744,Products!$A$2:$C$8,3,FALSE),0)</f>
        <v>55</v>
      </c>
    </row>
    <row r="8745" spans="1:10" x14ac:dyDescent="0.25">
      <c r="A8745" t="s">
        <v>8913</v>
      </c>
      <c r="B8745" t="s">
        <v>152</v>
      </c>
      <c r="C8745" t="s">
        <v>123</v>
      </c>
      <c r="E8745" t="s">
        <v>8470</v>
      </c>
      <c r="I8745" t="str">
        <f>IF(COUNTIF(Products!$A$2:$A$8,C8745)=0,C8745,"")</f>
        <v/>
      </c>
      <c r="J8745">
        <f>IF(OR(E8745="Prospecting",E8745="Engaging"),VLOOKUP(C8745,Products!$A$2:$C$8,3,FALSE),0)</f>
        <v>55</v>
      </c>
    </row>
    <row r="8746" spans="1:10" x14ac:dyDescent="0.25">
      <c r="A8746" t="s">
        <v>8914</v>
      </c>
      <c r="B8746" t="s">
        <v>152</v>
      </c>
      <c r="C8746" t="s">
        <v>125</v>
      </c>
      <c r="D8746" t="s">
        <v>39</v>
      </c>
      <c r="E8746" t="s">
        <v>8470</v>
      </c>
      <c r="I8746" t="str">
        <f>IF(COUNTIF(Products!$A$2:$A$8,C8746)=0,C8746,"")</f>
        <v/>
      </c>
      <c r="J8746">
        <f>IF(OR(E8746="Prospecting",E8746="Engaging"),VLOOKUP(C8746,Products!$A$2:$C$8,3,FALSE),0)</f>
        <v>3393</v>
      </c>
    </row>
    <row r="8747" spans="1:10" x14ac:dyDescent="0.25">
      <c r="A8747" t="s">
        <v>8915</v>
      </c>
      <c r="B8747" t="s">
        <v>152</v>
      </c>
      <c r="C8747" t="s">
        <v>125</v>
      </c>
      <c r="E8747" t="s">
        <v>8470</v>
      </c>
      <c r="I8747" t="str">
        <f>IF(COUNTIF(Products!$A$2:$A$8,C8747)=0,C8747,"")</f>
        <v/>
      </c>
      <c r="J8747">
        <f>IF(OR(E8747="Prospecting",E8747="Engaging"),VLOOKUP(C8747,Products!$A$2:$C$8,3,FALSE),0)</f>
        <v>3393</v>
      </c>
    </row>
    <row r="8748" spans="1:10" x14ac:dyDescent="0.25">
      <c r="A8748" t="s">
        <v>8916</v>
      </c>
      <c r="B8748" t="s">
        <v>169</v>
      </c>
      <c r="C8748" t="s">
        <v>120</v>
      </c>
      <c r="D8748" t="s">
        <v>32</v>
      </c>
      <c r="E8748" t="s">
        <v>8470</v>
      </c>
      <c r="I8748" t="str">
        <f>IF(COUNTIF(Products!$A$2:$A$8,C8748)=0,C8748,"")</f>
        <v/>
      </c>
      <c r="J8748">
        <f>IF(OR(E8748="Prospecting",E8748="Engaging"),VLOOKUP(C8748,Products!$A$2:$C$8,3,FALSE),0)</f>
        <v>550</v>
      </c>
    </row>
    <row r="8749" spans="1:10" x14ac:dyDescent="0.25">
      <c r="A8749" t="s">
        <v>8917</v>
      </c>
      <c r="B8749" t="s">
        <v>169</v>
      </c>
      <c r="C8749" t="s">
        <v>120</v>
      </c>
      <c r="D8749" t="s">
        <v>72</v>
      </c>
      <c r="E8749" t="s">
        <v>8470</v>
      </c>
      <c r="I8749" t="str">
        <f>IF(COUNTIF(Products!$A$2:$A$8,C8749)=0,C8749,"")</f>
        <v/>
      </c>
      <c r="J8749">
        <f>IF(OR(E8749="Prospecting",E8749="Engaging"),VLOOKUP(C8749,Products!$A$2:$C$8,3,FALSE),0)</f>
        <v>550</v>
      </c>
    </row>
    <row r="8750" spans="1:10" x14ac:dyDescent="0.25">
      <c r="A8750" t="s">
        <v>8918</v>
      </c>
      <c r="B8750" t="s">
        <v>169</v>
      </c>
      <c r="C8750" t="s">
        <v>120</v>
      </c>
      <c r="D8750" t="s">
        <v>91</v>
      </c>
      <c r="E8750" t="s">
        <v>8470</v>
      </c>
      <c r="I8750" t="str">
        <f>IF(COUNTIF(Products!$A$2:$A$8,C8750)=0,C8750,"")</f>
        <v/>
      </c>
      <c r="J8750">
        <f>IF(OR(E8750="Prospecting",E8750="Engaging"),VLOOKUP(C8750,Products!$A$2:$C$8,3,FALSE),0)</f>
        <v>550</v>
      </c>
    </row>
    <row r="8751" spans="1:10" x14ac:dyDescent="0.25">
      <c r="A8751" t="s">
        <v>8919</v>
      </c>
      <c r="B8751" t="s">
        <v>169</v>
      </c>
      <c r="C8751" t="s">
        <v>120</v>
      </c>
      <c r="E8751" t="s">
        <v>8470</v>
      </c>
      <c r="I8751" t="str">
        <f>IF(COUNTIF(Products!$A$2:$A$8,C8751)=0,C8751,"")</f>
        <v/>
      </c>
      <c r="J8751">
        <f>IF(OR(E8751="Prospecting",E8751="Engaging"),VLOOKUP(C8751,Products!$A$2:$C$8,3,FALSE),0)</f>
        <v>550</v>
      </c>
    </row>
    <row r="8752" spans="1:10" x14ac:dyDescent="0.25">
      <c r="A8752" t="s">
        <v>8920</v>
      </c>
      <c r="B8752" t="s">
        <v>169</v>
      </c>
      <c r="C8752" t="s">
        <v>120</v>
      </c>
      <c r="E8752" t="s">
        <v>8470</v>
      </c>
      <c r="I8752" t="str">
        <f>IF(COUNTIF(Products!$A$2:$A$8,C8752)=0,C8752,"")</f>
        <v/>
      </c>
      <c r="J8752">
        <f>IF(OR(E8752="Prospecting",E8752="Engaging"),VLOOKUP(C8752,Products!$A$2:$C$8,3,FALSE),0)</f>
        <v>550</v>
      </c>
    </row>
    <row r="8753" spans="1:10" x14ac:dyDescent="0.25">
      <c r="A8753" t="s">
        <v>8921</v>
      </c>
      <c r="B8753" t="s">
        <v>169</v>
      </c>
      <c r="C8753" t="s">
        <v>120</v>
      </c>
      <c r="E8753" t="s">
        <v>8470</v>
      </c>
      <c r="I8753" t="str">
        <f>IF(COUNTIF(Products!$A$2:$A$8,C8753)=0,C8753,"")</f>
        <v/>
      </c>
      <c r="J8753">
        <f>IF(OR(E8753="Prospecting",E8753="Engaging"),VLOOKUP(C8753,Products!$A$2:$C$8,3,FALSE),0)</f>
        <v>550</v>
      </c>
    </row>
    <row r="8754" spans="1:10" x14ac:dyDescent="0.25">
      <c r="A8754" t="s">
        <v>8922</v>
      </c>
      <c r="B8754" t="s">
        <v>169</v>
      </c>
      <c r="C8754" t="s">
        <v>120</v>
      </c>
      <c r="E8754" t="s">
        <v>8470</v>
      </c>
      <c r="I8754" t="str">
        <f>IF(COUNTIF(Products!$A$2:$A$8,C8754)=0,C8754,"")</f>
        <v/>
      </c>
      <c r="J8754">
        <f>IF(OR(E8754="Prospecting",E8754="Engaging"),VLOOKUP(C8754,Products!$A$2:$C$8,3,FALSE),0)</f>
        <v>550</v>
      </c>
    </row>
    <row r="8755" spans="1:10" x14ac:dyDescent="0.25">
      <c r="A8755" t="s">
        <v>8923</v>
      </c>
      <c r="B8755" t="s">
        <v>169</v>
      </c>
      <c r="C8755" t="s">
        <v>127</v>
      </c>
      <c r="D8755" t="s">
        <v>98</v>
      </c>
      <c r="E8755" t="s">
        <v>8470</v>
      </c>
      <c r="I8755" t="str">
        <f>IF(COUNTIF(Products!$A$2:$A$8,C8755)=0,C8755,"")</f>
        <v/>
      </c>
      <c r="J8755">
        <f>IF(OR(E8755="Prospecting",E8755="Engaging"),VLOOKUP(C8755,Products!$A$2:$C$8,3,FALSE),0)</f>
        <v>1096</v>
      </c>
    </row>
    <row r="8756" spans="1:10" x14ac:dyDescent="0.25">
      <c r="A8756" t="s">
        <v>8924</v>
      </c>
      <c r="B8756" t="s">
        <v>169</v>
      </c>
      <c r="C8756" t="s">
        <v>127</v>
      </c>
      <c r="E8756" t="s">
        <v>8470</v>
      </c>
      <c r="I8756" t="str">
        <f>IF(COUNTIF(Products!$A$2:$A$8,C8756)=0,C8756,"")</f>
        <v/>
      </c>
      <c r="J8756">
        <f>IF(OR(E8756="Prospecting",E8756="Engaging"),VLOOKUP(C8756,Products!$A$2:$C$8,3,FALSE),0)</f>
        <v>1096</v>
      </c>
    </row>
    <row r="8757" spans="1:10" x14ac:dyDescent="0.25">
      <c r="A8757" t="s">
        <v>8925</v>
      </c>
      <c r="B8757" t="s">
        <v>169</v>
      </c>
      <c r="C8757" t="s">
        <v>126</v>
      </c>
      <c r="E8757" t="s">
        <v>8470</v>
      </c>
      <c r="I8757" t="str">
        <f>IF(COUNTIF(Products!$A$2:$A$8,C8757)=0,C8757,"")</f>
        <v/>
      </c>
      <c r="J8757">
        <f>IF(OR(E8757="Prospecting",E8757="Engaging"),VLOOKUP(C8757,Products!$A$2:$C$8,3,FALSE),0)</f>
        <v>5482</v>
      </c>
    </row>
    <row r="8758" spans="1:10" x14ac:dyDescent="0.25">
      <c r="A8758" t="s">
        <v>8926</v>
      </c>
      <c r="B8758" t="s">
        <v>169</v>
      </c>
      <c r="C8758" t="s">
        <v>126</v>
      </c>
      <c r="E8758" t="s">
        <v>8470</v>
      </c>
      <c r="I8758" t="str">
        <f>IF(COUNTIF(Products!$A$2:$A$8,C8758)=0,C8758,"")</f>
        <v/>
      </c>
      <c r="J8758">
        <f>IF(OR(E8758="Prospecting",E8758="Engaging"),VLOOKUP(C8758,Products!$A$2:$C$8,3,FALSE),0)</f>
        <v>5482</v>
      </c>
    </row>
    <row r="8759" spans="1:10" x14ac:dyDescent="0.25">
      <c r="A8759" t="s">
        <v>8927</v>
      </c>
      <c r="B8759" t="s">
        <v>169</v>
      </c>
      <c r="C8759" t="s">
        <v>123</v>
      </c>
      <c r="D8759" t="s">
        <v>17</v>
      </c>
      <c r="E8759" t="s">
        <v>8470</v>
      </c>
      <c r="I8759" t="str">
        <f>IF(COUNTIF(Products!$A$2:$A$8,C8759)=0,C8759,"")</f>
        <v/>
      </c>
      <c r="J8759">
        <f>IF(OR(E8759="Prospecting",E8759="Engaging"),VLOOKUP(C8759,Products!$A$2:$C$8,3,FALSE),0)</f>
        <v>55</v>
      </c>
    </row>
    <row r="8760" spans="1:10" x14ac:dyDescent="0.25">
      <c r="A8760" t="s">
        <v>8928</v>
      </c>
      <c r="B8760" t="s">
        <v>169</v>
      </c>
      <c r="C8760" t="s">
        <v>123</v>
      </c>
      <c r="D8760" t="s">
        <v>34</v>
      </c>
      <c r="E8760" t="s">
        <v>8470</v>
      </c>
      <c r="I8760" t="str">
        <f>IF(COUNTIF(Products!$A$2:$A$8,C8760)=0,C8760,"")</f>
        <v/>
      </c>
      <c r="J8760">
        <f>IF(OR(E8760="Prospecting",E8760="Engaging"),VLOOKUP(C8760,Products!$A$2:$C$8,3,FALSE),0)</f>
        <v>55</v>
      </c>
    </row>
    <row r="8761" spans="1:10" x14ac:dyDescent="0.25">
      <c r="A8761" t="s">
        <v>8929</v>
      </c>
      <c r="B8761" t="s">
        <v>169</v>
      </c>
      <c r="C8761" t="s">
        <v>123</v>
      </c>
      <c r="D8761" t="s">
        <v>47</v>
      </c>
      <c r="E8761" t="s">
        <v>8470</v>
      </c>
      <c r="I8761" t="str">
        <f>IF(COUNTIF(Products!$A$2:$A$8,C8761)=0,C8761,"")</f>
        <v/>
      </c>
      <c r="J8761">
        <f>IF(OR(E8761="Prospecting",E8761="Engaging"),VLOOKUP(C8761,Products!$A$2:$C$8,3,FALSE),0)</f>
        <v>55</v>
      </c>
    </row>
    <row r="8762" spans="1:10" x14ac:dyDescent="0.25">
      <c r="A8762" t="s">
        <v>8930</v>
      </c>
      <c r="B8762" t="s">
        <v>169</v>
      </c>
      <c r="C8762" t="s">
        <v>123</v>
      </c>
      <c r="D8762" t="s">
        <v>56</v>
      </c>
      <c r="E8762" t="s">
        <v>8470</v>
      </c>
      <c r="I8762" t="str">
        <f>IF(COUNTIF(Products!$A$2:$A$8,C8762)=0,C8762,"")</f>
        <v/>
      </c>
      <c r="J8762">
        <f>IF(OR(E8762="Prospecting",E8762="Engaging"),VLOOKUP(C8762,Products!$A$2:$C$8,3,FALSE),0)</f>
        <v>55</v>
      </c>
    </row>
    <row r="8763" spans="1:10" x14ac:dyDescent="0.25">
      <c r="A8763" t="s">
        <v>8931</v>
      </c>
      <c r="B8763" t="s">
        <v>169</v>
      </c>
      <c r="C8763" t="s">
        <v>123</v>
      </c>
      <c r="D8763" t="s">
        <v>70</v>
      </c>
      <c r="E8763" t="s">
        <v>8470</v>
      </c>
      <c r="I8763" t="str">
        <f>IF(COUNTIF(Products!$A$2:$A$8,C8763)=0,C8763,"")</f>
        <v/>
      </c>
      <c r="J8763">
        <f>IF(OR(E8763="Prospecting",E8763="Engaging"),VLOOKUP(C8763,Products!$A$2:$C$8,3,FALSE),0)</f>
        <v>55</v>
      </c>
    </row>
    <row r="8764" spans="1:10" x14ac:dyDescent="0.25">
      <c r="A8764" t="s">
        <v>8932</v>
      </c>
      <c r="B8764" t="s">
        <v>169</v>
      </c>
      <c r="C8764" t="s">
        <v>123</v>
      </c>
      <c r="D8764" t="s">
        <v>81</v>
      </c>
      <c r="E8764" t="s">
        <v>8470</v>
      </c>
      <c r="I8764" t="str">
        <f>IF(COUNTIF(Products!$A$2:$A$8,C8764)=0,C8764,"")</f>
        <v/>
      </c>
      <c r="J8764">
        <f>IF(OR(E8764="Prospecting",E8764="Engaging"),VLOOKUP(C8764,Products!$A$2:$C$8,3,FALSE),0)</f>
        <v>55</v>
      </c>
    </row>
    <row r="8765" spans="1:10" x14ac:dyDescent="0.25">
      <c r="A8765" t="s">
        <v>8933</v>
      </c>
      <c r="B8765" t="s">
        <v>169</v>
      </c>
      <c r="C8765" t="s">
        <v>123</v>
      </c>
      <c r="D8765" t="s">
        <v>89</v>
      </c>
      <c r="E8765" t="s">
        <v>8470</v>
      </c>
      <c r="I8765" t="str">
        <f>IF(COUNTIF(Products!$A$2:$A$8,C8765)=0,C8765,"")</f>
        <v/>
      </c>
      <c r="J8765">
        <f>IF(OR(E8765="Prospecting",E8765="Engaging"),VLOOKUP(C8765,Products!$A$2:$C$8,3,FALSE),0)</f>
        <v>55</v>
      </c>
    </row>
    <row r="8766" spans="1:10" x14ac:dyDescent="0.25">
      <c r="A8766" t="s">
        <v>8934</v>
      </c>
      <c r="B8766" t="s">
        <v>169</v>
      </c>
      <c r="C8766" t="s">
        <v>123</v>
      </c>
      <c r="E8766" t="s">
        <v>8470</v>
      </c>
      <c r="I8766" t="str">
        <f>IF(COUNTIF(Products!$A$2:$A$8,C8766)=0,C8766,"")</f>
        <v/>
      </c>
      <c r="J8766">
        <f>IF(OR(E8766="Prospecting",E8766="Engaging"),VLOOKUP(C8766,Products!$A$2:$C$8,3,FALSE),0)</f>
        <v>55</v>
      </c>
    </row>
    <row r="8767" spans="1:10" x14ac:dyDescent="0.25">
      <c r="A8767" t="s">
        <v>8935</v>
      </c>
      <c r="B8767" t="s">
        <v>169</v>
      </c>
      <c r="C8767" t="s">
        <v>123</v>
      </c>
      <c r="E8767" t="s">
        <v>8470</v>
      </c>
      <c r="I8767" t="str">
        <f>IF(COUNTIF(Products!$A$2:$A$8,C8767)=0,C8767,"")</f>
        <v/>
      </c>
      <c r="J8767">
        <f>IF(OR(E8767="Prospecting",E8767="Engaging"),VLOOKUP(C8767,Products!$A$2:$C$8,3,FALSE),0)</f>
        <v>55</v>
      </c>
    </row>
    <row r="8768" spans="1:10" x14ac:dyDescent="0.25">
      <c r="A8768" t="s">
        <v>8936</v>
      </c>
      <c r="B8768" t="s">
        <v>169</v>
      </c>
      <c r="C8768" t="s">
        <v>123</v>
      </c>
      <c r="E8768" t="s">
        <v>8470</v>
      </c>
      <c r="I8768" t="str">
        <f>IF(COUNTIF(Products!$A$2:$A$8,C8768)=0,C8768,"")</f>
        <v/>
      </c>
      <c r="J8768">
        <f>IF(OR(E8768="Prospecting",E8768="Engaging"),VLOOKUP(C8768,Products!$A$2:$C$8,3,FALSE),0)</f>
        <v>55</v>
      </c>
    </row>
    <row r="8769" spans="1:10" x14ac:dyDescent="0.25">
      <c r="A8769" t="s">
        <v>8937</v>
      </c>
      <c r="B8769" t="s">
        <v>169</v>
      </c>
      <c r="C8769" t="s">
        <v>123</v>
      </c>
      <c r="E8769" t="s">
        <v>8470</v>
      </c>
      <c r="I8769" t="str">
        <f>IF(COUNTIF(Products!$A$2:$A$8,C8769)=0,C8769,"")</f>
        <v/>
      </c>
      <c r="J8769">
        <f>IF(OR(E8769="Prospecting",E8769="Engaging"),VLOOKUP(C8769,Products!$A$2:$C$8,3,FALSE),0)</f>
        <v>55</v>
      </c>
    </row>
    <row r="8770" spans="1:10" x14ac:dyDescent="0.25">
      <c r="A8770" t="s">
        <v>8938</v>
      </c>
      <c r="B8770" t="s">
        <v>169</v>
      </c>
      <c r="C8770" t="s">
        <v>123</v>
      </c>
      <c r="E8770" t="s">
        <v>8470</v>
      </c>
      <c r="I8770" t="str">
        <f>IF(COUNTIF(Products!$A$2:$A$8,C8770)=0,C8770,"")</f>
        <v/>
      </c>
      <c r="J8770">
        <f>IF(OR(E8770="Prospecting",E8770="Engaging"),VLOOKUP(C8770,Products!$A$2:$C$8,3,FALSE),0)</f>
        <v>55</v>
      </c>
    </row>
    <row r="8771" spans="1:10" x14ac:dyDescent="0.25">
      <c r="A8771" t="s">
        <v>8939</v>
      </c>
      <c r="B8771" t="s">
        <v>169</v>
      </c>
      <c r="C8771" t="s">
        <v>123</v>
      </c>
      <c r="E8771" t="s">
        <v>8470</v>
      </c>
      <c r="I8771" t="str">
        <f>IF(COUNTIF(Products!$A$2:$A$8,C8771)=0,C8771,"")</f>
        <v/>
      </c>
      <c r="J8771">
        <f>IF(OR(E8771="Prospecting",E8771="Engaging"),VLOOKUP(C8771,Products!$A$2:$C$8,3,FALSE),0)</f>
        <v>55</v>
      </c>
    </row>
    <row r="8772" spans="1:10" x14ac:dyDescent="0.25">
      <c r="A8772" t="s">
        <v>8940</v>
      </c>
      <c r="B8772" t="s">
        <v>169</v>
      </c>
      <c r="C8772" t="s">
        <v>123</v>
      </c>
      <c r="E8772" t="s">
        <v>8470</v>
      </c>
      <c r="I8772" t="str">
        <f>IF(COUNTIF(Products!$A$2:$A$8,C8772)=0,C8772,"")</f>
        <v/>
      </c>
      <c r="J8772">
        <f>IF(OR(E8772="Prospecting",E8772="Engaging"),VLOOKUP(C8772,Products!$A$2:$C$8,3,FALSE),0)</f>
        <v>55</v>
      </c>
    </row>
    <row r="8773" spans="1:10" x14ac:dyDescent="0.25">
      <c r="A8773" t="s">
        <v>8941</v>
      </c>
      <c r="B8773" t="s">
        <v>169</v>
      </c>
      <c r="C8773" t="s">
        <v>123</v>
      </c>
      <c r="E8773" t="s">
        <v>8470</v>
      </c>
      <c r="I8773" t="str">
        <f>IF(COUNTIF(Products!$A$2:$A$8,C8773)=0,C8773,"")</f>
        <v/>
      </c>
      <c r="J8773">
        <f>IF(OR(E8773="Prospecting",E8773="Engaging"),VLOOKUP(C8773,Products!$A$2:$C$8,3,FALSE),0)</f>
        <v>55</v>
      </c>
    </row>
    <row r="8774" spans="1:10" x14ac:dyDescent="0.25">
      <c r="A8774" t="s">
        <v>8942</v>
      </c>
      <c r="B8774" t="s">
        <v>169</v>
      </c>
      <c r="C8774" t="s">
        <v>123</v>
      </c>
      <c r="E8774" t="s">
        <v>8470</v>
      </c>
      <c r="I8774" t="str">
        <f>IF(COUNTIF(Products!$A$2:$A$8,C8774)=0,C8774,"")</f>
        <v/>
      </c>
      <c r="J8774">
        <f>IF(OR(E8774="Prospecting",E8774="Engaging"),VLOOKUP(C8774,Products!$A$2:$C$8,3,FALSE),0)</f>
        <v>55</v>
      </c>
    </row>
    <row r="8775" spans="1:10" x14ac:dyDescent="0.25">
      <c r="A8775" t="s">
        <v>8943</v>
      </c>
      <c r="B8775" t="s">
        <v>169</v>
      </c>
      <c r="C8775" t="s">
        <v>123</v>
      </c>
      <c r="E8775" t="s">
        <v>8470</v>
      </c>
      <c r="I8775" t="str">
        <f>IF(COUNTIF(Products!$A$2:$A$8,C8775)=0,C8775,"")</f>
        <v/>
      </c>
      <c r="J8775">
        <f>IF(OR(E8775="Prospecting",E8775="Engaging"),VLOOKUP(C8775,Products!$A$2:$C$8,3,FALSE),0)</f>
        <v>55</v>
      </c>
    </row>
    <row r="8776" spans="1:10" x14ac:dyDescent="0.25">
      <c r="A8776" t="s">
        <v>8944</v>
      </c>
      <c r="B8776" t="s">
        <v>169</v>
      </c>
      <c r="C8776" t="s">
        <v>123</v>
      </c>
      <c r="E8776" t="s">
        <v>8470</v>
      </c>
      <c r="I8776" t="str">
        <f>IF(COUNTIF(Products!$A$2:$A$8,C8776)=0,C8776,"")</f>
        <v/>
      </c>
      <c r="J8776">
        <f>IF(OR(E8776="Prospecting",E8776="Engaging"),VLOOKUP(C8776,Products!$A$2:$C$8,3,FALSE),0)</f>
        <v>55</v>
      </c>
    </row>
    <row r="8777" spans="1:10" x14ac:dyDescent="0.25">
      <c r="A8777" t="s">
        <v>8945</v>
      </c>
      <c r="B8777" t="s">
        <v>169</v>
      </c>
      <c r="C8777" t="s">
        <v>123</v>
      </c>
      <c r="E8777" t="s">
        <v>8470</v>
      </c>
      <c r="I8777" t="str">
        <f>IF(COUNTIF(Products!$A$2:$A$8,C8777)=0,C8777,"")</f>
        <v/>
      </c>
      <c r="J8777">
        <f>IF(OR(E8777="Prospecting",E8777="Engaging"),VLOOKUP(C8777,Products!$A$2:$C$8,3,FALSE),0)</f>
        <v>55</v>
      </c>
    </row>
    <row r="8778" spans="1:10" x14ac:dyDescent="0.25">
      <c r="A8778" t="s">
        <v>8946</v>
      </c>
      <c r="B8778" t="s">
        <v>169</v>
      </c>
      <c r="C8778" t="s">
        <v>123</v>
      </c>
      <c r="E8778" t="s">
        <v>8470</v>
      </c>
      <c r="I8778" t="str">
        <f>IF(COUNTIF(Products!$A$2:$A$8,C8778)=0,C8778,"")</f>
        <v/>
      </c>
      <c r="J8778">
        <f>IF(OR(E8778="Prospecting",E8778="Engaging"),VLOOKUP(C8778,Products!$A$2:$C$8,3,FALSE),0)</f>
        <v>55</v>
      </c>
    </row>
    <row r="8779" spans="1:10" x14ac:dyDescent="0.25">
      <c r="A8779" t="s">
        <v>8947</v>
      </c>
      <c r="B8779" t="s">
        <v>169</v>
      </c>
      <c r="C8779" t="s">
        <v>123</v>
      </c>
      <c r="E8779" t="s">
        <v>8470</v>
      </c>
      <c r="I8779" t="str">
        <f>IF(COUNTIF(Products!$A$2:$A$8,C8779)=0,C8779,"")</f>
        <v/>
      </c>
      <c r="J8779">
        <f>IF(OR(E8779="Prospecting",E8779="Engaging"),VLOOKUP(C8779,Products!$A$2:$C$8,3,FALSE),0)</f>
        <v>55</v>
      </c>
    </row>
    <row r="8780" spans="1:10" x14ac:dyDescent="0.25">
      <c r="A8780" t="s">
        <v>8948</v>
      </c>
      <c r="B8780" t="s">
        <v>169</v>
      </c>
      <c r="C8780" t="s">
        <v>123</v>
      </c>
      <c r="E8780" t="s">
        <v>8470</v>
      </c>
      <c r="I8780" t="str">
        <f>IF(COUNTIF(Products!$A$2:$A$8,C8780)=0,C8780,"")</f>
        <v/>
      </c>
      <c r="J8780">
        <f>IF(OR(E8780="Prospecting",E8780="Engaging"),VLOOKUP(C8780,Products!$A$2:$C$8,3,FALSE),0)</f>
        <v>55</v>
      </c>
    </row>
    <row r="8781" spans="1:10" x14ac:dyDescent="0.25">
      <c r="A8781" t="s">
        <v>8949</v>
      </c>
      <c r="B8781" t="s">
        <v>169</v>
      </c>
      <c r="C8781" t="s">
        <v>123</v>
      </c>
      <c r="E8781" t="s">
        <v>8470</v>
      </c>
      <c r="I8781" t="str">
        <f>IF(COUNTIF(Products!$A$2:$A$8,C8781)=0,C8781,"")</f>
        <v/>
      </c>
      <c r="J8781">
        <f>IF(OR(E8781="Prospecting",E8781="Engaging"),VLOOKUP(C8781,Products!$A$2:$C$8,3,FALSE),0)</f>
        <v>55</v>
      </c>
    </row>
    <row r="8782" spans="1:10" x14ac:dyDescent="0.25">
      <c r="A8782" t="s">
        <v>8950</v>
      </c>
      <c r="B8782" t="s">
        <v>169</v>
      </c>
      <c r="C8782" t="s">
        <v>123</v>
      </c>
      <c r="E8782" t="s">
        <v>8470</v>
      </c>
      <c r="I8782" t="str">
        <f>IF(COUNTIF(Products!$A$2:$A$8,C8782)=0,C8782,"")</f>
        <v/>
      </c>
      <c r="J8782">
        <f>IF(OR(E8782="Prospecting",E8782="Engaging"),VLOOKUP(C8782,Products!$A$2:$C$8,3,FALSE),0)</f>
        <v>55</v>
      </c>
    </row>
    <row r="8783" spans="1:10" x14ac:dyDescent="0.25">
      <c r="A8783" t="s">
        <v>8951</v>
      </c>
      <c r="B8783" t="s">
        <v>169</v>
      </c>
      <c r="C8783" t="s">
        <v>123</v>
      </c>
      <c r="E8783" t="s">
        <v>8470</v>
      </c>
      <c r="I8783" t="str">
        <f>IF(COUNTIF(Products!$A$2:$A$8,C8783)=0,C8783,"")</f>
        <v/>
      </c>
      <c r="J8783">
        <f>IF(OR(E8783="Prospecting",E8783="Engaging"),VLOOKUP(C8783,Products!$A$2:$C$8,3,FALSE),0)</f>
        <v>55</v>
      </c>
    </row>
    <row r="8784" spans="1:10" x14ac:dyDescent="0.25">
      <c r="A8784" t="s">
        <v>8952</v>
      </c>
      <c r="B8784" t="s">
        <v>169</v>
      </c>
      <c r="C8784" t="s">
        <v>123</v>
      </c>
      <c r="E8784" t="s">
        <v>8470</v>
      </c>
      <c r="I8784" t="str">
        <f>IF(COUNTIF(Products!$A$2:$A$8,C8784)=0,C8784,"")</f>
        <v/>
      </c>
      <c r="J8784">
        <f>IF(OR(E8784="Prospecting",E8784="Engaging"),VLOOKUP(C8784,Products!$A$2:$C$8,3,FALSE),0)</f>
        <v>55</v>
      </c>
    </row>
    <row r="8785" spans="1:10" x14ac:dyDescent="0.25">
      <c r="A8785" t="s">
        <v>8953</v>
      </c>
      <c r="B8785" t="s">
        <v>169</v>
      </c>
      <c r="C8785" t="s">
        <v>123</v>
      </c>
      <c r="E8785" t="s">
        <v>8470</v>
      </c>
      <c r="I8785" t="str">
        <f>IF(COUNTIF(Products!$A$2:$A$8,C8785)=0,C8785,"")</f>
        <v/>
      </c>
      <c r="J8785">
        <f>IF(OR(E8785="Prospecting",E8785="Engaging"),VLOOKUP(C8785,Products!$A$2:$C$8,3,FALSE),0)</f>
        <v>55</v>
      </c>
    </row>
    <row r="8786" spans="1:10" x14ac:dyDescent="0.25">
      <c r="A8786" t="s">
        <v>8954</v>
      </c>
      <c r="B8786" t="s">
        <v>169</v>
      </c>
      <c r="C8786" t="s">
        <v>123</v>
      </c>
      <c r="E8786" t="s">
        <v>8470</v>
      </c>
      <c r="I8786" t="str">
        <f>IF(COUNTIF(Products!$A$2:$A$8,C8786)=0,C8786,"")</f>
        <v/>
      </c>
      <c r="J8786">
        <f>IF(OR(E8786="Prospecting",E8786="Engaging"),VLOOKUP(C8786,Products!$A$2:$C$8,3,FALSE),0)</f>
        <v>55</v>
      </c>
    </row>
    <row r="8787" spans="1:10" x14ac:dyDescent="0.25">
      <c r="A8787" t="s">
        <v>8955</v>
      </c>
      <c r="B8787" t="s">
        <v>169</v>
      </c>
      <c r="C8787" t="s">
        <v>123</v>
      </c>
      <c r="E8787" t="s">
        <v>8470</v>
      </c>
      <c r="I8787" t="str">
        <f>IF(COUNTIF(Products!$A$2:$A$8,C8787)=0,C8787,"")</f>
        <v/>
      </c>
      <c r="J8787">
        <f>IF(OR(E8787="Prospecting",E8787="Engaging"),VLOOKUP(C8787,Products!$A$2:$C$8,3,FALSE),0)</f>
        <v>55</v>
      </c>
    </row>
    <row r="8788" spans="1:10" x14ac:dyDescent="0.25">
      <c r="A8788" t="s">
        <v>8956</v>
      </c>
      <c r="B8788" t="s">
        <v>169</v>
      </c>
      <c r="C8788" t="s">
        <v>123</v>
      </c>
      <c r="E8788" t="s">
        <v>8470</v>
      </c>
      <c r="I8788" t="str">
        <f>IF(COUNTIF(Products!$A$2:$A$8,C8788)=0,C8788,"")</f>
        <v/>
      </c>
      <c r="J8788">
        <f>IF(OR(E8788="Prospecting",E8788="Engaging"),VLOOKUP(C8788,Products!$A$2:$C$8,3,FALSE),0)</f>
        <v>55</v>
      </c>
    </row>
    <row r="8789" spans="1:10" x14ac:dyDescent="0.25">
      <c r="A8789" t="s">
        <v>8957</v>
      </c>
      <c r="B8789" t="s">
        <v>169</v>
      </c>
      <c r="C8789" t="s">
        <v>123</v>
      </c>
      <c r="E8789" t="s">
        <v>8470</v>
      </c>
      <c r="I8789" t="str">
        <f>IF(COUNTIF(Products!$A$2:$A$8,C8789)=0,C8789,"")</f>
        <v/>
      </c>
      <c r="J8789">
        <f>IF(OR(E8789="Prospecting",E8789="Engaging"),VLOOKUP(C8789,Products!$A$2:$C$8,3,FALSE),0)</f>
        <v>55</v>
      </c>
    </row>
    <row r="8790" spans="1:10" x14ac:dyDescent="0.25">
      <c r="A8790" t="s">
        <v>8958</v>
      </c>
      <c r="B8790" t="s">
        <v>169</v>
      </c>
      <c r="C8790" t="s">
        <v>123</v>
      </c>
      <c r="E8790" t="s">
        <v>8470</v>
      </c>
      <c r="I8790" t="str">
        <f>IF(COUNTIF(Products!$A$2:$A$8,C8790)=0,C8790,"")</f>
        <v/>
      </c>
      <c r="J8790">
        <f>IF(OR(E8790="Prospecting",E8790="Engaging"),VLOOKUP(C8790,Products!$A$2:$C$8,3,FALSE),0)</f>
        <v>55</v>
      </c>
    </row>
    <row r="8791" spans="1:10" x14ac:dyDescent="0.25">
      <c r="A8791" t="s">
        <v>8959</v>
      </c>
      <c r="B8791" t="s">
        <v>169</v>
      </c>
      <c r="C8791" t="s">
        <v>123</v>
      </c>
      <c r="E8791" t="s">
        <v>8470</v>
      </c>
      <c r="I8791" t="str">
        <f>IF(COUNTIF(Products!$A$2:$A$8,C8791)=0,C8791,"")</f>
        <v/>
      </c>
      <c r="J8791">
        <f>IF(OR(E8791="Prospecting",E8791="Engaging"),VLOOKUP(C8791,Products!$A$2:$C$8,3,FALSE),0)</f>
        <v>55</v>
      </c>
    </row>
    <row r="8792" spans="1:10" x14ac:dyDescent="0.25">
      <c r="A8792" t="s">
        <v>8960</v>
      </c>
      <c r="B8792" t="s">
        <v>169</v>
      </c>
      <c r="C8792" t="s">
        <v>125</v>
      </c>
      <c r="D8792" t="s">
        <v>48</v>
      </c>
      <c r="E8792" t="s">
        <v>8470</v>
      </c>
      <c r="I8792" t="str">
        <f>IF(COUNTIF(Products!$A$2:$A$8,C8792)=0,C8792,"")</f>
        <v/>
      </c>
      <c r="J8792">
        <f>IF(OR(E8792="Prospecting",E8792="Engaging"),VLOOKUP(C8792,Products!$A$2:$C$8,3,FALSE),0)</f>
        <v>3393</v>
      </c>
    </row>
    <row r="8793" spans="1:10" x14ac:dyDescent="0.25">
      <c r="A8793" t="s">
        <v>8961</v>
      </c>
      <c r="B8793" t="s">
        <v>169</v>
      </c>
      <c r="C8793" t="s">
        <v>125</v>
      </c>
      <c r="D8793" t="s">
        <v>92</v>
      </c>
      <c r="E8793" t="s">
        <v>8470</v>
      </c>
      <c r="I8793" t="str">
        <f>IF(COUNTIF(Products!$A$2:$A$8,C8793)=0,C8793,"")</f>
        <v/>
      </c>
      <c r="J8793">
        <f>IF(OR(E8793="Prospecting",E8793="Engaging"),VLOOKUP(C8793,Products!$A$2:$C$8,3,FALSE),0)</f>
        <v>3393</v>
      </c>
    </row>
    <row r="8794" spans="1:10" x14ac:dyDescent="0.25">
      <c r="A8794" t="s">
        <v>8962</v>
      </c>
      <c r="B8794" t="s">
        <v>169</v>
      </c>
      <c r="C8794" t="s">
        <v>125</v>
      </c>
      <c r="E8794" t="s">
        <v>8470</v>
      </c>
      <c r="I8794" t="str">
        <f>IF(COUNTIF(Products!$A$2:$A$8,C8794)=0,C8794,"")</f>
        <v/>
      </c>
      <c r="J8794">
        <f>IF(OR(E8794="Prospecting",E8794="Engaging"),VLOOKUP(C8794,Products!$A$2:$C$8,3,FALSE),0)</f>
        <v>3393</v>
      </c>
    </row>
    <row r="8795" spans="1:10" x14ac:dyDescent="0.25">
      <c r="A8795" t="s">
        <v>8963</v>
      </c>
      <c r="B8795" t="s">
        <v>169</v>
      </c>
      <c r="C8795" t="s">
        <v>125</v>
      </c>
      <c r="E8795" t="s">
        <v>8470</v>
      </c>
      <c r="I8795" t="str">
        <f>IF(COUNTIF(Products!$A$2:$A$8,C8795)=0,C8795,"")</f>
        <v/>
      </c>
      <c r="J8795">
        <f>IF(OR(E8795="Prospecting",E8795="Engaging"),VLOOKUP(C8795,Products!$A$2:$C$8,3,FALSE),0)</f>
        <v>3393</v>
      </c>
    </row>
    <row r="8796" spans="1:10" x14ac:dyDescent="0.25">
      <c r="A8796" t="s">
        <v>8964</v>
      </c>
      <c r="B8796" t="s">
        <v>169</v>
      </c>
      <c r="C8796" t="s">
        <v>125</v>
      </c>
      <c r="E8796" t="s">
        <v>8470</v>
      </c>
      <c r="I8796" t="str">
        <f>IF(COUNTIF(Products!$A$2:$A$8,C8796)=0,C8796,"")</f>
        <v/>
      </c>
      <c r="J8796">
        <f>IF(OR(E8796="Prospecting",E8796="Engaging"),VLOOKUP(C8796,Products!$A$2:$C$8,3,FALSE),0)</f>
        <v>3393</v>
      </c>
    </row>
    <row r="8797" spans="1:10" x14ac:dyDescent="0.25">
      <c r="A8797" t="s">
        <v>8965</v>
      </c>
      <c r="B8797" t="s">
        <v>169</v>
      </c>
      <c r="C8797" t="s">
        <v>125</v>
      </c>
      <c r="E8797" t="s">
        <v>8470</v>
      </c>
      <c r="I8797" t="str">
        <f>IF(COUNTIF(Products!$A$2:$A$8,C8797)=0,C8797,"")</f>
        <v/>
      </c>
      <c r="J8797">
        <f>IF(OR(E8797="Prospecting",E8797="Engaging"),VLOOKUP(C8797,Products!$A$2:$C$8,3,FALSE),0)</f>
        <v>3393</v>
      </c>
    </row>
    <row r="8798" spans="1:10" x14ac:dyDescent="0.25">
      <c r="A8798" t="s">
        <v>8966</v>
      </c>
      <c r="B8798" t="s">
        <v>169</v>
      </c>
      <c r="C8798" t="s">
        <v>125</v>
      </c>
      <c r="E8798" t="s">
        <v>8470</v>
      </c>
      <c r="I8798" t="str">
        <f>IF(COUNTIF(Products!$A$2:$A$8,C8798)=0,C8798,"")</f>
        <v/>
      </c>
      <c r="J8798">
        <f>IF(OR(E8798="Prospecting",E8798="Engaging"),VLOOKUP(C8798,Products!$A$2:$C$8,3,FALSE),0)</f>
        <v>3393</v>
      </c>
    </row>
    <row r="8799" spans="1:10" x14ac:dyDescent="0.25">
      <c r="A8799" t="s">
        <v>8967</v>
      </c>
      <c r="B8799" t="s">
        <v>169</v>
      </c>
      <c r="C8799" t="s">
        <v>125</v>
      </c>
      <c r="E8799" t="s">
        <v>8470</v>
      </c>
      <c r="I8799" t="str">
        <f>IF(COUNTIF(Products!$A$2:$A$8,C8799)=0,C8799,"")</f>
        <v/>
      </c>
      <c r="J8799">
        <f>IF(OR(E8799="Prospecting",E8799="Engaging"),VLOOKUP(C8799,Products!$A$2:$C$8,3,FALSE),0)</f>
        <v>3393</v>
      </c>
    </row>
    <row r="8800" spans="1:10" x14ac:dyDescent="0.25">
      <c r="A8800" t="s">
        <v>8968</v>
      </c>
      <c r="B8800" t="s">
        <v>169</v>
      </c>
      <c r="C8800" t="s">
        <v>125</v>
      </c>
      <c r="E8800" t="s">
        <v>8470</v>
      </c>
      <c r="I8800" t="str">
        <f>IF(COUNTIF(Products!$A$2:$A$8,C8800)=0,C8800,"")</f>
        <v/>
      </c>
      <c r="J8800">
        <f>IF(OR(E8800="Prospecting",E8800="Engaging"),VLOOKUP(C8800,Products!$A$2:$C$8,3,FALSE),0)</f>
        <v>3393</v>
      </c>
    </row>
    <row r="8801" spans="1:10" x14ac:dyDescent="0.25">
      <c r="A8801" t="s">
        <v>8969</v>
      </c>
      <c r="B8801" t="s">
        <v>169</v>
      </c>
      <c r="C8801" t="s">
        <v>125</v>
      </c>
      <c r="E8801" t="s">
        <v>8470</v>
      </c>
      <c r="I8801" t="str">
        <f>IF(COUNTIF(Products!$A$2:$A$8,C8801)=0,C8801,"")</f>
        <v/>
      </c>
      <c r="J8801">
        <f>IF(OR(E8801="Prospecting",E8801="Engaging"),VLOOKUP(C8801,Products!$A$2:$C$8,3,FALSE),0)</f>
        <v>3393</v>
      </c>
    </row>
  </sheetData>
  <autoFilter ref="A1:I8801" xr:uid="{A6FFFF9A-E105-4BB5-831A-3726C9FCCF9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779BE-C77A-4461-8D62-B30689350F50}">
  <dimension ref="A1:G86"/>
  <sheetViews>
    <sheetView workbookViewId="0">
      <selection activeCell="I1" sqref="I1:I10"/>
    </sheetView>
  </sheetViews>
  <sheetFormatPr defaultRowHeight="15" x14ac:dyDescent="0.25"/>
  <cols>
    <col min="1" max="1" width="28.42578125" bestFit="1" customWidth="1"/>
    <col min="2" max="2" width="19.42578125" bestFit="1" customWidth="1"/>
    <col min="3" max="3" width="16.28515625" bestFit="1" customWidth="1"/>
    <col min="4" max="4" width="9" bestFit="1" customWidth="1"/>
    <col min="5" max="5" width="10.85546875" bestFit="1" customWidth="1"/>
    <col min="6" max="6" width="14.42578125" bestFit="1" customWidth="1"/>
    <col min="7" max="7" width="17.28515625" bestFit="1" customWidth="1"/>
    <col min="9" max="9" width="19.28515625" bestFit="1" customWidth="1"/>
    <col min="10" max="10" width="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3">
        <v>1996</v>
      </c>
      <c r="D2">
        <v>1100.04</v>
      </c>
      <c r="E2">
        <v>2822</v>
      </c>
      <c r="F2" t="s">
        <v>9</v>
      </c>
    </row>
    <row r="3" spans="1:7" x14ac:dyDescent="0.25">
      <c r="A3" t="s">
        <v>10</v>
      </c>
      <c r="B3" t="s">
        <v>11</v>
      </c>
      <c r="C3">
        <v>1999</v>
      </c>
      <c r="D3">
        <v>251.41</v>
      </c>
      <c r="E3">
        <v>495</v>
      </c>
      <c r="F3" t="s">
        <v>9</v>
      </c>
    </row>
    <row r="4" spans="1:7" x14ac:dyDescent="0.25">
      <c r="A4" t="s">
        <v>12</v>
      </c>
      <c r="B4" t="s">
        <v>11</v>
      </c>
      <c r="C4">
        <v>1986</v>
      </c>
      <c r="D4">
        <v>647.17999999999995</v>
      </c>
      <c r="E4">
        <v>1185</v>
      </c>
      <c r="F4" t="s">
        <v>13</v>
      </c>
    </row>
    <row r="5" spans="1:7" x14ac:dyDescent="0.25">
      <c r="A5" t="s">
        <v>14</v>
      </c>
      <c r="B5" t="s">
        <v>11</v>
      </c>
      <c r="C5">
        <v>2012</v>
      </c>
      <c r="D5">
        <v>587.34</v>
      </c>
      <c r="E5">
        <v>1356</v>
      </c>
      <c r="F5" t="s">
        <v>15</v>
      </c>
    </row>
    <row r="6" spans="1:7" x14ac:dyDescent="0.25">
      <c r="A6" t="s">
        <v>16</v>
      </c>
      <c r="B6" t="s">
        <v>11</v>
      </c>
      <c r="C6">
        <v>1991</v>
      </c>
      <c r="D6">
        <v>326.82</v>
      </c>
      <c r="E6">
        <v>1016</v>
      </c>
      <c r="F6" t="s">
        <v>9</v>
      </c>
    </row>
    <row r="7" spans="1:7" x14ac:dyDescent="0.25">
      <c r="A7" t="s">
        <v>17</v>
      </c>
      <c r="B7" t="s">
        <v>18</v>
      </c>
      <c r="C7">
        <v>2009</v>
      </c>
      <c r="D7">
        <v>497.11</v>
      </c>
      <c r="E7">
        <v>1588</v>
      </c>
      <c r="F7" t="s">
        <v>9</v>
      </c>
    </row>
    <row r="8" spans="1:7" x14ac:dyDescent="0.25">
      <c r="A8" t="s">
        <v>19</v>
      </c>
      <c r="B8" t="s">
        <v>8</v>
      </c>
      <c r="C8">
        <v>1993</v>
      </c>
      <c r="D8">
        <v>1242.32</v>
      </c>
      <c r="E8">
        <v>3027</v>
      </c>
      <c r="F8" t="s">
        <v>9</v>
      </c>
      <c r="G8" t="s">
        <v>7</v>
      </c>
    </row>
    <row r="9" spans="1:7" x14ac:dyDescent="0.25">
      <c r="A9" t="s">
        <v>20</v>
      </c>
      <c r="B9" t="s">
        <v>21</v>
      </c>
      <c r="C9">
        <v>2002</v>
      </c>
      <c r="D9">
        <v>987.39</v>
      </c>
      <c r="E9">
        <v>2253</v>
      </c>
      <c r="F9" t="s">
        <v>9</v>
      </c>
    </row>
    <row r="10" spans="1:7" x14ac:dyDescent="0.25">
      <c r="A10" t="s">
        <v>22</v>
      </c>
      <c r="B10" t="s">
        <v>18</v>
      </c>
      <c r="C10">
        <v>2001</v>
      </c>
      <c r="D10">
        <v>718.62</v>
      </c>
      <c r="E10">
        <v>2448</v>
      </c>
      <c r="F10" t="s">
        <v>9</v>
      </c>
    </row>
    <row r="11" spans="1:7" x14ac:dyDescent="0.25">
      <c r="A11" t="s">
        <v>23</v>
      </c>
      <c r="B11" t="s">
        <v>24</v>
      </c>
      <c r="C11">
        <v>1993</v>
      </c>
      <c r="D11">
        <v>4269.8999999999996</v>
      </c>
      <c r="E11">
        <v>6472</v>
      </c>
      <c r="F11" t="s">
        <v>9</v>
      </c>
      <c r="G11" t="s">
        <v>25</v>
      </c>
    </row>
    <row r="12" spans="1:7" x14ac:dyDescent="0.25">
      <c r="A12" t="s">
        <v>26</v>
      </c>
      <c r="B12" t="s">
        <v>21</v>
      </c>
      <c r="C12">
        <v>1998</v>
      </c>
      <c r="D12">
        <v>2714.9</v>
      </c>
      <c r="E12">
        <v>2641</v>
      </c>
      <c r="F12" t="s">
        <v>9</v>
      </c>
      <c r="G12" t="s">
        <v>7</v>
      </c>
    </row>
    <row r="13" spans="1:7" x14ac:dyDescent="0.25">
      <c r="A13" t="s">
        <v>27</v>
      </c>
      <c r="B13" t="s">
        <v>11</v>
      </c>
      <c r="C13">
        <v>2017</v>
      </c>
      <c r="D13">
        <v>4.54</v>
      </c>
      <c r="E13">
        <v>9</v>
      </c>
      <c r="F13" t="s">
        <v>9</v>
      </c>
    </row>
    <row r="14" spans="1:7" x14ac:dyDescent="0.25">
      <c r="A14" t="s">
        <v>28</v>
      </c>
      <c r="B14" t="s">
        <v>8</v>
      </c>
      <c r="C14">
        <v>2005</v>
      </c>
      <c r="D14">
        <v>1520.66</v>
      </c>
      <c r="E14">
        <v>1806</v>
      </c>
      <c r="F14" t="s">
        <v>9</v>
      </c>
    </row>
    <row r="15" spans="1:7" x14ac:dyDescent="0.25">
      <c r="A15" t="s">
        <v>29</v>
      </c>
      <c r="B15" t="s">
        <v>21</v>
      </c>
      <c r="C15">
        <v>2013</v>
      </c>
      <c r="D15">
        <v>98.79</v>
      </c>
      <c r="E15">
        <v>96</v>
      </c>
      <c r="F15" t="s">
        <v>9</v>
      </c>
      <c r="G15" t="s">
        <v>20</v>
      </c>
    </row>
    <row r="16" spans="1:7" x14ac:dyDescent="0.25">
      <c r="A16" t="s">
        <v>30</v>
      </c>
      <c r="B16" t="s">
        <v>31</v>
      </c>
      <c r="C16">
        <v>1995</v>
      </c>
      <c r="D16">
        <v>2173.98</v>
      </c>
      <c r="E16">
        <v>2928</v>
      </c>
      <c r="F16" t="s">
        <v>9</v>
      </c>
      <c r="G16" t="s">
        <v>32</v>
      </c>
    </row>
    <row r="17" spans="1:7" x14ac:dyDescent="0.25">
      <c r="A17" t="s">
        <v>33</v>
      </c>
      <c r="B17" t="s">
        <v>24</v>
      </c>
      <c r="C17">
        <v>1998</v>
      </c>
      <c r="D17">
        <v>217.87</v>
      </c>
      <c r="E17">
        <v>551</v>
      </c>
      <c r="F17" t="s">
        <v>9</v>
      </c>
    </row>
    <row r="18" spans="1:7" x14ac:dyDescent="0.25">
      <c r="A18" t="s">
        <v>34</v>
      </c>
      <c r="B18" t="s">
        <v>8</v>
      </c>
      <c r="C18">
        <v>2010</v>
      </c>
      <c r="D18">
        <v>587.72</v>
      </c>
      <c r="E18">
        <v>1501</v>
      </c>
      <c r="F18" t="s">
        <v>9</v>
      </c>
    </row>
    <row r="19" spans="1:7" x14ac:dyDescent="0.25">
      <c r="A19" t="s">
        <v>35</v>
      </c>
      <c r="B19" t="s">
        <v>8</v>
      </c>
      <c r="C19">
        <v>1992</v>
      </c>
      <c r="D19">
        <v>1712.68</v>
      </c>
      <c r="E19">
        <v>3194</v>
      </c>
      <c r="F19" t="s">
        <v>9</v>
      </c>
      <c r="G19" t="s">
        <v>7</v>
      </c>
    </row>
    <row r="20" spans="1:7" x14ac:dyDescent="0.25">
      <c r="A20" t="s">
        <v>36</v>
      </c>
      <c r="B20" t="s">
        <v>21</v>
      </c>
      <c r="C20">
        <v>1982</v>
      </c>
      <c r="D20">
        <v>4618</v>
      </c>
      <c r="E20">
        <v>10083</v>
      </c>
      <c r="F20" t="s">
        <v>9</v>
      </c>
    </row>
    <row r="21" spans="1:7" x14ac:dyDescent="0.25">
      <c r="A21" t="s">
        <v>37</v>
      </c>
      <c r="B21" t="s">
        <v>31</v>
      </c>
      <c r="C21">
        <v>1999</v>
      </c>
      <c r="D21">
        <v>1197.44</v>
      </c>
      <c r="E21">
        <v>2570</v>
      </c>
      <c r="F21" t="s">
        <v>9</v>
      </c>
    </row>
    <row r="22" spans="1:7" x14ac:dyDescent="0.25">
      <c r="A22" t="s">
        <v>38</v>
      </c>
      <c r="B22" t="s">
        <v>18</v>
      </c>
      <c r="C22">
        <v>1990</v>
      </c>
      <c r="D22">
        <v>4968.91</v>
      </c>
      <c r="E22">
        <v>7523</v>
      </c>
      <c r="F22" t="s">
        <v>9</v>
      </c>
    </row>
    <row r="23" spans="1:7" x14ac:dyDescent="0.25">
      <c r="A23" t="s">
        <v>39</v>
      </c>
      <c r="B23" t="s">
        <v>40</v>
      </c>
      <c r="C23">
        <v>1995</v>
      </c>
      <c r="D23">
        <v>1825.82</v>
      </c>
      <c r="E23">
        <v>5595</v>
      </c>
      <c r="F23" t="s">
        <v>9</v>
      </c>
      <c r="G23" t="s">
        <v>41</v>
      </c>
    </row>
    <row r="24" spans="1:7" x14ac:dyDescent="0.25">
      <c r="A24" t="s">
        <v>42</v>
      </c>
      <c r="B24" t="s">
        <v>43</v>
      </c>
      <c r="C24">
        <v>2006</v>
      </c>
      <c r="D24">
        <v>1102.43</v>
      </c>
      <c r="E24">
        <v>1759</v>
      </c>
      <c r="F24" t="s">
        <v>9</v>
      </c>
    </row>
    <row r="25" spans="1:7" x14ac:dyDescent="0.25">
      <c r="A25" t="s">
        <v>44</v>
      </c>
      <c r="B25" t="s">
        <v>45</v>
      </c>
      <c r="C25">
        <v>1988</v>
      </c>
      <c r="D25">
        <v>2059.9</v>
      </c>
      <c r="E25">
        <v>3644</v>
      </c>
      <c r="F25" t="s">
        <v>9</v>
      </c>
    </row>
    <row r="26" spans="1:7" x14ac:dyDescent="0.25">
      <c r="A26" t="s">
        <v>46</v>
      </c>
      <c r="B26" t="s">
        <v>43</v>
      </c>
      <c r="C26">
        <v>1991</v>
      </c>
      <c r="D26">
        <v>2819.5</v>
      </c>
      <c r="E26">
        <v>7227</v>
      </c>
      <c r="F26" t="s">
        <v>9</v>
      </c>
      <c r="G26" t="s">
        <v>47</v>
      </c>
    </row>
    <row r="27" spans="1:7" x14ac:dyDescent="0.25">
      <c r="A27" t="s">
        <v>48</v>
      </c>
      <c r="B27" t="s">
        <v>18</v>
      </c>
      <c r="C27">
        <v>1995</v>
      </c>
      <c r="D27">
        <v>5158.71</v>
      </c>
      <c r="E27">
        <v>17479</v>
      </c>
      <c r="F27" t="s">
        <v>49</v>
      </c>
    </row>
    <row r="28" spans="1:7" x14ac:dyDescent="0.25">
      <c r="A28" t="s">
        <v>50</v>
      </c>
      <c r="B28" t="s">
        <v>18</v>
      </c>
      <c r="C28">
        <v>1990</v>
      </c>
      <c r="D28">
        <v>2520.83</v>
      </c>
      <c r="E28">
        <v>3502</v>
      </c>
      <c r="F28" t="s">
        <v>9</v>
      </c>
    </row>
    <row r="29" spans="1:7" x14ac:dyDescent="0.25">
      <c r="A29" t="s">
        <v>51</v>
      </c>
      <c r="B29" t="s">
        <v>18</v>
      </c>
      <c r="C29">
        <v>2007</v>
      </c>
      <c r="D29">
        <v>894.33</v>
      </c>
      <c r="E29">
        <v>1635</v>
      </c>
      <c r="F29" t="s">
        <v>52</v>
      </c>
    </row>
    <row r="30" spans="1:7" x14ac:dyDescent="0.25">
      <c r="A30" t="s">
        <v>53</v>
      </c>
      <c r="B30" t="s">
        <v>8</v>
      </c>
      <c r="C30">
        <v>2000</v>
      </c>
      <c r="D30">
        <v>1223.72</v>
      </c>
      <c r="E30">
        <v>2497</v>
      </c>
      <c r="F30" t="s">
        <v>54</v>
      </c>
    </row>
    <row r="31" spans="1:7" x14ac:dyDescent="0.25">
      <c r="A31" t="s">
        <v>55</v>
      </c>
      <c r="B31" t="s">
        <v>40</v>
      </c>
      <c r="C31">
        <v>2007</v>
      </c>
      <c r="D31">
        <v>86.68</v>
      </c>
      <c r="E31">
        <v>187</v>
      </c>
      <c r="F31" t="s">
        <v>9</v>
      </c>
      <c r="G31" t="s">
        <v>41</v>
      </c>
    </row>
    <row r="32" spans="1:7" x14ac:dyDescent="0.25">
      <c r="A32" t="s">
        <v>47</v>
      </c>
      <c r="B32" t="s">
        <v>43</v>
      </c>
      <c r="C32">
        <v>2008</v>
      </c>
      <c r="D32">
        <v>52.5</v>
      </c>
      <c r="E32">
        <v>165</v>
      </c>
      <c r="F32" t="s">
        <v>9</v>
      </c>
    </row>
    <row r="33" spans="1:7" x14ac:dyDescent="0.25">
      <c r="A33" t="s">
        <v>56</v>
      </c>
      <c r="B33" t="s">
        <v>31</v>
      </c>
      <c r="C33">
        <v>2000</v>
      </c>
      <c r="D33">
        <v>2952.73</v>
      </c>
      <c r="E33">
        <v>5107</v>
      </c>
      <c r="F33" t="s">
        <v>9</v>
      </c>
    </row>
    <row r="34" spans="1:7" x14ac:dyDescent="0.25">
      <c r="A34" t="s">
        <v>57</v>
      </c>
      <c r="B34" t="s">
        <v>58</v>
      </c>
      <c r="C34">
        <v>2003</v>
      </c>
      <c r="D34">
        <v>692.19</v>
      </c>
      <c r="E34">
        <v>1922</v>
      </c>
      <c r="F34" t="s">
        <v>9</v>
      </c>
    </row>
    <row r="35" spans="1:7" x14ac:dyDescent="0.25">
      <c r="A35" t="s">
        <v>59</v>
      </c>
      <c r="B35" t="s">
        <v>18</v>
      </c>
      <c r="C35">
        <v>2003</v>
      </c>
      <c r="D35">
        <v>223.8</v>
      </c>
      <c r="E35">
        <v>299</v>
      </c>
      <c r="F35" t="s">
        <v>9</v>
      </c>
    </row>
    <row r="36" spans="1:7" x14ac:dyDescent="0.25">
      <c r="A36" t="s">
        <v>60</v>
      </c>
      <c r="B36" t="s">
        <v>58</v>
      </c>
      <c r="C36">
        <v>1982</v>
      </c>
      <c r="D36">
        <v>792.46</v>
      </c>
      <c r="E36">
        <v>1299</v>
      </c>
      <c r="F36" t="s">
        <v>9</v>
      </c>
    </row>
    <row r="37" spans="1:7" x14ac:dyDescent="0.25">
      <c r="A37" t="s">
        <v>61</v>
      </c>
      <c r="B37" t="s">
        <v>8</v>
      </c>
      <c r="C37">
        <v>1997</v>
      </c>
      <c r="D37">
        <v>8170.38</v>
      </c>
      <c r="E37">
        <v>16499</v>
      </c>
      <c r="F37" t="s">
        <v>62</v>
      </c>
    </row>
    <row r="38" spans="1:7" x14ac:dyDescent="0.25">
      <c r="A38" t="s">
        <v>63</v>
      </c>
      <c r="B38" t="s">
        <v>40</v>
      </c>
      <c r="C38">
        <v>1994</v>
      </c>
      <c r="D38">
        <v>6395.05</v>
      </c>
      <c r="E38">
        <v>20275</v>
      </c>
      <c r="F38" t="s">
        <v>9</v>
      </c>
    </row>
    <row r="39" spans="1:7" x14ac:dyDescent="0.25">
      <c r="A39" t="s">
        <v>32</v>
      </c>
      <c r="B39" t="s">
        <v>31</v>
      </c>
      <c r="C39">
        <v>1986</v>
      </c>
      <c r="D39">
        <v>2403.58</v>
      </c>
      <c r="E39">
        <v>8801</v>
      </c>
      <c r="F39" t="s">
        <v>9</v>
      </c>
    </row>
    <row r="40" spans="1:7" x14ac:dyDescent="0.25">
      <c r="A40" t="s">
        <v>64</v>
      </c>
      <c r="B40" t="s">
        <v>11</v>
      </c>
      <c r="C40">
        <v>2002</v>
      </c>
      <c r="D40">
        <v>3178.24</v>
      </c>
      <c r="E40">
        <v>4540</v>
      </c>
      <c r="F40" t="s">
        <v>9</v>
      </c>
    </row>
    <row r="41" spans="1:7" x14ac:dyDescent="0.25">
      <c r="A41" t="s">
        <v>65</v>
      </c>
      <c r="B41" t="s">
        <v>8</v>
      </c>
      <c r="C41">
        <v>2011</v>
      </c>
      <c r="D41">
        <v>527.11</v>
      </c>
      <c r="E41">
        <v>1428</v>
      </c>
      <c r="F41" t="s">
        <v>9</v>
      </c>
      <c r="G41" t="s">
        <v>7</v>
      </c>
    </row>
    <row r="42" spans="1:7" x14ac:dyDescent="0.25">
      <c r="A42" t="s">
        <v>66</v>
      </c>
      <c r="B42" t="s">
        <v>18</v>
      </c>
      <c r="C42">
        <v>1989</v>
      </c>
      <c r="D42">
        <v>1388.67</v>
      </c>
      <c r="E42">
        <v>3583</v>
      </c>
      <c r="F42" t="s">
        <v>9</v>
      </c>
    </row>
    <row r="43" spans="1:7" x14ac:dyDescent="0.25">
      <c r="A43" t="s">
        <v>67</v>
      </c>
      <c r="B43" t="s">
        <v>21</v>
      </c>
      <c r="C43">
        <v>1982</v>
      </c>
      <c r="D43">
        <v>11698.03</v>
      </c>
      <c r="E43">
        <v>34288</v>
      </c>
      <c r="F43" t="s">
        <v>9</v>
      </c>
    </row>
    <row r="44" spans="1:7" x14ac:dyDescent="0.25">
      <c r="A44" t="s">
        <v>68</v>
      </c>
      <c r="B44" t="s">
        <v>18</v>
      </c>
      <c r="C44">
        <v>2004</v>
      </c>
      <c r="D44">
        <v>702.72</v>
      </c>
      <c r="E44">
        <v>1831</v>
      </c>
      <c r="F44" t="s">
        <v>9</v>
      </c>
    </row>
    <row r="45" spans="1:7" x14ac:dyDescent="0.25">
      <c r="A45" t="s">
        <v>69</v>
      </c>
      <c r="B45" t="s">
        <v>8</v>
      </c>
      <c r="C45">
        <v>1980</v>
      </c>
      <c r="D45">
        <v>7708.38</v>
      </c>
      <c r="E45">
        <v>13756</v>
      </c>
      <c r="F45" t="s">
        <v>9</v>
      </c>
    </row>
    <row r="46" spans="1:7" x14ac:dyDescent="0.25">
      <c r="A46" t="s">
        <v>70</v>
      </c>
      <c r="B46" t="s">
        <v>31</v>
      </c>
      <c r="C46">
        <v>1985</v>
      </c>
      <c r="D46">
        <v>375.43</v>
      </c>
      <c r="E46">
        <v>1190</v>
      </c>
      <c r="F46" t="s">
        <v>9</v>
      </c>
    </row>
    <row r="47" spans="1:7" x14ac:dyDescent="0.25">
      <c r="A47" t="s">
        <v>71</v>
      </c>
      <c r="B47" t="s">
        <v>11</v>
      </c>
      <c r="C47">
        <v>1985</v>
      </c>
      <c r="D47">
        <v>2741.37</v>
      </c>
      <c r="E47">
        <v>9226</v>
      </c>
      <c r="F47" t="s">
        <v>9</v>
      </c>
    </row>
    <row r="48" spans="1:7" x14ac:dyDescent="0.25">
      <c r="A48" t="s">
        <v>72</v>
      </c>
      <c r="B48" t="s">
        <v>11</v>
      </c>
      <c r="C48">
        <v>2004</v>
      </c>
      <c r="D48">
        <v>1618.89</v>
      </c>
      <c r="E48">
        <v>3889</v>
      </c>
      <c r="F48" t="s">
        <v>9</v>
      </c>
    </row>
    <row r="49" spans="1:7" x14ac:dyDescent="0.25">
      <c r="A49" t="s">
        <v>25</v>
      </c>
      <c r="B49" t="s">
        <v>24</v>
      </c>
      <c r="C49">
        <v>1989</v>
      </c>
      <c r="D49">
        <v>665.06</v>
      </c>
      <c r="E49">
        <v>1095</v>
      </c>
      <c r="F49" t="s">
        <v>9</v>
      </c>
    </row>
    <row r="50" spans="1:7" x14ac:dyDescent="0.25">
      <c r="A50" t="s">
        <v>73</v>
      </c>
      <c r="B50" t="s">
        <v>31</v>
      </c>
      <c r="C50">
        <v>1984</v>
      </c>
      <c r="D50">
        <v>3027.46</v>
      </c>
      <c r="E50">
        <v>9516</v>
      </c>
      <c r="F50" t="s">
        <v>74</v>
      </c>
    </row>
    <row r="51" spans="1:7" x14ac:dyDescent="0.25">
      <c r="A51" t="s">
        <v>75</v>
      </c>
      <c r="B51" t="s">
        <v>58</v>
      </c>
      <c r="C51">
        <v>1987</v>
      </c>
      <c r="D51">
        <v>405.59</v>
      </c>
      <c r="E51">
        <v>1179</v>
      </c>
      <c r="F51" t="s">
        <v>76</v>
      </c>
      <c r="G51" t="s">
        <v>77</v>
      </c>
    </row>
    <row r="52" spans="1:7" x14ac:dyDescent="0.25">
      <c r="A52" t="s">
        <v>78</v>
      </c>
      <c r="B52" t="s">
        <v>58</v>
      </c>
      <c r="C52">
        <v>1991</v>
      </c>
      <c r="D52">
        <v>1012.72</v>
      </c>
      <c r="E52">
        <v>3492</v>
      </c>
      <c r="F52" t="s">
        <v>79</v>
      </c>
    </row>
    <row r="53" spans="1:7" x14ac:dyDescent="0.25">
      <c r="A53" t="s">
        <v>80</v>
      </c>
      <c r="B53" t="s">
        <v>45</v>
      </c>
      <c r="C53">
        <v>1997</v>
      </c>
      <c r="D53">
        <v>882.12</v>
      </c>
      <c r="E53">
        <v>2769</v>
      </c>
      <c r="F53" t="s">
        <v>9</v>
      </c>
    </row>
    <row r="54" spans="1:7" x14ac:dyDescent="0.25">
      <c r="A54" t="s">
        <v>81</v>
      </c>
      <c r="B54" t="s">
        <v>43</v>
      </c>
      <c r="C54">
        <v>1994</v>
      </c>
      <c r="D54">
        <v>355.23</v>
      </c>
      <c r="E54">
        <v>853</v>
      </c>
      <c r="F54" t="s">
        <v>9</v>
      </c>
    </row>
    <row r="55" spans="1:7" x14ac:dyDescent="0.25">
      <c r="A55" t="s">
        <v>82</v>
      </c>
      <c r="B55" t="s">
        <v>18</v>
      </c>
      <c r="C55">
        <v>2001</v>
      </c>
      <c r="D55">
        <v>2437.85</v>
      </c>
      <c r="E55">
        <v>4874</v>
      </c>
      <c r="F55" t="s">
        <v>9</v>
      </c>
    </row>
    <row r="56" spans="1:7" x14ac:dyDescent="0.25">
      <c r="A56" t="s">
        <v>83</v>
      </c>
      <c r="B56" t="s">
        <v>24</v>
      </c>
      <c r="C56">
        <v>2002</v>
      </c>
      <c r="D56">
        <v>349.81</v>
      </c>
      <c r="E56">
        <v>315</v>
      </c>
      <c r="F56" t="s">
        <v>9</v>
      </c>
    </row>
    <row r="57" spans="1:7" x14ac:dyDescent="0.25">
      <c r="A57" t="s">
        <v>84</v>
      </c>
      <c r="B57" t="s">
        <v>18</v>
      </c>
      <c r="C57">
        <v>2003</v>
      </c>
      <c r="D57">
        <v>1419.98</v>
      </c>
      <c r="E57">
        <v>4018</v>
      </c>
      <c r="F57" t="s">
        <v>9</v>
      </c>
    </row>
    <row r="58" spans="1:7" x14ac:dyDescent="0.25">
      <c r="A58" t="s">
        <v>85</v>
      </c>
      <c r="B58" t="s">
        <v>8</v>
      </c>
      <c r="C58">
        <v>1987</v>
      </c>
      <c r="D58">
        <v>2938.67</v>
      </c>
      <c r="E58">
        <v>8775</v>
      </c>
      <c r="F58" t="s">
        <v>86</v>
      </c>
    </row>
    <row r="59" spans="1:7" x14ac:dyDescent="0.25">
      <c r="A59" t="s">
        <v>87</v>
      </c>
      <c r="B59" t="s">
        <v>40</v>
      </c>
      <c r="C59">
        <v>1994</v>
      </c>
      <c r="D59">
        <v>1188.42</v>
      </c>
      <c r="E59">
        <v>3015</v>
      </c>
      <c r="F59" t="s">
        <v>9</v>
      </c>
    </row>
    <row r="60" spans="1:7" x14ac:dyDescent="0.25">
      <c r="A60" t="s">
        <v>88</v>
      </c>
      <c r="B60" t="s">
        <v>11</v>
      </c>
      <c r="C60">
        <v>1992</v>
      </c>
      <c r="D60">
        <v>3922.42</v>
      </c>
      <c r="E60">
        <v>6837</v>
      </c>
      <c r="F60" t="s">
        <v>9</v>
      </c>
    </row>
    <row r="61" spans="1:7" x14ac:dyDescent="0.25">
      <c r="A61" t="s">
        <v>89</v>
      </c>
      <c r="B61" t="s">
        <v>8</v>
      </c>
      <c r="C61">
        <v>1983</v>
      </c>
      <c r="D61">
        <v>1008.06</v>
      </c>
      <c r="E61">
        <v>1238</v>
      </c>
      <c r="F61" t="s">
        <v>9</v>
      </c>
    </row>
    <row r="62" spans="1:7" x14ac:dyDescent="0.25">
      <c r="A62" t="s">
        <v>90</v>
      </c>
      <c r="B62" t="s">
        <v>21</v>
      </c>
      <c r="C62">
        <v>1996</v>
      </c>
      <c r="D62">
        <v>6354.87</v>
      </c>
      <c r="E62">
        <v>16780</v>
      </c>
      <c r="F62" t="s">
        <v>9</v>
      </c>
      <c r="G62" t="s">
        <v>20</v>
      </c>
    </row>
    <row r="63" spans="1:7" x14ac:dyDescent="0.25">
      <c r="A63" t="s">
        <v>91</v>
      </c>
      <c r="B63" t="s">
        <v>31</v>
      </c>
      <c r="C63">
        <v>2012</v>
      </c>
      <c r="D63">
        <v>45.39</v>
      </c>
      <c r="E63">
        <v>100</v>
      </c>
      <c r="F63" t="s">
        <v>9</v>
      </c>
      <c r="G63" t="s">
        <v>32</v>
      </c>
    </row>
    <row r="64" spans="1:7" x14ac:dyDescent="0.25">
      <c r="A64" t="s">
        <v>92</v>
      </c>
      <c r="B64" t="s">
        <v>11</v>
      </c>
      <c r="C64">
        <v>1994</v>
      </c>
      <c r="D64">
        <v>2818.38</v>
      </c>
      <c r="E64">
        <v>6290</v>
      </c>
      <c r="F64" t="s">
        <v>9</v>
      </c>
    </row>
    <row r="65" spans="1:7" x14ac:dyDescent="0.25">
      <c r="A65" t="s">
        <v>93</v>
      </c>
      <c r="B65" t="s">
        <v>18</v>
      </c>
      <c r="C65">
        <v>1996</v>
      </c>
      <c r="D65">
        <v>2214.94</v>
      </c>
      <c r="E65">
        <v>5374</v>
      </c>
      <c r="F65" t="s">
        <v>9</v>
      </c>
    </row>
    <row r="66" spans="1:7" x14ac:dyDescent="0.25">
      <c r="A66" t="s">
        <v>41</v>
      </c>
      <c r="B66" t="s">
        <v>40</v>
      </c>
      <c r="C66">
        <v>1999</v>
      </c>
      <c r="D66">
        <v>1699.85</v>
      </c>
      <c r="E66">
        <v>5108</v>
      </c>
      <c r="F66" t="s">
        <v>9</v>
      </c>
    </row>
    <row r="67" spans="1:7" x14ac:dyDescent="0.25">
      <c r="A67" t="s">
        <v>94</v>
      </c>
      <c r="B67" t="s">
        <v>43</v>
      </c>
      <c r="C67">
        <v>1987</v>
      </c>
      <c r="D67">
        <v>1698.2</v>
      </c>
      <c r="E67">
        <v>3798</v>
      </c>
      <c r="F67" t="s">
        <v>9</v>
      </c>
    </row>
    <row r="68" spans="1:7" x14ac:dyDescent="0.25">
      <c r="A68" t="s">
        <v>95</v>
      </c>
      <c r="B68" t="s">
        <v>45</v>
      </c>
      <c r="C68">
        <v>1997</v>
      </c>
      <c r="D68">
        <v>291.27</v>
      </c>
      <c r="E68">
        <v>586</v>
      </c>
      <c r="F68" t="s">
        <v>9</v>
      </c>
    </row>
    <row r="69" spans="1:7" x14ac:dyDescent="0.25">
      <c r="A69" t="s">
        <v>96</v>
      </c>
      <c r="B69" t="s">
        <v>18</v>
      </c>
      <c r="C69">
        <v>1988</v>
      </c>
      <c r="D69">
        <v>1376.8</v>
      </c>
      <c r="E69">
        <v>1165</v>
      </c>
      <c r="F69" t="s">
        <v>97</v>
      </c>
    </row>
    <row r="70" spans="1:7" x14ac:dyDescent="0.25">
      <c r="A70" t="s">
        <v>98</v>
      </c>
      <c r="B70" t="s">
        <v>18</v>
      </c>
      <c r="C70">
        <v>2000</v>
      </c>
      <c r="D70">
        <v>167.89</v>
      </c>
      <c r="E70">
        <v>493</v>
      </c>
      <c r="F70" t="s">
        <v>99</v>
      </c>
    </row>
    <row r="71" spans="1:7" x14ac:dyDescent="0.25">
      <c r="A71" t="s">
        <v>100</v>
      </c>
      <c r="B71" t="s">
        <v>31</v>
      </c>
      <c r="C71">
        <v>2008</v>
      </c>
      <c r="D71">
        <v>894.37</v>
      </c>
      <c r="E71">
        <v>1593</v>
      </c>
      <c r="F71" t="s">
        <v>101</v>
      </c>
    </row>
    <row r="72" spans="1:7" x14ac:dyDescent="0.25">
      <c r="A72" t="s">
        <v>102</v>
      </c>
      <c r="B72" t="s">
        <v>11</v>
      </c>
      <c r="C72">
        <v>1996</v>
      </c>
      <c r="D72">
        <v>439.21</v>
      </c>
      <c r="E72">
        <v>792</v>
      </c>
      <c r="F72" t="s">
        <v>9</v>
      </c>
    </row>
    <row r="73" spans="1:7" x14ac:dyDescent="0.25">
      <c r="A73" t="s">
        <v>103</v>
      </c>
      <c r="B73" t="s">
        <v>18</v>
      </c>
      <c r="C73">
        <v>1995</v>
      </c>
      <c r="D73">
        <v>332.43</v>
      </c>
      <c r="E73">
        <v>799</v>
      </c>
      <c r="F73" t="s">
        <v>9</v>
      </c>
    </row>
    <row r="74" spans="1:7" x14ac:dyDescent="0.25">
      <c r="A74" t="s">
        <v>104</v>
      </c>
      <c r="B74" t="s">
        <v>40</v>
      </c>
      <c r="C74">
        <v>1988</v>
      </c>
      <c r="D74">
        <v>5266.09</v>
      </c>
      <c r="E74">
        <v>8595</v>
      </c>
      <c r="F74" t="s">
        <v>9</v>
      </c>
      <c r="G74" t="s">
        <v>41</v>
      </c>
    </row>
    <row r="75" spans="1:7" x14ac:dyDescent="0.25">
      <c r="A75" t="s">
        <v>105</v>
      </c>
      <c r="B75" t="s">
        <v>43</v>
      </c>
      <c r="C75">
        <v>1998</v>
      </c>
      <c r="D75">
        <v>2022.14</v>
      </c>
      <c r="E75">
        <v>5113</v>
      </c>
      <c r="F75" t="s">
        <v>9</v>
      </c>
    </row>
    <row r="76" spans="1:7" x14ac:dyDescent="0.25">
      <c r="A76" t="s">
        <v>106</v>
      </c>
      <c r="B76" t="s">
        <v>43</v>
      </c>
      <c r="C76">
        <v>1993</v>
      </c>
      <c r="D76">
        <v>646.1</v>
      </c>
      <c r="E76">
        <v>883</v>
      </c>
      <c r="F76" t="s">
        <v>9</v>
      </c>
      <c r="G76" t="s">
        <v>47</v>
      </c>
    </row>
    <row r="77" spans="1:7" x14ac:dyDescent="0.25">
      <c r="A77" t="s">
        <v>77</v>
      </c>
      <c r="B77" t="s">
        <v>58</v>
      </c>
      <c r="C77">
        <v>1997</v>
      </c>
      <c r="D77">
        <v>2041.73</v>
      </c>
      <c r="E77">
        <v>5276</v>
      </c>
      <c r="F77" t="s">
        <v>9</v>
      </c>
    </row>
    <row r="78" spans="1:7" x14ac:dyDescent="0.25">
      <c r="A78" t="s">
        <v>107</v>
      </c>
      <c r="B78" t="s">
        <v>43</v>
      </c>
      <c r="C78">
        <v>1993</v>
      </c>
      <c r="D78">
        <v>7537.24</v>
      </c>
      <c r="E78">
        <v>20293</v>
      </c>
      <c r="F78" t="s">
        <v>9</v>
      </c>
    </row>
    <row r="79" spans="1:7" x14ac:dyDescent="0.25">
      <c r="A79" t="s">
        <v>108</v>
      </c>
      <c r="B79" t="s">
        <v>24</v>
      </c>
      <c r="C79">
        <v>1989</v>
      </c>
      <c r="D79">
        <v>3838.39</v>
      </c>
      <c r="E79">
        <v>8274</v>
      </c>
      <c r="F79" t="s">
        <v>9</v>
      </c>
    </row>
    <row r="80" spans="1:7" x14ac:dyDescent="0.25">
      <c r="A80" t="s">
        <v>109</v>
      </c>
      <c r="B80" t="s">
        <v>45</v>
      </c>
      <c r="C80">
        <v>1983</v>
      </c>
      <c r="D80">
        <v>2871.35</v>
      </c>
      <c r="E80">
        <v>9561</v>
      </c>
      <c r="F80" t="s">
        <v>9</v>
      </c>
    </row>
    <row r="81" spans="1:6" x14ac:dyDescent="0.25">
      <c r="A81" t="s">
        <v>110</v>
      </c>
      <c r="B81" t="s">
        <v>18</v>
      </c>
      <c r="C81">
        <v>2005</v>
      </c>
      <c r="D81">
        <v>2261.0500000000002</v>
      </c>
      <c r="E81">
        <v>3851</v>
      </c>
      <c r="F81" t="s">
        <v>9</v>
      </c>
    </row>
    <row r="82" spans="1:6" x14ac:dyDescent="0.25">
      <c r="A82" t="s">
        <v>111</v>
      </c>
      <c r="B82" t="s">
        <v>18</v>
      </c>
      <c r="C82">
        <v>2010</v>
      </c>
      <c r="D82">
        <v>71.12</v>
      </c>
      <c r="E82">
        <v>144</v>
      </c>
      <c r="F82" t="s">
        <v>9</v>
      </c>
    </row>
    <row r="83" spans="1:6" x14ac:dyDescent="0.25">
      <c r="A83" t="s">
        <v>112</v>
      </c>
      <c r="B83" t="s">
        <v>8</v>
      </c>
      <c r="C83">
        <v>2011</v>
      </c>
      <c r="D83">
        <v>40.79</v>
      </c>
      <c r="E83">
        <v>142</v>
      </c>
      <c r="F83" t="s">
        <v>113</v>
      </c>
    </row>
    <row r="84" spans="1:6" x14ac:dyDescent="0.25">
      <c r="A84" t="s">
        <v>114</v>
      </c>
      <c r="B84" t="s">
        <v>24</v>
      </c>
      <c r="C84">
        <v>1992</v>
      </c>
      <c r="D84">
        <v>324.19</v>
      </c>
      <c r="E84">
        <v>978</v>
      </c>
      <c r="F84" t="s">
        <v>9</v>
      </c>
    </row>
    <row r="85" spans="1:6" x14ac:dyDescent="0.25">
      <c r="A85" t="s">
        <v>115</v>
      </c>
      <c r="B85" t="s">
        <v>21</v>
      </c>
      <c r="C85">
        <v>1979</v>
      </c>
      <c r="D85">
        <v>4478.47</v>
      </c>
      <c r="E85">
        <v>13809</v>
      </c>
      <c r="F85" t="s">
        <v>9</v>
      </c>
    </row>
    <row r="86" spans="1:6" x14ac:dyDescent="0.25">
      <c r="A86" t="s">
        <v>116</v>
      </c>
      <c r="B86" t="s">
        <v>11</v>
      </c>
      <c r="C86">
        <v>1984</v>
      </c>
      <c r="D86">
        <v>441.08</v>
      </c>
      <c r="E86">
        <v>1210</v>
      </c>
      <c r="F8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0449-FC1F-43CA-BCDA-F256CE7EF001}">
  <dimension ref="A1:F36"/>
  <sheetViews>
    <sheetView workbookViewId="0">
      <selection activeCell="G10" sqref="G10"/>
    </sheetView>
  </sheetViews>
  <sheetFormatPr defaultRowHeight="15" x14ac:dyDescent="0.25"/>
  <cols>
    <col min="1" max="1" width="19.140625" bestFit="1" customWidth="1"/>
    <col min="2" max="2" width="16.85546875" bestFit="1" customWidth="1"/>
    <col min="3" max="3" width="14.5703125" bestFit="1" customWidth="1"/>
  </cols>
  <sheetData>
    <row r="1" spans="1:6" x14ac:dyDescent="0.25">
      <c r="A1" t="s">
        <v>131</v>
      </c>
      <c r="B1" t="s">
        <v>8970</v>
      </c>
      <c r="C1" t="s">
        <v>8971</v>
      </c>
    </row>
    <row r="2" spans="1:6" x14ac:dyDescent="0.25">
      <c r="A2" t="s">
        <v>146</v>
      </c>
      <c r="B2" t="s">
        <v>8972</v>
      </c>
      <c r="C2" t="s">
        <v>8973</v>
      </c>
    </row>
    <row r="3" spans="1:6" x14ac:dyDescent="0.25">
      <c r="A3" t="s">
        <v>264</v>
      </c>
      <c r="B3" t="s">
        <v>8972</v>
      </c>
      <c r="C3" t="s">
        <v>8973</v>
      </c>
      <c r="F3" s="4"/>
    </row>
    <row r="4" spans="1:6" x14ac:dyDescent="0.25">
      <c r="A4" t="s">
        <v>169</v>
      </c>
      <c r="B4" t="s">
        <v>8972</v>
      </c>
      <c r="C4" t="s">
        <v>8973</v>
      </c>
    </row>
    <row r="5" spans="1:6" x14ac:dyDescent="0.25">
      <c r="A5" t="s">
        <v>217</v>
      </c>
      <c r="B5" t="s">
        <v>8972</v>
      </c>
      <c r="C5" t="s">
        <v>8973</v>
      </c>
    </row>
    <row r="6" spans="1:6" x14ac:dyDescent="0.25">
      <c r="A6" t="s">
        <v>137</v>
      </c>
      <c r="B6" t="s">
        <v>8972</v>
      </c>
      <c r="C6" t="s">
        <v>8973</v>
      </c>
    </row>
    <row r="7" spans="1:6" x14ac:dyDescent="0.25">
      <c r="A7" t="s">
        <v>303</v>
      </c>
      <c r="B7" t="s">
        <v>8974</v>
      </c>
      <c r="C7" t="s">
        <v>8973</v>
      </c>
    </row>
    <row r="8" spans="1:6" x14ac:dyDescent="0.25">
      <c r="A8" t="s">
        <v>205</v>
      </c>
      <c r="B8" t="s">
        <v>8974</v>
      </c>
      <c r="C8" t="s">
        <v>8973</v>
      </c>
    </row>
    <row r="9" spans="1:6" x14ac:dyDescent="0.25">
      <c r="A9" t="s">
        <v>158</v>
      </c>
      <c r="B9" t="s">
        <v>8974</v>
      </c>
      <c r="C9" t="s">
        <v>8973</v>
      </c>
    </row>
    <row r="10" spans="1:6" x14ac:dyDescent="0.25">
      <c r="A10" t="s">
        <v>152</v>
      </c>
      <c r="B10" t="s">
        <v>8974</v>
      </c>
      <c r="C10" t="s">
        <v>8973</v>
      </c>
    </row>
    <row r="11" spans="1:6" x14ac:dyDescent="0.25">
      <c r="A11" t="s">
        <v>140</v>
      </c>
      <c r="B11" t="s">
        <v>8974</v>
      </c>
      <c r="C11" t="s">
        <v>8973</v>
      </c>
    </row>
    <row r="12" spans="1:6" x14ac:dyDescent="0.25">
      <c r="A12" t="s">
        <v>8975</v>
      </c>
      <c r="B12" t="s">
        <v>8974</v>
      </c>
      <c r="C12" t="s">
        <v>8973</v>
      </c>
    </row>
    <row r="13" spans="1:6" x14ac:dyDescent="0.25">
      <c r="A13" t="s">
        <v>177</v>
      </c>
      <c r="B13" t="s">
        <v>8976</v>
      </c>
      <c r="C13" t="s">
        <v>8977</v>
      </c>
    </row>
    <row r="14" spans="1:6" x14ac:dyDescent="0.25">
      <c r="A14" t="s">
        <v>239</v>
      </c>
      <c r="B14" t="s">
        <v>8976</v>
      </c>
      <c r="C14" t="s">
        <v>8977</v>
      </c>
    </row>
    <row r="15" spans="1:6" x14ac:dyDescent="0.25">
      <c r="A15" t="s">
        <v>187</v>
      </c>
      <c r="B15" t="s">
        <v>8976</v>
      </c>
      <c r="C15" t="s">
        <v>8977</v>
      </c>
    </row>
    <row r="16" spans="1:6" x14ac:dyDescent="0.25">
      <c r="A16" t="s">
        <v>198</v>
      </c>
      <c r="B16" t="s">
        <v>8976</v>
      </c>
      <c r="C16" t="s">
        <v>8977</v>
      </c>
    </row>
    <row r="17" spans="1:3" x14ac:dyDescent="0.25">
      <c r="A17" t="s">
        <v>196</v>
      </c>
      <c r="B17" t="s">
        <v>8976</v>
      </c>
      <c r="C17" t="s">
        <v>8977</v>
      </c>
    </row>
    <row r="18" spans="1:3" x14ac:dyDescent="0.25">
      <c r="A18" t="s">
        <v>8978</v>
      </c>
      <c r="B18" t="s">
        <v>8976</v>
      </c>
      <c r="C18" t="s">
        <v>8977</v>
      </c>
    </row>
    <row r="19" spans="1:3" x14ac:dyDescent="0.25">
      <c r="A19" t="s">
        <v>171</v>
      </c>
      <c r="B19" t="s">
        <v>8979</v>
      </c>
      <c r="C19" t="s">
        <v>8977</v>
      </c>
    </row>
    <row r="20" spans="1:3" x14ac:dyDescent="0.25">
      <c r="A20" t="s">
        <v>207</v>
      </c>
      <c r="B20" t="s">
        <v>8979</v>
      </c>
      <c r="C20" t="s">
        <v>8977</v>
      </c>
    </row>
    <row r="21" spans="1:3" x14ac:dyDescent="0.25">
      <c r="A21" t="s">
        <v>224</v>
      </c>
      <c r="B21" t="s">
        <v>8979</v>
      </c>
      <c r="C21" t="s">
        <v>8977</v>
      </c>
    </row>
    <row r="22" spans="1:3" x14ac:dyDescent="0.25">
      <c r="A22" t="s">
        <v>193</v>
      </c>
      <c r="B22" t="s">
        <v>8979</v>
      </c>
      <c r="C22" t="s">
        <v>8977</v>
      </c>
    </row>
    <row r="23" spans="1:3" x14ac:dyDescent="0.25">
      <c r="A23" t="s">
        <v>222</v>
      </c>
      <c r="B23" t="s">
        <v>8979</v>
      </c>
      <c r="C23" t="s">
        <v>8977</v>
      </c>
    </row>
    <row r="24" spans="1:3" x14ac:dyDescent="0.25">
      <c r="A24" t="s">
        <v>8980</v>
      </c>
      <c r="B24" t="s">
        <v>8979</v>
      </c>
      <c r="C24" t="s">
        <v>8977</v>
      </c>
    </row>
    <row r="25" spans="1:3" x14ac:dyDescent="0.25">
      <c r="A25" t="s">
        <v>148</v>
      </c>
      <c r="B25" t="s">
        <v>8981</v>
      </c>
      <c r="C25" t="s">
        <v>8982</v>
      </c>
    </row>
    <row r="26" spans="1:3" x14ac:dyDescent="0.25">
      <c r="A26" t="s">
        <v>166</v>
      </c>
      <c r="B26" t="s">
        <v>8981</v>
      </c>
      <c r="C26" t="s">
        <v>8982</v>
      </c>
    </row>
    <row r="27" spans="1:3" x14ac:dyDescent="0.25">
      <c r="A27" t="s">
        <v>164</v>
      </c>
      <c r="B27" t="s">
        <v>8981</v>
      </c>
      <c r="C27" t="s">
        <v>8982</v>
      </c>
    </row>
    <row r="28" spans="1:3" x14ac:dyDescent="0.25">
      <c r="A28" t="s">
        <v>150</v>
      </c>
      <c r="B28" t="s">
        <v>8981</v>
      </c>
      <c r="C28" t="s">
        <v>8982</v>
      </c>
    </row>
    <row r="29" spans="1:3" x14ac:dyDescent="0.25">
      <c r="A29" t="s">
        <v>173</v>
      </c>
      <c r="B29" t="s">
        <v>8981</v>
      </c>
      <c r="C29" t="s">
        <v>8982</v>
      </c>
    </row>
    <row r="30" spans="1:3" x14ac:dyDescent="0.25">
      <c r="A30" t="s">
        <v>8983</v>
      </c>
      <c r="B30" t="s">
        <v>8981</v>
      </c>
      <c r="C30" t="s">
        <v>8982</v>
      </c>
    </row>
    <row r="31" spans="1:3" x14ac:dyDescent="0.25">
      <c r="A31" t="s">
        <v>154</v>
      </c>
      <c r="B31" t="s">
        <v>8984</v>
      </c>
      <c r="C31" t="s">
        <v>8982</v>
      </c>
    </row>
    <row r="32" spans="1:3" x14ac:dyDescent="0.25">
      <c r="A32" t="s">
        <v>191</v>
      </c>
      <c r="B32" t="s">
        <v>8984</v>
      </c>
      <c r="C32" t="s">
        <v>8982</v>
      </c>
    </row>
    <row r="33" spans="1:3" x14ac:dyDescent="0.25">
      <c r="A33" t="s">
        <v>180</v>
      </c>
      <c r="B33" t="s">
        <v>8984</v>
      </c>
      <c r="C33" t="s">
        <v>8982</v>
      </c>
    </row>
    <row r="34" spans="1:3" x14ac:dyDescent="0.25">
      <c r="A34" t="s">
        <v>144</v>
      </c>
      <c r="B34" t="s">
        <v>8984</v>
      </c>
      <c r="C34" t="s">
        <v>8982</v>
      </c>
    </row>
    <row r="35" spans="1:3" x14ac:dyDescent="0.25">
      <c r="A35" t="s">
        <v>162</v>
      </c>
      <c r="B35" t="s">
        <v>8984</v>
      </c>
      <c r="C35" t="s">
        <v>8982</v>
      </c>
    </row>
    <row r="36" spans="1:3" x14ac:dyDescent="0.25">
      <c r="A36" t="s">
        <v>8985</v>
      </c>
      <c r="B36" t="s">
        <v>8984</v>
      </c>
      <c r="C36" t="s">
        <v>8982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99CC-2017-48FC-9144-784A6D61074E}">
  <dimension ref="A1:C8"/>
  <sheetViews>
    <sheetView workbookViewId="0">
      <selection activeCell="G5" sqref="G5:G9"/>
    </sheetView>
  </sheetViews>
  <sheetFormatPr defaultRowHeight="15" x14ac:dyDescent="0.25"/>
  <cols>
    <col min="1" max="1" width="13.5703125" bestFit="1" customWidth="1"/>
    <col min="2" max="2" width="6.28515625" bestFit="1" customWidth="1"/>
    <col min="3" max="3" width="10.85546875" bestFit="1" customWidth="1"/>
  </cols>
  <sheetData>
    <row r="1" spans="1:3" x14ac:dyDescent="0.25">
      <c r="A1" t="s">
        <v>117</v>
      </c>
      <c r="B1" t="s">
        <v>118</v>
      </c>
      <c r="C1" t="s">
        <v>119</v>
      </c>
    </row>
    <row r="2" spans="1:3" x14ac:dyDescent="0.25">
      <c r="A2" t="s">
        <v>120</v>
      </c>
      <c r="B2" t="s">
        <v>121</v>
      </c>
      <c r="C2">
        <v>550</v>
      </c>
    </row>
    <row r="3" spans="1:3" x14ac:dyDescent="0.25">
      <c r="A3" t="s">
        <v>122</v>
      </c>
      <c r="B3" t="s">
        <v>121</v>
      </c>
      <c r="C3">
        <v>4821</v>
      </c>
    </row>
    <row r="4" spans="1:3" x14ac:dyDescent="0.25">
      <c r="A4" t="s">
        <v>123</v>
      </c>
      <c r="B4" t="s">
        <v>124</v>
      </c>
      <c r="C4">
        <v>55</v>
      </c>
    </row>
    <row r="5" spans="1:3" x14ac:dyDescent="0.25">
      <c r="A5" t="s">
        <v>125</v>
      </c>
      <c r="B5" t="s">
        <v>124</v>
      </c>
      <c r="C5">
        <v>3393</v>
      </c>
    </row>
    <row r="6" spans="1:3" x14ac:dyDescent="0.25">
      <c r="A6" t="s">
        <v>126</v>
      </c>
      <c r="B6" t="s">
        <v>121</v>
      </c>
      <c r="C6">
        <v>5482</v>
      </c>
    </row>
    <row r="7" spans="1:3" x14ac:dyDescent="0.25">
      <c r="A7" t="s">
        <v>127</v>
      </c>
      <c r="B7" t="s">
        <v>121</v>
      </c>
      <c r="C7">
        <v>1096</v>
      </c>
    </row>
    <row r="8" spans="1:3" x14ac:dyDescent="0.25">
      <c r="A8" t="s">
        <v>128</v>
      </c>
      <c r="B8" t="s">
        <v>129</v>
      </c>
      <c r="C8">
        <v>26768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Analysis</vt:lpstr>
      <vt:lpstr>Sales_Pipelines</vt:lpstr>
      <vt:lpstr>Accounts</vt:lpstr>
      <vt:lpstr>Sales_teams</vt:lpstr>
      <vt:lpstr>Products</vt:lpstr>
      <vt:lpstr>Accounts!accounts</vt:lpstr>
      <vt:lpstr>Products!products</vt:lpstr>
      <vt:lpstr>Sales_Pipelines!sales_pipeline</vt:lpstr>
      <vt:lpstr>Sales_teams!sales_teams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chauhan</dc:creator>
  <cp:lastModifiedBy>harshit chauhan</cp:lastModifiedBy>
  <dcterms:created xsi:type="dcterms:W3CDTF">2026-09-14T13:28:08Z</dcterms:created>
  <dcterms:modified xsi:type="dcterms:W3CDTF">2026-09-21T06:07:49Z</dcterms:modified>
</cp:coreProperties>
</file>